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<sst xmlns="http://schemas.openxmlformats.org/spreadsheetml/2006/main" count="4205" uniqueCount="2076">
  <si>
    <t>Player Name</t>
  </si>
  <si>
    <t>Team</t>
  </si>
  <si>
    <t>Position</t>
  </si>
  <si>
    <t>Minutes Played</t>
  </si>
  <si>
    <t>Matches</t>
  </si>
  <si>
    <t>Goals</t>
  </si>
  <si>
    <t>Assists</t>
  </si>
  <si>
    <t>Distance Covered</t>
  </si>
  <si>
    <t>Top Speed</t>
  </si>
  <si>
    <t>Player ID</t>
  </si>
  <si>
    <t>Market Value History</t>
  </si>
  <si>
    <t>Player Country</t>
  </si>
  <si>
    <t>Date of Birth</t>
  </si>
  <si>
    <t>MV19</t>
  </si>
  <si>
    <t>MV18</t>
  </si>
  <si>
    <t>Alisson Becker</t>
  </si>
  <si>
    <t>Liverpool</t>
  </si>
  <si>
    <t>Goalkeeper</t>
  </si>
  <si>
    <t>{'id': '105470', 'marketValue': '€17.00m', 'marketValueHistory': [{'age': '19', 'date': '08/02/2012', 'clubName': 'SC Internacional B', 'value': '€150k', 'clubID': '15466'}, {'age': '19', 'date': '24/05/2012', 'clubName': 'SC Internacional B', 'value': '€150k', 'clubID': '15466'}, {'age': '20', 'date': '05/12/2012', 'clubName': 'SC Internacional B', 'value': '€150k', 'clubID': '15466'}, {'age': '21', 'date': '07/08/2014', 'clubName': 'Sport Club Internacional', 'value': '€300k', 'clubID': '6600'}, {'age': '22', 'date': '01/02/2015', 'clubName': 'Sport Club Internacional', 'value': '€1.00m', 'clubID': '6600'}, {'age': '22', 'date': '31/05/2015', 'clubName': 'Sport Club Internacional', 'value': '€2.50m', 'clubID': '6600'}, {'age': '22', 'date': '11/09/2015', 'clubName': 'Sport Club Internacional', 'value': '€3.50m', 'clubID': '6600'}, {'age': '23', 'date': '15/12/2015', 'clubName': 'Sport Club Internacional', 'value': '€5.00m', 'clubID': '6600'}, {'age': '23', 'date': '27/05/2016', 'clubName': 'Sport Club Internacional', 'value': '€7.00m', 'clubID': '6600'}, {'age': '24', 'date': '02/01/2017', 'clubName': 'AS Roma', 'value': '€7.00m', 'clubID': '12'}, {'age': '24', 'date': '08/06/2017', 'clubName': 'AS Roma', 'value': '€7.00m', 'clubID': '12'}, {'age': '25', 'date': '13/10/2017', 'clubName': 'AS Roma', 'value': '€10.00m', 'clubID': '12'}, {'age': '25', 'date': '29/12/2017', 'clubName': 'AS Roma', 'value': '€16.00m', 'clubID': '12'}, {'age': '25', 'date': '24/03/2018', 'clubName': 'AS Roma', 'value': '€45.00m', 'clubID': '12'}, {'age': '25', 'date': '07/06/2018', 'clubName': 'AS Roma', 'value': '€60.00m', 'clubID': '12'}, {'age': '26', 'date': '19/12/2018', 'clubName': 'Liverpool FC', 'value': '€65.00m', 'clubID': '31'}, {'age': '26', 'date': '13/06/2019', 'clubName': 'Liverpool FC', 'value': '€80.00m', 'clubID': '31'}, {'age': '27', 'date': '10/12/2019', 'clubName': 'Liverpool FC', 'value': '€90.00m', 'clubID': '31'}, {'age': '27', 'date': '08/04/2020', 'clubName': 'Liverpool FC', 'value': '€72.00m', 'clubID': '31'}, {'age': '28', 'date': '13/10/2020', 'clubName': 'Liverpool FC', 'value': '€80.00m', 'clubID': '31'}, {'age': '28', 'date': '18/03/2021', 'clubName': 'Liverpool FC', 'value': '€65.00m', 'clubID': '31'}, {'age': '28', 'date': '08/06/2021', 'clubName': 'Liverpool FC', 'value': '€60.00m', 'clubID': '31'}, {'age': '29', 'date': '23/12/2021', 'clubName': 'Liverpool FC', 'value': '€60.00m', 'clubID': '31'}, {'age': '29', 'date': '15/06/2022', 'clubName': 'Liverpool FC', 'value': '€50.00m', 'clubID': '31'}, {'age': '30', 'date': '03/11/2022', 'clubName': 'Liverpool FC', 'value': '€50.00m', 'clubID': '31'}, {'age': '30', 'date': '16/03/2023', 'clubName': 'Liverpool FC', 'value': '€45.00m', 'clubID': '31'}, {'age': '30', 'date': '20/06/2023', 'clubName': 'Liverpool FC', 'value': '€35.00m', 'clubID': '31'}, {'age': '31', 'date': '19/12/2023', 'clubName': 'Liverpool FC', 'value': '€32.00m', 'clubID': '31'}, {'age': '31', 'date': '27/05/2024', 'clubName': 'Liverpool FC', 'value': '€28.00m', 'clubID': '31'}, {'age': '32', 'date': '16/12/2024', 'clubName': 'Liverpool FC', 'value': '€25.00m', 'clubID': '31'}, {'age': '32', 'date': '30/05/2025', 'clubName': 'Liverpool FC', 'value': '€20.00m', 'clubID': '31'}, {'age': '33', 'date': '09/12/2025', 'clubName': 'Liverpool FC', 'value': '€17.00m', 'clubID': '31'}], 'ranking': {'Worldwide': '756', 'Premier League': '287', 'Liverpool': '18', 'Brazil': '59', 'Goalkeeper': '30', 'Year 1992': '3'}, 'updatedAt': datetime.datetime(2026, 4, 4, 21, 22, 49, 98961)}</t>
  </si>
  <si>
    <t>Brazil</t>
  </si>
  <si>
    <t>1992-10-02</t>
  </si>
  <si>
    <t>Mane</t>
  </si>
  <si>
    <t>Forward</t>
  </si>
  <si>
    <t>{'marketValueHistory': [{'date': '25/04/2012', 'age': '20', 'clubName': 'FC Metz', 'clubID': '347', 'value': '€250k'}, {'date': '01/06/2012', 'age': '20', 'clubName': 'FC Metz', 'clubID': '347', 'value': '€300k'}, {'date': '13/08/2012', 'age': '20', 'clubName': 'FC Metz', 'clubID': '347', 'value': '€500k'}, {'date': '24/09/2012', 'age': '20', 'clubName': 'Red Bull Salzburg', 'clubID': '409', 'value': '€2.00m'}, {'date': '19/12/2012', 'age': '20', 'clubName': 'Red Bull Salzburg', 'clubID': '409', 'value': '€3.00m'}, {'date': '04/06/2013', 'age': '21', 'clubName': 'Red Bull Salzburg', 'clubID': '409', 'value': '€3.50m'}, {'date': '27/12/2013', 'age': '21', 'clubName': 'Red Bull Salzburg', 'clubID': '409', 'value': '€5.00m'}, {'date': '20/06/2014', 'age': '22', 'clubName': 'Red Bull Salzburg', 'clubID': '409', 'value': '€7.50m'}, {'date': '05/10/2014', 'age': '22', 'clubName': 'Southampton FC', 'clubID': '180', 'value': '€10.00m'}, {'date': '12/02/2015', 'age': '22', 'clubName': 'Southampton FC', 'clubID': '180', 'value': '€14.00m'}, {'date': '01/07/2015', 'age': '23', 'clubName': 'Southampton FC', 'clubID': '180', 'value': '€18.00m'}, {'date': '09/02/2016', 'age': '23', 'clubName': 'Southampton FC', 'clubID': '180', 'value': '€20.00m'}, {'date': '01/08/2016', 'age': '24', 'clubName': 'Liverpool FC', 'clubID': '31', 'value': '€30.00m'}, {'date': '20/02/2017', 'age': '24', 'clubName': 'Liverpool FC', 'clubID': '31', 'value': '€38.00m'}, {'date': '28/06/2017', 'age': '25', 'clubName': 'Liverpool FC', 'clubID': '31', 'value': '€40.00m'}, {'date': '23/10/2017', 'age': '25', 'clubName': 'Liverpool FC', 'clubID': '31', 'value': '€50.00m'}, {'date': '02/01/2018', 'age': '25', 'clubName': 'Liverpool FC', 'clubID': '31', 'value': '€60.00m'}, {'date': '28/05/2018', 'age': '26', 'clubName': 'Liverpool FC', 'clubID': '31', 'value': '€70.00m'}, {'date': '19/12/2018', 'age': '26', 'clubName': 'Liverpool FC', 'clubID': '31', 'value': '€75.00m'}, {'date': '05/03/2019', 'age': '26', 'clubName': 'Liverpool FC', 'clubID': '31', 'value': '€85.00m'}, {'date': '13/06/2019', 'age': '27', 'clubName': 'Liverpool FC', 'clubID': '31', 'value': '€120.00m'}, {'date': '10/12/2019', 'age': '27', 'clubName': 'Liverpool FC', 'clubID': '31', 'value': '€150.00m'}, {'date': '08/04/2020', 'age': '27', 'clubName': 'Liverpool FC', 'clubID': '31', 'value': '€120.00m'}, {'date': '13/10/2020', 'age': '28', 'clubName': 'Liverpool FC', 'clubID': '31', 'value': '€120.00m'}, {'date': '18/03/2021', 'age': '28', 'clubName': 'Liverpool FC', 'clubID': '31', 'value': '€100.00m'}, {'date': '08/06/2021', 'age': '29', 'clubName': 'Liverpool FC', 'clubID': '31', 'value': '€85.00m'}, {'date': '23/12/2021', 'age': '29', 'clubName': 'Liverpool FC', 'clubID': '31', 'value': '€80.00m'}, {'date': '15/06/2022', 'age': '30', 'clubName': 'Liverpool FC', 'clubID': '31', 'value': '€70.00m'}, {'date': '21/09/2022', 'age': '30', 'clubName': 'Bayern Munich', 'clubID': '27', 'value': '€60.00m'}, {'date': '09/11/2022', 'age': '30', 'clubName': 'Bayern Munich', 'clubID': '27', 'value': '€60.00m'}, {'date': '29/03/2023', 'age': '30', 'clubName': 'Bayern Munich', 'clubID': '27', 'value': '€45.00m'}, {'date': '22/06/2023', 'age': '31', 'clubName': 'Bayern Munich', 'clubID': '27', 'value': '€25.00m'}, {'date': '15/12/2023', 'age': '31', 'clubName': 'Al-Nassr FC', 'clubID': '18544', 'value': '€20.00m'}, {'date': '04/06/2024', 'age': '32', 'clubName': 'Al-Nassr FC', 'clubID': '18544', 'value': '€15.00m'}, {'date': '13/12/2024', 'age': '32', 'clubName': 'Al-Nassr FC', 'clubID': '18544', 'value': '€9.00m'}, {'date': '27/05/2025', 'age': '33', 'clubName': 'Al-Nassr FC', 'clubID': '18544', 'value': '€8.00m'}, {'date': '18/12/2025', 'age': '33', 'clubName': 'Al-Nassr FC', 'clubID': '18544', 'value': '€7.00m'}]}</t>
  </si>
  <si>
    <t>Senegal</t>
  </si>
  <si>
    <t>1992-10-04</t>
  </si>
  <si>
    <t>Tadic</t>
  </si>
  <si>
    <t>Ajax</t>
  </si>
  <si>
    <t>{'id': '36139', 'marketValue': '€2.00m', 'marketValueHistory': [{'age': '18', 'date': '15/03/2007', 'clubName': 'FK Vojvodina Novi Sad', 'value': '€150k', 'clubID': '448'}, {'age': '18', 'date': '08/10/2007', 'clubName': 'FK Vojvodina Novi Sad', 'value': '€600k', 'clubID': '448'}, {'age': '19', 'date': '06/07/2008', 'clubName': 'FK Vojvodina Novi Sad', 'value': '€1.20m', 'clubID': '448'}, {'age': '19', 'date': '28/09/2008', 'clubName': 'FK Vojvodina Novi Sad', 'value': '€1.75m', 'clubID': '448'}, {'age': '20', 'date': '18/12/2008', 'clubName': 'FK Vojvodina Novi Sad', 'value': '€2.00m', 'clubID': '448'}, {'age': '20', 'date': '01/05/2009', 'clubName': 'FK Vojvodina Novi Sad', 'value': '€2.50m', 'clubID': '448'}, {'age': '20', 'date': '22/10/2009', 'clubName': 'FK Vojvodina Novi Sad', 'value': '€2.75m', 'clubID': '448'}, {'age': '22', 'date': '17/01/2011', 'clubName': 'FC Groningen', 'value': '€3.25m', 'clubID': '202'}, {'age': '22', 'date': '17/06/2011', 'clubName': 'FC Groningen', 'value': '€5.00m', 'clubID': '202'}, {'age': '23', 'date': '10/01/2012', 'clubName': 'FC Groningen', 'value': '€7.50m', 'clubID': '202'}, {'age': '24', 'date': '12/01/2013', 'clubName': 'FC Twente Enschede', 'value': '€10.00m', 'clubID': '317'}, {'age': '24', 'date': '02/06/2013', 'clubName': 'FC Twente Enschede', 'value': '€10.00m', 'clubID': '317'}, {'age': '25', 'date': '11/02/2014', 'clubName': 'FC Twente Enschede', 'value': '€10.00m', 'clubID': '317'}, {'age': '25', 'date': '12/08/2014', 'clubName': 'Southampton FC', 'value': '€12.00m', 'clubID': '180'}, {'age': '26', 'date': '12/02/2015', 'clubName': 'Southampton FC', 'value': '€15.00m', 'clubID': '180'}, {'age': '26', 'date': '01/07/2015', 'clubName': 'Southampton FC', 'value': '€15.00m', 'clubID': '180'}, {'age': '27', 'date': '09/02/2016', 'clubName': 'Southampton FC', 'value': '€15.00m', 'clubID': '180'}, {'age': '27', 'date': '01/08/2016', 'clubName': 'Southampton FC', 'value': '€17.00m', 'clubID': '180'}, {'age': '28', 'date': '20/02/2017', 'clubName': 'Southampton FC', 'value': '€17.00m', 'clubID': '180'}, {'age': '28', 'date': '28/06/2017', 'clubName': 'Southampton FC', 'value': '€17.00m', 'clubID': '180'}, {'age': '29', 'date': '02/01/2018', 'clubName': 'Southampton FC', 'value': '€15.00m', 'clubID': '180'}, {'age': '29', 'date': '28/05/2018', 'clubName': 'Southampton FC', 'value': '€15.00m', 'clubID': '180'}, {'age': '30', 'date': '28/12/2018', 'clubName': 'Ajax Amsterdam', 'value': '€18.00m', 'clubID': '610'}, {'age': '30', 'date': '13/03/2019', 'clubName': 'Ajax Amsterdam', 'value': '€20.00m', 'clubID': '610'}, {'age': '30', 'date': '12/06/2019', 'clubName': 'Ajax Amsterdam', 'value': '€25.00m', 'clubID': '610'}, {'age': '31', 'date': '18/12/2019', 'clubName': 'Ajax Amsterdam', 'value': '€25.00m', 'clubID': '610'}, {'age': '31', 'date': '08/04/2020', 'clubName': 'Ajax Amsterdam', 'value': '€20.00m', 'clubID': '610'}, {'age': '31', 'date': '14/10/2020', 'clubName': 'Ajax Amsterdam', 'value': '€20.00m', 'clubID': '610'}, {'age': '32', 'date': '19/05/2021', 'clubName': 'Ajax Amsterdam', 'value': '€18.00m', 'clubID': '610'}, {'age': '32', 'date': '04/10/2021', 'clubName': 'Ajax Amsterdam', 'value': '€16.00m', 'clubID': '610'}, {'age': '33', 'date': '05/01/2022', 'clubName': 'Ajax Amsterdam', 'value': '€15.00m', 'clubID': '610'}, {'age': '33', 'date': '17/03/2022', 'clubName': 'Ajax Amsterdam', 'value': '€13.00m', 'clubID': '610'}, {'age': '33', 'date': '08/06/2022', 'clubName': 'Ajax Amsterdam', 'value': '€12.00m', 'clubID': '610'}, {'age': '33', 'date': '14/09/2022', 'clubName': 'Ajax Amsterdam', 'value': '€8.50m', 'clubID': '610'}, {'age': '33', 'date': '11/11/2022', 'clubName': 'Ajax Amsterdam', 'value': '€7.00m', 'clubID': '610'}, {'age': '34', 'date': '23/06/2023', 'clubName': 'Ajax Amsterdam', 'value': '€6.00m', 'clubID': '610'}, {'age': '34', 'date': '27/09/2023', 'clubName': 'Fenerbahce', 'value': '€5.50m', 'clubID': '36'}, {'age': '35', 'date': '21/12/2023', 'clubName': 'Fenerbahce', 'value': '€5.00m', 'clubID': '36'}, {'age': '35', 'date': '15/03/2024', 'clubName': 'Fenerbahce', 'value': '€4.00m', 'clubID': '36'}, {'age': '35', 'date': '31/05/2024', 'clubName': 'Fenerbahce', 'value': '€3.50m', 'clubID': '36'}, {'age': '35', 'date': '04/10/2024', 'clubName': 'Fenerbahce', 'value': '€3.20m', 'clubID': '36'}, {'age': '36', 'date': '23/12/2024', 'clubName': 'Fenerbahce', 'value': '€3.00m', 'clubID': '36'}, {'age': '36', 'date': '20/03/2025', 'clubName': 'Fenerbahce', 'value': '€2.50m', 'clubID': '36'}, {'age': '36', 'date': '18/06/2025', 'clubName': 'Fenerbahce', 'value': '€2.20m', 'clubID': '36'}, {'age': '37', 'date': '28/11/2025', 'clubName': 'Al-Wahda FC', 'value': '€2.00m', 'clubID': '161'}], 'ranking': {'Worldwide': '4.728', 'UAE Pro League': '42', 'Al-Wahda': '8', 'Serbia': '70', 'Right Winger': '384', 'Year 1988': '4'}, 'updatedAt': datetime.datetime(2026, 4, 4, 21, 22, 52, 478937)}</t>
  </si>
  <si>
    <t>Serbia</t>
  </si>
  <si>
    <t>1989-06-07</t>
  </si>
  <si>
    <t>Van Dijk</t>
  </si>
  <si>
    <t>Defender</t>
  </si>
  <si>
    <t>{'id': '139208', 'marketValue': '€18.00m', 'marketValueHistory': [{'age': '19', 'date': '03/05/2011', 'clubName': 'FC Groningen U21', 'value': '€50k', 'clubID': '14725'}, {'age': '19', 'date': '17/06/2011', 'clubName': 'FC Groningen U21', 'value': '€250k', 'clubID': '14725'}, {'age': '20', 'date': '21/10/2011', 'clubName': 'FC Groningen', 'value': '€600k', 'clubID': '202'}, {'age': '20', 'date': '10/01/2012', 'clubName': 'FC Groningen', 'value': '€1.25m', 'clubID': '202'}, {'age': '21', 'date': '21/07/2012', 'clubName': 'FC Groningen', 'value': '€1.50m', 'clubID': '202'}, {'age': '21', 'date': '13/01/2013', 'clubName': 'FC Groningen', 'value': '€2.00m', 'clubID': '202'}, {'age': '21', 'date': '12/06/2013', 'clubName': 'FC Groningen', 'value': '€3.00m', 'clubID': '202'}, {'age': '22', 'date': '13/02/2014', 'clubName': 'Celtic FC', 'value': '€4.00m', 'clubID': '371'}, {'age': '23', 'date': '07/10/2014', 'clubName': 'Celtic FC', 'value': '€5.00m', 'clubID': '371'}, {'age': '24', 'date': '14/10/2015', 'clubName': 'Southampton FC', 'value': '€10.00m', 'clubID': '180'}, {'age': '24', 'date': '09/02/2016', 'clubName': 'Southampton FC', 'value': '€12.00m', 'clubID': '180'}, {'age': '25', 'date': '01/08/2016', 'clubName': 'Southampton FC', 'value': '€12.00m', 'clubID': '180'}, {'age': '25', 'date': '24/10/2016', 'clubName': 'Southampton FC', 'value': '€16.00m', 'clubID': '180'}, {'age': '25', 'date': '20/02/2017', 'clubName': 'Southampton FC', 'value': '€25.00m', 'clubID': '180'}, {'age': '25', 'date': '28/06/2017', 'clubName': 'Southampton FC', 'value': '€30.00m', 'clubID': '180'}, {'age': '26', 'date': '02/01/2018', 'clubName': 'Liverpool FC', 'value': '€50.00m', 'clubID': '31'}, {'age': '26', 'date': '28/05/2018', 'clubName': 'Liverpool FC', 'value': '€50.00m', 'clubID': '31'}, {'age': '27', 'date': '17/10/2018', 'clubName': 'Liverpool FC', 'value': '€60.00m', 'clubID': '31'}, {'age': '27', 'date': '19/12/2018', 'clubName': 'Liverpool FC', 'value': '€75.00m', 'clubID': '31'}, {'age': '27', 'date': '13/06/2019', 'clubName': 'Liverpool FC', 'value': '€90.00m', 'clubID': '31'}, {'age': '28', 'date': '12/09/2019', 'clubName': 'Liverpool FC', 'value': '€100.00m', 'clubID': '31'}, {'age': '28', 'date': '10/12/2019', 'clubName': 'Liverpool FC', 'value': '€100.00m', 'clubID': '31'}, {'age': '28', 'date': '08/04/2020', 'clubName': 'Liverpool FC', 'value': '€80.00m', 'clubID': '31'}, {'age': '29', 'date': '13/10/2020', 'clubName': 'Liverpool FC', 'value': '€80.00m', 'clubID': '31'}, {'age': '29', 'date': '18/03/2021', 'clubName': 'Liverpool FC', 'value': '€70.00m', 'clubID': '31'}, {'age': '29', 'date': '08/06/2021', 'clubName': 'Liverpool FC', 'value': '€55.00m', 'clubID': '31'}, {'age': '30', 'date': '23/12/2021', 'clubName': 'Liverpool FC', 'value': '€55.00m', 'clubID': '31'}, {'age': '30', 'date': '15/06/2022', 'clubName': 'Liverpool FC', 'value': '€55.00m', 'clubID': '31'}, {'age': '31', 'date': '03/11/2022', 'clubName': 'Liverpool FC', 'value': '€50.00m', 'clubID': '31'}, {'age': '31', 'date': '16/03/2023', 'clubName': 'Liverpool FC', 'value': '€45.00m', 'clubID': '31'}, {'age': '31', 'date': '20/06/2023', 'clubName': 'Liverpool FC', 'value': '€35.00m', 'clubID': '31'}, {'age': '32', 'date': '19/12/2023', 'clubName': 'Liverpool FC', 'value': '€32.00m', 'clubID': '31'}, {'age': '32', 'date': '27/05/2024', 'clubName': 'Liverpool FC', 'value': '€30.00m', 'clubID': '31'}, {'age': '33', 'date': '16/12/2024', 'clubName': 'Liverpool FC', 'value': '€28.00m', 'clubID': '31'}, {'age': '33', 'date': '30/05/2025', 'clubName': 'Liverpool FC', 'value': '€23.00m', 'clubID': '31'}, {'age': '34', 'date': '09/12/2025', 'clubName': 'Liverpool FC', 'value': '€18.00m', 'clubID': '31'}], 'ranking': {'Worldwide': '666', 'Premier League': '268', 'Liverpool': '17', 'Netherlands': '42', 'Centre-Back': '123', 'Year 1991': '1'}, 'updatedAt': datetime.datetime(2026, 4, 4, 21, 22, 54, 81678)}</t>
  </si>
  <si>
    <t>Netherlands</t>
  </si>
  <si>
    <t>1991-08-07</t>
  </si>
  <si>
    <t>Blind</t>
  </si>
  <si>
    <t>{'id': '12282', 'marketValue': '€1.40m', 'marketValueHistory': [{'age': '18', 'date': '08/12/2008', 'clubName': 'Ajax Amsterdam U21', 'value': '€100k', 'clubID': '41580'}, {'age': '18', 'date': '08/01/2009', 'clubName': 'Ajax Amsterdam', 'value': '€750k', 'clubID': '610'}, {'age': '20', 'date': '01/08/2010', 'clubName': 'Ajax Amsterdam', 'value': '€1.00m', 'clubID': '610'}, {'age': '21', 'date': '15/06/2011', 'clubName': 'Ajax Amsterdam', 'value': '€1.25m', 'clubID': '610'}, {'age': '21', 'date': '05/01/2012', 'clubName': 'Ajax Amsterdam', 'value': '€1.00m', 'clubID': '610'}, {'age': '22', 'date': '30/06/2012', 'clubName': 'Ajax Amsterdam', 'value': '€1.25m', 'clubID': '610'}, {'age': '22', 'date': '09/01/2013', 'clubName': 'Ajax Amsterdam', 'value': '€2.00m', 'clubID': '610'}, {'age': '23', 'date': '28/05/2013', 'clubName': 'Ajax Amsterdam', 'value': '€4.50m', 'clubID': '610'}, {'age': '23', 'date': '11/02/2014', 'clubName': 'Ajax Amsterdam', 'value': '€6.00m', 'clubID': '610'}, {'age': '24', 'date': '11/08/2014', 'clubName': 'Ajax Amsterdam', 'value': '€12.00m', 'clubID': '610'}, {'age': '24', 'date': '05/10/2014', 'clubName': 'Manchester United', 'value': '€15.00m', 'clubID': '985'}, {'age': '24', 'date': '12/02/2015', 'clubName': 'Manchester United', 'value': '€15.00m', 'clubID': '985'}, {'age': '25', 'date': '01/07/2015', 'clubName': 'Manchester United', 'value': '€17.00m', 'clubID': '985'}, {'age': '25', 'date': '09/02/2016', 'clubName': 'Manchester United', 'value': '€19.00m', 'clubID': '985'}, {'age': '26', 'date': '01/08/2016', 'clubName': 'Manchester United', 'value': '€22.00m', 'clubID': '985'}, {'age': '26', 'date': '20/02/2017', 'clubName': 'Manchester United', 'value': '€22.00m', 'clubID': '985'}, {'age': '27', 'date': '28/06/2017', 'clubName': 'Manchester United', 'value': '€22.00m', 'clubID': '985'}, {'age': '27', 'date': '02/01/2018', 'clubName': 'Manchester United', 'value': '€20.00m', 'clubID': '985'}, {'age': '28', 'date': '28/05/2018', 'clubName': 'Manchester United', 'value': '€18.00m', 'clubID': '985'}, {'age': '28', 'date': '28/12/2018', 'clubName': 'Ajax Amsterdam', 'value': '€18.00m', 'clubID': '610'}, {'age': '29', 'date': '12/06/2019', 'clubName': 'Ajax Amsterdam', 'value': '€24.00m', 'clubID': '610'}, {'age': '29', 'date': '18/12/2019', 'clubName': 'Ajax Amsterdam', 'value': '€25.00m', 'clubID': '610'}, {'age': '30', 'date': '08/04/2020', 'clubName': 'Ajax Amsterdam', 'value': '€20.00m', 'clubID': '610'}, {'age': '30', 'date': '14/10/2020', 'clubName': 'Ajax Amsterdam', 'value': '€20.00m', 'clubID': '610'}, {'age': '30', 'date': '06/01/2021', 'clubName': 'Ajax Amsterdam', 'value': '€15.00m', 'clubID': '610'}, {'age': '31', 'date': '27/05/2021', 'clubName': 'Ajax Amsterdam', 'value': '€15.00m', 'clubID': '610'}, {'age': '31', 'date': '04/10/2021', 'clubName': 'Ajax Amsterdam', 'value': '€13.50m', 'clubID': '610'}, {'age': '31', 'date': '05/01/2022', 'clubName': 'Ajax Amsterdam', 'value': '€13.50m', 'clubID': '610'}, {'age': '32', 'date': '17/03/2022', 'clubName': 'Ajax Amsterdam', 'value': '€10.00m', 'clubID': '610'}, {'age': '32', 'date': '08/06/2022', 'clubName': 'Ajax Amsterdam', 'value': '€9.00m', 'clubID': '610'}, {'age': '32', 'date': '14/09/2022', 'clubName': 'Ajax Amsterdam', 'value': '€7.00m', 'clubID': '610'}, {'age': '32', 'date': '11/11/2022', 'clubName': 'Ajax Amsterdam', 'value': '€6.00m', 'clubID': '610'}, {'age': '33', 'date': '22/06/2023', 'clubName': 'Bayern Munich', 'value': '€3.00m', 'clubID': '27'}, {'age': '33', 'date': '22/12/2023', 'clubName': 'Girona FC', 'value': '€3.00m', 'clubID': '12321'}, {'age': '34', 'date': '07/06/2024', 'clubName': 'Girona FC', 'value': '€3.00m', 'clubID': '12321'}, {'age': '34', 'date': '27/12/2024', 'clubName': 'Girona FC', 'value': '€2.00m', 'clubID': '12321'}, {'age': '35', 'date': '09/06/2025', 'clubName': 'Girona FC', 'value': '€1.50m', 'clubID': '12321'}, {'age': '35', 'date': '12/12/2025', 'clubName': 'Girona FC', 'value': '€1.40m', 'clubID': '12321'}], 'ranking': {'Worldwide': '6.710', 'LaLiga': '420', 'Girona': '20', 'Netherlands': '190', 'Centre-Back': '1.202', 'Year 1990': '23'}, 'updatedAt': datetime.datetime(2026, 4, 4, 21, 22, 55, 984299)}</t>
  </si>
  <si>
    <t>1990-09-03</t>
  </si>
  <si>
    <t>Alderweireld</t>
  </si>
  <si>
    <t>Tottenham</t>
  </si>
  <si>
    <t>{'id': '42710', 'marketValueHistory': [{'age': '19', 'date': '23/10/2008', 'clubName': 'Ajax Amsterdam U21', 'value': '€50k', 'clubID': '41580'}, {'age': '19', 'date': '05/02/2009', 'clubName': 'Ajax Amsterdam', 'value': '€250k', 'clubID': '610'}, {'age': '20', 'date': '22/05/2009', 'clubName': 'Ajax Amsterdam', 'value': '€450k', 'clubID': '610'}, {'age': '20', 'date': '08/09/2009', 'clubName': 'Ajax Amsterdam', 'value': '€1.50m', 'clubID': '610'}, {'age': '20', 'date': '30/12/2009', 'clubName': 'Ajax Amsterdam', 'value': '€2.50m', 'clubID': '610'}, {'age': '21', 'date': '01/08/2010', 'clubName': 'Ajax Amsterdam', 'value': '€5.00m', 'clubID': '610'}, {'age': '22', 'date': '15/06/2011', 'clubName': 'Ajax Amsterdam', 'value': '€7.00m', 'clubID': '610'}, {'age': '22', 'date': '05/01/2012', 'clubName': 'Ajax Amsterdam', 'value': '€8.00m', 'clubID': '610'}, {'age': '23', 'date': '30/06/2012', 'clubName': 'Ajax Amsterdam', 'value': '€10.00m', 'clubID': '610'}, {'age': '24', 'date': '28/05/2013', 'clubName': 'Ajax Amsterdam', 'value': '€10.00m', 'clubID': '610'}, {'age': '24', 'date': '17/09/2013', 'clubName': 'Atlético de Madrid', 'value': '€10.00m', 'clubID': '13'}, {'age': '24', 'date': '23/01/2014', 'clubName': 'Atlético de Madrid', 'value': '€10.00m', 'clubID': '13'}, {'age': '25', 'date': '20/07/2014', 'clubName': 'Atlético de Madrid', 'value': '€10.00m', 'clubID': '13'}, {'age': '25', 'date': '12/02/2015', 'clubName': 'Southampton FC', 'value': '€11.00m', 'clubID': '180'}, {'age': '26', 'date': '01/07/2015', 'clubName': 'Atlético de Madrid', 'value': '€15.00m', 'clubID': '13'}, {'age': '26', 'date': '09/02/2016', 'clubName': 'Tottenham Hotspur', 'value': '€22.00m', 'clubID': '148'}, {'age': '27', 'date': '01/06/2016', 'clubName': 'Tottenham Hotspur', 'value': '€27.00m', 'clubID': '148'}, {'age': '27', 'date': '01/08/2016', 'clubName': 'Tottenham Hotspur', 'value': '€27.00m', 'clubID': '148'}, {'age': '27', 'date': '20/02/2017', 'clubName': 'Tottenham Hotspur', 'value': '€30.00m', 'clubID': '148'}, {'age': '28', 'date': '28/06/2017', 'clubName': 'Tottenham Hotspur', 'value': '€35.00m', 'clubID': '148'}, {'age': '28', 'date': '02/01/2018', 'clubName': 'Tottenham Hotspur', 'value': '€35.00m', 'clubID': '148'}, {'age': '29', 'date': '23/03/2018', 'clubName': 'Tottenham Hotspur', 'value': '€40.00m', 'clubID': '148'}, {'age': '29', 'date': '28/05/2018', 'clubName': 'Tottenham Hotspur', 'value': '€40.00m', 'clubID': '148'}, {'age': '29', 'date': '19/12/2018', 'clubName': 'Tottenham Hotspur', 'value': '€40.00m', 'clubID': '148'}, {'age': '30', 'date': '13/06/2019', 'clubName': 'Tottenham Hotspur', 'value': '€40.00m', 'clubID': '148'}, {'age': '30', 'date': '10/12/2019', 'clubName': 'Tottenham Hotspur', 'value': '€35.00m', 'clubID': '148'}, {'age': '31', 'date': '09/03/2020', 'clubName': 'Tottenham Hotspur', 'value': '€30.00m', 'clubID': '148'}, {'age': '31', 'date': '08/04/2020', 'clubName': 'Tottenham Hotspur', 'value': '€24.00m', 'clubID': '148'}, {'age': '31', 'date': '13/10/2020', 'clubName': 'Tottenham Hotspur', 'value': '€20.00m', 'clubID': '148'}, {'age': '32', 'date': '18/03/2021', 'clubName': 'Tottenham Hotspur', 'value': '€15.00m', 'clubID': '148'}, {'age': '32', 'date': '26/05/2021', 'clubName': 'Tottenham Hotspur', 'value': '€11.00m', 'clubID': '148'}, {'age': '32', 'date': '13/08/2021', 'clubName': 'Al-Duhail SC', 'value': '€10.00m', 'clubID': '26091'}, {'age': '32', 'date': '10/01/2022', 'clubName': 'Al-Duhail SC', 'value': '€8.00m', 'clubID': '26091'}, {'age': '33', 'date': '25/05/2022', 'clubName': 'Al-Duhail SC', 'value': '€7.00m', 'clubID': '26091'}, {'age': '33', 'date': '07/09/2022', 'clubName': 'Royal Antwerp FC', 'value': '€5.00m', 'clubID': '1096'}, {'age': '33', 'date': '04/11/2022', 'clubName': 'Royal Antwerp FC', 'value': '€4.00m', 'clubID': '1096'}, {'age': '34', 'date': '09/06/2023', 'clubName': 'Royal Antwerp FC', 'value': '€3.50m', 'clubID': '1096'}, {'age': '34', 'date': '19/12/2023', 'clubName': 'Royal Antwerp FC', 'value': '€3.00m', 'clubID': '1096'}, {'age': '35', 'date': '04/06/2024', 'clubName': 'Royal Antwerp FC', 'value': '€2.80m', 'clubID': '1096'}, {'age': '35', 'date': '11/12/2024', 'clubName': 'Royal Antwerp FC', 'value': '€2.20m', 'clubID': '1096'}, {'age': '36', 'date': '12/06/2025', 'clubName': 'Royal Antwerp FC', 'value': '€2.00m', 'clubID': '1096'}, {'age': '36', 'date': '01/07/2025', 'clubName': 'Retired', 'clubID': '123'}], 'updatedAt': datetime.datetime(2026, 4, 4, 21, 22, 58, 304877)}</t>
  </si>
  <si>
    <t>Belgium</t>
  </si>
  <si>
    <t>1989-08-09</t>
  </si>
  <si>
    <t>Onana</t>
  </si>
  <si>
    <t>{'id': '485706', 'marketValue': '€45.00m', 'marketValueHistory': [{'age': '18', 'date': '15/07/2020', 'clubName': 'Hamburger SV', 'value': '€400k', 'clubID': '41'}, {'age': '19', 'date': '18/11/2020', 'clubName': 'Hamburger SV', 'value': '€1.50m', 'clubID': '41'}, {'age': '19', 'date': '08/02/2021', 'clubName': 'Hamburger SV', 'value': '€1.50m', 'clubID': '41'}, {'age': '19', 'date': '16/06/2021', 'clubName': 'Hamburger SV', 'value': '€3.00m', 'clubID': '41'}, {'age': '20', 'date': '08/10/2021', 'clubName': 'LOSC Lille', 'value': '€6.00m', 'clubID': '1082'}, {'age': '20', 'date': '16/12/2021', 'clubName': 'LOSC Lille', 'value': '€8.00m', 'clubID': '1082'}, {'age': '20', 'date': '23/03/2022', 'clubName': 'LOSC Lille', 'value': '€10.00m', 'clubID': '1082'}, {'age': '20', 'date': '30/05/2022', 'clubName': 'LOSC Lille', 'value': '€10.00m', 'clubID': '1082'}, {'age': '21', 'date': '15/09/2022', 'clubName': 'Everton FC', 'value': '€30.00m', 'clubID': '29'}, {'age': '21', 'date': '03/11/2022', 'clubName': 'Everton FC', 'value': '€35.00m', 'clubID': '29'}, {'age': '21', 'date': '16/03/2023', 'clubName': 'Everton FC', 'value': '€42.00m', 'clubID': '29'}, {'age': '21', 'date': '20/06/2023', 'clubName': 'Everton FC', 'value': '€45.00m', 'clubID': '29'}, {'age': '22', 'date': '09/10/2023', 'clubName': 'Everton FC', 'value': '€50.00m', 'clubID': '29'}, {'age': '22', 'date': '19/12/2023', 'clubName': 'Everton FC', 'value': '€50.00m', 'clubID': '29'}, {'age': '22', 'date': '27/05/2024', 'clubName': 'Everton FC', 'value': '€50.00m', 'clubID': '29'}, {'age': '23', 'date': '01/10/2024', 'clubName': 'Aston Villa', 'value': '€55.00m', 'clubID': '405'}, {'age': '23', 'date': '16/12/2024', 'clubName': 'Aston Villa', 'value': '€55.00m', 'clubID': '405'}, {'age': '23', 'date': '30/05/2025', 'clubName': 'Aston Villa', 'value': '€50.00m', 'clubID': '405'}, {'age': '24', 'date': '17/10/2025', 'clubName': 'Aston Villa', 'value': '€42.00m', 'clubID': '405'}, {'age': '24', 'date': '09/12/2025', 'clubName': 'Aston Villa', 'value': '€42.00m', 'clubID': '405'}, {'age': '24', 'date': '09/03/2026', 'clubName': 'Aston Villa', 'value': '€45.00m', 'clubID': '405'}], 'ranking': {'Worldwide': '126', 'Premier League': '65', 'Aston Villa': '2', 'Belgium': '2', 'Defensive Midfield': '11', 'Year 2001': '16'}, 'updatedAt': datetime.datetime(2026, 4, 4, 21, 23, 0, 121980)}</t>
  </si>
  <si>
    <t>2001-08-10</t>
  </si>
  <si>
    <t>Salah</t>
  </si>
  <si>
    <t>{'id': '148455', 'marketValue': '€30.00m', 'marketValueHistory': [{'age': '17', 'date': '06/06/2010', 'clubName': 'El Mokawloon SC', 'value': '€25k', 'clubID': '3369'}, {'age': '18', 'date': '01/01/2011', 'clubName': 'El Mokawloon SC', 'value': '€25k', 'clubID': '3369'}, {'age': '18', 'date': '09/05/2011', 'clubName': 'El Mokawloon SC', 'value': '€50k', 'clubID': '3369'}, {'age': '19', 'date': '14/07/2011', 'clubName': 'El Mokawloon SC', 'value': '€150k', 'clubID': '3369'}, {'age': '19', 'date': '25/12/2011', 'clubName': 'El Mokawloon SC', 'value': '€300k', 'clubID': '3369'}, {'age': '19', 'date': '27/05/2012', 'clubName': 'El Mokawloon SC', 'value': '€1.50m', 'clubID': '3369'}, {'age': '20', 'date': '12/07/2012', 'clubName': 'FC Basel 1893', 'value': '€2.50m', 'clubID': '26'}, {'age': '20', 'date': '05/09/2012', 'clubName': 'FC Basel 1893', 'value': '€4.00m', 'clubID': '26'}, {'age': '20', 'date': '14/04/2013', 'clubName': 'FC Basel 1893', 'value': '€5.00m', 'clubID': '26'}, {'age': '21', 'date': '17/06/2013', 'clubName': 'FC Basel 1893', 'value': '€6.50m', 'clubID': '26'}, {'age': '21', 'date': '26/11/2013', 'clubName': 'FC Basel 1893', 'value': '€8.50m', 'clubID': '26'}, {'age': '21', 'date': '05/02/2014', 'clubName': 'Chelsea FC', 'value': '€13.00m', 'clubID': '631'}, {'age': '22', 'date': '12/08/2014', 'clubName': 'Chelsea FC', 'value': '€13.00m', 'clubID': '631'}, {'age': '22', 'date': '12/02/2015', 'clubName': 'ACF Fiorentina', 'value': '€10.00m', 'clubID': '430'}, {'age': '22', 'date': '20/03/2015', 'clubName': 'ACF Fiorentina', 'value': '€12.00m', 'clubID': '430'}, {'age': '23', 'date': '01/07/2015', 'clubName': 'Chelsea FC', 'value': '€18.00m', 'clubID': '631'}, {'age': '23', 'date': '05/11/2015', 'clubName': 'AS Roma', 'value': '€20.00m', 'clubID': '12'}, {'age': '23', 'date': '04/01/2016', 'clubName': 'AS Roma', 'value': '€20.00m', 'clubID': '12'}, {'age': '23', 'date': '01/04/2016', 'clubName': 'AS Roma', 'value': '€23.00m', 'clubID': '12'}, {'age': '24', 'date': '15/07/2016', 'clubName': 'AS Roma', 'value': '€27.00m', 'clubID': '12'}, {'age': '24', 'date': '02/01/2017', 'clubName': 'AS Roma', 'value': '€30.00m', 'clubID': '12'}, {'age': '24', 'date': '08/06/2017', 'clubName': 'AS Roma', 'value': '€35.00m', 'clubID': '12'}, {'age': '25', 'date': '23/10/2017', 'clubName': 'Liverpool FC', 'value': '€40.00m', 'clubID': '31'}, {'age': '25', 'date': '02/01/2018', 'clubName': 'Liverpool FC', 'value': '€80.00m', 'clubID': '31'}, {'age': '25', 'date': '28/05/2018', 'clubName': 'Liverpool FC', 'value': '€150.00m', 'clubID': '31'}, {'age': '26', 'date': '19/12/2018', 'clubName': 'Liverpool FC', 'value': '€150.00m', 'clubID': '31'}, {'age': '26', 'date': '13/06/2019', 'clubName': 'Liverpool FC', 'value': '€150.00m', 'clubID': '31'}, {'age': '27', 'date': '10/12/2019', 'clubName': 'Liverpool FC', 'value': '€150.00m', 'clubID': '31'}, {'age': '27', 'date': '08/04/2020', 'clubName': 'Liverpool FC', 'value': '€120.00m', 'clubID': '31'}, {'age': '28', 'date': '13/10/2020', 'clubName': 'Liverpool FC', 'value': '€120.00m', 'clubID': '31'}, {'age': '28', 'date': '18/03/2021', 'clubName': 'Liverpool FC', 'value': '€110.00m', 'clubID': '31'}, {'age': '28', 'date': '08/06/2021', 'clubName': 'Liverpool FC', 'value': '€100.00m', 'clubID': '31'}, {'age': '29', 'date': '23/12/2021', 'clubName': 'Liverpool FC', 'value': '€100.00m', 'clubID': '31'}, {'age': '30', 'date': '15/06/2022', 'clubName': 'Liverpool FC', 'value': '€90.00m', 'clubID': '31'}, {'age': '30', 'date': '03/11/2022', 'clubName': 'Liverpool FC', 'value': '€80.00m', 'clubID': '31'}, {'age': '30', 'date': '16/03/2023', 'clubName': 'Liverpool FC', 'value': '€70.00m', 'clubID': '31'}, {'age': '31', 'date': '20/06/2023', 'clubName': 'Liverpool FC', 'value': '€65.00m', 'clubID': '31'}, {'age': '31', 'date': '19/12/2023', 'clubName': 'Liverpool FC', 'value': '€65.00m', 'clubID': '31'}, {'age': '31', 'date': '27/05/2024', 'clubName': 'Liverpool FC', 'value': '€55.00m', 'clubID': '31'}, {'age': '32', 'date': '16/12/2024', 'clubName': 'Liverpool FC', 'value': '€55.00m', 'clubID': '31'}, {'age': '32', 'date': '30/05/2025', 'clubName': 'Liverpool FC', 'value': '€50.00m', 'clubID': '31'}, {'age': '33', 'date': '17/10/2025', 'clubName': 'Liverpool FC', 'value': '€45.00m', 'clubID': '31'}, {'age': '33', 'date': '09/12/2025', 'clubName': 'Liverpool FC', 'value': '€30.00m', 'clubID': '31'}], 'ranking': {'Worldwide': '282', 'Premier League': '134', 'Liverpool': '12', 'Egypt': '2', 'Right Winger': '34', 'Year 1992': '1'}, 'updatedAt': datetime.datetime(2026, 4, 4, 21, 23, 1, 712722)}</t>
  </si>
  <si>
    <t>Egypt</t>
  </si>
  <si>
    <t>1993-01-01</t>
  </si>
  <si>
    <t>Sergio Busquets</t>
  </si>
  <si>
    <t>Barcelona</t>
  </si>
  <si>
    <t>Midfielder</t>
  </si>
  <si>
    <t>{'id': '65230', 'marketValueHistory': [{'age': '20', 'date': '15/08/2008', 'clubName': 'FC Barcelona', 'value': '€300k', 'clubID': '131'}, {'age': '20', 'date': '15/10/2008', 'clubName': 'FC Barcelona', 'value': '€3.00m', 'clubID': '131'}, {'age': '20', 'date': '26/01/2009', 'clubName': 'FC Barcelona', 'value': '€5.00m', 'clubID': '131'}, {'age': '21', 'date': '22/07/2009', 'clubName': 'FC Barcelona', 'value': '€8.00m', 'clubID': '131'}, {'age': '21', 'date': '03/12/2009', 'clubName': 'FC Barcelona', 'value': '€14.00m', 'clubID': '131'}, {'age': '21', 'date': '07/01/2010', 'clubName': 'FC Barcelona', 'value': '€18.00m', 'clubID': '131'}, {'age': '21', 'date': '12/04/2010', 'clubName': 'FC Barcelona', 'value': '€20.00m', 'clubID': '131'}, {'age': '22', 'date': '27/08/2010', 'clubName': 'FC Barcelona', 'value': '€25.00m', 'clubID': '131'}, {'age': '22', 'date': '10/12/2010', 'clubName': 'FC Barcelona', 'value': '€30.00m', 'clubID': '131'}, {'age': '22', 'date': '04/02/2011', 'clubName': 'FC Barcelona', 'value': '€30.00m', 'clubID': '131'}, {'age': '23', 'date': '08/08/2011', 'clubName': 'FC Barcelona', 'value': '€35.00m', 'clubID': '131'}, {'age': '23', 'date': '03/02/2012', 'clubName': 'FC Barcelona', 'value': '€35.00m', 'clubID': '131'}, {'age': '24', 'date': '07/08/2012', 'clubName': 'FC Barcelona', 'value': '€42.00m', 'clubID': '131'}, {'age': '24', 'date': '10/01/2013', 'clubName': 'FC Barcelona', 'value': '€42.00m', 'clubID': '131'}, {'age': '24', 'date': '22/06/2013', 'clubName': 'FC Barcelona', 'value': '€45.00m', 'clubID': '131'}, {'age': '25', 'date': '23/01/2014', 'clubName': 'FC Barcelona', 'value': '€45.00m', 'clubID': '131'}, {'age': '26', 'date': '20/07/2014', 'clubName': 'FC Barcelona', 'value': '€40.00m', 'clubID': '131'}, {'age': '26', 'date': '23/01/2015', 'clubName': 'FC Barcelona', 'value': '€35.00m', 'clubID': '131'}, {'age': '26', 'date': '01/07/2015', 'clubName': 'FC Barcelona', 'value': '€45.00m', 'clubID': '131'}, {'age': '27', 'date': '22/11/2015', 'clubName': 'FC Barcelona', 'value': '€50.00m', 'clubID': '131'}, {'age': '27', 'date': '22/02/2016', 'clubName': 'FC Barcelona', 'value': '€50.00m', 'clubID': '131'}, {'age': '27', 'date': '01/06/2016', 'clubName': 'FC Barcelona', 'value': '€60.00m', 'clubID': '131'}, {'age': '27', 'date': '15/07/2016', 'clubName': 'FC Barcelona', 'value': '€60.00m', 'clubID': '131'}, {'age': '28', 'date': '24/01/2017', 'clubName': 'FC Barcelona', 'value': '€60.00m', 'clubID': '131'}, {'age': '28', 'date': '05/06/2017', 'clubName': 'FC Barcelona', 'value': '€60.00m', 'clubID': '131'}, {'age': '29', 'date': '01/01/2018', 'clubName': 'FC Barcelona', 'value': '€80.00m', 'clubID': '131'}, {'age': '29', 'date': '30/05/2018', 'clubName': 'FC Barcelona', 'value': '€80.00m', 'clubID': '131'}, {'age': '30', 'date': '21/12/2018', 'clubName': 'FC Barcelona', 'value': '€75.00m', 'clubID': '131'}, {'age': '30', 'date': '11/06/2019', 'clubName': 'FC Barcelona', 'value': '€50.00m', 'clubID': '131'}, {'age': '31', 'date': '20/12/2019', 'clubName': 'FC Barcelona', 'value': '€35.00m', 'clubID': '131'}, {'age': '31', 'date': '08/04/2020', 'clubName': 'FC Barcelona', 'value': '€28.00m', 'clubID': '131'}, {'age': '32', 'date': '08/10/2020', 'clubName': 'FC Barcelona', 'value': '€15.00m', 'clubID': '131'}, {'age': '32', 'date': '05/01/2021', 'clubName': 'FC Barcelona', 'value': '€10.00m', 'clubID': '131'}, {'age': '32', 'date': '31/05/2021', 'clubName': 'FC Barcelona', 'value': '€9.00m', 'clubID': '131'}, {'age': '33', 'date': '30/12/2021', 'clubName': 'FC Barcelona', 'value': '€9.00m', 'clubID': '131'}, {'age': '33', 'date': '03/06/2022', 'clubName': 'FC Barcelona', 'value': '€9.00m', 'clubID': '131'}, {'age': '34', 'date': '07/11/2022', 'clubName': 'FC Barcelona', 'value': '€5.00m', 'clubID': '131'}, {'age': '34', 'date': '13/06/2023', 'clubName': 'FC Barcelona', 'value': '€5.00m', 'clubID': '131'}, {'age': '35', 'date': '22/08/2023', 'clubName': 'Inter Miami CF', 'value': '€3.50m', 'clubID': '69261'}, {'age': '35', 'date': '18/12/2023', 'clubName': 'Inter Miami CF', 'value': '€3.00m', 'clubID': '69261'}, {'age': '35', 'date': '25/03/2024', 'clubName': 'Inter Miami CF', 'value': '€2.50m', 'clubID': '69261'}, {'age': '35', 'date': '13/06/2024', 'clubName': 'Inter Miami CF', 'value': '€2.00m', 'clubID': '69261'}, {'age': '36', 'date': '12/12/2024', 'clubName': 'Inter Miami CF', 'value': '€1.80m', 'clubID': '69261'}, {'age': '36', 'date': '17/04/2025', 'clubName': 'Inter Miami CF', 'value': '€1.50m', 'clubID': '69261'}, {'age': '36', 'date': '05/06/2025', 'clubName': 'Inter Miami CF', 'value': '€1.50m', 'clubID': '69261'}, {'age': '37', 'date': '11/12/2025', 'clubName': 'Inter Miami CF', 'value': '€1.00m', 'clubID': '69261'}, {'age': '37', 'date': '01/01/2026', 'clubName': 'Retired', 'clubID': '123'}], 'updatedAt': datetime.datetime(2026, 4, 4, 21, 23, 3, 429831)}</t>
  </si>
  <si>
    <t>Spain</t>
  </si>
  <si>
    <t>1988-10-12</t>
  </si>
  <si>
    <t>Rakitic</t>
  </si>
  <si>
    <t>{'id': '32467', 'marketValueHistory': [{'age': '17', 'date': '21/08/2005', 'clubName': 'FC Basel 1893', 'value': '€150k', 'clubID': '26'}, {'age': '17', 'date': '30/12/2005', 'clubName': 'FC Basel 1893', 'value': '€250k', 'clubID': '26'}, {'age': '18', 'date': '16/10/2006', 'clubName': 'FC Basel 1893', 'value': '€500k', 'clubID': '26'}, {'age': '19', 'date': '25/05/2007', 'clubName': 'FC Basel 1893', 'value': '€1.00m', 'clubID': '26'}, {'age': '19', 'date': '22/06/2007', 'clubName': 'FC Basel 1893', 'value': '€5.00m', 'clubID': '26'}, {'age': '19', 'date': '01/01/2008', 'clubName': 'FC Schalke 04', 'value': '€4.50m', 'clubID': '33'}, {'age': '20', 'date': '04/06/2008', 'clubName': 'FC Schalke 04', 'value': '€6.00m', 'clubID': '33'}, {'age': '20', 'date': '03/07/2008', 'clubName': 'FC Schalke 04', 'value': '€8.50m', 'clubID': '33'}, {'age': '20', 'date': '21/01/2009', 'clubName': 'FC Schalke 04', 'value': '€7.50m', 'clubID': '33'}, {'age': '22', 'date': '13/06/2010', 'clubName': 'FC Schalke 04', 'value': '€9.00m', 'clubID': '33'}, {'age': '22', 'date': '12/01/2011', 'clubName': 'FC Schalke 04', 'value': '€9.00m', 'clubID': '33'}, {'age': '23', 'date': '01/04/2011', 'clubName': 'Sevilla FC', 'value': '€10.00m', 'clubID': '368'}, {'age': '23', 'date': '29/07/2011', 'clubName': 'Sevilla FC', 'value': '€10.00m', 'clubID': '368'}, {'age': '23', 'date': '03/02/2012', 'clubName': 'Sevilla FC', 'value': '€9.00m', 'clubID': '368'}, {'age': '24', 'date': '07/08/2012', 'clubName': 'Sevilla FC', 'value': '€8.00m', 'clubID': '368'}, {'age': '24', 'date': '11/01/2013', 'clubName': 'Sevilla FC', 'value': '€10.00m', 'clubID': '368'}, {'age': '25', 'date': '12/06/2013', 'clubName': 'Sevilla FC', 'value': '€15.00m', 'clubID': '368'}, {'age': '25', 'date': '23/01/2014', 'clubName': 'Sevilla FC', 'value': '€20.00m', 'clubID': '368'}, {'age': '26', 'date': '20/07/2014', 'clubName': 'FC Barcelona', 'value': '€30.00m', 'clubID': '131'}, {'age': '26', 'date': '23/01/2015', 'clubName': 'FC Barcelona', 'value': '€30.00m', 'clubID': '131'}, {'age': '27', 'date': '01/07/2015', 'clubName': 'FC Barcelona', 'value': '€40.00m', 'clubID': '131'}, {'age': '27', 'date': '22/02/2016', 'clubName': 'FC Barcelona', 'value': '€45.00m', 'clubID': '131'}, {'age': '28', 'date': '01/06/2016', 'clubName': 'FC Barcelona', 'value': '€50.00m', 'clubID': '131'}, {'age': '28', 'date': '15/07/2016', 'clubName': 'FC Barcelona', 'value': '€50.00m', 'clubID': '131'}, {'age': '28', 'date': '24/01/2017', 'clubName': 'FC Barcelona', 'value': '€45.00m', 'clubID': '131'}, {'age': '29', 'date': '05/06/2017', 'clubName': 'FC Barcelona', 'value': '€45.00m', 'clubID': '131'}, {'age': '29', 'date': '01/01/2018', 'clubName': 'FC Barcelona', 'value': '€45.00m', 'clubID': '131'}, {'age': '30', 'date': '22/03/2018', 'clubName': 'FC Barcelona', 'value': '€50.00m', 'clubID': '131'}, {'age': '30', 'date': '30/05/2018', 'clubName': 'FC Barcelona', 'value': '€50.00m', 'clubID': '131'}, {'age': '30', 'date': '31/10/2018', 'clubName': 'FC Barcelona', 'value': '€70.00m', 'clubID': '131'}, {'age': '30', 'date': '21/12/2018', 'clubName': 'FC Barcelona', 'value': '€65.00m', 'clubID': '131'}, {'age': '30', 'date': '28/02/2019', 'clubName': 'FC Barcelona', 'value': '€50.00m', 'clubID': '131'}, {'age': '31', 'date': '11/06/2019', 'clubName': 'FC Barcelona', 'value': '€40.00m', 'clubID': '131'}, {'age': '31', 'date': '10/09/2019', 'clubName': 'FC Barcelona', 'value': '€35.00m', 'clubID': '131'}, {'age': '31', 'date': '20/12/2019', 'clubName': 'FC Barcelona', 'value': '€25.00m', 'clubID': '131'}, {'age': '32', 'date': '08/04/2020', 'clubName': 'FC Barcelona', 'value': '€20.00m', 'clubID': '131'}, {'age': '32', 'date': '08/10/2020', 'clubName': 'Sevilla FC', 'value': '€10.00m', 'clubID': '368'}, {'age': '32', 'date': '05/01/2021', 'clubName': 'Sevilla FC', 'value': '€10.00m', 'clubID': '368'}, {'age': '33', 'date': '10/06/2021', 'clubName': 'Sevilla FC', 'value': '€10.00m', 'clubID': '368'}, {'age': '33', 'date': '30/12/2021', 'clubName': 'Sevilla FC', 'value': '€7.00m', 'clubID': '368'}, {'age': '34', 'date': '03/06/2022', 'clubName': 'Sevilla FC', 'value': '€7.00m', 'clubID': '368'}, {'age': '34', 'date': '07/11/2022', 'clubName': 'Sevilla FC', 'value': '€4.00m', 'clubID': '368'}, {'age': '35', 'date': '13/06/2023', 'clubName': 'Sevilla FC', 'value': '€4.00m', 'clubID': '368'}, {'age': '35', 'date': '22/12/2023', 'clubName': 'Sevilla FC', 'value': '€4.00m', 'clubID': '368'}, {'age': '36', 'date': '04/06/2024', 'clubName': 'Al-Shabab FC', 'value': '€3.50m', 'clubID': '9840'}, {'age': '36', 'date': '23/12/2024', 'clubName': 'HNK Hajduk Split', 'value': '€2.50m', 'clubID': '447'}, {'age': '37', 'date': '31/03/2025', 'clubName': 'HNK Hajduk Split', 'value': '€2.00m', 'clubID': '447'}, {'age': '37', 'date': '09/06/2025', 'clubName': 'HNK Hajduk Split', 'value': '€1.50m', 'clubID': '447'}, {'age': '37', 'date': '02/07/2025', 'clubName': 'HNK Hajduk Split', 'clubID': '447'}], 'updatedAt': datetime.datetime(2026, 4, 4, 21, 23, 5, 80957)}</t>
  </si>
  <si>
    <t>Switzerland</t>
  </si>
  <si>
    <t>1988-03-07</t>
  </si>
  <si>
    <t>Robertson</t>
  </si>
  <si>
    <t>{'id': '234803', 'marketValue': '€10.00m', 'marketValueHistory': [{'age': '19', 'date': '08/10/2013', 'clubName': 'Dundee United FC', 'value': '€75k', 'clubID': '1519'}, {'age': '19', 'date': '13/02/2014', 'clubName': 'Dundee United FC', 'value': '€600k', 'clubID': '1519'}, {'age': '20', 'date': '12/08/2014', 'clubName': 'Hull City', 'value': '€3.50m', 'clubID': '3008'}, {'age': '20', 'date': '12/02/2015', 'clubName': 'Hull City', 'value': '€5.00m', 'clubID': '3008'}, {'age': '21', 'date': '24/09/2015', 'clubName': 'Hull City', 'value': '€5.00m', 'clubID': '3008'}, {'age': '22', 'date': '20/04/2016', 'clubName': 'Hull City', 'value': '€6.00m', 'clubID': '3008'}, {'age': '22', 'date': '01/08/2016', 'clubName': 'Hull City', 'value': '€7.00m', 'clubID': '3008'}, {'age': '22', 'date': '20/02/2017', 'clubName': 'Hull City', 'value': '€7.00m', 'clubID': '3008'}, {'age': '23', 'date': '28/06/2017', 'clubName': 'Hull City', 'value': '€7.00m', 'clubID': '3008'}, {'age': '23', 'date': '02/01/2018', 'clubName': 'Liverpool FC', 'value': '€10.00m', 'clubID': '31'}, {'age': '24', 'date': '28/05/2018', 'clubName': 'Liverpool FC', 'value': '€25.00m', 'clubID': '31'}, {'age': '24', 'date': '17/10/2018', 'clubName': 'Liverpool FC', 'value': '€35.00m', 'clubID': '31'}, {'age': '24', 'date': '19/12/2018', 'clubName': 'Liverpool FC', 'value': '€45.00m', 'clubID': '31'}, {'age': '24', 'date': '05/03/2019', 'clubName': 'Liverpool FC', 'value': '€50.00m', 'clubID': '31'}, {'age': '25', 'date': '13/06/2019', 'clubName': 'Liverpool FC', 'value': '€60.00m', 'clubID': '31'}, {'age': '25', 'date': '10/12/2019', 'clubName': 'Liverpool FC', 'value': '€80.00m', 'clubID': '31'}, {'age': '26', 'date': '08/04/2020', 'clubName': 'Liverpool FC', 'value': '€64.00m', 'clubID': '31'}, {'age': '26', 'date': '13/10/2020', 'clubName': 'Liverpool FC', 'value': '€75.00m', 'clubID': '31'}, {'age': '27', 'date': '18/03/2021', 'clubName': 'Liverpool FC', 'value': '€70.00m', 'clubID': '31'}, {'age': '27', 'date': '28/05/2021', 'clubName': 'Liverpool FC', 'value': '€65.00m', 'clubID': '31'}, {'age': '27', 'date': '23/12/2021', 'clubName': 'Liverpool FC', 'value': '€65.00m', 'clubID': '31'}, {'age': '28', 'date': '15/06/2022', 'clubName': 'Liverpool FC', 'value': '€65.00m', 'clubID': '31'}, {'age': '28', 'date': '03/11/2022', 'clubName': 'Liverpool FC', 'value': '€55.00m', 'clubID': '31'}, {'age': '29', 'date': '16/03/2023', 'clubName': 'Liverpool FC', 'value': '€48.00m', 'clubID': '31'}, {'age': '29', 'date': '20/06/2023', 'clubName': 'Liverpool FC', 'value': '€40.00m', 'clubID': '31'}, {'age': '29', 'date': '19/12/2023', 'clubName': 'Liverpool FC', 'value': '€35.00m', 'clubID': '31'}, {'age': '30', 'date': '27/05/2024', 'clubName': 'Liverpool FC', 'value': '€30.00m', 'clubID': '31'}, {'age': '30', 'date': '16/12/2024', 'clubName': 'Liverpool FC', 'value': '€25.00m', 'clubID': '31'}, {'age': '31', 'date': '18/03/2025', 'clubName': 'Liverpool FC', 'value': '€20.00m', 'clubID': '31'}, {'age': '31', 'date': '30/05/2025', 'clubName': 'Liverpool FC', 'value': '€18.00m', 'clubID': '31'}, {'age': '31', 'date': '17/10/2025', 'clubName': 'Liverpool FC', 'value': '€15.00m', 'clubID': '31'}, {'age': '31', 'date': '09/12/2025', 'clubName': 'Liverpool FC', 'value': '€12.00m', 'clubID': '31'}, {'age': '31', 'date': '09/03/2026', 'clubName': 'Liverpool FC', 'value': '€10.00m', 'clubID': '31'}], 'ranking': {'Worldwide': '1.177', 'Premier League': '364', 'Liverpool': '21', 'Scotland': '7', 'Left-Back': '70', 'Year 1994': '16'}, 'updatedAt': datetime.datetime(2026, 4, 4, 21, 23, 7, 287367)}</t>
  </si>
  <si>
    <t>United Kingdom</t>
  </si>
  <si>
    <t>1994-03-11</t>
  </si>
  <si>
    <t>Eriksen</t>
  </si>
  <si>
    <t>{'id': '69633', 'marketValue': '€3.00m', 'marketValueHistory': [{'age': '17', 'date': '21/01/2010', 'clubName': 'Ajax Amsterdam', 'value': '€200k', 'clubID': '610'}, {'age': '18', 'date': '24/02/2010', 'clubName': 'Ajax Amsterdam', 'value': '€500k', 'clubID': '610'}, {'age': '18', 'date': '11/04/2010', 'clubName': 'Ajax Amsterdam', 'value': '€2.00m', 'clubID': '610'}, {'age': '18', 'date': '01/08/2010', 'clubName': 'Ajax Amsterdam', 'value': '€3.00m', 'clubID': '610'}, {'age': '18', 'date': '17/01/2011', 'clubName': 'Ajax Amsterdam', 'value': '€3.50m', 'clubID': '610'}, {'age': '19', 'date': '28/02/2011', 'clubName': 'Ajax Amsterdam', 'value': '€5.00m', 'clubID': '610'}, {'age': '19', 'date': '15/06/2011', 'clubName': 'Ajax Amsterdam', 'value': '€7.00m', 'clubID': '610'}, {'age': '19', 'date': '03/09/2011', 'clubName': 'Ajax Amsterdam', 'value': '€9.00m', 'clubID': '610'}, {'age': '19', 'date': '05/01/2012', 'clubName': 'Ajax Amsterdam', 'value': '€13.00m', 'clubID': '610'}, {'age': '20', 'date': '30/06/2012', 'clubName': 'Ajax Amsterdam', 'value': '€16.00m', 'clubID': '610'}, {'age': '21', 'date': '28/05/2013', 'clubName': 'Ajax Amsterdam', 'value': '€18.00m', 'clubID': '610'}, {'age': '21', 'date': '15/01/2014', 'clubName': 'Tottenham Hotspur', 'value': '€18.00m', 'clubID': '148'}, {'age': '22', 'date': '12/08/2014', 'clubName': 'Tottenham Hotspur', 'value': '€20.00m', 'clubID': '148'}, {'age': '22', 'date': '12/02/2015', 'clubName': 'Tottenham Hotspur', 'value': '€27.00m', 'clubID': '148'}, {'age': '23', 'date': '01/07/2015', 'clubName': 'Tottenham Hotspur', 'value': '€27.00m', 'clubID': '148'}, {'age': '23', 'date': '09/02/2016', 'clubName': 'Tottenham Hotspur', 'value': '€29.00m', 'clubID': '148'}, {'age': '24', 'date': '01/08/2016', 'clubName': 'Tottenham Hotspur', 'value': '€31.00m', 'clubID': '148'}, {'age': '25', 'date': '20/02/2017', 'clubName': 'Tottenham Hotspur', 'value': '€35.00m', 'clubID': '148'}, {'age': '25', 'date': '28/06/2017', 'clubName': 'Tottenham Hotspur', 'value': '€40.00m', 'clubID': '148'}, {'age': '25', 'date': '23/10/2017', 'clubName': 'Tottenham Hotspur', 'value': '€50.00m', 'clubID': '148'}, {'age': '25', 'date': '02/01/2018', 'clubName': 'Tottenham Hotspur', 'value': '€70.00m', 'clubID': '148'}, {'age': '26', 'date': '28/05/2018', 'clubName': 'Tottenham Hotspur', 'value': '€80.00m', 'clubID': '148'}, {'age': '26', 'date': '19/12/2018', 'clubName': 'Tottenham Hotspur', 'value': '€80.00m', 'clubID': '148'}, {'age': '27', 'date': '05/03/2019', 'clubName': 'Tottenham Hotspur', 'value': '€85.00m', 'clubID': '148'}, {'age': '27', 'date': '13/06/2019', 'clubName': 'Tottenham Hotspur', 'value': '€100.00m', 'clubID': '148'}, {'age': '27', 'date': '10/12/2019', 'clubName': 'Tottenham Hotspur', 'value': '€90.00m', 'clubID': '148'}, {'age': '28', 'date': '03/03/2020', 'clubName': 'Inter Milan', 'value': '€85.00m', 'clubID': '46'}, {'age': '28', 'date': '08/04/2020', 'clubName': 'Inter Milan', 'value': '€68.00m', 'clubID': '46'}, {'age': '28', 'date': '25/08/2020', 'clubName': 'Inter Milan', 'value': '€60.00m', 'clubID': '46'}, {'age': '28', 'date': '29/10/2020', 'clubName': 'Inter Milan', 'value': '€50.00m', 'clubID': '46'}, {'age': '28', 'date': '29/12/2020', 'clubName': 'Inter Milan', 'value': '€35.00m', 'clubID': '46'}, {'age': '29', 'date': '26/05/2021', 'clubName': 'Inter Milan', 'value': '€40.00m', 'clubID': '46'}, {'age': '29', 'date': '15/12/2021', 'clubName': 'Inter Milan', 'value': '€15.00m', 'clubID': '46'}, {'age': '30', 'date': '15/06/2022', 'clubName': 'Brentford FC', 'value': '€20.00m', 'clubID': '1148'}, {'age': '30', 'date': '15/09/2022', 'clubName': 'Manchester United', 'value': '€22.00m', 'clubID': '985'}, {'age': '30', 'date': '03/11/2022', 'clubName': 'Manchester United', 'value': '€25.00m', 'clubID': '985'}, {'age': '31', 'date': '20/06/2023', 'clubName': 'Manchester United', 'value': '€22.00m', 'clubID': '985'}, {'age': '31', 'date': '09/10/2023', 'clubName': 'Manchester United', 'value': '€18.00m', 'clubID': '985'}, {'age': '31', 'date': '19/12/2023', 'clubName': 'Manchester United', 'value': '€13.00m', 'clubID': '985'}, {'age': '32', 'date': '14/03/2024', 'clubName': 'Manchester United', 'value': '€10.00m', 'clubID': '985'}, {'age': '32', 'date': '27/05/2024', 'clubName': 'Manchester United', 'value': '€8.00m', 'clubID': '985'}, {'age': '32', 'date': '16/12/2024', 'clubName': 'Manchester United', 'value': '€6.00m', 'clubID': '985'}, {'age': '33', 'date': '30/05/2025', 'clubName': 'Manchester United', 'value': '€4.00m', 'clubID': '985'}, {'age': '33', 'date': '19/12/2025', 'clubName': 'VfL Wolfsburg', 'value': '€3.00m', 'clubID': '82'}], 'ranking': {'Worldwide': '3.413', 'Bundesliga': '306', 'Wolfsburg': '24', 'Denmark': '79', 'Attacking Midfield': '314', 'Year 1992': '44'}, 'updatedAt': datetime.datetime(2026, 4, 4, 21, 23, 8, 965186)}</t>
  </si>
  <si>
    <t>Kingdom of Denmark</t>
  </si>
  <si>
    <t>1992-02-14</t>
  </si>
  <si>
    <t>Lenglet</t>
  </si>
  <si>
    <t>{'id': '182904', 'marketValue': '€5.00m', 'marketValueHistory': [{'age': '18', 'date': '26/09/2013', 'clubName': 'AS Nancy-Lorraine B', 'value': '€150k', 'clubID': '10840'}, {'age': '18', 'date': '13/01/2014', 'clubName': 'AS Nancy-Lorraine B', 'value': '€150k', 'clubID': '10840'}, {'age': '19', 'date': '20/11/2014', 'clubName': 'AS Nancy-Lorraine', 'value': '€300k', 'clubID': '1159'}, {'age': '19', 'date': '06/06/2015', 'clubName': 'AS Nancy-Lorraine', 'value': '€1.50m', 'clubID': '1159'}, {'age': '20', 'date': '04/02/2016', 'clubName': 'AS Nancy-Lorraine', 'value': '€2.50m', 'clubID': '1159'}, {'age': '21', 'date': '13/07/2016', 'clubName': 'AS Nancy-Lorraine', 'value': '€2.50m', 'clubID': '1159'}, {'age': '21', 'date': '24/01/2017', 'clubName': 'Sevilla FC', 'value': '€5.00m', 'clubID': '368'}, {'age': '21', 'date': '05/06/2017', 'clubName': 'Sevilla FC', 'value': '€7.50m', 'clubID': '368'}, {'age': '22', 'date': '01/01/2018', 'clubName': 'Sevilla FC', 'value': '€15.00m', 'clubID': '368'}, {'age': '22', 'date': '22/03/2018', 'clubName': 'Sevilla FC', 'value': '€20.00m', 'clubID': '368'}, {'age': '22', 'date': '30/05/2018', 'clubName': 'Sevilla FC', 'value': '€25.00m', 'clubID': '368'}, {'age': '23', 'date': '12/07/2018', 'clubName': 'FC Barcelona', 'value': '€36.00m', 'clubID': '131'}, {'age': '23', 'date': '31/10/2018', 'clubName': 'FC Barcelona', 'value': '€40.00m', 'clubID': '131'}, {'age': '23', 'date': '21/12/2018', 'clubName': 'FC Barcelona', 'value': '€40.00m', 'clubID': '131'}, {'age': '23', 'date': '28/02/2019', 'clubName': 'FC Barcelona', 'value': '€50.00m', 'clubID': '131'}, {'age': '23', 'date': '11/06/2019', 'clubName': 'FC Barcelona', 'value': '€60.00m', 'clubID': '131'}, {'age': '24', 'date': '20/12/2019', 'clubName': 'FC Barcelona', 'value': '€60.00m', 'clubID': '131'}, {'age': '24', 'date': '08/04/2020', 'clubName': 'FC Barcelona', 'value': '€48.00m', 'clubID': '131'}, {'age': '25', 'date': '08/10/2020', 'clubName': 'FC Barcelona', 'value': '€50.00m', 'clubID': '131'}, {'age': '25', 'date': '05/01/2021', 'clubName': 'FC Barcelona', 'value': '€40.00m', 'clubID': '131'}, {'age': '25', 'date': '19/03/2021', 'clubName': 'FC Barcelona', 'value': '€25.00m', 'clubID': '131'}, {'age': '25', 'date': '01/06/2021', 'clubName': 'FC Barcelona', 'value': '€25.00m', 'clubID': '131'}, {'age': '26', 'date': '13/10/2021', 'clubName': 'FC Barcelona', 'value': '€18.00m', 'clubID': '131'}, {'age': '26', 'date': '30/12/2021', 'clubName': 'FC Barcelona', 'value': '€14.00m', 'clubID': '131'}, {'age': '26', 'date': '03/06/2022', 'clubName': 'FC Barcelona', 'value': '€12.00m', 'clubID': '131'}, {'age': '27', 'date': '03/11/2022', 'clubName': 'Tottenham Hotspur', 'value': '€12.00m', 'clubID': '148'}, {'age': '28', 'date': '20/06/2023', 'clubName': 'Tottenham Hotspur', 'value': '€10.00m', 'clubID': '148'}, {'age': '28', 'date': '19/12/2023', 'clubName': 'Aston Villa', 'value': '€8.00m', 'clubID': '405'}, {'age': '28', 'date': '14/03/2024', 'clubName': 'Aston Villa', 'value': '€10.00m', 'clubID': '405'}, {'age': '28', 'date': '27/05/2024', 'clubName': 'Aston Villa', 'value': '€10.00m', 'clubID': '405'}, {'age': '29', 'date': '11/10/2024', 'clubName': 'Atlético de Madrid', 'value': '€5.00m', 'clubID': '13'}, {'age': '29', 'date': '27/12/2024', 'clubName': 'Atlético de Madrid', 'value': '€7.50m', 'clubID': '13'}, {'age': '29', 'date': '09/06/2025', 'clubName': 'Atlético de Madrid', 'value': '€7.50m', 'clubID': '13'}, {'age': '30', 'date': '12/12/2025', 'clubName': 'Atlético de Madrid', 'value': '€6.00m', 'clubID': '13'}, {'age': '30', 'date': '16/03/2026', 'clubName': 'Atlético de Madrid', 'value': '€5.00m', 'clubID': '13'}], 'ranking': {'Worldwide': '2.150', 'LaLiga': '204', 'Atlético': '22', 'France': '171', 'Centre-Back': '365', 'Year 1995': '67'}, 'updatedAt': datetime.datetime(2026, 4, 4, 21, 23, 10, 948555)}</t>
  </si>
  <si>
    <t>France</t>
  </si>
  <si>
    <t>1995-06-17</t>
  </si>
  <si>
    <t>De Ligt</t>
  </si>
  <si>
    <t>{'id': '326031', 'marketValue': '€40.00m', 'marketValueHistory': [{'age': '16', 'date': '01/07/2016', 'clubName': 'Ajax Amsterdam U21', 'value': '€100k', 'clubID': '610'}, {'age': '17', 'date': '18/01/2017', 'clubName': 'Ajax Amsterdam', 'value': '€1.00m', 'clubID': '610'}, {'age': '17', 'date': '07/06/2017', 'clubName': 'Ajax Amsterdam', 'value': '€5.00m', 'clubID': '610'}, {'age': '18', 'date': '17/01/2018', 'clubName': 'Ajax Amsterdam', 'value': '€16.00m', 'clubID': '610'}, {'age': '18', 'date': '27/03/2018', 'clubName': 'Ajax Amsterdam', 'value': '€25.00m', 'clubID': '610'}, {'age': '18', 'date': '12/06/2018', 'clubName': 'Ajax Amsterdam', 'value': '€40.00m', 'clubID': '610'}, {'age': '19', 'date': '04/10/2018', 'clubName': 'Ajax Amsterdam', 'value': '€50.00m', 'clubID': '610'}, {'age': '19', 'date': '28/12/2018', 'clubName': 'Ajax Amsterdam', 'value': '€65.00m', 'clubID': '610'}, {'age': '19', 'date': '13/03/2019', 'clubName': 'Ajax Amsterdam', 'value': '€70.00m', 'clubID': '610'}, {'age': '19', 'date': '12/06/2019', 'clubName': 'Ajax Amsterdam', 'value': '€75.00m', 'clubID': '610'}, {'age': '20', 'date': '12/12/2019', 'clubName': 'Juventus FC', 'value': '€75.00m', 'clubID': '506'}, {'age': '20', 'date': '08/04/2020', 'clubName': 'Juventus FC', 'value': '€67.50m', 'clubID': '506'}, {'age': '21', 'date': '25/08/2020', 'clubName': 'Juventus FC', 'value': '€70.00m', 'clubID': '506'}, {'age': '21', 'date': '29/12/2020', 'clubName': 'Juventus FC', 'value': '€75.00m', 'clubID': '506'}, {'age': '21', 'date': '27/05/2021', 'clubName': 'Juventus FC', 'value': '€75.00m', 'clubID': '506'}, {'age': '22', 'date': '14/10/2021', 'clubName': 'Juventus FC', 'value': '€70.00m', 'clubID': '506'}, {'age': '22', 'date': '28/12/2021', 'clubName': 'Juventus FC', 'value': '€65.00m', 'clubID': '506'}, {'age': '22', 'date': '15/03/2022', 'clubName': 'Juventus FC', 'value': '€70.00m', 'clubID': '506'}, {'age': '22', 'date': '07/06/2022', 'clubName': 'Juventus FC', 'value': '€70.00m', 'clubID': '506'}, {'age': '23', 'date': '09/11/2022', 'clubName': 'Bayern Munich', 'value': '€70.00m', 'clubID': '27'}, {'age': '23', 'date': '29/03/2023', 'clubName': 'Bayern Munich', 'value': '€75.00m', 'clubID': '27'}, {'age': '23', 'date': '22/06/2023', 'clubName': 'Bayern Munich', 'value': '€75.00m', 'clubID': '27'}, {'age': '24', 'date': '18/10/2023', 'clubName': 'Bayern Munich', 'value': '€70.00m', 'clubID': '27'}, {'age': '24', 'date': '14/12/2023', 'clubName': 'Bayern Munich', 'value': '€65.00m', 'clubID': '27'}, {'age': '24', 'date': '29/05/2024', 'clubName': 'Bayern Munich', 'value': '€65.00m', 'clubID': '27'}, {'age': '25', 'date': '01/10/2024', 'clubName': 'Manchester United', 'value': '€55.00m', 'clubID': '985'}, {'age': '25', 'date': '16/12/2024', 'clubName': 'Manchester United', 'value': '€45.00m', 'clubID': '985'}, {'age': '25', 'date': '18/03/2025', 'clubName': 'Manchester United', 'value': '€40.00m', 'clubID': '985'}, {'age': '25', 'date': '30/05/2025', 'clubName': 'Manchester United', 'value': '€38.00m', 'clubID': '985'}, {'age': '26', 'date': '09/12/2025', 'clubName': 'Manchester United', 'value': '€40.00m', 'clubID': '985'}], 'ranking': {'Worldwide': '150', 'Premier League': '74', 'Man Utd': '7', 'Netherlands': '8', 'Centre-Back': '27', 'Year 1999': '16'}, 'updatedAt': datetime.datetime(2026, 4, 4, 21, 23, 12, 785442)}</t>
  </si>
  <si>
    <t>1999-08-12</t>
  </si>
  <si>
    <t>Pique</t>
  </si>
  <si>
    <t>{'id': '18944', 'marketValueHistory': [{'age': '17', 'date': '04/10/2004', 'clubName': 'Manchester United', 'value': '€5.00m', 'clubID': '985'}, {'age': '18', 'date': '10/02/2005', 'clubName': 'Manchester United', 'value': '€2.30m', 'clubID': '985'}, {'age': '18', 'date': '18/10/2005', 'clubName': 'Manchester United', 'value': '€1.75m', 'clubID': '985'}, {'age': '20', 'date': '21/06/2007', 'clubName': 'Real Zaragoza', 'value': '€4.00m', 'clubID': '142'}, {'age': '21', 'date': '05/02/2008', 'clubName': 'Manchester United', 'value': '€5.50m', 'clubID': '985'}, {'age': '21', 'date': '10/07/2008', 'clubName': 'FC Barcelona', 'value': '€5.00m', 'clubID': '131'}, {'age': '21', 'date': '15/10/2008', 'clubName': 'FC Barcelona', 'value': '€7.00m', 'clubID': '131'}, {'age': '21', 'date': '26/01/2009', 'clubName': 'FC Barcelona', 'value': '€10.00m', 'clubID': '131'}, {'age': '22', 'date': '22/07/2009', 'clubName': 'FC Barcelona', 'value': '€15.00m', 'clubID': '131'}, {'age': '22', 'date': '03/12/2009', 'clubName': 'FC Barcelona', 'value': '€20.00m', 'clubID': '131'}, {'age': '23', 'date': '12/04/2010', 'clubName': 'FC Barcelona', 'value': '€25.00m', 'clubID': '131'}, {'age': '23', 'date': '27/08/2010', 'clubName': 'FC Barcelona', 'value': '€35.00m', 'clubID': '131'}, {'age': '24', 'date': '04/02/2011', 'clubName': 'FC Barcelona', 'value': '€35.00m', 'clubID': '131'}, {'age': '24', 'date': '20/07/2011', 'clubName': 'FC Barcelona', 'value': '€38.00m', 'clubID': '131'}, {'age': '25', 'date': '03/02/2012', 'clubName': 'FC Barcelona', 'value': '€38.00m', 'clubID': '131'}, {'age': '25', 'date': '07/08/2012', 'clubName': 'FC Barcelona', 'value': '€40.00m', 'clubID': '131'}, {'age': '25', 'date': '10/01/2013', 'clubName': 'FC Barcelona', 'value': '€40.00m', 'clubID': '131'}, {'age': '26', 'date': '07/03/2013', 'clubName': 'FC Barcelona', 'value': '€36.00m', 'clubID': '131'}, {'age': '26', 'date': '12/06/2013', 'clubName': 'FC Barcelona', 'value': '€36.00m', 'clubID': '131'}, {'age': '26', 'date': '23/01/2014', 'clubName': 'FC Barcelona', 'value': '€36.00m', 'clubID': '131'}, {'age': '27', 'date': '20/07/2014', 'clubName': 'FC Barcelona', 'value': '€35.00m', 'clubID': '131'}, {'age': '27', 'date': '23/01/2015', 'clubName': 'FC Barcelona', 'value': '€30.00m', 'clubID': '131'}, {'age': '28', 'date': '09/04/2015', 'clubName': 'FC Barcelona', 'value': '€35.00m', 'clubID': '131'}, {'age': '28', 'date': '01/07/2015', 'clubName': 'FC Barcelona', 'value': '€40.00m', 'clubID': '131'}, {'age': '29', 'date': '22/02/2016', 'clubName': 'FC Barcelona', 'value': '€40.00m', 'clubID': '131'}, {'age': '29', 'date': '01/06/2016', 'clubName': 'FC Barcelona', 'value': '€40.00m', 'clubID': '131'}, {'age': '29', 'date': '24/01/2017', 'clubName': 'FC Barcelona', 'value': '€40.00m', 'clubID': '131'}, {'age': '30', 'date': '05/06/2017', 'clubName': 'FC Barcelona', 'value': '€40.00m', 'clubID': '131'}, {'age': '30', 'date': '01/01/2018', 'clubName': 'FC Barcelona', 'value': '€40.00m', 'clubID': '131'}, {'age': '31', 'date': '22/03/2018', 'clubName': 'FC Barcelona', 'value': '€50.00m', 'clubID': '131'}, {'age': '31', 'date': '30/05/2018', 'clubName': 'FC Barcelona', 'value': '€50.00m', 'clubID': '131'}, {'age': '31', 'date': '31/10/2018', 'clubName': 'FC Barcelona', 'value': '€45.00m', 'clubID': '131'}, {'age': '31', 'date': '21/12/2018', 'clubName': 'FC Barcelona', 'value': '€40.00m', 'clubID': '131'}, {'age': '32', 'date': '11/06/2019', 'clubName': 'FC Barcelona', 'value': '€35.00m', 'clubID': '131'}, {'age': '32', 'date': '20/12/2019', 'clubName': 'FC Barcelona', 'value': '€25.00m', 'clubID': '131'}, {'age': '33', 'date': '08/04/2020', 'clubName': 'FC Barcelona', 'value': '€20.00m', 'clubID': '131'}, {'age': '33', 'date': '08/10/2020', 'clubName': 'FC Barcelona', 'value': '€15.00m', 'clubID': '131'}, {'age': '33', 'date': '05/01/2021', 'clubName': 'FC Barcelona', 'value': '€12.00m', 'clubID': '131'}, {'age': '34', 'date': '10/06/2021', 'clubName': 'FC Barcelona', 'value': '€10.00m', 'clubID': '131'}, {'age': '34', 'date': '13/10/2021', 'clubName': 'FC Barcelona', 'value': '€7.50m', 'clubID': '131'}, {'age': '34', 'date': '30/12/2021', 'clubName': 'FC Barcelona', 'value': '€5.00m', 'clubID': '131'}, {'age': '35', 'date': '03/06/2022', 'clubName': 'FC Barcelona', 'value': '€5.00m', 'clubID': '131'}, {'age': '35', 'date': '23/09/2022', 'clubName': 'FC Barcelona', 'value': '€3.00m', 'clubID': '131'}, {'age': '35', 'date': '07/11/2022', 'clubName': 'FC Barcelona', 'value': '€3.00m', 'clubID': '131'}, {'age': '35', 'date': '01/01/2023', 'clubName': 'Retired', 'clubID': '123'}], 'updatedAt': datetime.datetime(2026, 4, 4, 21, 23, 14, 579923)}</t>
  </si>
  <si>
    <t>1987-02-02</t>
  </si>
  <si>
    <t>Jordi Alba</t>
  </si>
  <si>
    <t>{'id': '69751', 'marketValueHistory': [{'age': '19', 'date': '25/07/2008', 'clubName': 'Gimnàstic de Tarragona', 'value': '€300k', 'clubID': '5648'}, {'age': '19', 'date': '08/01/2009', 'clubName': 'Gimnàstic de Tarragona', 'value': '€600k', 'clubID': '5648'}, {'age': '20', 'date': '22/07/2009', 'clubName': 'Valencia CF', 'value': '€2.00m', 'clubID': '1049'}, {'age': '20', 'date': '03/12/2009', 'clubName': 'Valencia CF', 'value': '€2.00m', 'clubID': '1049'}, {'age': '21', 'date': '12/04/2010', 'clubName': 'Valencia CF', 'value': '€3.00m', 'clubID': '1049'}, {'age': '21', 'date': '27/08/2010', 'clubName': 'Valencia CF', 'value': '€7.00m', 'clubID': '1049'}, {'age': '21', 'date': '04/02/2011', 'clubName': 'Valencia CF', 'value': '€6.00m', 'clubID': '1049'}, {'age': '22', 'date': '29/07/2011', 'clubName': 'Valencia CF', 'value': '€6.00m', 'clubID': '1049'}, {'age': '22', 'date': '03/02/2012', 'clubName': 'Valencia CF', 'value': '€10.00m', 'clubID': '1049'}, {'age': '23', 'date': '07/08/2012', 'clubName': 'FC Barcelona', 'value': '€20.00m', 'clubID': '131'}, {'age': '23', 'date': '10/01/2013', 'clubName': 'FC Barcelona', 'value': '€25.00m', 'clubID': '131'}, {'age': '24', 'date': '12/06/2013', 'clubName': 'FC Barcelona', 'value': '€25.00m', 'clubID': '131'}, {'age': '24', 'date': '23/01/2014', 'clubName': 'FC Barcelona', 'value': '€25.00m', 'clubID': '131'}, {'age': '25', 'date': '20/07/2014', 'clubName': 'FC Barcelona', 'value': '€25.00m', 'clubID': '131'}, {'age': '25', 'date': '23/01/2015', 'clubName': 'FC Barcelona', 'value': '€25.00m', 'clubID': '131'}, {'age': '26', 'date': '01/07/2015', 'clubName': 'FC Barcelona', 'value': '€35.00m', 'clubID': '131'}, {'age': '26', 'date': '22/02/2016', 'clubName': 'FC Barcelona', 'value': '€35.00m', 'clubID': '131'}, {'age': '27', 'date': '01/06/2016', 'clubName': 'FC Barcelona', 'value': '€35.00m', 'clubID': '131'}, {'age': '27', 'date': '15/07/2016', 'clubName': 'FC Barcelona', 'value': '€35.00m', 'clubID': '131'}, {'age': '27', 'date': '24/01/2017', 'clubName': 'FC Barcelona', 'value': '€32.00m', 'clubID': '131'}, {'age': '28', 'date': '05/06/2017', 'clubName': 'FC Barcelona', 'value': '€32.00m', 'clubID': '131'}, {'age': '28', 'date': '01/01/2018', 'clubName': 'FC Barcelona', 'value': '€40.00m', 'clubID': '131'}, {'age': '29', 'date': '22/03/2018', 'clubName': 'FC Barcelona', 'value': '€60.00m', 'clubID': '131'}, {'age': '29', 'date': '30/05/2018', 'clubName': 'FC Barcelona', 'value': '€60.00m', 'clubID': '131'}, {'age': '29', 'date': '31/10/2018', 'clubName': 'FC Barcelona', 'value': '€70.00m', 'clubID': '131'}, {'age': '29', 'date': '21/12/2018', 'clubName': 'FC Barcelona', 'value': '€70.00m', 'clubID': '131'}, {'age': '30', 'date': '11/06/2019', 'clubName': 'FC Barcelona', 'value': '€50.00m', 'clubID': '131'}, {'age': '30', 'date': '20/12/2019', 'clubName': 'FC Barcelona', 'value': '€50.00m', 'clubID': '131'}, {'age': '31', 'date': '08/04/2020', 'clubName': 'FC Barcelona', 'value': '€40.00m', 'clubID': '131'}, {'age': '31', 'date': '08/10/2020', 'clubName': 'FC Barcelona', 'value': '€30.00m', 'clubID': '131'}, {'age': '31', 'date': '05/01/2021', 'clubName': 'FC Barcelona', 'value': '€25.00m', 'clubID': '131'}, {'age': '32', 'date': '31/05/2021', 'clubName': 'FC Barcelona', 'value': '€20.00m', 'clubID': '131'}, {'age': '32', 'date': '13/10/2021', 'clubName': 'FC Barcelona', 'value': '€15.00m', 'clubID': '131'}, {'age': '32', 'date': '30/12/2021', 'clubName': 'FC Barcelona', 'value': '€12.00m', 'clubID': '131'}, {'age': '33', 'date': '03/06/2022', 'clubName': 'FC Barcelona', 'value': '€9.00m', 'clubID': '131'}, {'age': '33', 'date': '07/11/2022', 'clubName': 'FC Barcelona', 'value': '€5.00m', 'clubID': '131'}, {'age': '34', 'date': '13/06/2023', 'clubName': 'FC Barcelona', 'value': '€5.00m', 'clubID': '131'}, {'age': '34', 'date': '22/08/2023', 'clubName': 'Inter Miami CF', 'value': '€4.00m', 'clubID': '69261'}, {'age': '34', 'date': '18/12/2023', 'clubName': 'Inter Miami CF', 'value': '€3.00m', 'clubID': '69261'}, {'age': '35', 'date': '25/03/2024', 'clubName': 'Inter Miami CF', 'value': '€2.50m', 'clubID': '69261'}, {'age': '35', 'date': '13/06/2024', 'clubName': 'Inter Miami CF', 'value': '€2.50m', 'clubID': '69261'}, {'age': '35', 'date': '12/12/2024', 'clubName': 'Inter Miami CF', 'value': '€2.00m', 'clubID': '69261'}, {'age': '36', 'date': '17/04/2025', 'clubName': 'Inter Miami CF', 'value': '€1.80m', 'clubID': '69261'}, {'age': '36', 'date': '05/06/2025', 'clubName': 'Inter Miami CF', 'value': '€1.50m', 'clubID': '69261'}, {'age': '36', 'date': '11/12/2025', 'clubName': 'Inter Miami CF', 'value': '€1.00m', 'clubID': '69261'}, {'age': '36', 'date': '01/01/2026', 'clubName': 'Retired', 'clubID': '123'}], 'updatedAt': datetime.datetime(2026, 4, 4, 21, 23, 16, 221786)}</t>
  </si>
  <si>
    <t>1989-03-21</t>
  </si>
  <si>
    <t>Ter Stegen</t>
  </si>
  <si>
    <t>{'id': '74857', 'marketValue': '€4.00m', 'marketValueHistory': [{'age': '17', 'date': '13/08/2009', 'clubName': 'Borussia Mönchengladbach U19', 'value': '€100k', 'clubID': '4121'}, {'age': '18', 'date': '27/08/2010', 'clubName': 'Borussia Mönchengladbach II', 'value': '€200k', 'clubID': '1006'}, {'age': '18', 'date': '18/10/2010', 'clubName': 'Borussia Mönchengladbach', 'value': '€350k', 'clubID': '18'}, {'age': '18', 'date': '12/01/2011', 'clubName': 'Borussia Mönchengladbach', 'value': '€400k', 'clubID': '18'}, {'age': '19', 'date': '29/06/2011', 'clubName': 'Borussia Mönchengladbach', 'value': '€2.50m', 'clubID': '18'}, {'age': '19', 'date': '26/08/2011', 'clubName': 'Borussia Mönchengladbach', 'value': '€3.50m', 'clubID': '18'}, {'age': '19', 'date': '18/10/2011', 'clubName': 'Borussia Mönchengladbach', 'value': '€5.50m', 'clubID': '18'}, {'age': '19', 'date': '23/01/2012', 'clubName': 'Borussia Mönchengladbach', 'value': '€7.50m', 'clubID': '18'}, {'age': '20', 'date': '29/06/2012', 'clubName': 'Borussia Mönchengladbach', 'value': '€10.00m', 'clubID': '18'}, {'age': '20', 'date': '13/01/2013', 'clubName': 'Borussia Mönchengladbach', 'value': '€10.00m', 'clubID': '18'}, {'age': '21', 'date': '30/06/2013', 'clubName': 'Borussia Mönchengladbach', 'value': '€11.00m', 'clubID': '18'}, {'age': '21', 'date': '12/02/2014', 'clubName': 'Borussia Mönchengladbach', 'value': '€20.00m', 'clubID': '18'}, {'age': '22', 'date': '20/07/2014', 'clubName': 'FC Barcelona', 'value': '€20.00m', 'clubID': '131'}, {'age': '22', 'date': '05/10/2014', 'clubName': 'FC Barcelona', 'value': '€15.00m', 'clubID': '131'}, {'age': '22', 'date': '23/01/2015', 'clubName': 'FC Barcelona', 'value': '€15.00m', 'clubID': '131'}, {'age': '23', 'date': '01/07/2015', 'clubName': 'FC Barcelona', 'value': '€18.00m', 'clubID': '131'}, {'age': '23', 'date': '22/11/2015', 'clubName': 'FC Barcelona', 'value': '€15.00m', 'clubID': '131'}, {'age': '23', 'date': '22/02/2016', 'clubName': 'FC Barcelona', 'value': '€15.00m', 'clubID': '131'}, {'age': '24', 'date': '01/06/2016', 'clubName': 'FC Barcelona', 'value': '€15.00m', 'clubID': '131'}, {'age': '24', 'date': '15/07/2016', 'clubName': 'FC Barcelona', 'value': '€15.00m', 'clubID': '131'}, {'age': '24', 'date': '27/10/2016', 'clubName': 'FC Barcelona', 'value': '€18.00m', 'clubID': '131'}, {'age': '24', 'date': '24/01/2017', 'clubName': 'FC Barcelona', 'value': '€22.00m', 'clubID': '131'}, {'age': '25', 'date': '05/06/2017', 'clubName': 'FC Barcelona', 'value': '€25.00m', 'clubID': '131'}, {'age': '25', 'date': '01/01/2018', 'clubName': 'FC Barcelona', 'value': '€40.00m', 'clubID': '131'}, {'age': '25', 'date': '22/03/2018', 'clubName': 'FC Barcelona', 'value': '€60.00m', 'clubID': '131'}, {'age': '26', 'date': '30/05/2018', 'clubName': 'FC Barcelona', 'value': '€60.00m', 'clubID': '131'}, {'age': '26', 'date': '31/10/2018', 'clubName': 'FC Barcelona', 'value': '€80.00m', 'clubID': '131'}, {'age': '26', 'date': '21/12/2018', 'clubName': 'FC Barcelona', 'value': '€80.00m', 'clubID': '131'}, {'age': '27', 'date': '11/06/2019', 'clubName': 'FC Barcelona', 'value': '€90.00m', 'clubID': '131'}, {'age': '27', 'date': '20/12/2019', 'clubName': 'FC Barcelona', 'value': '€90.00m', 'clubID': '131'}, {'age': '27', 'date': '08/04/2020', 'clubName': 'FC Barcelona', 'value': '€72.00m', 'clubID': '131'}, {'age': '28', 'date': '08/10/2020', 'clubName': 'FC Barcelona', 'value': '€75.00m', 'clubID': '131'}, {'age': '28', 'date': '05/01/2021', 'clubName': 'FC Barcelona', 'value': '€75.00m', 'clubID': '131'}, {'age': '29', 'date': '10/06/2021', 'clubName': 'FC Barcelona', 'value': '€60.00m', 'clubID': '131'}, {'age': '29', 'date': '13/10/2021', 'clubName': 'FC Barcelona', 'value': '€55.00m', 'clubID': '131'}, {'age': '29', 'date': '30/12/2021', 'clubName': 'FC Barcelona', 'value': '€45.00m', 'clubID': '131'}, {'age': '30', 'date': '03/06/2022', 'clubName': 'FC Barcelona', 'value': '€30.00m', 'clubID': '131'}, {'age': '30', 'date': '07/11/2022', 'clubName': 'FC Barcelona', 'value': '€30.00m', 'clubID': '131'}, {'age': '30', 'date': '23/03/2023', 'clubName': 'FC Barcelona', 'value': '€40.00m', 'clubID': '131'}, {'age': '31', 'date': '13/06/2023', 'clubName': 'FC Barcelona', 'value': '€35.00m', 'clubID': '131'}, {'age': '31', 'date': '22/12/2023', 'clubName': 'FC Barcelona', 'value': '€35.00m', 'clubID': '131'}, {'age': '31', 'date': '21/03/2024', 'clubName': 'FC Barcelona', 'value': '€30.00m', 'clubID': '131'}, {'age': '32', 'date': '07/06/2024', 'clubName': 'FC Barcelona', 'value': '€28.00m', 'clubID': '131'}, {'age': '32', 'date': '11/10/2024', 'clubName': 'FC Barcelona', 'value': '€20.00m', 'clubID': '131'}, {'age': '32', 'date': '27/12/2024', 'clubName': 'FC Barcelona', 'value': '€15.00m', 'clubID': '131'}, {'age': '33', 'date': '09/06/2025', 'clubName': 'FC Barcelona', 'value': '€12.00m', 'clubID': '131'}, {'age': '33', 'date': '02/10/2025', 'clubName': 'FC Barcelona', 'value': '€8.00m', 'clubID': '131'}, {'age': '33', 'date': '12/12/2025', 'clubName': 'FC Barcelona', 'value': '€7.00m', 'clubID': '131'}, {'age': '33', 'date': '16/03/2026', 'clubName': 'Girona FC', 'value': '€4.00m', 'clubID': '12321'}], 'ranking': {'Worldwide': '2.701', 'LaLiga': '236', 'Girona': '11', 'Germany': '129', 'Goalkeeper': '132', 'Year 1992': '29'}, 'updatedAt': datetime.datetime(2026, 4, 4, 21, 23, 18, 170771)}</t>
  </si>
  <si>
    <t>Germany</t>
  </si>
  <si>
    <t>1992-04-30</t>
  </si>
  <si>
    <t>F. de Jong</t>
  </si>
  <si>
    <t>{'id': '129046', 'marketValueHistory': [{'age': '17', 'date': '09/02/2010', 'clubName': 'KSK Beveren (-2010)', 'value': '€25k', 'clubID': '1073'}, {'age': '18', 'date': '26/05/2010', 'clubName': 'KSK Beveren (-2010)', 'value': '€75k', 'clubID': '1073'}, {'age': '22', 'date': '11/08/2014', 'clubName': 'HSV Hoek', 'clubID': '3943'}], 'updatedAt': datetime.datetime(2026, 4, 4, 21, 23, 19, 889070)}</t>
  </si>
  <si>
    <t>1992-04-03</t>
  </si>
  <si>
    <t>Van de Beek</t>
  </si>
  <si>
    <t>{'id': '288255', 'marketValue': '€2.00m', 'marketValueHistory': [{'age': '17', 'date': '26/01/2015', 'clubName': 'Ajax Amsterdam U21', 'value': '€25k', 'clubID': '610'}, {'age': '17', 'date': '21/02/2015', 'clubName': 'Ajax Amsterdam U21', 'value': '€200k', 'clubID': '610'}, {'age': '18', 'date': '01/07/2015', 'clubName': 'Ajax Amsterdam U21', 'value': '€250k', 'clubID': '610'}, {'age': '18', 'date': '05/02/2016', 'clubName': 'Ajax Amsterdam', 'value': '€1.00m', 'clubID': '610'}, {'age': '19', 'date': '15/07/2016', 'clubName': 'Ajax Amsterdam', 'value': '€1.50m', 'clubID': '610'}, {'age': '19', 'date': '18/01/2017', 'clubName': 'Ajax Amsterdam', 'value': '€2.00m', 'clubID': '610'}, {'age': '20', 'date': '07/06/2017', 'clubName': 'Ajax Amsterdam', 'value': '€4.00m', 'clubID': '610'}, {'age': '20', 'date': '26/10/2017', 'clubName': 'Ajax Amsterdam', 'value': '€5.50m', 'clubID': '610'}, {'age': '20', 'date': '17/01/2018', 'clubName': 'Ajax Amsterdam', 'value': '€9.00m', 'clubID': '610'}, {'age': '21', 'date': '12/06/2018', 'clubName': 'Ajax Amsterdam', 'value': '€14.00m', 'clubID': '610'}, {'age': '21', 'date': '04/10/2018', 'clubName': 'Ajax Amsterdam', 'value': '€18.00m', 'clubID': '610'}, {'age': '21', 'date': '28/12/2018', 'clubName': 'Ajax Amsterdam', 'value': '€20.00m', 'clubID': '610'}, {'age': '21', 'date': '13/03/2019', 'clubName': 'Ajax Amsterdam', 'value': '€25.00m', 'clubID': '610'}, {'age': '22', 'date': '12/06/2019', 'clubName': 'Ajax Amsterdam', 'value': '€40.00m', 'clubID': '610'}, {'age': '22', 'date': '19/09/2019', 'clubName': 'Ajax Amsterdam', 'value': '€50.00m', 'clubID': '610'}, {'age': '22', 'date': '18/12/2019', 'clubName': 'Ajax Amsterdam', 'value': '€55.00m', 'clubID': '610'}, {'age': '22', 'date': '08/04/2020', 'clubName': 'Ajax Amsterdam', 'value': '€44.00m', 'clubID': '610'}, {'age': '23', 'date': '13/10/2020', 'clubName': 'Manchester United', 'value': '€44.00m', 'clubID': '985'}, {'age': '23', 'date': '17/12/2020', 'clubName': 'Manchester United', 'value': '€40.00m', 'clubID': '985'}, {'age': '23', 'date': '18/03/2021', 'clubName': 'Manchester United', 'value': '€35.00m', 'clubID': '985'}, {'age': '24', 'date': '27/05/2021', 'clubName': 'Manchester United', 'value': '€30.00m', 'clubID': '985'}, {'age': '24', 'date': '05/10/2021', 'clubName': 'Manchester United', 'value': '€25.00m', 'clubID': '985'}, {'age': '24', 'date': '23/12/2021', 'clubName': 'Manchester United', 'value': '€25.00m', 'clubID': '985'}, {'age': '25', 'date': '15/06/2022', 'clubName': 'Manchester United', 'value': '€25.00m', 'clubID': '985'}, {'age': '25', 'date': '15/09/2022', 'clubName': 'Manchester United', 'value': '€20.00m', 'clubID': '985'}, {'age': '25', 'date': '03/11/2022', 'clubName': 'Manchester United', 'value': '€20.00m', 'clubID': '985'}, {'age': '25', 'date': '16/03/2023', 'clubName': 'Manchester United', 'value': '€17.00m', 'clubID': '985'}, {'age': '26', 'date': '20/06/2023', 'clubName': 'Manchester United', 'value': '€13.00m', 'clubID': '985'}, {'age': '26', 'date': '09/10/2023', 'clubName': 'Manchester United', 'value': '€10.00m', 'clubID': '985'}, {'age': '26', 'date': '19/12/2023', 'clubName': 'Manchester United', 'value': '€9.00m', 'clubID': '985'}, {'age': '26', 'date': '27/03/2024', 'clubName': 'Eintracht Frankfurt', 'value': '€7.00m', 'clubID': '24'}, {'age': '27', 'date': '29/05/2024', 'clubName': 'Eintracht Frankfurt', 'value': '€5.00m', 'clubID': '24'}, {'age': '27', 'date': '27/12/2024', 'clubName': 'Girona FC', 'value': '€7.50m', 'clubID': '12321'}, {'age': '28', 'date': '09/06/2025', 'clubName': 'Girona FC', 'value': '€5.00m', 'clubID': '12321'}, {'age': '28', 'date': '02/10/2025', 'clubName': 'Girona FC', 'value': '€3.00m', 'clubID': '12321'}, {'age': '28', 'date': '12/12/2025', 'clubName': 'Girona FC', 'value': '€2.00m', 'clubID': '12321'}], 'ranking': {'Worldwide': '4.728', 'LaLiga': '346', 'Girona': '16', 'Netherlands': '142', 'Central Midfield': '595', 'Year 1997': '395'}, 'updatedAt': datetime.datetime(2026, 4, 4, 21, 23, 21, 484430)}</t>
  </si>
  <si>
    <t>1997-04-18</t>
  </si>
  <si>
    <t>Ziyech</t>
  </si>
  <si>
    <t>{'id': '217111', 'marketValue': '€2.50m', 'marketValueHistory': [{'age': '19', 'date': '03/08/2012', 'clubName': 'SC Heerenveen', 'value': '€100k', 'clubID': '306'}, {'age': '20', 'date': '12/06/2013', 'clubName': 'SC Heerenveen', 'value': '€200k', 'clubID': '306'}, {'age': '20', 'date': '26/09/2013', 'clubName': 'SC Heerenveen', 'value': '€600k', 'clubID': '306'}, {'age': '20', 'date': '11/02/2014', 'clubName': 'SC Heerenveen', 'value': '€2.50m', 'clubID': '306'}, {'age': '21', 'date': '11/08/2014', 'clubName': 'SC Heerenveen', 'value': '€5.00m', 'clubID': '306'}, {'age': '21', 'date': '16/02/2015', 'clubName': 'FC Twente Enschede', 'value': '€5.00m', 'clubID': '317'}, {'age': '22', 'date': '01/07/2015', 'clubName': 'FC Twente Enschede', 'value': '€7.00m', 'clubID': '317'}, {'age': '22', 'date': '11/11/2015', 'clubName': 'FC Twente Enschede', 'value': '€8.00m', 'clubID': '317'}, {'age': '22', 'date': '05/02/2016', 'clubName': 'FC Twente Enschede', 'value': '€10.00m', 'clubID': '317'}, {'age': '23', 'date': '15/07/2016', 'clubName': 'FC Twente Enschede', 'value': '€11.00m', 'clubID': '317'}, {'age': '23', 'date': '18/01/2017', 'clubName': 'Ajax Amsterdam', 'value': '€13.00m', 'clubID': '610'}, {'age': '24', 'date': '07/06/2017', 'clubName': 'Ajax Amsterdam', 'value': '€15.00m', 'clubID': '610'}, {'age': '24', 'date': '17/01/2018', 'clubName': 'Ajax Amsterdam', 'value': '€20.00m', 'clubID': '610'}, {'age': '25', 'date': '12/06/2018', 'clubName': 'Ajax Amsterdam', 'value': '€25.00m', 'clubID': '610'}, {'age': '25', 'date': '04/10/2018', 'clubName': 'Ajax Amsterdam', 'value': '€30.00m', 'clubID': '610'}, {'age': '25', 'date': '28/12/2018', 'clubName': 'Ajax Amsterdam', 'value': '€35.00m', 'clubID': '610'}, {'age': '26', 'date': '12/06/2019', 'clubName': 'Ajax Amsterdam', 'value': '€40.00m', 'clubID': '610'}, {'age': '26', 'date': '18/12/2019', 'clubName': 'Ajax Amsterdam', 'value': '€50.00m', 'clubID': '610'}, {'age': '27', 'date': '08/04/2020', 'clubName': 'Ajax Amsterdam', 'value': '€40.00m', 'clubID': '610'}, {'age': '27', 'date': '13/10/2020', 'clubName': 'Chelsea FC', 'value': '€40.00m', 'clubID': '631'}, {'age': '27', 'date': '17/12/2020', 'clubName': 'Chelsea FC', 'value': '€45.00m', 'clubID': '631'}, {'age': '27', 'date': '18/03/2021', 'clubName': 'Chelsea FC', 'value': '€40.00m', 'clubID': '631'}, {'age': '28', 'date': '08/06/2021', 'clubName': 'Chelsea FC', 'value': '€38.00m', 'clubID': '631'}, {'age': '28', 'date': '23/12/2021', 'clubName': 'Chelsea FC', 'value': '€35.00m', 'clubID': '631'}, {'age': '29', 'date': '29/03/2022', 'clubName': 'Chelsea FC', 'value': '€32.00m', 'clubID': '631'}, {'age': '29', 'date': '15/06/2022', 'clubName': 'Chelsea FC', 'value': '€28.00m', 'clubID': '631'}, {'age': '29', 'date': '15/09/2022', 'clubName': 'Chelsea FC', 'value': '€20.00m', 'clubID': '631'}, {'age': '29', 'date': '03/11/2022', 'clubName': 'Chelsea FC', 'value': '€17.00m', 'clubID': '631'}, {'age': '29', 'date': '23/12/2022', 'clubName': 'Chelsea FC', 'value': '€20.00m', 'clubID': '631'}, {'age': '29', 'date': '16/03/2023', 'clubName': 'Chelsea FC', 'value': '€18.00m', 'clubID': '631'}, {'age': '30', 'date': '20/06/2023', 'clubName': 'Chelsea FC', 'value': '€16.00m', 'clubID': '631'}, {'age': '30', 'date': '27/09/2023', 'clubName': 'Galatasaray', 'value': '€15.00m', 'clubID': '141'}, {'age': '30', 'date': '21/12/2023', 'clubName': 'Galatasaray', 'value': '€12.00m', 'clubID': '141'}, {'age': '30', 'date': '15/03/2024', 'clubName': 'Galatasaray', 'value': '€9.50m', 'clubID': '141'}, {'age': '31', 'date': '31/05/2024', 'clubName': 'Galatasaray', 'value': '€9.00m', 'clubID': '141'}, {'age': '31', 'date': '04/10/2024', 'clubName': 'Galatasaray', 'value': '€7.00m', 'clubID': '141'}, {'age': '31', 'date': '23/12/2024', 'clubName': 'Galatasaray', 'value': '€5.00m', 'clubID': '141'}, {'age': '32', 'date': '28/05/2025', 'clubName': 'Al-Duhail SC', 'value': '€4.50m', 'clubID': '26091'}, {'age': '32', 'date': '21/10/2025', 'clubName': 'Without Club', 'value': '€3.50m', 'clubID': '515'}, {'age': '32', 'date': '28/11/2025', 'clubName': 'Wydad Casablanca', 'value': '€3.00m', 'clubID': '6603'}, {'age': '33', 'date': '25/03/2026', 'clubName': 'Wydad Casablanca', 'value': '€2.50m', 'clubID': '6603'}], 'ranking': {'Worldwide': '4.041', 'Botola Pro Inwi': '3', 'Wydad AC': '2', 'Morocco': '69', 'Right Winger': '336', 'Year 1993': '76'}, 'updatedAt': datetime.datetime(2026, 4, 4, 21, 23, 23, 106162)}</t>
  </si>
  <si>
    <t>Morocco</t>
  </si>
  <si>
    <t>1993-03-19</t>
  </si>
  <si>
    <t>Lloris</t>
  </si>
  <si>
    <t>{'id': '17965', 'marketValue': '€1.00m', 'marketValueHistory': [{'age': '17', 'date': '04/10/2004', 'clubName': 'OGC Nice B', 'value': '€150k', 'clubID': '417'}, {'age': '17', 'date': '05/11/2004', 'clubName': 'OGC Nice B', 'value': '€250k', 'clubID': '417'}, {'age': '19', 'date': '01/09/2006', 'clubName': 'OGC Nice', 'value': '€1.00m', 'clubID': '417'}, {'age': '19', 'date': '24/12/2006', 'clubName': 'OGC Nice', 'value': '€2.00m', 'clubID': '417'}, {'age': '20', 'date': '04/07/2007', 'clubName': 'OGC Nice', 'value': '€4.00m', 'clubID': '417'}, {'age': '21', 'date': '27/12/2007', 'clubName': 'OGC Nice', 'value': '€5.00m', 'clubID': '417'}, {'age': '21', 'date': '05/05/2008', 'clubName': 'OGC Nice', 'value': '€8.50m', 'clubID': '417'}, {'age': '22', 'date': '30/12/2008', 'clubName': 'Olympique Lyon', 'value': '€9.00m', 'clubID': '1041'}, {'age': '22', 'date': '18/05/2009', 'clubName': 'Olympique Lyon', 'value': '€10.00m', 'clubID': '1041'}, {'age': '22', 'date': '22/12/2009', 'clubName': 'Olympique Lyon', 'value': '€14.00m', 'clubID': '1041'}, {'age': '23', 'date': '13/07/2010', 'clubName': 'Olympique Lyon', 'value': '€16.50m', 'clubID': '1041'}, {'age': '24', 'date': '28/12/2010', 'clubName': 'Olympique Lyon', 'value': '€17.00m', 'clubID': '1041'}, {'age': '24', 'date': '24/05/2011', 'clubName': 'Olympique Lyon', 'value': '€17.00m', 'clubID': '1041'}, {'age': '24', 'date': '24/12/2011', 'clubName': 'Olympique Lyon', 'value': '€17.50m', 'clubID': '1041'}, {'age': '25', 'date': '02/02/2012', 'clubName': 'Olympique Lyon', 'value': '€18.00m', 'clubID': '1041'}, {'age': '25', 'date': '23/05/2012', 'clubName': 'Olympique Lyon', 'value': '€19.00m', 'clubID': '1041'}, {'age': '25', 'date': '09/09/2012', 'clubName': 'Tottenham Hotspur', 'value': '€15.00m', 'clubID': '148'}, {'age': '26', 'date': '28/01/2013', 'clubName': 'Tottenham Hotspur', 'value': '€15.00m', 'clubID': '148'}, {'age': '26', 'date': '02/07/2013', 'clubName': 'Tottenham Hotspur', 'value': '€17.50m', 'clubID': '148'}, {'age': '27', 'date': '15/01/2014', 'clubName': 'Tottenham Hotspur', 'value': '€16.00m', 'clubID': '148'}, {'age': '27', 'date': '12/08/2014', 'clubName': 'Tottenham Hotspur', 'value': '€16.00m', 'clubID': '148'}, {'age': '28', 'date': '12/02/2015', 'clubName': 'Tottenham Hotspur', 'value': '€20.00m', 'clubID': '148'}, {'age': '28', 'date': '01/07/2015', 'clubName': 'Tottenham Hotspur', 'value': '€22.00m', 'clubID': '148'}, {'age': '29', 'date': '09/02/2016', 'clubName': 'Tottenham Hotspur', 'value': '€22.00m', 'clubID': '148'}, {'age': '29', 'date': '01/06/2016', 'clubName': 'Tottenham Hotspur', 'value': '€24.00m', 'clubID': '148'}, {'age': '29', 'date': '01/08/2016', 'clubName': 'Tottenham Hotspur', 'value': '€24.00m', 'clubID': '148'}, {'age': '30', 'date': '20/02/2017', 'clubName': 'Tottenham Hotspur', 'value': '€24.00m', 'clubID': '148'}, {'age': '30', 'date': '28/06/2017', 'clubName': 'Tottenham Hotspur', 'value': '€24.00m', 'clubID': '148'}, {'age': '31', 'date': '02/01/2018', 'clubName': 'Tottenham Hotspur', 'value': '€25.00m', 'clubID': '148'}, {'age': '31', 'date': '28/05/2018', 'clubName': 'Tottenham Hotspur', 'value': '€25.00m', 'clubID': '148'}, {'age': '31', 'date': '16/07/2018', 'clubName': 'Tottenham Hotspur', 'value': '€30.00m', 'clubID': '148'}, {'age': '31', 'date': '19/12/2018', 'clubName': 'Tottenham Hotspur', 'value': '€30.00m', 'clubID': '148'}, {'age': '32', 'date': '13/06/2019', 'clubName': 'Tottenham Hotspur', 'value': '€25.00m', 'clubID': '148'}, {'age': '32', 'date': '10/12/2019', 'clubName': 'Tottenham Hotspur', 'value': '€18.00m', 'clubID': '148'}, {'age': '33', 'date': '08/04/2020', 'clubName': 'Tottenham Hotspur', 'value': '€14.50m', 'clubID': '148'}, {'age': '33', 'date': '13/10/2020', 'clubName': 'Tottenham Hotspur', 'value': '€12.00m', 'clubID': '148'}, {'age': '34', 'date': '18/03/2021', 'clubName': 'Tottenham Hotspur', 'value': '€9.00m', 'clubID': '148'}, {'age': '34', 'date': '01/06/2021', 'clubName': 'Tottenham Hotspur', 'value': '€9.00m', 'clubID': '148'}, {'age': '34', 'date': '23/12/2021', 'clubName': 'Tottenham Hotspur', 'value': '€7.00m', 'clubID': '148'}, {'age': '35', 'date': '15/06/2022', 'clubName': 'Tottenham Hotspur', 'value': '€7.00m', 'clubID': '148'}, {'age': '35', 'date': '03/11/2022', 'clubName': 'Tottenham Hotspur', 'value': '€7.00m', 'clubID': '148'}, {'age': '36', 'date': '16/03/2023', 'clubName': 'Tottenham Hotspur', 'value': '€4.00m', 'clubID': '148'}, {'age': '36', 'date': '20/06/2023', 'clubName': 'Tottenham Hotspur', 'value': '€3.00m', 'clubID': '148'}, {'age': '36', 'date': '09/10/2023', 'clubName': 'Tottenham Hotspur', 'value': '€2.00m', 'clubID': '148'}, {'age': '36', 'date': '19/12/2023', 'clubName': 'Tottenham Hotspur', 'value': '€1.50m', 'clubID': '148'}, {'age': '37', 'date': '13/06/2024', 'clubName': 'Los Angeles FC', 'value': '€1.20m', 'clubID': '51828'}, {'age': '37', 'date': '12/12/2024', 'clubName': 'Los Angeles FC', 'value': '€1.00m', 'clubID': '51828'}, {'age': '38', 'date': '05/06/2025', 'clubName': 'Los Angeles FC', 'value': '€1.00m', 'clubID': '51828'}, {'age': '38', 'date': '11/12/2025', 'clubName': 'Los Angeles FC', 'value': '€1.00m', 'clubID': '51828'}], 'ranking': {'Worldwide': '7.565', 'MLS': '368', 'LAFC': '15', 'France': '403', 'Goalkeeper': '448', 'Year 1986': '3'}, 'updatedAt': datetime.datetime(2026, 4, 4, 21, 23, 24, 689187)}</t>
  </si>
  <si>
    <t>1986-12-26</t>
  </si>
  <si>
    <t>Wijnaldum</t>
  </si>
  <si>
    <t>{'id': '49499', 'marketValue': '€2.50m', 'marketValueHistory': [{'age': '16', 'date': '29/08/2007', 'clubName': 'Feyenoord Rotterdam', 'value': '€50k', 'clubID': '234'}, {'age': '17', 'date': '07/01/2008', 'clubName': 'Feyenoord Rotterdam', 'value': '€750k', 'clubID': '234'}, {'age': '17', 'date': '18/07/2008', 'clubName': 'Feyenoord Rotterdam', 'value': '€1.00m', 'clubID': '234'}, {'age': '18', 'date': '02/12/2008', 'clubName': 'Feyenoord Rotterdam', 'value': '€2.50m', 'clubID': '234'}, {'age': '18', 'date': '08/01/2009', 'clubName': 'Feyenoord Rotterdam', 'value': '€3.00m', 'clubID': '234'}, {'age': '18', 'date': '03/06/2009', 'clubName': 'Feyenoord Rotterdam', 'value': '€4.50m', 'clubID': '234'}, {'age': '19', 'date': '07/01/2010', 'clubName': 'Feyenoord Rotterdam', 'value': '€5.50m', 'clubID': '234'}, {'age': '19', 'date': '04/08/2010', 'clubName': 'Feyenoord Rotterdam', 'value': '€6.00m', 'clubID': '234'}, {'age': '20', 'date': '17/01/2011', 'clubName': 'Feyenoord Rotterdam', 'value': '€5.50m', 'clubID': '234'}, {'age': '20', 'date': '22/06/2011', 'clubName': 'Feyenoord Rotterdam', 'value': '€6.50m', 'clubID': '234'}, {'age': '21', 'date': '05/01/2012', 'clubName': 'PSV Eindhoven', 'value': '€7.50m', 'clubID': '383'}, {'age': '22', 'date': '11/01/2013', 'clubName': 'PSV Eindhoven', 'value': '€6.50m', 'clubID': '383'}, {'age': '22', 'date': '28/05/2013', 'clubName': 'PSV Eindhoven', 'value': '€7.00m', 'clubID': '383'}, {'age': '23', 'date': '11/02/2014', 'clubName': 'PSV Eindhoven', 'value': '€7.00m', 'clubID': '383'}, {'age': '23', 'date': '11/08/2014', 'clubName': 'PSV Eindhoven', 'value': '€10.00m', 'clubID': '383'}, {'age': '24', 'date': '16/02/2015', 'clubName': 'PSV Eindhoven', 'value': '€12.00m', 'clubID': '383'}, {'age': '24', 'date': '01/07/2015', 'clubName': 'PSV Eindhoven', 'value': '€15.00m', 'clubID': '383'}, {'age': '24', 'date': '14/10/2015', 'clubName': 'Newcastle United', 'value': '€18.00m', 'clubID': '762'}, {'age': '25', 'date': '09/02/2016', 'clubName': 'Newcastle United', 'value': '€20.00m', 'clubID': '762'}, {'age': '25', 'date': '01/08/2016', 'clubName': 'Liverpool FC', 'value': '€22.00m', 'clubID': '31'}, {'age': '26', 'date': '20/02/2017', 'clubName': 'Liverpool FC', 'value': '€25.00m', 'clubID': '31'}, {'age': '26', 'date': '28/06/2017', 'clubName': 'Liverpool FC', 'value': '€28.00m', 'clubID': '31'}, {'age': '27', 'date': '02/01/2018', 'clubName': 'Liverpool FC', 'value': '€30.00m', 'clubID': '31'}, {'age': '27', 'date': '28/05/2018', 'clubName': 'Liverpool FC', 'value': '€30.00m', 'clubID': '31'}, {'age': '27', 'date': '17/10/2018', 'clubName': 'Liverpool FC', 'value': '€40.00m', 'clubID': '31'}, {'age': '28', 'date': '19/12/2018', 'clubName': 'Liverpool FC', 'value': '€40.00m', 'clubID': '31'}, {'age': '28', 'date': '13/06/2019', 'clubName': 'Liverpool FC', 'value': '€50.00m', 'clubID': '31'}, {'age': '29', 'date': '10/12/2019', 'clubName': 'Liverpool FC', 'value': '€50.00m', 'clubID': '31'}, {'age': '29', 'date': '08/04/2020', 'clubName': 'Liverpool FC', 'value': '€40.00m', 'clubID': '31'}, {'age': '29', 'date': '13/10/2020', 'clubName': 'Liverpool FC', 'value': '€40.00m', 'clubID': '31'}, {'age': '30', 'date': '18/03/2021', 'clubName': 'Liverpool FC', 'value': '€35.00m', 'clubID': '31'}, {'age': '30', 'date': '27/05/2021', 'clubName': 'Liverpool FC', 'value': '€30.00m', 'clubID': '31'}, {'age': '31', 'date': '16/12/2021', 'clubName': 'Paris Saint-Germain', 'value': '€25.00m', 'clubID': '583'}, {'age': '31', 'date': '23/03/2022', 'clubName': 'Paris Saint-Germain', 'value': '€22.00m', 'clubID': '583'}, {'age': '31', 'date': '30/05/2022', 'clubName': 'Paris Saint-Germain', 'value': '€18.00m', 'clubID': '583'}, {'age': '31', 'date': '27/09/2022', 'clubName': 'AS Roma', 'value': '€12.00m', 'clubID': '12'}, {'age': '32', 'date': '11/11/2022', 'clubName': 'AS Roma', 'value': '€12.00m', 'clubID': '12'}, {'age': '32', 'date': '15/06/2023', 'clubName': 'AS Roma', 'value': '€8.00m', 'clubID': '12'}, {'age': '32', 'date': '24/10/2023', 'clubName': 'Al-Ettifaq FC', 'value': '€6.00m', 'clubID': '7732'}, {'age': '33', 'date': '15/12/2023', 'clubName': 'Al-Ettifaq FC', 'value': '€5.00m', 'clubID': '7732'}, {'age': '33', 'date': '04/06/2024', 'clubName': 'Al-Ettifaq FC', 'value': '€4.00m', 'clubID': '7732'}, {'age': '34', 'date': '13/12/2024', 'clubName': 'Al-Ettifaq FC', 'value': '€3.50m', 'clubID': '7732'}, {'age': '34', 'date': '27/05/2025', 'clubName': 'Al-Ettifaq FC', 'value': '€3.00m', 'clubID': '7732'}, {'age': '35', 'date': '18/12/2025', 'clubName': 'Al-Ettifaq FC', 'value': '€2.50m', 'clubID': '7732'}], 'ranking': {'Worldwide': '4.041', 'Saudi Pro League': '87', 'Al-Ettifaq': '5', 'Netherlands': '126', 'Central Midfield': '508', 'Year 1990': '6'}, 'updatedAt': datetime.datetime(2026, 4, 4, 21, 23, 26, 269217)}</t>
  </si>
  <si>
    <t>1990-11-11</t>
  </si>
  <si>
    <t>Alex Telles</t>
  </si>
  <si>
    <t>FC Porto</t>
  </si>
  <si>
    <t>{'id': '255755', 'marketValue': '€3.00m', 'marketValueHistory': [{'age': '20', 'date': '15/02/2013', 'clubName': 'Grêmio Foot-Ball Porto Alegrense', 'value': '€250k', 'clubID': '210'}, {'age': '20', 'date': '26/08/2013', 'clubName': 'Grêmio Foot-Ball Porto Alegrense', 'value': '€1.50m', 'clubID': '210'}, {'age': '21', 'date': '27/01/2014', 'clubName': 'Galatasaray', 'value': '€6.00m', 'clubID': '141'}, {'age': '21', 'date': '11/08/2014', 'clubName': 'Galatasaray', 'value': '€7.00m', 'clubID': '141'}, {'age': '22', 'date': '26/01/2015', 'clubName': 'Galatasaray', 'value': '€6.00m', 'clubID': '141'}, {'age': '22', 'date': '25/06/2015', 'clubName': 'Galatasaray', 'value': '€6.50m', 'clubID': '141'}, {'age': '23', 'date': '04/01/2016', 'clubName': 'Inter Milan', 'value': '€8.50m', 'clubID': '46'}, {'age': '23', 'date': '29/07/2016', 'clubName': 'FC Porto', 'value': '€8.00m', 'clubID': '720'}, {'age': '24', 'date': '22/02/2017', 'clubName': 'FC Porto', 'value': '€9.00m', 'clubID': '720'}, {'age': '24', 'date': '26/06/2017', 'clubName': 'FC Porto', 'value': '€9.00m', 'clubID': '720'}, {'age': '25', 'date': '07/02/2018', 'clubName': 'FC Porto', 'value': '€16.00m', 'clubID': '720'}, {'age': '25', 'date': '13/06/2018', 'clubName': 'FC Porto', 'value': '€25.00m', 'clubID': '720'}, {'age': '26', 'date': '11/01/2019', 'clubName': 'FC Porto', 'value': '€30.00m', 'clubID': '720'}, {'age': '26', 'date': '07/06/2019', 'clubName': 'FC Porto', 'value': '€35.00m', 'clubID': '720'}, {'age': '27', 'date': '30/12/2019', 'clubName': 'FC Porto', 'value': '€40.00m', 'clubID': '720'}, {'age': '27', 'date': '08/04/2020', 'clubName': 'FC Porto', 'value': '€32.00m', 'clubID': '720'}, {'age': '27', 'date': '17/08/2020', 'clubName': 'FC Porto', 'value': '€40.00m', 'clubID': '720'}, {'age': '27', 'date': '13/10/2020', 'clubName': 'Manchester United', 'value': '€40.00m', 'clubID': '985'}, {'age': '28', 'date': '17/12/2020', 'clubName': 'Manchester United', 'value': '€35.00m', 'clubID': '985'}, {'age': '28', 'date': '18/03/2021', 'clubName': 'Manchester United', 'value': '€28.00m', 'clubID': '985'}, {'age': '28', 'date': '08/06/2021', 'clubName': 'Manchester United', 'value': '€20.00m', 'clubID': '985'}, {'age': '29', 'date': '23/12/2021', 'clubName': 'Manchester United', 'value': '€18.00m', 'clubID': '985'}, {'age': '29', 'date': '15/06/2022', 'clubName': 'Manchester United', 'value': '€18.00m', 'clubID': '985'}, {'age': '29', 'date': '07/11/2022', 'clubName': 'Sevilla FC', 'value': '€14.00m', 'clubID': '368'}, {'age': '30', 'date': '23/03/2023', 'clubName': 'Sevilla FC', 'value': '€12.00m', 'clubID': '368'}, {'age': '30', 'date': '13/06/2023', 'clubName': 'Sevilla FC', 'value': '€7.50m', 'clubID': '368'}, {'age': '30', 'date': '24/10/2023', 'clubName': 'Al-Nassr FC', 'value': '€7.00m', 'clubID': '18544'}, {'age': '31', 'date': '15/12/2023', 'clubName': 'Al-Nassr FC', 'value': '€7.00m', 'clubID': '18544'}, {'age': '31', 'date': '04/06/2024', 'clubName': 'Al-Nassr FC', 'value': '€6.00m', 'clubID': '18544'}, {'age': '31', 'date': '09/12/2024', 'clubName': 'Botafogo de Futebol e Regatas', 'value': '€5.00m', 'clubID': '537'}, {'age': '32', 'date': '28/03/2025', 'clubName': 'Botafogo de Futebol e Regatas', 'value': '€4.50m', 'clubID': '537'}, {'age': '32', 'date': '06/06/2025', 'clubName': 'Botafogo de Futebol e Regatas', 'value': '€4.00m', 'clubID': '537'}, {'age': '32', 'date': '10/12/2025', 'clubName': 'Botafogo de Futebol e Regatas', 'value': '€3.00m', 'clubID': '537'}], 'ranking': {'Worldwide': '3.413', 'Série A': '192', 'Botafogo': '11', 'Brazil': '306', 'Left-Back': '228', 'Year 1992': '44'}, 'updatedAt': datetime.datetime(2026, 4, 4, 21, 23, 28, 200685)}</t>
  </si>
  <si>
    <t>1992-12-15</t>
  </si>
  <si>
    <t>Felipe</t>
  </si>
  <si>
    <t>{'id': '159372', 'marketValue': '€2.00m', 'marketValueHistory': [{'age': '17', 'date': '10/12/2010', 'clubName': 'Santos FC', 'value': '€400k', 'clubID': '221'}, {'age': '18', 'date': '30/05/2011', 'clubName': 'Santos FC', 'value': '€400k', 'clubID': '221'}, {'age': '18', 'date': '29/08/2011', 'clubName': 'Santos FC', 'value': '€750k', 'clubID': '221'}, {'age': '18', 'date': '08/12/2011', 'clubName': 'Santos FC', 'value': '€1.00m', 'clubID': '221'}, {'age': '19', 'date': '24/05/2012', 'clubName': 'Santos FC', 'value': '€1.00m', 'clubID': '221'}, {'age': '19', 'date': '29/07/2012', 'clubName': 'Santos FC', 'value': '€2.00m', 'clubID': '221'}, {'age': '19', 'date': '05/12/2012', 'clubName': 'Santos FC', 'value': '€6.00m', 'clubID': '221'}, {'age': '20', 'date': '22/07/2013', 'clubName': 'SS Lazio', 'value': '€8.00m', 'clubID': '398'}, {'age': '20', 'date': '07/01/2014', 'clubName': 'SS Lazio', 'value': '€7.50m', 'clubID': '398'}, {'age': '21', 'date': '01/07/2014', 'clubName': 'SS Lazio', 'value': '€6.50m', 'clubID': '398'}, {'age': '21', 'date': '07/01/2015', 'clubName': 'SS Lazio', 'value': '€9.00m', 'clubID': '398'}, {'age': '21', 'date': '20/03/2015', 'clubName': 'SS Lazio', 'value': '€15.00m', 'clubID': '398'}, {'age': '22', 'date': '01/07/2015', 'clubName': 'SS Lazio', 'value': '€20.00m', 'clubID': '398'}, {'age': '22', 'date': '04/01/2016', 'clubName': 'SS Lazio', 'value': '€20.00m', 'clubID': '398'}, {'age': '23', 'date': '15/07/2016', 'clubName': 'SS Lazio', 'value': '€19.00m', 'clubID': '398'}, {'age': '23', 'date': '02/01/2017', 'clubName': 'SS Lazio', 'value': '€24.00m', 'clubID': '398'}, {'age': '24', 'date': '08/06/2017', 'clubName': 'SS Lazio', 'value': '€25.00m', 'clubID': '398'}, {'age': '24', 'date': '29/12/2017', 'clubName': 'SS Lazio', 'value': '€25.00m', 'clubID': '398'}, {'age': '25', 'date': '07/06/2018', 'clubName': 'SS Lazio', 'value': '€30.00m', 'clubID': '398'}, {'age': '25', 'date': '13/08/2018', 'clubName': 'West Ham United', 'value': '€35.00m', 'clubID': '379'}, {'age': '25', 'date': '19/12/2018', 'clubName': 'West Ham United', 'value': '€35.00m', 'clubID': '379'}, {'age': '25', 'date': '05/03/2019', 'clubName': 'West Ham United', 'value': '€40.00m', 'clubID': '379'}, {'age': '26', 'date': '13/06/2019', 'clubName': 'West Ham United', 'value': '€40.00m', 'clubID': '379'}, {'age': '26', 'date': '12/09/2019', 'clubName': 'West Ham United', 'value': '€45.00m', 'clubID': '379'}, {'age': '26', 'date': '10/12/2019', 'clubName': 'West Ham United', 'value': '€45.00m', 'clubID': '379'}, {'age': '26', 'date': '09/03/2020', 'clubName': 'West Ham United', 'value': '€40.00m', 'clubID': '379'}, {'age': '26', 'date': '08/04/2020', 'clubName': 'West Ham United', 'value': '€32.00m', 'clubID': '379'}, {'age': '27', 'date': '30/07/2020', 'clubName': 'West Ham United', 'value': '€25.00m', 'clubID': '379'}, {'age': '27', 'date': '28/01/2021', 'clubName': 'FC Porto', 'value': '€18.00m', 'clubID': '720'}, {'age': '27', 'date': '25/03/2021', 'clubName': 'FC Porto', 'value': '€15.00m', 'clubID': '720'}, {'age': '28', 'date': '21/05/2021', 'clubName': 'FC Porto', 'value': '€10.00m', 'clubID': '720'}, {'age': '28', 'date': '28/12/2021', 'clubName': 'SS Lazio', 'value': '€10.00m', 'clubID': '398'}, {'age': '28', 'date': '15/03/2022', 'clubName': 'SS Lazio', 'value': '€13.00m', 'clubID': '398'}, {'age': '29', 'date': '07/06/2022', 'clubName': 'SS Lazio', 'value': '€13.00m', 'clubID': '398'}, {'age': '29', 'date': '11/11/2022', 'clubName': 'SS Lazio', 'value': '€15.00m', 'clubID': '398'}, {'age': '30', 'date': '15/06/2023', 'clubName': 'SS Lazio', 'value': '€15.00m', 'clubID': '398'}, {'age': '30', 'date': '20/12/2023', 'clubName': 'SS Lazio', 'value': '€10.00m', 'clubID': '398'}, {'age': '31', 'date': '05/06/2024', 'clubName': 'SS Lazio', 'value': '€8.00m', 'clubID': '398'}, {'age': '31', 'date': '27/09/2024', 'clubName': 'Sociedade Esportiva Palmeiras', 'value': '€7.00m', 'clubID': '1023'}, {'age': '31', 'date': '09/12/2024', 'clubName': 'Sociedade Esportiva Palmeiras', 'value': '€6.00m', 'clubID': '1023'}, {'age': '31', 'date': '28/03/2025', 'clubName': 'Sociedade Esportiva Palmeiras', 'value': '€5.00m', 'clubID': '1023'}, {'age': '32', 'date': '06/06/2025', 'clubName': 'Sociedade Esportiva Palmeiras', 'value': '€4.00m', 'clubID': '1023'}, {'age': '32', 'date': '05/09/2025', 'clubName': 'Sociedade Esportiva Palmeiras', 'value': '€3.00m', 'clubID': '1023'}, {'age': '32', 'date': '10/12/2025', 'clubName': 'Sociedade Esportiva Palmeiras', 'value': '€2.50m', 'clubID': '1023'}, {'age': '32', 'date': '12/03/2026', 'clubName': 'Sociedade Esportiva Palmeiras', 'value': '€2.00m', 'clubID': '1023'}], 'ranking': {'Worldwide': '4.728', 'Série A': '245', 'Palmeiras': '22', 'Brazil': '400', 'Left Winger': '418', 'Year 1993': '90'}, 'updatedAt': datetime.datetime(2026, 4, 4, 21, 23, 29, 948953)}</t>
  </si>
  <si>
    <t>1993-04-15</t>
  </si>
  <si>
    <t>Danilo</t>
  </si>
  <si>
    <t>{'id': '145707', 'marketValue': '€2.50m', 'marketValueHistory': [{'age': '18', 'date': '18/04/2010', 'clubName': 'América Futebol Clube (MG)', 'value': '€600k', 'clubID': '2863'}, {'age': '18', 'date': '13/07/2010', 'clubName': 'Santos FC', 'value': '€1.00m', 'clubID': '221'}, {'age': '19', 'date': '10/12/2010', 'clubName': 'Santos FC', 'value': '€2.00m', 'clubID': '221'}, {'age': '19', 'date': '21/02/2011', 'clubName': 'Santos FC', 'value': '€2.50m', 'clubID': '221'}, {'age': '19', 'date': '30/05/2011', 'clubName': 'Santos FC', 'value': '€5.00m', 'clubID': '221'}, {'age': '20', 'date': '20/07/2011', 'clubName': 'Santos FC', 'value': '€6.00m', 'clubID': '221'}, {'age': '20', 'date': '25/07/2011', 'clubName': 'Santos FC', 'value': '€10.00m', 'clubID': '221'}, {'age': '20', 'date': '08/12/2011', 'clubName': 'Santos FC', 'value': '€10.00m', 'clubID': '221'}, {'age': '20', 'date': '07/07/2012', 'clubName': 'FC Porto', 'value': '€10.00m', 'clubID': '720'}, {'age': '21', 'date': '27/03/2013', 'clubName': 'FC Porto', 'value': '€11.00m', 'clubID': '720'}, {'age': '21', 'date': '02/07/2013', 'clubName': 'FC Porto', 'value': '€11.50m', 'clubID': '720'}, {'age': '23', 'date': '25/07/2014', 'clubName': 'FC Porto', 'value': '€14.00m', 'clubID': '720'}, {'age': '23', 'date': '17/02/2015', 'clubName': 'FC Porto', 'value': '€20.00m', 'clubID': '720'}, {'age': '23', 'date': '01/07/2015', 'clubName': 'Real Madrid', 'value': '€25.00m', 'clubID': '418'}, {'age': '24', 'date': '22/11/2015', 'clubName': 'Real Madrid', 'value': '€20.00m', 'clubID': '418'}, {'age': '24', 'date': '22/02/2016', 'clubName': 'Real Madrid', 'value': '€18.00m', 'clubID': '418'}, {'age': '25', 'date': '15/07/2016', 'clubName': 'Real Madrid', 'value': '€18.00m', 'clubID': '418'}, {'age': '25', 'date': '24/01/2017', 'clubName': 'Real Madrid', 'value': '€16.00m', 'clubID': '418'}, {'age': '25', 'date': '05/06/2017', 'clubName': 'Real Madrid', 'value': '€16.00m', 'clubID': '418'}, {'age': '26', 'date': '16/08/2017', 'clubName': 'Manchester City', 'value': '€18.00m', 'clubID': '281'}, {'age': '26', 'date': '02/01/2018', 'clubName': 'Manchester City', 'value': '€18.00m', 'clubID': '281'}, {'age': '26', 'date': '28/05/2018', 'clubName': 'Manchester City', 'value': '€20.00m', 'clubID': '281'}, {'age': '27', 'date': '19/12/2018', 'clubName': 'Manchester City', 'value': '€20.00m', 'clubID': '281'}, {'age': '27', 'date': '13/06/2019', 'clubName': 'Manchester City', 'value': '€20.00m', 'clubID': '281'}, {'age': '28', 'date': '12/12/2019', 'clubName': 'Juventus FC', 'value': '€20.00m', 'clubID': '506'}, {'age': '28', 'date': '08/04/2020', 'clubName': 'Juventus FC', 'value': '€16.00m', 'clubID': '506'}, {'age': '29', 'date': '25/08/2020', 'clubName': 'Juventus FC', 'value': '€15.00m', 'clubID': '506'}, {'age': '29', 'date': '29/12/2020', 'clubName': 'Juventus FC', 'value': '€17.00m', 'clubID': '506'}, {'age': '29', 'date': '23/03/2021', 'clubName': 'Juventus FC', 'value': '€20.00m', 'clubID': '506'}, {'age': '29', 'date': '03/06/2021', 'clubName': 'Juventus FC', 'value': '€20.00m', 'clubID': '506'}, {'age': '30', 'date': '28/12/2021', 'clubName': 'Juventus FC', 'value': '€15.00m', 'clubID': '506'}, {'age': '30', 'date': '07/06/2022', 'clubName': 'Juventus FC', 'value': '€13.00m', 'clubID': '506'}, {'age': '31', 'date': '11/11/2022', 'clubName': 'Juventus FC', 'value': '€12.00m', 'clubID': '506'}, {'age': '31', 'date': '15/06/2023', 'clubName': 'Juventus FC', 'value': '€15.00m', 'clubID': '506'}, {'age': '32', 'date': '20/12/2023', 'clubName': 'Juventus FC', 'value': '€12.00m', 'clubID': '506'}, {'age': '32', 'date': '05/06/2024', 'clubName': 'Juventus FC', 'value': '€10.00m', 'clubID': '506'}, {'age': '33', 'date': '18/10/2024', 'clubName': 'Juventus FC', 'value': '€7.00m', 'clubID': '506'}, {'age': '33', 'date': '18/12/2024', 'clubName': 'Juventus FC', 'value': '€4.00m', 'clubID': '506'}, {'age': '33', 'date': '06/06/2025', 'clubName': 'CR Flamengo', 'value': '€3.50m', 'clubID': '614'}, {'age': '34', 'date': '05/09/2025', 'clubName': 'CR Flamengo', 'value': '€3.00m', 'clubID': '614'}, {'age': '34', 'date': '10/12/2025', 'clubName': 'CR Flamengo', 'value': '€2.50m', 'clubID': '614'}], 'ranking': {'Worldwide': '4.041', 'Série A': '227', 'Flamengo': '21', 'Brazil': '357', 'Centre-Back': '712', 'Year 1991': '24'}, 'updatedAt': datetime.datetime(2026, 4, 4, 21, 23, 31, 734127)}</t>
  </si>
  <si>
    <t>1991-07-15</t>
  </si>
  <si>
    <t>Casillas</t>
  </si>
  <si>
    <t>{'id': '3979', 'marketValueHistory': [{'age': '23', 'date': '04/10/2004', 'clubName': 'Real Madrid', 'value': '€16.00m', 'clubID': '418'}, {'age': '23', 'date': '28/12/2004', 'clubName': 'Real Madrid', 'value': '€25.00m', 'clubID': '418'}, {'age': '26', 'date': '24/08/2007', 'clubName': 'Real Madrid', 'value': '€26.00m', 'clubID': '418'}, {'age': '26', 'date': '04/02/2008', 'clubName': 'Real Madrid', 'value': '€28.00m', 'clubID': '418'}, {'age': '27', 'date': '08/07/2008', 'clubName': 'Real Madrid', 'value': '€30.00m', 'clubID': '418'}, {'age': '27', 'date': '26/01/2009', 'clubName': 'Real Madrid', 'value': '€32.00m', 'clubID': '418'}, {'age': '28', 'date': '22/07/2009', 'clubName': 'Real Madrid', 'value': '€32.00m', 'clubID': '418'}, {'age': '28', 'date': '03/12/2009', 'clubName': 'Real Madrid', 'value': '€32.00m', 'clubID': '418'}, {'age': '28', 'date': '12/04/2010', 'clubName': 'Real Madrid', 'value': '€32.00m', 'clubID': '418'}, {'age': '29', 'date': '27/08/2010', 'clubName': 'Real Madrid', 'value': '€35.00m', 'clubID': '418'}, {'age': '29', 'date': '04/02/2011', 'clubName': 'Real Madrid', 'value': '€35.00m', 'clubID': '418'}, {'age': '30', 'date': '29/07/2011', 'clubName': 'Real Madrid', 'value': '€35.00m', 'clubID': '418'}, {'age': '30', 'date': '03/02/2012', 'clubName': 'Real Madrid', 'value': '€35.00m', 'clubID': '418'}, {'age': '31', 'date': '07/08/2012', 'clubName': 'Real Madrid', 'value': '€35.00m', 'clubID': '418'}, {'age': '31', 'date': '10/01/2013', 'clubName': 'Real Madrid', 'value': '€35.00m', 'clubID': '418'}, {'age': '32', 'date': '12/06/2013', 'clubName': 'Real Madrid', 'value': '€30.00m', 'clubID': '418'}, {'age': '32', 'date': '17/09/2013', 'clubName': 'Real Madrid', 'value': '€25.00m', 'clubID': '418'}, {'age': '32', 'date': '21/10/2013', 'clubName': 'Real Madrid', 'value': '€15.00m', 'clubID': '418'}, {'age': '32', 'date': '23/01/2014', 'clubName': 'Real Madrid', 'value': '€12.00m', 'clubID': '418'}, {'age': '33', 'date': '20/07/2014', 'clubName': 'Real Madrid', 'value': '€8.00m', 'clubID': '418'}, {'age': '33', 'date': '23/01/2015', 'clubName': 'Real Madrid', 'value': '€8.00m', 'clubID': '418'}, {'age': '34', 'date': '01/07/2015', 'clubName': 'Real Madrid', 'value': '€6.00m', 'clubID': '418'}, {'age': '34', 'date': '07/10/2015', 'clubName': 'FC Porto', 'value': '€5.00m', 'clubID': '720'}, {'age': '34', 'date': '24/02/2016', 'clubName': 'FC Porto', 'value': '€4.00m', 'clubID': '720'}, {'age': '35', 'date': '01/06/2016', 'clubName': 'FC Porto', 'value': '€3.00m', 'clubID': '720'}, {'age': '35', 'date': '29/07/2016', 'clubName': 'FC Porto', 'value': '€3.00m', 'clubID': '720'}, {'age': '35', 'date': '22/02/2017', 'clubName': 'FC Porto', 'value': '€3.00m', 'clubID': '720'}, {'age': '36', 'date': '26/06/2017', 'clubName': 'FC Porto', 'value': '€2.00m', 'clubID': '720'}, {'age': '36', 'date': '07/02/2018', 'clubName': 'FC Porto', 'value': '€1.00m', 'clubID': '720'}, {'age': '37', 'date': '13/06/2018', 'clubName': 'FC Porto', 'value': '€1.00m', 'clubID': '720'}, {'age': '37', 'date': '11/01/2019', 'clubName': 'FC Porto', 'value': '€1.00m', 'clubID': '720'}, {'age': '38', 'date': '07/06/2019', 'clubName': 'FC Porto', 'value': '€1.00m', 'clubID': '720'}, {'age': '38', 'date': '01/07/2019', 'clubName': 'FC Porto', 'clubID': '720'}], 'updatedAt': datetime.datetime(2026, 4, 4, 21, 23, 33, 626961)}</t>
  </si>
  <si>
    <t>1981-05-20</t>
  </si>
  <si>
    <t>Alexander-Arnold</t>
  </si>
  <si>
    <t>{'id': '314353', 'marketValue': '€65.00m', 'marketValueHistory': [{'age': '18', 'date': '20/02/2017', 'clubName': 'Liverpool FC', 'value': '€500k', 'clubID': '31'}, {'age': '18', 'date': '28/06/2017', 'clubName': 'Liverpool FC', 'value': '€1.50m', 'clubID': '31'}, {'age': '19', 'date': '23/10/2017', 'clubName': 'Liverpool FC', 'value': '€5.00m', 'clubID': '31'}, {'age': '19', 'date': '02/01/2018', 'clubName': 'Liverpool FC', 'value': '€8.00m', 'clubID': '31'}, {'age': '19', 'date': '28/05/2018', 'clubName': 'Liverpool FC', 'value': '€25.00m', 'clubID': '31'}, {'age': '20', 'date': '17/10/2018', 'clubName': 'Liverpool FC', 'value': '€35.00m', 'clubID': '31'}, {'age': '20', 'date': '19/12/2018', 'clubName': 'Liverpool FC', 'value': '€45.00m', 'clubID': '31'}, {'age': '20', 'date': '05/03/2019', 'clubName': 'Liverpool FC', 'value': '€50.00m', 'clubID': '31'}, {'age': '20', 'date': '13/06/2019', 'clubName': 'Liverpool FC', 'value': '€80.00m', 'clubID': '31'}, {'age': '21', 'date': '10/12/2019', 'clubName': 'Liverpool FC', 'value': '€110.00m', 'clubID': '31'}, {'age': '21', 'date': '08/04/2020', 'clubName': 'Liverpool FC', 'value': '€99.00m', 'clubID': '31'}, {'age': '21', 'date': '30/07/2020', 'clubName': 'Liverpool FC', 'value': '€110.00m', 'clubID': '31'}, {'age': '22', 'date': '13/10/2020', 'clubName': 'Liverpool FC', 'value': '€110.00m', 'clubID': '31'}, {'age': '22', 'date': '18/03/2021', 'clubName': 'Liverpool FC', 'value': '€100.00m', 'clubID': '31'}, {'age': '22', 'date': '28/05/2021', 'clubName': 'Liverpool FC', 'value': '€75.00m', 'clubID': '31'}, {'age': '23', 'date': '23/12/2021', 'clubName': 'Liverpool FC', 'value': '€80.00m', 'clubID': '31'}, {'age': '23', 'date': '15/06/2022', 'clubName': 'Liverpool FC', 'value': '€80.00m', 'clubID': '31'}, {'age': '24', 'date': '03/11/2022', 'clubName': 'Liverpool FC', 'value': '€70.00m', 'clubID': '31'}, {'age': '24', 'date': '16/03/2023', 'clubName': 'Liverpool FC', 'value': '€65.00m', 'clubID': '31'}, {'age': '24', 'date': '20/06/2023', 'clubName': 'Liverpool FC', 'value': '€65.00m', 'clubID': '31'}, {'age': '25', 'date': '19/12/2023', 'clubName': 'Liverpool FC', 'value': '€70.00m', 'clubID': '31'}, {'age': '25', 'date': '27/05/2024', 'clubName': 'Liverpool FC', 'value': '€70.00m', 'clubID': '31'}, {'age': '26', 'date': '16/12/2024', 'clubName': 'Liverpool FC', 'value': '€75.00m', 'clubID': '31'}, {'age': '26', 'date': '30/05/2025', 'clubName': 'Liverpool FC', 'value': '€75.00m', 'clubID': '31'}, {'age': '27', 'date': '12/12/2025', 'clubName': 'Real Madrid', 'value': '€70.00m', 'clubID': '418'}, {'age': '27', 'date': '16/03/2026', 'clubName': 'Real Madrid', 'value': '€65.00m', 'clubID': '418'}], 'ranking': {'Worldwide': '58', 'LaLiga': '13', 'Real Madrid': '7', 'England': '7', 'Right-Back': '3', 'Year 1998': '7'}, 'updatedAt': datetime.datetime(2026, 4, 4, 21, 23, 35, 315369)}</t>
  </si>
  <si>
    <t>1998-10-07</t>
  </si>
  <si>
    <t>HM Son</t>
  </si>
  <si>
    <t>{'id': '91845', 'marketValue': '€17.00m', 'marketValueHistory': [{'age': '18', 'date': '01/08/2010', 'clubName': 'Hamburger SV', 'value': '€150k', 'clubID': '41'}, {'age': '18', 'date': '06/08/2010', 'clubName': 'Hamburger SV', 'value': '€500k', 'clubID': '41'}, {'age': '18', 'date': '23/11/2010', 'clubName': 'Hamburger SV', 'value': '€1.50m', 'clubID': '41'}, {'age': '18', 'date': '12/01/2011', 'clubName': 'Hamburger SV', 'value': '€3.00m', 'clubID': '41'}, {'age': '18', 'date': '29/06/2011', 'clubName': 'Hamburger SV', 'value': '€3.00m', 'clubID': '41'}, {'age': '19', 'date': '15/08/2011', 'clubName': 'Hamburger SV', 'value': '€4.50m', 'clubID': '41'}, {'age': '19', 'date': '23/01/2012', 'clubName': 'Hamburger SV', 'value': '€4.50m', 'clubID': '41'}, {'age': '19', 'date': '29/06/2012', 'clubName': 'Hamburger SV', 'value': '€4.50m', 'clubID': '41'}, {'age': '20', 'date': '26/10/2012', 'clubName': 'Hamburger SV', 'value': '€8.00m', 'clubID': '41'}, {'age': '20', 'date': '13/01/2013', 'clubName': 'Hamburger SV', 'value': '€8.00m', 'clubID': '41'}, {'age': '20', 'date': '11/03/2013', 'clubName': 'Hamburger SV', 'value': '€13.00m', 'clubID': '41'}, {'age': '20', 'date': '30/06/2013', 'clubName': 'Hamburger SV', 'value': '€14.00m', 'clubID': '41'}, {'age': '22', 'date': '10/07/2014', 'clubName': 'Bayer 04 Leverkusen', 'value': '€14.00m', 'clubID': '15'}, {'age': '22', 'date': '04/02/2015', 'clubName': 'Bayer 04 Leverkusen', 'value': '€16.00m', 'clubID': '15'}, {'age': '22', 'date': '01/07/2015', 'clubName': 'Bayer 04 Leverkusen', 'value': '€16.00m', 'clubID': '15'}, {'age': '23', 'date': '14/10/2015', 'clubName': 'Tottenham Hotspur', 'value': '€25.00m', 'clubID': '148'}, {'age': '23', 'date': '09/02/2016', 'clubName': 'Tottenham Hotspur', 'value': '€25.00m', 'clubID': '148'}, {'age': '24', 'date': '01/08/2016', 'clubName': 'Tottenham Hotspur', 'value': '€25.00m', 'clubID': '148'}, {'age': '24', 'date': '20/02/2017', 'clubName': 'Tottenham Hotspur', 'value': '€25.00m', 'clubID': '148'}, {'age': '24', 'date': '28/06/2017', 'clubName': 'Tottenham Hotspur', 'value': '€30.00m', 'clubID': '148'}, {'age': '25', 'date': '02/01/2018', 'clubName': 'Tottenham Hotspur', 'value': '€35.00m', 'clubID': '148'}, {'age': '25', 'date': '28/05/2018', 'clubName': 'Tottenham Hotspur', 'value': '€50.00m', 'clubID': '148'}, {'age': '26', 'date': '19/12/2018', 'clubName': 'Tottenham Hotspur', 'value': '€50.00m', 'clubID': '148'}, {'age': '26', 'date': '05/03/2019', 'clubName': 'Tottenham Hotspur', 'value': '€65.00m', 'clubID': '148'}, {'age': '26', 'date': '13/06/2019', 'clubName': 'Tottenham Hotspur', 'value': '€80.00m', 'clubID': '148'}, {'age': '27', 'date': '10/12/2019', 'clubName': 'Tottenham Hotspur', 'value': '€80.00m', 'clubID': '148'}, {'age': '27', 'date': '08/04/2020', 'clubName': 'Tottenham Hotspur', 'value': '€64.00m', 'clubID': '148'}, {'age': '28', 'date': '13/10/2020', 'clubName': 'Tottenham Hotspur', 'value': '€75.00m', 'clubID': '148'}, {'age': '28', 'date': '17/12/2020', 'clubName': 'Tottenham Hotspur', 'value': '€90.00m', 'clubID': '148'}, {'age': '28', 'date': '18/03/2021', 'clubName': 'Tottenham Hotspur', 'value': '€85.00m', 'clubID': '148'}, {'age': '28', 'date': '08/06/2021', 'clubName': 'Tottenham Hotspur', 'value': '€85.00m', 'clubID': '148'}, {'age': '29', 'date': '23/12/2021', 'clubName': 'Tottenham Hotspur', 'value': '€80.00m', 'clubID': '148'}, {'age': '29', 'date': '15/06/2022', 'clubName': 'Tottenham Hotspur', 'value': '€75.00m', 'clubID': '148'}, {'age': '30', 'date': '03/11/2022', 'clubName': 'Tottenham Hotspur', 'value': '€70.00m', 'clubID': '148'}, {'age': '30', 'date': '16/03/2023', 'clubName': 'Tottenham Hotspur', 'value': '€60.00m', 'clubID': '148'}, {'age': '30', 'date': '20/06/2023', 'clubName': 'Tottenham Hotspur', 'value': '€50.00m', 'clubID': '148'}, {'age': '31', 'date': '19/12/2023', 'clubName': 'Tottenham Hotspur', 'value': '€50.00m', 'clubID': '148'}, {'age': '31', 'date': '27/05/2024', 'clubName': 'Tottenham Hotspur', 'value': '€45.00m', 'clubID': '148'}, {'age': '32', 'date': '16/12/2024', 'clubName': 'Tottenham Hotspur', 'value': '€38.00m', 'clubID': '148'}, {'age': '32', 'date': '18/03/2025', 'clubName': 'Tottenham Hotspur', 'value': '€30.00m', 'clubID': '148'}, {'age': '32', 'date': '30/05/2025', 'clubName': 'Tottenham Hotspur', 'value': '€20.00m', 'clubID': '148'}, {'age': '33', 'date': '11/12/2025', 'clubName': 'Los Angeles FC', 'value': '€17.00m', 'clubID': '51828'}], 'ranking': {'Worldwide': '756', 'MLS': '3', 'LAFC': '1', 'Korea, South': '3', 'Left Winger': '72', 'Year 1992': '3'}, 'updatedAt': datetime.datetime(2026, 4, 4, 21, 23, 37, 231767)}</t>
  </si>
  <si>
    <t>South Korea</t>
  </si>
  <si>
    <t>1992-07-08</t>
  </si>
  <si>
    <t>Milner</t>
  </si>
  <si>
    <t>{'id': '3333', 'marketValue': '€750k', 'marketValueHistory': [{'age': '18', 'date': '04/10/2004', 'clubName': 'Newcastle United', 'value': '€7.50m', 'clubID': '762'}, {'age': '19', 'date': '01/02/2005', 'clubName': 'Newcastle United', 'value': '€5.50m', 'clubID': '762'}, {'age': '19', 'date': '01/09/2005', 'clubName': 'Aston Villa', 'value': '€6.00m', 'clubID': '405'}, {'age': '20', 'date': '17/04/2006', 'clubName': 'Aston Villa', 'value': '€4.70m', 'clubID': '405'}, {'age': '21', 'date': '01/09/2007', 'clubName': 'Newcastle United', 'value': '€8.00m', 'clubID': '762'}, {'age': '22', 'date': '29/01/2008', 'clubName': 'Newcastle United', 'value': '€8.75m', 'clubID': '762'}, {'age': '22', 'date': '01/09/2008', 'clubName': 'Aston Villa', 'value': '€10.00m', 'clubID': '405'}, {'age': '23', 'date': '23/02/2009', 'clubName': 'Aston Villa', 'value': '€11.50m', 'clubID': '405'}, {'age': '23', 'date': '26/06/2009', 'clubName': 'Aston Villa', 'value': '€13.00m', 'clubID': '405'}, {'age': '24', 'date': '24/01/2010', 'clubName': 'Aston Villa', 'value': '€17.00m', 'clubID': '405'}, {'age': '24', 'date': '13/08/2010', 'clubName': 'Aston Villa', 'value': '€20.00m', 'clubID': '405'}, {'age': '25', 'date': '01/02/2011', 'clubName': 'Manchester City', 'value': '€20.00m', 'clubID': '281'}, {'age': '25', 'date': '08/08/2011', 'clubName': 'Manchester City', 'value': '€18.00m', 'clubID': '281'}, {'age': '26', 'date': '06/02/2012', 'clubName': 'Manchester City', 'value': '€20.00m', 'clubID': '281'}, {'age': '26', 'date': '24/06/2012', 'clubName': 'Manchester City', 'value': '€21.00m', 'clubID': '281'}, {'age': '27', 'date': '28/01/2013', 'clubName': 'Manchester City', 'value': '€17.00m', 'clubID': '281'}, {'age': '27', 'date': '02/07/2013', 'clubName': 'Manchester City', 'value': '€18.00m', 'clubID': '281'}, {'age': '28', 'date': '15/01/2014', 'clubName': 'Manchester City', 'value': '€15.00m', 'clubID': '281'}, {'age': '28', 'date': '12/08/2014', 'clubName': 'Manchester City', 'value': '€14.00m', 'clubID': '281'}, {'age': '29', 'date': '12/02/2015', 'clubName': 'Manchester City', 'value': '€14.00m', 'clubID': '281'}, {'age': '29', 'date': '01/07/2015', 'clubName': 'Liverpool FC', 'value': '€14.00m', 'clubID': '31'}, {'age': '30', 'date': '09/02/2016', 'clubName': 'Liverpool FC', 'value': '€14.00m', 'clubID': '31'}, {'age': '30', 'date': '01/06/2016', 'clubName': 'Liverpool FC', 'value': '€15.00m', 'clubID': '31'}, {'age': '30', 'date': '01/08/2016', 'clubName': 'Liverpool FC', 'value': '€15.00m', 'clubID': '31'}, {'age': '31', 'date': '20/02/2017', 'clubName': 'Liverpool FC', 'value': '€15.00m', 'clubID': '31'}, {'age': '31', 'date': '28/06/2017', 'clubName': 'Liverpool FC', 'value': '€12.00m', 'clubID': '31'}, {'age': '31', 'date': '02/01/2018', 'clubName': 'Liverpool FC', 'value': '€12.00m', 'clubID': '31'}, {'age': '32', 'date': '28/05/2018', 'clubName': 'Liverpool FC', 'value': '€15.00m', 'clubID': '31'}, {'age': '32', 'date': '19/12/2018', 'clubName': 'Liverpool FC', 'value': '€15.00m', 'clubID': '31'}, {'age': '33', 'date': '13/06/2019', 'clubName': 'Liverpool FC', 'value': '€15.00m', 'clubID': '31'}, {'age': '33', 'date': '10/12/2019', 'clubName': 'Liverpool FC', 'value': '€12.00m', 'clubID': '31'}, {'age': '34', 'date': '09/03/2020', 'clubName': 'Liverpool FC', 'value': '€8.00m', 'clubID': '31'}, {'age': '34', 'date': '08/04/2020', 'clubName': 'Liverpool FC', 'value': '€6.50m', 'clubID': '31'}, {'age': '34', 'date': '13/10/2020', 'clubName': 'Liverpool FC', 'value': '€5.00m', 'clubID': '31'}, {'age': '35', 'date': '18/03/2021', 'clubName': 'Liverpool FC', 'value': '€3.00m', 'clubID': '31'}, {'age': '35', 'date': '08/06/2021', 'clubName': 'Liverpool FC', 'value': '€3.00m', 'clubID': '31'}, {'age': '35', 'date': '23/12/2021', 'clubName': 'Liverpool FC', 'value': '€2.00m', 'clubID': '31'}, {'age': '36', 'date': '15/06/2022', 'clubName': 'Liverpool FC', 'value': '€2.00m', 'clubID': '31'}, {'age': '36', 'date': '03/11/2022', 'clubName': 'Liverpool FC', 'value': '€2.00m', 'clubID': '31'}, {'age': '37', 'date': '20/06/2023', 'clubName': 'Liverpool FC', 'value': '€1.50m', 'clubID': '31'}, {'age': '37', 'date': '19/12/2023', 'clubName': 'Brighton &amp; Hove Albion', 'value': '€1.00m', 'clubID': '1237'}, {'age': '38', 'date': '27/05/2024', 'clubName': 'Brighton &amp; Hove Albion', 'value': '€1.00m', 'clubID': '1237'}, {'age': '38', 'date': '16/12/2024', 'clubName': 'Brighton &amp; Hove Albion', 'value': '€1.00m', 'clubID': '1237'}, {'age': '39', 'date': '30/05/2025', 'clubName': 'Brighton &amp; Hove Albion', 'value': '€1.00m', 'clubID': '1237'}, {'age': '39', 'date': '09/12/2025', 'clubName': 'Brighton &amp; Hove Albion', 'value': '€750k', 'clubID': '1237'}], 'ranking': {'Worldwide': '10.302', 'Premier League': '490', 'Brighton': '24', 'England': '476', 'Central Midfield': '1.253', 'Year 1986': '10'}, 'updatedAt': datetime.datetime(2026, 4, 4, 21, 23, 39, 201085)}</t>
  </si>
  <si>
    <t>1986-01-04</t>
  </si>
  <si>
    <t>Tagliafico</t>
  </si>
  <si>
    <t>{'id': '131225', 'marketValue': '€5.00m', 'marketValueHistory': [{'age': '17', 'date': '20/04/2010', 'clubName': 'Unknown', 'value': '€50k', 'clubID': '75'}, {'age': '18', 'date': '01/01/2011', 'clubName': 'Unknown', 'value': '€100k', 'clubID': '75'}, {'age': '20', 'date': '02/12/2012', 'clubName': 'Real Murcia CF', 'value': '€400k', 'clubID': '171'}, {'age': '20', 'date': '12/05/2013', 'clubName': 'Real Murcia CF', 'value': '€500k', 'clubID': '171'}, {'age': '22', 'date': '11/01/2015', 'clubName': 'CA Banfield', 'value': '€1.00m', 'clubID': '830'}, {'age': '22', 'date': '14/07/2015', 'clubName': 'CA Independiente', 'value': '€2.00m', 'clubID': '1234'}, {'age': '23', 'date': '06/02/2016', 'clubName': 'CA Independiente', 'value': '€3.60m', 'clubID': '1234'}, {'age': '23', 'date': '08/08/2016', 'clubName': 'CA Independiente', 'value': '€4.00m', 'clubID': '1234'}, {'age': '24', 'date': '13/02/2017', 'clubName': 'CA Independiente', 'value': '€4.50m', 'clubID': '1234'}, {'age': '25', 'date': '09/10/2017', 'clubName': 'CA Independiente', 'value': '€6.00m', 'clubID': '1234'}, {'age': '25', 'date': '17/01/2018', 'clubName': 'Ajax Amsterdam', 'value': '€7.00m', 'clubID': '610'}, {'age': '25', 'date': '27/03/2018', 'clubName': 'Ajax Amsterdam', 'value': '€9.00m', 'clubID': '610'}, {'age': '25', 'date': '12/06/2018', 'clubName': 'Ajax Amsterdam', 'value': '€12.00m', 'clubID': '610'}, {'age': '26', 'date': '04/10/2018', 'clubName': 'Ajax Amsterdam', 'value': '€16.00m', 'clubID': '610'}, {'age': '26', 'date': '28/12/2018', 'clubName': 'Ajax Amsterdam', 'value': '€20.00m', 'clubID': '610'}, {'age': '26', 'date': '13/03/2019', 'clubName': 'Ajax Amsterdam', 'value': '€25.00m', 'clubID': '610'}, {'age': '26', 'date': '12/06/2019', 'clubName': 'Ajax Amsterdam', 'value': '€28.00m', 'clubID': '610'}, {'age': '27', 'date': '18/12/2019', 'clubName': 'Ajax Amsterdam', 'value': '€35.00m', 'clubID': '610'}, {'age': '27', 'date': '08/04/2020', 'clubName': 'Ajax Amsterdam', 'value': '€28.00m', 'clubID': '610'}, {'age': '28', 'date': '14/10/2020', 'clubName': 'Ajax Amsterdam', 'value': '€28.00m', 'clubID': '610'}, {'age': '28', 'date': '06/01/2021', 'clubName': 'Ajax Amsterdam', 'value': '€25.00m', 'clubID': '610'}, {'age': '28', 'date': '19/05/2021', 'clubName': 'Ajax Amsterdam', 'value': '€22.00m', 'clubID': '610'}, {'age': '29', 'date': '04/10/2021', 'clubName': 'Ajax Amsterdam', 'value': '€18.00m', 'clubID': '610'}, {'age': '29', 'date': '05/01/2022', 'clubName': 'Ajax Amsterdam', 'value': '€16.00m', 'clubID': '610'}, {'age': '29', 'date': '17/03/2022', 'clubName': 'Ajax Amsterdam', 'value': '€12.00m', 'clubID': '610'}, {'age': '29', 'date': '08/06/2022', 'clubName': 'Ajax Amsterdam', 'value': '€11.00m', 'clubID': '610'}, {'age': '30', 'date': '02/11/2022', 'clubName': 'Olympique Lyon', 'value': '€9.00m', 'clubID': '1041'}, {'age': '30', 'date': '27/06/2023', 'clubName': 'Olympique Lyon', 'value': '€9.00m', 'clubID': '1041'}, {'age': '31', 'date': '18/12/2023', 'clubName': 'Olympique Lyon', 'value': '€8.00m', 'clubID': '1041'}, {'age': '31', 'date': '03/06/2024', 'clubName': 'Olympique Lyon', 'value': '€8.00m', 'clubID': '1041'}, {'age': '32', 'date': '10/12/2024', 'clubName': 'Olympique Lyon', 'value': '€7.00m', 'clubID': '1041'}, {'age': '32', 'date': '03/06/2025', 'clubName': 'Olympique Lyon', 'value': '€6.00m', 'clubID': '1041'}, {'age': '33', 'date': '15/12/2025', 'clubName': 'Olympique Lyon', 'value': '€5.00m', 'clubID': '1041'}], 'ranking': {'Worldwide': '2.150', 'Ligue 1': '207', 'Lyon': '19', 'Argentina': '92', 'Left-Back': '138', 'Year 1992': '22'}, 'updatedAt': datetime.datetime(2026, 4, 4, 21, 23, 41, 151053)}</t>
  </si>
  <si>
    <t>Argentina</t>
  </si>
  <si>
    <t>1992-08-31</t>
  </si>
  <si>
    <t>Luis Suarez</t>
  </si>
  <si>
    <t>{'id': '44352', 'marketValue': '€1.50m', 'marketValueHistory': [{'age': '19', 'date': '29/09/2006', 'clubName': 'FC Groningen', 'value': '€250k', 'clubID': '202'}, {'age': '19', 'date': '22/01/2007', 'clubName': 'FC Groningen', 'value': '€1.00m', 'clubID': '202'}, {'age': '20', 'date': '10/08/2007', 'clubName': 'Ajax Amsterdam', 'value': '€7.50m', 'clubID': '610'}, {'age': '20', 'date': '07/01/2008', 'clubName': 'Ajax Amsterdam', 'value': '€8.50m', 'clubID': '610'}, {'age': '21', 'date': '18/07/2008', 'clubName': 'Ajax Amsterdam', 'value': '€10.00m', 'clubID': '610'}, {'age': '21', 'date': '08/01/2009', 'clubName': 'Ajax Amsterdam', 'value': '€13.00m', 'clubID': '610'}, {'age': '22', 'date': '22/05/2009', 'clubName': 'Ajax Amsterdam', 'value': '€15.00m', 'clubID': '610'}, {'age': '22', 'date': '30/12/2009', 'clubName': 'Ajax Amsterdam', 'value': '€20.00m', 'clubID': '610'}, {'age': '23', 'date': '01/08/2010', 'clubName': 'Ajax Amsterdam', 'value': '€25.00m', 'clubID': '610'}, {'age': '25', 'date': '06/02/2012', 'clubName': 'Liverpool FC', 'value': '€28.00m', 'clubID': '31'}, {'age': '25', 'date': '24/06/2012', 'clubName': 'Liverpool FC', 'value': '€29.00m', 'clubID': '31'}, {'age': '26', 'date': '28/01/2013', 'clubName': 'Liverpool FC', 'value': '€36.00m', 'clubID': '31'}, {'age': '26', 'date': '02/07/2013', 'clubName': 'Liverpool FC', 'value': '€42.00m', 'clubID': '31'}, {'age': '26', 'date': '15/01/2014', 'clubName': 'Liverpool FC', 'value': '€52.00m', 'clubID': '31'}, {'age': '27', 'date': '20/07/2014', 'clubName': 'FC Barcelona', 'value': '€60.00m', 'clubID': '131'}, {'age': '27', 'date': '23/01/2015', 'clubName': 'FC Barcelona', 'value': '€60.00m', 'clubID': '131'}, {'age': '28', 'date': '01/07/2015', 'clubName': 'FC Barcelona', 'value': '€80.00m', 'clubID': '131'}, {'age': '28', 'date': '22/11/2015', 'clubName': 'FC Barcelona', 'value': '€90.00m', 'clubID': '131'}, {'age': '29', 'date': '22/02/2016', 'clubName': 'FC Barcelona', 'value': '€90.00m', 'clubID': '131'}, {'age': '29', 'date': '15/07/2016', 'clubName': 'FC Barcelona', 'value': '€90.00m', 'clubID': '131'}, {'age': '30', 'date': '24/01/2017', 'clubName': 'FC Barcelona', 'value': '€90.00m', 'clubID': '131'}, {'age': '30', 'date': '05/06/2017', 'clubName': 'FC Barcelona', 'value': '€90.00m', 'clubID': '131'}, {'age': '30', 'date': '01/01/2018', 'clubName': 'FC Barcelona', 'value': '€85.00m', 'clubID': '131'}, {'age': '31', 'date': '30/05/2018', 'clubName': 'FC Barcelona', 'value': '€70.00m', 'clubID': '131'}, {'age': '31', 'date': '21/12/2018', 'clubName': 'FC Barcelona', 'value': '€60.00m', 'clubID': '131'}, {'age': '32', 'date': '11/06/2019', 'clubName': 'FC Barcelona', 'value': '€50.00m', 'clubID': '131'}, {'age': '32', 'date': '20/12/2019', 'clubName': 'FC Barcelona', 'value': '€40.00m', 'clubID': '131'}, {'age': '33', 'date': '05/03/2020', 'clubName': 'FC Barcelona', 'value': '€35.00m', 'clubID': '131'}, {'age': '33', 'date': '08/04/2020', 'clubName': 'FC Barcelona', 'value': '€28.00m', 'clubID': '131'}, {'age': '33', 'date': '08/10/2020', 'clubName': 'Atlético de Madrid', 'value': '€18.00m', 'clubID': '13'}, {'age': '33', 'date': '05/01/2021', 'clubName': 'Atlético de Madrid', 'value': '€15.00m', 'clubID': '13'}, {'age': '34', 'date': '10/06/2021', 'clubName': 'Atlético de Madrid', 'value': '€15.00m', 'clubID': '13'}, {'age': '34', 'date': '30/12/2021', 'clubName': 'Atlético de Madrid', 'value': '€10.00m', 'clubID': '13'}, {'age': '35', 'date': '03/06/2022', 'clubName': 'Atlético de Madrid', 'value': '€8.00m', 'clubID': '13'}, {'age': '35', 'date': '12/11/2022', 'clubName': 'Club Nacional', 'value': '€4.00m', 'clubID': '866'}, {'age': '36', 'date': '07/04/2023', 'clubName': 'Grêmio Foot-Ball Porto Alegrense', 'value': '€4.00m', 'clubID': '210'}, {'age': '36', 'date': '25/07/2023', 'clubName': 'Grêmio Foot-Ball Porto Alegrense', 'value': '€4.00m', 'clubID': '210'}, {'age': '36', 'date': '11/12/2023', 'clubName': 'Grêmio Foot-Ball Porto Alegrense', 'value': '€4.00m', 'clubID': '210'}, {'age': '37', 'date': '13/06/2024', 'clubName': 'Inter Miami CF', 'value': '€3.00m', 'clubID': '69261'}, {'age': '37', 'date': '12/12/2024', 'clubName': 'Inter Miami CF', 'value': '€2.80m', 'clubID': '69261'}, {'age': '38', 'date': '17/04/2025', 'clubName': 'Inter Miami CF', 'value': '€2.00m', 'clubID': '69261'}, {'age': '38', 'date': '05/06/2025', 'clubName': 'Inter Miami CF', 'value': '€1.80m', 'clubID': '69261'}, {'age': '38', 'date': '11/12/2025', 'clubName': 'Inter Miami CF', 'value': '€1.50m', 'clubID': '69261'}], 'ranking': {'Worldwide': '5.813', 'MLS': '278', 'Miami': '16', 'Uruguay': '100', 'Centre-Forward': '801', 'Year 1987': '4'}, 'updatedAt': datetime.datetime(2026, 4, 4, 21, 23, 43, 203927)}</t>
  </si>
  <si>
    <t>Uruguay</t>
  </si>
  <si>
    <t>1987-01-24</t>
  </si>
  <si>
    <t>Bonucci</t>
  </si>
  <si>
    <t>Juventus</t>
  </si>
  <si>
    <t>{'id': '39983', 'marketValueHistory': [{'age': '19', 'date': '01/06/2006', 'clubName': 'Inter Milan Primavera', 'value': '€50k', 'clubID': '46'}, {'age': '20', 'date': '05/05/2007', 'clubName': 'Inter Milan', 'value': '€50k', 'clubID': '46'}, {'age': '21', 'date': '15/07/2008', 'clubName': 'Treviso FBC 1993', 'value': '€300k', 'clubID': '2251'}, {'age': '22', 'date': '17/06/2009', 'clubName': 'AC Pisa 1909', 'value': '€400k', 'clubID': '4172'}, {'age': '22', 'date': '22/09/2009', 'clubName': 'AS Bari', 'value': '€2.50m', 'clubID': '332'}, {'age': '22', 'date': '27/01/2010', 'clubName': 'AS Bari', 'value': '€5.00m', 'clubID': '332'}, {'age': '22', 'date': '05/03/2010', 'clubName': 'AS Bari', 'value': '€6.00m', 'clubID': '332'}, {'age': '23', 'date': '09/05/2010', 'clubName': 'AS Bari', 'value': '€8.00m', 'clubID': '332'}, {'age': '23', 'date': '02/08/2010', 'clubName': 'Juventus FC', 'value': '€13.00m', 'clubID': '506'}, {'age': '23', 'date': '20/01/2011', 'clubName': 'Juventus FC', 'value': '€15.00m', 'clubID': '506'}, {'age': '24', 'date': '21/06/2011', 'clubName': 'Juventus FC', 'value': '€13.50m', 'clubID': '506'}, {'age': '24', 'date': '11/01/2012', 'clubName': 'Juventus FC', 'value': '€13.50m', 'clubID': '506'}, {'age': '25', 'date': '03/07/2012', 'clubName': 'Juventus FC', 'value': '€15.00m', 'clubID': '506'}, {'age': '25', 'date': '15/01/2013', 'clubName': 'Juventus FC', 'value': '€18.00m', 'clubID': '506'}, {'age': '26', 'date': '19/06/2013', 'clubName': 'Juventus FC', 'value': '€20.00m', 'clubID': '506'}, {'age': '26', 'date': '07/01/2014', 'clubName': 'Juventus FC', 'value': '€20.00m', 'clubID': '506'}, {'age': '27', 'date': '11/07/2014', 'clubName': 'Juventus FC', 'value': '€18.00m', 'clubID': '506'}, {'age': '27', 'date': '07/01/2015', 'clubName': 'Juventus FC', 'value': '€20.00m', 'clubID': '506'}, {'age': '28', 'date': '01/07/2015', 'clubName': 'Juventus FC', 'value': '€26.00m', 'clubID': '506'}, {'age': '28', 'date': '04/01/2016', 'clubName': 'Juventus FC', 'value': '€30.00m', 'clubID': '506'}, {'age': '29', 'date': '01/06/2016', 'clubName': 'Juventus FC', 'value': '€30.00m', 'clubID': '506'}, {'age': '29', 'date': '15/07/2016', 'clubName': 'Juventus FC', 'value': '€35.00m', 'clubID': '506'}, {'age': '29', 'date': '14/10/2016', 'clubName': 'Juventus FC', 'value': '€40.00m', 'clubID': '506'}, {'age': '29', 'date': '02/01/2017', 'clubName': 'Juventus FC', 'value': '€40.00m', 'clubID': '506'}, {'age': '30', 'date': '08/06/2017', 'clubName': 'Juventus FC', 'value': '€45.00m', 'clubID': '506'}, {'age': '30', 'date': '13/10/2017', 'clubName': 'AC Milan', 'value': '€40.00m', 'clubID': '5'}, {'age': '30', 'date': '29/12/2017', 'clubName': 'AC Milan', 'value': '€35.00m', 'clubID': '5'}, {'age': '31', 'date': '07/06/2018', 'clubName': 'AC Milan', 'value': '€35.00m', 'clubID': '5'}, {'age': '31', 'date': '20/12/2018', 'clubName': 'Juventus FC', 'value': '€35.00m', 'clubID': '506'}, {'age': '32', 'date': '06/06/2019', 'clubName': 'Juventus FC', 'value': '€28.00m', 'clubID': '506'}, {'age': '32', 'date': '12/12/2019', 'clubName': 'Juventus FC', 'value': '€25.00m', 'clubID': '506'}, {'age': '32', 'date': '08/04/2020', 'clubName': 'Juventus FC', 'value': '€20.00m', 'clubID': '506'}, {'age': '33', 'date': '25/08/2020', 'clubName': 'Juventus FC', 'value': '€18.00m', 'clubID': '506'}, {'age': '33', 'date': '29/12/2020', 'clubName': 'Juventus FC', 'value': '€13.00m', 'clubID': '506'}, {'age': '33', 'date': '23/03/2021', 'clubName': 'Juventus FC', 'value': '€10.00m', 'clubID': '506'}, {'age': '34', 'date': '25/05/2021', 'clubName': 'Juventus FC', 'value': '€8.00m', 'clubID': '506'}, {'age': '34', 'date': '28/12/2021', 'clubName': 'Juventus FC', 'value': '€8.00m', 'clubID': '506'}, {'age': '35', 'date': '07/06/2022', 'clubName': 'Juventus FC', 'value': '€6.00m', 'clubID': '506'}, {'age': '35', 'date': '11/11/2022', 'clubName': 'Juventus FC', 'value': '€4.00m', 'clubID': '506'}, {'age': '35', 'date': '21/03/2023', 'clubName': 'Juventus FC', 'value': '€2.50m', 'clubID': '506'}, {'age': '36', 'date': '15/06/2023', 'clubName': 'Juventus FC', 'value': '€1.50m', 'clubID': '506'}, {'age': '36', 'date': '14/12/2023', 'clubName': '1.FC Union Berlin', 'value': '€1.50m', 'clubID': '89'}, {'age': '36', 'date': '15/03/2024', 'clubName': 'Fenerbahce', 'value': '€1.30m', 'clubID': '36'}, {'age': '37', 'date': '31/05/2024', 'clubName': 'Fenerbahce', 'value': '€1.00m', 'clubID': '36'}, {'age': '37', 'date': '01/07/2024', 'clubName': 'Retired', 'clubID': '123'}], 'updatedAt': datetime.datetime(2026, 4, 4, 21, 23, 45, 48237)}</t>
  </si>
  <si>
    <t>Italy</t>
  </si>
  <si>
    <t>1987-05-01</t>
  </si>
  <si>
    <t>Ederson</t>
  </si>
  <si>
    <t>Man City</t>
  </si>
  <si>
    <t>{'id': '238223', 'marketValue': '€13.00m', 'marketValueHistory': [{'age': '19', 'date': '03/04/2013', 'clubName': 'Rio Ave FC', 'value': '€300k', 'clubID': '2425'}, {'age': '19', 'date': '02/07/2013', 'clubName': 'Rio Ave FC', 'value': '€300k', 'clubID': '2425'}, {'age': '20', 'date': '25/07/2014', 'clubName': 'Rio Ave FC', 'value': '€900k', 'clubID': '2425'}, {'age': '21', 'date': '17/02/2015', 'clubName': 'Rio Ave FC', 'value': '€600k', 'clubID': '2425'}, {'age': '21', 'date': '01/07/2015', 'clubName': 'SL Benfica', 'value': '€1.20m', 'clubID': '294'}, {'age': '22', 'date': '24/02/2016', 'clubName': 'SL Benfica', 'value': '€1.20m', 'clubID': '294'}, {'age': '22', 'date': '29/07/2016', 'clubName': 'SL Benfica', 'value': '€7.00m', 'clubID': '294'}, {'age': '23', 'date': '22/02/2017', 'clubName': 'SL Benfica', 'value': '€12.00m', 'clubID': '294'}, {'age': '23', 'date': '26/06/2017', 'clubName': 'SL Benfica', 'value': '€22.00m', 'clubID': '294'}, {'age': '24', 'date': '23/10/2017', 'clubName': 'Manchester City', 'value': '€25.00m', 'clubID': '281'}, {'age': '24', 'date': '02/01/2018', 'clubName': 'Manchester City', 'value': '€35.00m', 'clubID': '281'}, {'age': '24', 'date': '23/03/2018', 'clubName': 'Manchester City', 'value': '€45.00m', 'clubID': '281'}, {'age': '24', 'date': '28/05/2018', 'clubName': 'Manchester City', 'value': '€50.00m', 'clubID': '281'}, {'age': '25', 'date': '17/10/2018', 'clubName': 'Manchester City', 'value': '€60.00m', 'clubID': '281'}, {'age': '25', 'date': '19/12/2018', 'clubName': 'Manchester City', 'value': '€60.00m', 'clubID': '281'}, {'age': '25', 'date': '13/06/2019', 'clubName': 'Manchester City', 'value': '€70.00m', 'clubID': '281'}, {'age': '26', 'date': '10/12/2019', 'clubName': 'Manchester City', 'value': '€70.00m', 'clubID': '281'}, {'age': '26', 'date': '08/04/2020', 'clubName': 'Manchester City', 'value': '€56.00m', 'clubID': '281'}, {'age': '27', 'date': '13/10/2020', 'clubName': 'Manchester City', 'value': '€56.00m', 'clubID': '281'}, {'age': '27', 'date': '18/03/2021', 'clubName': 'Manchester City', 'value': '€56.00m', 'clubID': '281'}, {'age': '27', 'date': '08/06/2021', 'clubName': 'Manchester City', 'value': '€50.00m', 'clubID': '281'}, {'age': '28', 'date': '23/12/2021', 'clubName': 'Manchester City', 'value': '€50.00m', 'clubID': '281'}, {'age': '28', 'date': '15/06/2022', 'clubName': 'Manchester City', 'value': '€45.00m', 'clubID': '281'}, {'age': '29', 'date': '03/11/2022', 'clubName': 'Manchester City', 'value': '€45.00m', 'clubID': '281'}, {'age': '29', 'date': '20/06/2023', 'clubName': 'Manchester City', 'value': '€40.00m', 'clubID': '281'}, {'age': '30', 'date': '19/12/2023', 'clubName': 'Manchester City', 'value': '€40.00m', 'clubID': '281'}, {'age': '30', 'date': '27/05/2024', 'clubName': 'Manchester City', 'value': '€35.00m', 'clubID': '281'}, {'age': '31', 'date': '16/12/2024', 'clubName': 'Manchester City', 'value': '€30.00m', 'clubID': '281'}, {'age': '31', 'date': '18/03/2025', 'clubName': 'Manchester City', 'value': '€25.00m', 'clubID': '281'}, {'age': '31', 'date': '30/05/2025', 'clubName': 'Manchester City', 'value': '€20.00m', 'clubID': '281'}, {'age': '32', 'date': '01/10/2025', 'clubName': 'Fenerbahce', 'value': '€18.00m', 'clubID': '36'}, {'age': '32', 'date': '17/12/2025', 'clubName': 'Fenerbahce', 'value': '€15.00m', 'clubID': '36'}, {'age': '32', 'date': '05/03/2026', 'clubName': 'Fenerbahce', 'value': '€13.00m', 'clubID': '36'}], 'ranking': {'Worldwide': '974', 'Süper Lig': '25', 'Fenerbahçe': '9', 'Brazil': '79', 'Goalkeeper': '47', 'Year 1993': '3'}, 'updatedAt': datetime.datetime(2026, 4, 4, 21, 23, 46, 865456)}</t>
  </si>
  <si>
    <t>Portugal</t>
  </si>
  <si>
    <t>1993-08-17</t>
  </si>
  <si>
    <t>Szczesny</t>
  </si>
  <si>
    <t>{'id': '44058', 'marketValue': '€900k', 'marketValueHistory': [{'age': '16', 'date': '09/03/2007', 'clubName': 'Arsenal FC U18', 'value': '€100k', 'clubID': '5679'}, {'age': '17', 'date': '19/03/2008', 'clubName': 'Arsenal FC U18', 'value': '€100k', 'clubID': '5679'}, {'age': '19', 'date': '06/08/2009', 'clubName': 'Arsenal FC', 'value': '€50k', 'clubID': '11'}, {'age': '19', 'date': '23/11/2009', 'clubName': 'Brentford FC', 'value': '€400k', 'clubID': '1148'}, {'age': '20', 'date': '21/04/2010', 'clubName': 'Brentford FC', 'value': '€475k', 'clubID': '1148'}, {'age': '20', 'date': '25/09/2010', 'clubName': 'Arsenal FC', 'value': '€525k', 'clubID': '11'}, {'age': '20', 'date': '01/02/2011', 'clubName': 'Arsenal FC', 'value': '€2.00m', 'clubID': '11'}, {'age': '21', 'date': '08/08/2011', 'clubName': 'Arsenal FC', 'value': '€5.50m', 'clubID': '11'}, {'age': '21', 'date': '06/02/2012', 'clubName': 'Arsenal FC', 'value': '€12.00m', 'clubID': '11'}, {'age': '22', 'date': '24/06/2012', 'clubName': 'Arsenal FC', 'value': '€14.00m', 'clubID': '11'}, {'age': '22', 'date': '28/01/2013', 'clubName': 'Arsenal FC', 'value': '€15.00m', 'clubID': '11'}, {'age': '23', 'date': '02/07/2013', 'clubName': 'Arsenal FC', 'value': '€14.00m', 'clubID': '11'}, {'age': '23', 'date': '15/01/2014', 'clubName': 'Arsenal FC', 'value': '€15.00m', 'clubID': '11'}, {'age': '24', 'date': '12/08/2014', 'clubName': 'Arsenal FC', 'value': '€16.00m', 'clubID': '11'}, {'age': '24', 'date': '12/02/2015', 'clubName': 'Arsenal FC', 'value': '€14.00m', 'clubID': '11'}, {'age': '25', 'date': '01/07/2015', 'clubName': 'Arsenal FC', 'value': '€10.00m', 'clubID': '11'}, {'age': '25', 'date': '04/01/2016', 'clubName': 'AS Roma', 'value': '€10.00m', 'clubID': '12'}, {'age': '26', 'date': '01/06/2016', 'clubName': 'AS Roma', 'value': '€12.00m', 'clubID': '12'}, {'age': '26', 'date': '01/08/2016', 'clubName': 'AS Roma', 'value': '€12.00m', 'clubID': '12'}, {'age': '26', 'date': '02/01/2017', 'clubName': 'AS Roma', 'value': '€14.00m', 'clubID': '12'}, {'age': '27', 'date': '08/06/2017', 'clubName': 'AS Roma', 'value': '€17.00m', 'clubID': '12'}, {'age': '27', 'date': '29/12/2017', 'clubName': 'Juventus FC', 'value': '€18.00m', 'clubID': '506'}, {'age': '27', 'date': '24/03/2018', 'clubName': 'Juventus FC', 'value': '€20.00m', 'clubID': '506'}, {'age': '28', 'date': '07/06/2018', 'clubName': 'Juventus FC', 'value': '€20.00m', 'clubID': '506'}, {'age': '28', 'date': '20/12/2018', 'clubName': 'Juventus FC', 'value': '€30.00m', 'clubID': '506'}, {'age': '29', 'date': '06/06/2019', 'clubName': 'Juventus FC', 'value': '€35.00m', 'clubID': '506'}, {'age': '29', 'date': '12/12/2019', 'clubName': 'Juventus FC', 'value': '€40.00m', 'clubID': '506'}, {'age': '29', 'date': '08/04/2020', 'clubName': 'Juventus FC', 'value': '€32.00m', 'clubID': '506'}, {'age': '30', 'date': '25/08/2020', 'clubName': 'Juventus FC', 'value': '€35.00m', 'clubID': '506'}, {'age': '30', 'date': '29/12/2020', 'clubName': 'Juventus FC', 'value': '€35.00m', 'clubID': '506'}, {'age': '31', 'date': '31/05/2021', 'clubName': 'Juventus FC', 'value': '€25.00m', 'clubID': '506'}, {'age': '31', 'date': '14/10/2021', 'clubName': 'Juventus FC', 'value': '€15.00m', 'clubID': '506'}, {'age': '31', 'date': '28/12/2021', 'clubName': 'Juventus FC', 'value': '€15.00m', 'clubID': '506'}, {'age': '32', 'date': '07/06/2022', 'clubName': 'Juventus FC', 'value': '€15.00m', 'clubID': '506'}, {'age': '32', 'date': '11/11/2022', 'clubName': 'Juventus FC', 'value': '€13.00m', 'clubID': '506'}, {'age': '33', 'date': '15/06/2023', 'clubName': 'Juventus FC', 'value': '€10.00m', 'clubID': '506'}, {'age': '33', 'date': '20/12/2023', 'clubName': 'Juventus FC', 'value': '€8.00m', 'clubID': '506'}, {'age': '34', 'date': '05/06/2024', 'clubName': 'Juventus FC', 'value': '€6.00m', 'clubID': '506'}, {'age': '34', 'date': '11/10/2024', 'clubName': 'FC Barcelona', 'value': '€3.00m', 'clubID': '131'}, {'age': '34', 'date': '27/12/2024', 'clubName': 'FC Barcelona', 'value': '€1.00m', 'clubID': '131'}, {'age': '35', 'date': '09/06/2025', 'clubName': 'FC Barcelona', 'value': '€1.00m', 'clubID': '131'}, {'age': '35', 'date': '12/12/2025', 'clubName': 'FC Barcelona', 'value': '€900k', 'clubID': '131'}], 'ranking': {'Worldwide': '8.699', 'LaLiga': '461', 'Barcelona': '23', 'Poland': '101', 'Goalkeeper': '533', 'Year 1990': '35'}, 'updatedAt': datetime.datetime(2026, 4, 4, 21, 23, 50, 309577)}</t>
  </si>
  <si>
    <t>Poland</t>
  </si>
  <si>
    <t>1990-04-18</t>
  </si>
  <si>
    <t>Schone</t>
  </si>
  <si>
    <t>{'id': '34784', 'marketValueHistory': [{'age': '20', 'date': '29/09/2006', 'clubName': 'De Graafschap Doetinchem', 'value': '€100k', 'clubID': '642'}, {'age': '21', 'date': '28/10/2007', 'clubName': 'De Graafschap Doetinchem', 'value': '€1.00m', 'clubID': '642'}, {'age': '21', 'date': '29/01/2008', 'clubName': 'De Graafschap Doetinchem', 'value': '€1.20m', 'clubID': '642'}, {'age': '22', 'date': '08/08/2008', 'clubName': 'NEC Nijmegen', 'value': '€1.50m', 'clubID': '467'}, {'age': '22', 'date': '08/01/2009', 'clubName': 'NEC Nijmegen', 'value': '€1.75m', 'clubID': '467'}, {'age': '23', 'date': '08/06/2009', 'clubName': 'NEC Nijmegen', 'value': '€2.00m', 'clubID': '467'}, {'age': '24', 'date': '25/08/2010', 'clubName': 'NEC Nijmegen', 'value': '€2.25m', 'clubID': '467'}, {'age': '25', 'date': '22/06/2011', 'clubName': 'NEC Nijmegen', 'value': '€2.50m', 'clubID': '467'}, {'age': '26', 'date': '13/07/2012', 'clubName': 'Ajax Amsterdam', 'value': '€4.00m', 'clubID': '610'}, {'age': '27', 'date': '28/05/2013', 'clubName': 'Ajax Amsterdam', 'value': '€5.00m', 'clubID': '610'}, {'age': '27', 'date': '11/02/2014', 'clubName': 'Ajax Amsterdam', 'value': '€5.00m', 'clubID': '610'}, {'age': '28', 'date': '11/08/2014', 'clubName': 'Ajax Amsterdam', 'value': '€7.00m', 'clubID': '610'}, {'age': '28', 'date': '16/02/2015', 'clubName': 'Ajax Amsterdam', 'value': '€7.00m', 'clubID': '610'}, {'age': '29', 'date': '01/07/2015', 'clubName': 'Ajax Amsterdam', 'value': '€5.50m', 'clubID': '610'}, {'age': '29', 'date': '11/11/2015', 'clubName': 'Ajax Amsterdam', 'value': '€4.50m', 'clubID': '610'}, {'age': '29', 'date': '05/02/2016', 'clubName': 'Ajax Amsterdam', 'value': '€3.00m', 'clubID': '610'}, {'age': '30', 'date': '15/07/2016', 'clubName': 'Ajax Amsterdam', 'value': '€3.00m', 'clubID': '610'}, {'age': '30', 'date': '18/01/2017', 'clubName': 'Ajax Amsterdam', 'value': '€3.25m', 'clubID': '610'}, {'age': '31', 'date': '07/06/2017', 'clubName': 'Ajax Amsterdam', 'value': '€3.50m', 'clubID': '610'}, {'age': '31', 'date': '17/01/2018', 'clubName': 'Ajax Amsterdam', 'value': '€3.50m', 'clubID': '610'}, {'age': '32', 'date': '12/06/2018', 'clubName': 'Ajax Amsterdam', 'value': '€3.00m', 'clubID': '610'}, {'age': '32', 'date': '28/12/2018', 'clubName': 'Ajax Amsterdam', 'value': '€3.00m', 'clubID': '610'}, {'age': '33', 'date': '12/06/2019', 'clubName': 'Ajax Amsterdam', 'value': '€3.00m', 'clubID': '610'}, {'age': '33', 'date': '12/12/2019', 'clubName': 'Genoa CFC', 'value': '€2.50m', 'clubID': '252'}, {'age': '33', 'date': '08/04/2020', 'clubName': 'Genoa CFC', 'value': '€2.00m', 'clubID': '252'}, {'age': '34', 'date': '25/08/2020', 'clubName': 'Genoa CFC', 'value': '€1.50m', 'clubID': '252'}, {'age': '34', 'date': '29/12/2020', 'clubName': 'Genoa CFC', 'value': '€800k', 'clubID': '252'}, {'age': '34', 'date': '26/05/2021', 'clubName': 'SC Heerenveen', 'value': '€750k', 'clubID': '306'}, {'age': '35', 'date': '04/10/2021', 'clubName': 'NEC Nijmegen', 'value': '€500k', 'clubID': '467'}, {'age': '35', 'date': '05/01/2022', 'clubName': 'NEC Nijmegen', 'value': '€350k', 'clubID': '467'}, {'age': '36', 'date': '08/06/2022', 'clubName': 'NEC Nijmegen', 'value': '€300k', 'clubID': '467'}, {'age': '36', 'date': '11/11/2022', 'clubName': 'NEC Nijmegen', 'value': '€300k', 'clubID': '467'}, {'age': '37', 'date': '23/06/2023', 'clubName': 'NEC Nijmegen', 'value': '€250k', 'clubID': '467'}, {'age': '37', 'date': '15/12/2023', 'clubName': 'NEC Nijmegen', 'value': '€225k', 'clubID': '467'}, {'age': '38', 'date': '31/05/2024', 'clubName': 'NEC Nijmegen', 'value': '€175k', 'clubID': '467'}, {'age': '38', 'date': '17/12/2024', 'clubName': 'NEC Nijmegen', 'value': '€150k', 'clubID': '467'}, {'age': '38', 'date': '28/03/2025', 'clubName': 'NEC Nijmegen', 'value': '€100k', 'clubID': '467'}, {'age': '39', 'date': '28/05/2025', 'clubName': 'NEC Nijmegen', 'value': '€75k', 'clubID': '467'}, {'age': '39', 'date': '01/07/2025', 'clubName': 'Retired', 'clubID': '123'}], 'updatedAt': datetime.datetime(2026, 4, 4, 21, 23, 52, 731737)}</t>
  </si>
  <si>
    <t>1986-05-27</t>
  </si>
  <si>
    <t>Laporte</t>
  </si>
  <si>
    <t>{'id': '176553', 'marketValue': '€9.00m', 'marketValueHistory': [{'age': '18', 'date': '17/12/2012', 'clubName': 'Athletic Bilbao', 'value': '€600k', 'clubID': '621'}, {'age': '18', 'date': '11/01/2013', 'clubName': 'Athletic Bilbao', 'value': '€1.00m', 'clubID': '621'}, {'age': '19', 'date': '12/06/2013', 'clubName': 'Athletic Bilbao', 'value': '€2.00m', 'clubID': '621'}, {'age': '19', 'date': '21/10/2013', 'clubName': 'Athletic Bilbao', 'value': '€4.00m', 'clubID': '621'}, {'age': '19', 'date': '23/01/2014', 'clubName': 'Athletic Bilbao', 'value': '€10.00m', 'clubID': '621'}, {'age': '20', 'date': '20/07/2014', 'clubName': 'Athletic Bilbao', 'value': '€15.00m', 'clubID': '621'}, {'age': '20', 'date': '23/01/2015', 'clubName': 'Athletic Bilbao', 'value': '€15.00m', 'clubID': '621'}, {'age': '21', 'date': '01/07/2015', 'clubName': 'Athletic Bilbao', 'value': '€15.00m', 'clubID': '621'}, {'age': '21', 'date': '22/11/2015', 'clubName': 'Athletic Bilbao', 'value': '€20.00m', 'clubID': '621'}, {'age': '21', 'date': '22/02/2016', 'clubName': 'Athletic Bilbao', 'value': '€25.00m', 'clubID': '621'}, {'age': '22', 'date': '15/07/2016', 'clubName': 'Athletic Bilbao', 'value': '€25.00m', 'clubID': '621'}, {'age': '22', 'date': '24/01/2017', 'clubName': 'Athletic Bilbao', 'value': '€25.00m', 'clubID': '621'}, {'age': '23', 'date': '05/06/2017', 'clubName': 'Athletic Bilbao', 'value': '€25.00m', 'clubID': '621'}, {'age': '23', 'date': '01/01/2018', 'clubName': 'Athletic Bilbao', 'value': '€25.00m', 'clubID': '621'}, {'age': '23', 'date': '23/03/2018', 'clubName': 'Manchester City', 'value': '€50.00m', 'clubID': '281'}, {'age': '24', 'date': '28/05/2018', 'clubName': 'Manchester City', 'value': '€50.00m', 'clubID': '281'}, {'age': '24', 'date': '19/12/2018', 'clubName': 'Manchester City', 'value': '€60.00m', 'clubID': '281'}, {'age': '25', 'date': '13/06/2019', 'clubName': 'Manchester City', 'value': '€75.00m', 'clubID': '281'}, {'age': '25', 'date': '10/12/2019', 'clubName': 'Manchester City', 'value': '€75.00m', 'clubID': '281'}, {'age': '25', 'date': '08/04/2020', 'clubName': 'Manchester City', 'value': '€60.00m', 'clubID': '281'}, {'age': '26', 'date': '13/10/2020', 'clubName': 'Manchester City', 'value': '€60.00m', 'clubID': '281'}, {'age': '26', 'date': '18/03/2021', 'clubName': 'Manchester City', 'value': '€50.00m', 'clubID': '281'}, {'age': '27', 'date': '31/05/2021', 'clubName': 'Manchester City', 'value': '€45.00m', 'clubID': '281'}, {'age': '27', 'date': '23/12/2021', 'clubName': 'Manchester City', 'value': '€45.00m', 'clubID': '281'}, {'age': '28', 'date': '15/06/2022', 'clubName': 'Manchester City', 'value': '€45.00m', 'clubID': '281'}, {'age': '28', 'date': '03/11/2022', 'clubName': 'Manchester City', 'value': '€38.00m', 'clubID': '281'}, {'age': '28', 'date': '16/03/2023', 'clubName': 'Manchester City', 'value': '€30.00m', 'clubID': '281'}, {'age': '29', 'date': '20/06/2023', 'clubName': 'Manchester City', 'value': '€25.00m', 'clubID': '281'}, {'age': '29', 'date': '15/12/2023', 'clubName': 'Al-Nassr FC', 'value': '€25.00m', 'clubID': '18544'}, {'age': '30', 'date': '04/06/2024', 'clubName': 'Al-Nassr FC', 'value': '€20.00m', 'clubID': '18544'}, {'age': '30', 'date': '13/12/2024', 'clubName': 'Al-Nassr FC', 'value': '€18.00m', 'clubID': '18544'}, {'age': '31', 'date': '27/05/2025', 'clubName': 'Al-Nassr FC', 'value': '€15.00m', 'clubID': '18544'}, {'age': '31', 'date': '02/10/2025', 'clubName': 'Athletic Bilbao', 'value': '€10.00m', 'clubID': '621'}, {'age': '31', 'date': '12/12/2025', 'clubName': 'Athletic Bilbao', 'value': '€9.00m', 'clubID': '621'}], 'ranking': {'Worldwide': '1.370', 'LaLiga': '143', 'Athletic Club': '9', 'Spain': '111', 'Centre-Back': '248', 'Year 1994': '21'}, 'updatedAt': datetime.datetime(2026, 4, 4, 21, 23, 54, 490055)}</t>
  </si>
  <si>
    <t>1994-05-27</t>
  </si>
  <si>
    <t>Sterling</t>
  </si>
  <si>
    <t>{'id': '134425', 'marketValue': '€5.00m', 'marketValueHistory': [{'age': '17', 'date': '11/09/2012', 'clubName': 'Liverpool FC', 'value': '€2.50m', 'clubID': '31'}, {'age': '18', 'date': '28/01/2013', 'clubName': 'Liverpool FC', 'value': '€11.50m', 'clubID': '31'}, {'age': '18', 'date': '02/07/2013', 'clubName': 'Liverpool FC', 'value': '€12.50m', 'clubID': '31'}, {'age': '19', 'date': '15/01/2014', 'clubName': 'Liverpool FC', 'value': '€13.00m', 'clubID': '31'}, {'age': '19', 'date': '12/08/2014', 'clubName': 'Liverpool FC', 'value': '€20.00m', 'clubID': '31'}, {'age': '20', 'date': '12/02/2015', 'clubName': 'Liverpool FC', 'value': '€30.00m', 'clubID': '31'}, {'age': '20', 'date': '01/07/2015', 'clubName': 'Liverpool FC', 'value': '€40.00m', 'clubID': '31'}, {'age': '20', 'date': '14/10/2015', 'clubName': 'Manchester City', 'value': '€50.00m', 'clubID': '281'}, {'age': '21', 'date': '09/02/2016', 'clubName': 'Manchester City', 'value': '€50.00m', 'clubID': '281'}, {'age': '21', 'date': '01/06/2016', 'clubName': 'Manchester City', 'value': '€45.00m', 'clubID': '281'}, {'age': '21', 'date': '01/08/2016', 'clubName': 'Manchester City', 'value': '€45.00m', 'clubID': '281'}, {'age': '22', 'date': '20/02/2017', 'clubName': 'Manchester City', 'value': '€45.00m', 'clubID': '281'}, {'age': '22', 'date': '28/06/2017', 'clubName': 'Manchester City', 'value': '€45.00m', 'clubID': '281'}, {'age': '22', 'date': '23/10/2017', 'clubName': 'Manchester City', 'value': '€50.00m', 'clubID': '281'}, {'age': '23', 'date': '02/01/2018', 'clubName': 'Manchester City', 'value': '€80.00m', 'clubID': '281'}, {'age': '23', 'date': '28/05/2018', 'clubName': 'Manchester City', 'value': '€90.00m', 'clubID': '281'}, {'age': '24', 'date': '19/12/2018', 'clubName': 'Manchester City', 'value': '€120.00m', 'clubID': '281'}, {'age': '24', 'date': '13/06/2019', 'clubName': 'Manchester City', 'value': '€140.00m', 'clubID': '281'}, {'age': '25', 'date': '10/12/2019', 'clubName': 'Manchester City', 'value': '€160.00m', 'clubID': '281'}, {'age': '25', 'date': '08/04/2020', 'clubName': 'Manchester City', 'value': '€128.00m', 'clubID': '281'}, {'age': '25', 'date': '13/10/2020', 'clubName': 'Manchester City', 'value': '€128.00m', 'clubID': '281'}, {'age': '26', 'date': '17/12/2020', 'clubName': 'Manchester City', 'value': '€110.00m', 'clubID': '281'}, {'age': '26', 'date': '18/03/2021', 'clubName': 'Manchester City', 'value': '€100.00m', 'clubID': '281'}, {'age': '26', 'date': '28/05/2021', 'clubName': 'Manchester City', 'value': '€90.00m', 'clubID': '281'}, {'age': '27', 'date': '23/12/2021', 'clubName': 'Manchester City', 'value': '€85.00m', 'clubID': '281'}, {'age': '27', 'date': '15/06/2022', 'clubName': 'Manchester City', 'value': '€70.00m', 'clubID': '281'}, {'age': '27', 'date': '03/11/2022', 'clubName': 'Chelsea FC', 'value': '€70.00m', 'clubID': '631'}, {'age': '28', 'date': '16/03/2023', 'clubName': 'Chelsea FC', 'value': '€60.00m', 'clubID': '631'}, {'age': '28', 'date': '20/06/2023', 'clubName': 'Chelsea FC', 'value': '€55.00m', 'clubID': '631'}, {'age': '28', 'date': '09/10/2023', 'clubName': 'Chelsea FC', 'value': '€50.00m', 'clubID': '631'}, {'age': '29', 'date': '19/12/2023', 'clubName': 'Chelsea FC', 'value': '€45.00m', 'clubID': '631'}, {'age': '29', 'date': '27/05/2024', 'clubName': 'Chelsea FC', 'value': '€35.00m', 'clubID': '631'}, {'age': '30', 'date': '16/12/2024', 'clubName': 'Arsenal FC', 'value': '€22.00m', 'clubID': '11'}, {'age': '30', 'date': '18/03/2025', 'clubName': 'Arsenal FC', 'value': '€15.00m', 'clubID': '11'}, {'age': '30', 'date': '30/05/2025', 'clubName': 'Arsenal FC', 'value': '€10.00m', 'clubID': '11'}, {'age': '30', 'date': '17/10/2025', 'clubName': 'Chelsea FC', 'value': '€7.00m', 'clubID': '631'}, {'age': '31', 'date': '09/12/2025', 'clubName': 'Chelsea FC', 'value': '€5.00m', 'clubID': '631'}], 'ranking': {'Worldwide': '2.150', 'Eredivisie': '64', 'Feyenoord': '16', 'England': '185', 'Right Winger': '184', 'Year 1994': '45'}, 'updatedAt': datetime.datetime(2026, 4, 4, 21, 23, 56, 138066)}</t>
  </si>
  <si>
    <t>1994-12-08</t>
  </si>
  <si>
    <t>Coutinho</t>
  </si>
  <si>
    <t>{'id': '80444', 'marketValue': '€3.50m', 'marketValueHistory': [{'age': '16', 'date': '24/07/2008', 'clubName': 'Clube de Regatas Vasco da Gama', 'value': '€1.00m', 'clubID': '978'}, {'age': '17', 'date': '06/09/2009', 'clubName': 'Clube de Regatas Vasco da Gama', 'value': '€600k', 'clubID': '978'}, {'age': '17', 'date': '08/12/2009', 'clubName': 'Clube de Regatas Vasco da Gama', 'value': '€1.00m', 'clubID': '978'}, {'age': '17', 'date': '15/04/2010', 'clubName': 'Clube de Regatas Vasco da Gama', 'value': '€2.50m', 'clubID': '978'}, {'age': '18', 'date': '02/08/2010', 'clubName': 'Inter Milan', 'value': '€4.50m', 'clubID': '46'}, {'age': '18', 'date': '20/01/2011', 'clubName': 'Inter Milan', 'value': '€7.00m', 'clubID': '46'}, {'age': '19', 'date': '21/06/2011', 'clubName': 'Inter Milan', 'value': '€7.00m', 'clubID': '46'}, {'age': '19', 'date': '11/01/2012', 'clubName': 'Inter Milan', 'value': '€8.00m', 'clubID': '46'}, {'age': '19', 'date': '03/02/2012', 'clubName': 'RCD Espanyol Barcelona', 'value': '€7.00m', 'clubID': '714'}, {'age': '20', 'date': '03/07/2012', 'clubName': 'Inter Milan', 'value': '€8.50m', 'clubID': '46'}, {'age': '20', 'date': '15/01/2013', 'clubName': 'Inter Milan', 'value': '€9.00m', 'clubID': '46'}, {'age': '20', 'date': '03/02/2013', 'clubName': 'Liverpool FC', 'value': '€10.00m', 'clubID': '31'}, {'age': '21', 'date': '02/07/2013', 'clubName': 'Liverpool FC', 'value': '€14.00m', 'clubID': '31'}, {'age': '21', 'date': '15/01/2014', 'clubName': 'Liverpool FC', 'value': '€16.00m', 'clubID': '31'}, {'age': '22', 'date': '12/08/2014', 'clubName': 'Liverpool FC', 'value': '€20.00m', 'clubID': '31'}, {'age': '22', 'date': '12/02/2015', 'clubName': 'Liverpool FC', 'value': '€25.00m', 'clubID': '31'}, {'age': '23', 'date': '01/07/2015', 'clubName': 'Liverpool FC', 'value': '€30.00m', 'clubID': '31'}, {'age': '23', 'date': '09/02/2016', 'clubName': 'Liverpool FC', 'value': '€32.00m', 'clubID': '31'}, {'age': '24', 'date': '01/08/2016', 'clubName': 'Liverpool FC', 'value': '€35.00m', 'clubID': '31'}, {'age': '24', 'date': '20/02/2017', 'clubName': 'Liverpool FC', 'value': '€40.00m', 'clubID': '31'}, {'age': '25', 'date': '28/06/2017', 'clubName': 'Liverpool FC', 'value': '€45.00m', 'clubID': '31'}, {'age': '25', 'date': '23/10/2017', 'clubName': 'Liverpool FC', 'value': '€65.00m', 'clubID': '31'}, {'age': '25', 'date': '02/01/2018', 'clubName': 'Liverpool FC', 'value': '€90.00m', 'clubID': '31'}, {'age': '25', 'date': '22/03/2018', 'clubName': 'FC Barcelona', 'value': '€100.00m', 'clubID': '131'}, {'age': '25', 'date': '30/05/2018', 'clubName': 'FC Barcelona', 'value': '€100.00m', 'clubID': '131'}, {'age': '26', 'date': '16/07/2018', 'clubName': 'FC Barcelona', 'value': '€120.00m', 'clubID': '131'}, {'age': '26', 'date': '31/10/2018', 'clubName': 'FC Barcelona', 'value': '€150.00m', 'clubID': '131'}, {'age': '26', 'date': '21/12/2018', 'clubName': 'FC Barcelona', 'value': '€140.00m', 'clubID': '131'}, {'age': '26', 'date': '28/02/2019', 'clubName': 'FC Barcelona', 'value': '€100.00m', 'clubID': '131'}, {'age': '26', 'date': '11/06/2019', 'clubName': 'FC Barcelona', 'value': '€90.00m', 'clubID': '131'}, {'age': '27', 'date': '17/12/2019', 'clubName': 'Bayern Munich', 'value': '€70.00m', 'clubID': '27'}, {'age': '27', 'date': '08/04/2020', 'clubName': 'Bayern Munich', 'value': '€56.00m', 'clubID': '27'}, {'age': '28', 'date': '08/10/2020', 'clubName': 'FC Barcelona', 'value': '€60.00m', 'clubID': '131'}, {'age': '28', 'date': '05/01/2021', 'clubName': 'FC Barcelona', 'value': '€50.00m', 'clubID': '131'}, {'age': '28', 'date': '19/03/2021', 'clubName': 'FC Barcelona', 'value': '€40.00m', 'clubID': '131'}, {'age': '28', 'date': '10/06/2021', 'clubName': 'FC Barcelona', 'value': '€30.00m', 'clubID': '131'}, {'age': '29', 'date': '13/10/2021', 'clubName': 'FC Barcelona', 'value': '€20.00m', 'clubID': '131'}, {'age': '29', 'date': '30/12/2021', 'clubName': 'FC Barcelona', 'value': '€18.00m', 'clubID': '131'}, {'age': '29', 'date': '29/03/2022', 'clubName': 'Aston Villa', 'value': '€20.00m', 'clubID': '405'}, {'age': '30', 'date': '15/06/2022', 'clubName': 'Aston Villa', 'value': '€20.00m', 'clubID': '405'}, {'age': '30', 'date': '03/11/2022', 'clubName': 'Aston Villa', 'value': '€18.00m', 'clubID': '405'}, {'age': '30', 'date': '16/03/2023', 'clubName': 'Aston Villa', 'value': '€14.00m', 'clubID': '405'}, {'age': '31', 'date': '20/06/2023', 'clubName': 'Aston Villa', 'value': '€10.00m', 'clubID': '405'}, {'age': '31', 'date': '27/11/2023', 'clubName': 'Al-Duhail SC', 'value': '€9.00m', 'clubID': '26091'}, {'age': '31', 'date': '02/05/2024', 'clubName': 'Al-Duhail SC', 'value': '€7.50m', 'clubID': '26091'}, {'age': '32', 'date': '09/12/2024', 'clubName': 'Clube de Regatas Vasco da Gama', 'value': '€6.00m', 'clubID': '978'}, {'age': '32', 'date': '06/06/2025', 'clubName': 'Clube de Regatas Vasco da Gama', 'value': '€4.50m', 'clubID': '978'}, {'age': '33', 'date': '05/09/2025', 'clubName': 'Clube de Regatas Vasco da Gama', 'value': '€4.00m', 'clubID': '978'}, {'age': '33', 'date': '10/12/2025', 'clubName': 'Clube de Regatas Vasco da Gama', 'value': '€3.50m', 'clubID': '978'}], 'ranking': {'Worldwide': '3.106', 'Without Club': '2', 'Brazil': '278', 'Attacking Midfield': '287', 'Year 1992': '36'}, 'updatedAt': datetime.datetime(2026, 4, 4, 21, 23, 57, 880953)}</t>
  </si>
  <si>
    <t>1992-06-12</t>
  </si>
  <si>
    <t>Neres</t>
  </si>
  <si>
    <t>{'marketValueHistory': [{'date': '02/02/2017', 'age': '19', 'clubName': 'Ajax Amsterdam', 'clubID': '610', 'value': '€7.00m'}, {'date': '07/06/2017', 'age': '20', 'clubName': 'Ajax Amsterdam', 'clubID': '610', 'value': '€7.00m'}, {'date': '26/10/2017', 'age': '20', 'clubName': 'Ajax Amsterdam', 'clubID': '610', 'value': '€9.00m'}, {'date': '17/01/2018', 'age': '20', 'clubName': 'Ajax Amsterdam', 'clubID': '610', 'value': '€15.00m'}, {'date': '12/06/2018', 'age': '21', 'clubName': 'Ajax Amsterdam', 'clubID': '610', 'value': '€20.00m'}, {'date': '04/10/2018', 'age': '21', 'clubName': 'Ajax Amsterdam', 'clubID': '610', 'value': '€25.00m'}, {'date': '28/12/2018', 'age': '21', 'clubName': 'Ajax Amsterdam', 'clubID': '610', 'value': '€25.00m'}, {'date': '13/03/2019', 'age': '22', 'clubName': 'Ajax Amsterdam', 'clubID': '610', 'value': '€32.00m'}, {'date': '12/06/2019', 'age': '22', 'clubName': 'Ajax Amsterdam', 'clubID': '610', 'value': '€45.00m'}, {'date': '18/12/2019', 'age': '22', 'clubName': 'Ajax Amsterdam', 'clubID': '610', 'value': '€45.00m'}, {'date': '08/04/2020', 'age': '23', 'clubName': 'Ajax Amsterdam', 'clubID': '610', 'value': '€36.00m'}, {'date': '14/10/2020', 'age': '23', 'clubName': 'Ajax Amsterdam', 'clubID': '610', 'value': '€36.00m'}, {'date': '09/03/2021', 'age': '24', 'clubName': 'Ajax Amsterdam', 'clubID': '610', 'value': '€30.00m'}, {'date': '19/05/2021', 'age': '24', 'clubName': 'Ajax Amsterdam', 'clubID': '610', 'value': '€27.00m'}, {'date': '04/10/2021', 'age': '24', 'clubName': 'Ajax Amsterdam', 'clubID': '610', 'value': '€22.00m'}, {'date': '05/01/2022', 'age': '24', 'clubName': 'Ajax Amsterdam', 'clubID': '610', 'value': '€20.00m'}, {'date': '18/05/2022', 'age': '25', 'clubName': 'Shakhtar Donetsk', 'clubID': '660', 'value': '€20.00m'}, {'date': '01/11/2022', 'age': '25', 'clubName': 'SL Benfica', 'clubID': '294', 'value': '€22.00m'}, {'date': '16/06/2023', 'age': '26', 'clubName': 'SL Benfica', 'clubID': '294', 'value': '€25.00m'}, {'date': '27/12/2023', 'age': '26', 'clubName': 'SL Benfica', 'clubID': '294', 'value': '€25.00m'}, {'date': '06/06/2024', 'age': '27', 'clubName': 'SL Benfica', 'clubID': '294', 'value': '€25.00m'}, {'date': '18/10/2024', 'age': '27', 'clubName': 'SSC Napoli', 'clubID': '6195', 'value': '€28.00m'}, {'date': '18/12/2024', 'age': '27', 'clubName': 'SSC Napoli', 'clubID': '6195', 'value': '€28.00m'}, {'date': '25/03/2025', 'age': '28', 'clubName': 'SSC Napoli', 'clubID': '6195', 'value': '€30.00m'}, {'date': '17/06/2025', 'age': '28', 'clubName': 'SSC Napoli', 'clubID': '6195', 'value': '€30.00m'}, {'date': '07/10/2025', 'age': '28', 'clubName': 'SSC Napoli', 'clubID': '6195', 'value': '€24.00m'}, {'date': '23/12/2025', 'age': '28', 'clubName': 'SSC Napoli', 'clubID': '6195', 'value': '€28.00m'}]}</t>
  </si>
  <si>
    <t>1997-03-03</t>
  </si>
  <si>
    <t>Vertonghen</t>
  </si>
  <si>
    <t>{'marketValueHistory': [{'date': 'Sep 6, 2006', 'age': '19', 'clubName': 'Ajax Amsterdam', 'clubID': '610', 'value': '€100k'}, {'date': 'Jan 4, 2007', 'age': '19', 'clubName': 'Ajax Amsterdam', 'clubID': '610', 'value': '€350k'}, {'date': 'Jun 12, 2007', 'age': '20', 'clubName': 'RKC Waalwijk', 'clubID': '235', 'value': '€700k'}, {'date': 'Aug 8, 2007', 'age': '20', 'clubName': 'Ajax Amsterdam', 'clubID': '610', 'value': '€900k'}, {'date': 'Jan 7, 2008', 'age': '20', 'clubName': 'Ajax Amsterdam', 'clubID': '610', 'value': '€1.75m'}, {'date': 'Jul 18, 2008', 'age': '21', 'clubName': 'Ajax Amsterdam', 'clubID': '610', 'value': '€3.50m'}, {'date': 'Jan 8, 2009', 'age': '21', 'clubName': 'Ajax Amsterdam', 'clubID': '610', 'value': '€5.00m'}, {'date': 'May 22, 2009', 'age': '22', 'clubName': 'Ajax Amsterdam', 'clubID': '610', 'value': '€5.50m'}, {'date': 'Dec 30, 2009', 'age': '22', 'clubName': 'Ajax Amsterdam', 'clubID': '610', 'value': '€6.50m'}, {'date': 'Feb 18, 2010', 'age': '22', 'clubName': 'Ajax Amsterdam', 'clubID': '610', 'value': '€8.00m'}, {'date': 'Jan 17, 2011', 'age': '23', 'clubName': 'Ajax Amsterdam', 'clubID': '610', 'value': '€10.00m'}, {'date': 'Jun 15, 2011', 'age': '24', 'clubName': 'Ajax Amsterdam', 'clubID': '610', 'value': '€12.00m'}, {'date': 'Jun 30, 2012', 'age': '25', 'clubName': 'Ajax Amsterdam', 'clubID': '610', 'value': '€15.00m'}, {'date': 'Jan 28, 2013', 'age': '25', 'clubName': 'Tottenham Hotspur', 'clubID': '148', 'value': '€19.00m'}, {'date': 'Jul 2, 2013', 'age': '26', 'clubName': 'Tottenham Hotspur', 'clubID': '148', 'value': '€22.00m'}, {'date': 'Jan 15, 2014', 'age': '26', 'clubName': 'Tottenham Hotspur', 'clubID': '148', 'value': '€22.00m'}, {'date': 'Aug 12, 2014', 'age': '27', 'clubName': 'Tottenham Hotspur', 'clubID': '148', 'value': '€19.00m'}, {'date': 'Feb 12, 2015', 'age': '27', 'clubName': 'Tottenham Hotspur', 'clubID': '148', 'value': '€19.00m'}, {'date': 'Jul 1, 2015', 'age': '28', 'clubName': 'Tottenham Hotspur', 'clubID': '148', 'value': '€19.00m'}, {'date': 'Feb 9, 2016', 'age': '28', 'clubName': 'Tottenham Hotspur', 'clubID': '148', 'value': '€21.00m'}, {'date': 'Jun 1, 2016', 'age': '29', 'clubName': 'Tottenham Hotspur', 'clubID': '148', 'value': '€23.00m'}, {'date': 'Aug 1, 2016', 'age': '29', 'clubName': 'Tottenham Hotspur', 'clubID': '148', 'value': '€23.00m'}, {'date': 'Feb 20, 2017', 'age': '29', 'clubName': 'Tottenham Hotspur', 'clubID': '148', 'value': '€25.00m'}, {'date': 'Jun 28, 2017', 'age': '30', 'clubName': 'Tottenham Hotspur', 'clubID': '148', 'value': '€28.00m'}, {'date': 'Jan 2, 2018', 'age': '30', 'clubName': 'Tottenham Hotspur', 'clubID': '148', 'value': '€28.00m'}, {'date': 'Mar 23, 2018', 'age': '30', 'clubName': 'Tottenham Hotspur', 'clubID': '148', 'value': '€32.00m'}, {'date': 'May 28, 2018', 'age': '31', 'clubName': 'Tottenham Hotspur', 'clubID': '148', 'value': '€32.00m'}, {'date': 'Dec 19, 2018', 'age': '31', 'clubName': 'Tottenham Hotspur', 'clubID': '148', 'value': '€30.00m'}, {'date': 'Jun 13, 2019', 'age': '32', 'clubName': 'Tottenham Hotspur', 'clubID': '148', 'value': '€28.00m'}, {'date': 'Sep 12, 2019', 'age': '32', 'clubName': 'Tottenham Hotspur', 'clubID': '148', 'value': '€22.00m'}, {'date': 'Dec 10, 2019', 'age': '32', 'clubName': 'Tottenham Hotspur', 'clubID': '148', 'value': '€18.00m'}, {'date': 'Apr 8, 2020', 'age': '32', 'clubName': 'Tottenham Hotspur', 'clubID': '148', 'value': '€14.50m'}, {'date': 'Oct 22, 2020', 'age': '33', 'clubName': 'SL Benfica', 'clubID': '294', 'value': '€10.00m'}, {'date': 'Jan 28, 2021', 'age': '33', 'clubName': 'SL Benfica', 'clubID': '294', 'value': '€10.00m'}, {'date': 'Mar 25, 2021', 'age': '33', 'clubName': 'SL Benfica', 'clubID': '294', 'value': '€7.00m'}, {'date': 'May 26, 2021', 'age': '34', 'clubName': 'SL Benfica', 'clubID': '294', 'value': '€6.00m'}, {'date': 'Dec 27, 2021', 'age': '34', 'clubName': 'SL Benfica', 'clubID': '294', 'value': '€4.00m'}, {'date': 'Mar 10, 2022', 'age': '34', 'clubName': 'SL Benfica', 'clubID': '294', 'value': '€3.00m'}, {'date': 'May 31, 2022', 'age': '35', 'clubName': 'SL Benfica', 'clubID': '294', 'value': '€2.00m'}, {'date': 'Nov 4, 2022', 'age': '35', 'clubName': 'RSC Anderlecht', 'clubID': '58', 'value': '€1.80m'}, {'date': 'Jun 9, 2023', 'age': '36', 'clubName': 'RSC Anderlecht', 'clubID': '58', 'value': '€1.50m'}, {'date': 'Dec 19, 2023', 'age': '36', 'clubName': 'RSC Anderlecht', 'clubID': '58', 'value': '€1.50m'}, {'date': 'Jun 4, 2024', 'age': '37', 'clubName': 'RSC Anderlecht', 'clubID': '58', 'value': '€1.50m'}, {'date': 'Dec 11, 2024', 'age': '37', 'clubName': 'RSC Anderlecht', 'clubID': '58', 'value': '€1.00m'}, {'date': 'Jun 12, 2025', 'age': '38', 'clubName': 'RSC Anderlecht', 'clubID': '58', 'value': '€1.00m'}, {'date': 'Jul 1, 2025', 'age': '38', 'clubName': 'Retired', 'clubID': '123', 'value': '-'}]}</t>
  </si>
  <si>
    <t>1987-04-24</t>
  </si>
  <si>
    <t>Marega</t>
  </si>
  <si>
    <t>{'marketValueHistory': [{'date': '30/07/2014', 'age': '23', 'clubName': 'Esperance Tunis', 'clubID': '3342', 'value': '€75k'}, {'date': '17/02/2015', 'age': '23', 'clubName': 'CS Marítimo', 'clubID': '1301', 'value': '€300k'}, {'date': '01/07/2015', 'age': '24', 'clubName': 'CS Marítimo', 'clubID': '1301', 'value': '€1.10m'}, {'date': '24/02/2016', 'age': '24', 'clubName': 'FC Porto', 'clubID': '720', 'value': '€3.00m'}, {'date': '29/07/2016', 'age': '25', 'clubName': 'Vitória Guimarães SC', 'clubID': '2420', 'value': '€2.25m'}, {'date': '31/10/2016', 'age': '25', 'clubName': 'Vitória Guimarães SC', 'clubID': '2420', 'value': '€3.00m'}, {'date': '22/02/2017', 'age': '25', 'clubName': 'Vitória Guimarães SC', 'clubID': '2420', 'value': '€3.00m'}, {'date': '26/06/2017', 'age': '26', 'clubName': 'Vitória Guimarães SC', 'clubID': '2420', 'value': '€4.00m'}, {'date': '06/11/2017', 'age': '26', 'clubName': 'FC Porto', 'clubID': '720', 'value': '€7.00m'}, {'date': '07/02/2018', 'age': '26', 'clubName': 'FC Porto', 'clubID': '720', 'value': '€12.00m'}, {'date': '13/06/2018', 'age': '27', 'clubName': 'FC Porto', 'clubID': '720', 'value': '€19.00m'}, {'date': '01/11/2018', 'age': '27', 'clubName': 'FC Porto', 'clubID': '720', 'value': '€25.00m'}, {'date': '11/01/2019', 'age': '27', 'clubName': 'FC Porto', 'clubID': '720', 'value': '€26.00m'}, {'date': '18/03/2019', 'age': '27', 'clubName': 'FC Porto', 'clubID': '720', 'value': '€30.00m'}, {'date': '07/06/2019', 'age': '28', 'clubName': 'FC Porto', 'clubID': '720', 'value': '€30.00m'}, {'date': '30/12/2019', 'age': '28', 'clubName': 'FC Porto', 'clubID': '720', 'value': '€24.00m'}, {'date': '08/04/2020', 'age': '28', 'clubName': 'FC Porto', 'clubID': '720', 'value': '€19.00m'}, {'date': '17/08/2020', 'age': '29', 'clubName': 'FC Porto', 'clubID': '720', 'value': '€20.00m'}, {'date': '28/01/2021', 'age': '29', 'clubName': 'FC Porto', 'clubID': '720', 'value': '€20.00m'}, {'date': '25/03/2021', 'age': '29', 'clubName': 'FC Porto', 'clubID': '720', 'value': '€14.00m'}, {'date': '21/05/2021', 'age': '30', 'clubName': 'FC Porto', 'clubID': '720', 'value': '€10.00m'}, {'date': '06/01/2022', 'age': '30', 'clubName': 'Al-Hilal SFC', 'clubID': '1114', 'value': '€9.00m'}, {'date': '30/06/2022', 'age': '31', 'clubName': 'Al-Hilal SFC', 'clubID': '1114', 'value': '€7.50m'}, {'date': '02/12/2022', 'age': '31', 'clubName': 'Al-Hilal SFC', 'clubID': '1114', 'value': '€5.00m'}, {'date': '12/06/2023', 'age': '32', 'clubName': 'Al-Hilal SFC', 'clubID': '1114', 'value': '€4.00m'}, {'date': '12/10/2023', 'age': '32', 'clubName': 'Sharjah FC', 'clubID': '13613', 'value': '€3.50m'}, {'date': '08/03/2024', 'age': '32', 'clubName': 'Sharjah FC', 'clubID': '13613', 'value': '€2.50m'}, {'date': '03/06/2024', 'age': '33', 'clubName': 'Sharjah FC', 'clubID': '13613', 'value': '€2.00m'}, {'date': '16/08/2024', 'age': '33', 'clubName': 'Al-Diraiyah FC', 'clubID': '52358', 'value': '-'}, {'date': '18/12/2025', 'age': '34', 'clubName': 'Al-Diraiyah FC', 'clubID': '52358', 'value': '€800k'}]}</t>
  </si>
  <si>
    <t>Mali</t>
  </si>
  <si>
    <t>1991-04-14</t>
  </si>
  <si>
    <t>Messi</t>
  </si>
  <si>
    <t>{'marketValueHistory': [{'date': 'Dec 20, 2004', 'age': '17', 'clubName': 'FC Barcelona B', 'clubID': '2464', 'value': '€3.00m'}, {'date': 'Dec 28, 2005', 'age': '18', 'clubName': 'FC Barcelona', 'clubID': '131', 'value': '€5.00m'}, {'date': 'Jan 20, 2006', 'age': '18', 'clubName': 'FC Barcelona', 'clubID': '131', 'value': '€15.00m'}, {'date': 'Jul 26, 2007', 'age': '20', 'clubName': 'FC Barcelona', 'clubID': '131', 'value': '€40.00m'}, {'date': 'Sep 12, 2007', 'age': '20', 'clubName': 'FC Barcelona', 'clubID': '131', 'value': '€60.00m'}, {'date': 'Feb 4, 2008', 'age': '20', 'clubName': 'FC Barcelona', 'clubID': '131', 'value': '€55.00m'}, {'date': 'Jul 10, 2008', 'age': '21', 'clubName': 'FC Barcelona', 'clubID': '131', 'value': '€55.00m'}, {'date': 'Jan 26, 2009', 'age': '21', 'clubName': 'FC Barcelona', 'clubID': '131', 'value': '€55.00m'}, {'date': 'Apr 28, 2009', 'age': '21', 'clubName': 'FC Barcelona', 'clubID': '131', 'value': '€60.00m'}, {'date': 'Jul 22, 2009', 'age': '22', 'clubName': 'FC Barcelona', 'clubID': '131', 'value': '€70.00m'}, {'date': 'Dec 3, 2009', 'age': '22', 'clubName': 'FC Barcelona', 'clubID': '131', 'value': '€70.00m'}, {'date': 'Jan 7, 2010', 'age': '22', 'clubName': 'FC Barcelona', 'clubID': '131', 'value': '€80.00m'}, {'date': 'Apr 12, 2010', 'age': '22', 'clubName': 'FC Barcelona', 'clubID': '131', 'value': '€80.00m'}, {'date': 'Aug 27, 2010', 'age': '23', 'clubName': 'FC Barcelona', 'clubID': '131', 'value': '€100.00m'}, {'date': 'Feb 4, 2011', 'age': '23', 'clubName': 'FC Barcelona', 'clubID': '131', 'value': '€100.00m'}, {'date': 'Jul 29, 2011', 'age': '24', 'clubName': 'FC Barcelona', 'clubID': '131', 'value': '€100.00m'}, {'date': 'Feb 3, 2012', 'age': '24', 'clubName': 'FC Barcelona', 'clubID': '131', 'value': '€100.00m'}, {'date': 'Aug 7, 2012', 'age': '25', 'clubName': 'FC Barcelona', 'clubID': '131', 'value': '€120.00m'}, {'date': 'Jan 10, 2013', 'age': '25', 'clubName': 'FC Barcelona', 'clubID': '131', 'value': '€120.00m'}, {'date': 'Jun 12, 2013', 'age': '25', 'clubName': 'FC Barcelona', 'clubID': '131', 'value': '€120.00m'}, {'date': 'Jan 23, 2014', 'age': '26', 'clubName': 'FC Barcelona', 'clubID': '131', 'value': '€120.00m'}, {'date': 'Jul 20, 2014', 'age': '27', 'clubName': 'FC Barcelona', 'clubID': '131', 'value': '€120.00m'}, {'date': 'Jan 23, 2015', 'age': '27', 'clubName': 'FC Barcelona', 'clubID': '131', 'value': '€120.00m'}, {'date': 'Jul 1, 2015', 'age': '28', 'clubName': 'FC Barcelona', 'clubID': '131', 'value': '€120.00m'}, {'date': 'Feb 22, 2016', 'age': '28', 'clubName': 'FC Barcelona', 'clubID': '131', 'value': '€120.00m'}, {'date': 'Jul 15, 2016', 'age': '29', 'clubName': 'FC Barcelona', 'clubID': '131', 'value': '€120.00m'}, {'date': 'Jan 24, 2017', 'age': '29', 'clubName': 'FC Barcelona', 'clubID': '131', 'value': '€120.00m'}, {'date': 'Jun 5, 2017', 'age': '29', 'clubName': 'FC Barcelona', 'clubID': '131', 'value': '€120.00m'}, {'date': 'Jan 1, 2018', 'age': '30', 'clubName': 'FC Barcelona', 'clubID': '131', 'value': '€180.00m'}, {'date': 'May 30, 2018', 'age': '30', 'clubName': 'FC Barcelona', 'clubID': '131', 'value': '€180.00m'}, {'date': 'Dec 21, 2018', 'age': '31', 'clubName': 'FC Barcelona', 'clubID': '131', 'value': '€160.00m'}, {'date': 'Jun 11, 2019', 'age': '31', 'clubName': 'FC Barcelona', 'clubID': '131', 'value': '€150.00m'}, {'date': 'Dec 20, 2019', 'age': '32', 'clubName': 'FC Barcelona', 'clubID': '131', 'value': '€140.00m'}, {'date': 'Apr 8, 2020', 'age': '32', 'clubName': 'FC Barcelona', 'clubID': '131', 'value': '€112.00m'}, {'date': 'Oct 8, 2020', 'age': '33', 'clubName': 'FC Barcelona', 'clubID': '131', 'value': '€100.00m'}, {'date': 'Jan 5, 2021', 'age': '33', 'clubName': 'FC Barcelona', 'clubID': '131', 'value': '€80.00m'}, {'date': 'Jun 10, 2021', 'age': '33', 'clubName': 'FC Barcelona', 'clubID': '131', 'value': '€80.00m'}, {'date': 'Dec 16, 2021', 'age': '34', 'clubName': 'Paris Saint-Germain', 'clubID': '583', 'value': '€60.00m'}, {'date': 'May 30, 2022', 'age': '34', 'clubName': 'Paris Saint-Germain', 'clubID': '583', 'value': '€50.00m'}, {'date': 'Nov 2, 2022', 'age': '35', 'clubName': 'Paris Saint-Germain', 'clubID': '583', 'value': '€50.00m'}, {'date': 'Mar 27, 2023', 'age': '35', 'clubName': 'Paris Saint-Germain', 'clubID': '583', 'value': '€45.00m'}, {'date': 'Jun 27, 2023', 'age': '36', 'clubName': 'Paris Saint-Germain', 'clubID': '583', 'value': '€35.00m'}, {'date': 'Aug 22, 2023', 'age': '36', 'clubName': 'Inter Miami CF', 'clubID': '69261', 'value': '€35.00m'}, {'date': 'Dec 18, 2023', 'age': '36', 'clubName': 'Inter Miami CF', 'clubID': '69261', 'value': '€35.00m'}, {'date': 'Mar 25, 2024', 'age': '36', 'clubName': 'Inter Miami CF', 'clubID': '69261', 'value': '€30.00m'}, {'date': 'Jun 13, 2024', 'age': '36', 'clubName': 'Inter Miami CF', 'clubID': '69261', 'value': '€30.00m'}, {'date': 'Sep 26, 2024', 'age': '37', 'clubName': 'Inter Miami CF', 'clubID': '69261', 'value': '€25.00m'}, {'date': 'Dec 12, 2024', 'age': '37', 'clubName': 'Inter Miami CF', 'clubID': '69261', 'value': '€20.00m'}, {'date': 'Jun 5, 2025', 'age': '37', 'clubName': 'Inter Miami CF', 'clubID': '69261', 'value': '€18.00m'}, {'date': 'Dec 11, 2025', 'age': '38', 'clubName': 'Inter Miami CF', 'clubID': '69261', 'value': '€15.00m'}]}</t>
  </si>
  <si>
    <t>1987-06-24</t>
  </si>
  <si>
    <t>Herrera</t>
  </si>
  <si>
    <t>{'marketValueHistory': [{'date': '20/04/2009', 'age': '19', 'clubName': 'Real Zaragoza', 'clubID': '142', 'value': '€1.00m'}, {'date': '22/07/2009', 'age': '19', 'clubName': 'Real Zaragoza', 'clubID': '142', 'value': '€3.00m'}, {'date': '02/12/2009', 'age': '20', 'clubName': 'Real Zaragoza', 'clubID': '142', 'value': '€3.00m'}, {'date': '11/04/2010', 'age': '20', 'clubName': 'Real Zaragoza', 'clubID': '142', 'value': '€6.00m'}, {'date': '20/08/2010', 'age': '21', 'clubName': 'Real Zaragoza', 'clubID': '142', 'value': '€10.00m'}, {'date': '10/12/2010', 'age': '21', 'clubName': 'Real Zaragoza', 'clubID': '142', 'value': '€8.00m'}, {'date': '08/02/2011', 'age': '21', 'clubName': 'Real Zaragoza', 'clubID': '142', 'value': '€7.50m'}, {'date': '29/07/2011', 'age': '21', 'clubName': 'Athletic Bilbao', 'clubID': '621', 'value': '€7.50m'}, {'date': '03/02/2012', 'age': '22', 'clubName': 'Athletic Bilbao', 'clubID': '621', 'value': '€8.00m'}, {'date': '07/08/2012', 'age': '22', 'clubName': 'Athletic Bilbao', 'clubID': '621', 'value': '€8.00m'}, {'date': '17/08/2012', 'age': '23', 'clubName': 'Athletic Bilbao', 'clubID': '621', 'value': '€10.00m'}, {'date': '11/01/2013', 'age': '23', 'clubName': 'Athletic Bilbao', 'clubID': '621', 'value': '€8.00m'}, {'date': '12/06/2013', 'age': '23', 'clubName': 'Athletic Bilbao', 'clubID': '621', 'value': '€8.00m'}, {'date': '17/09/2013', 'age': '24', 'clubName': 'Athletic Bilbao', 'clubID': '621', 'value': '€20.00m'}, {'date': '23/01/2014', 'age': '24', 'clubName': 'Athletic Bilbao', 'clubID': '621', 'value': '€20.00m'}, {'date': '12/08/2014', 'age': '24', 'clubName': 'Manchester United', 'clubID': '985', 'value': '€27.00m'}, {'date': '12/02/2015', 'age': '25', 'clubName': 'Manchester United', 'clubID': '985', 'value': '€25.00m'}, {'date': '01/07/2015', 'age': '25', 'clubName': 'Manchester United', 'clubID': '985', 'value': '€28.00m'}, {'date': '09/02/2016', 'age': '26', 'clubName': 'Manchester United', 'clubID': '985', 'value': '€28.00m'}, {'date': '01/08/2016', 'age': '26', 'clubName': 'Manchester United', 'clubID': '985', 'value': '€28.00m'}, {'date': '20/02/2017', 'age': '27', 'clubName': 'Manchester United', 'clubID': '985', 'value': '€28.00m'}, {'date': '28/06/2017', 'age': '27', 'clubName': 'Manchester United', 'clubID': '985', 'value': '€30.00m'}, {'date': '02/01/2018', 'age': '28', 'clubName': 'Manchester United', 'clubID': '985', 'value': '€30.00m'}, {'date': '28/05/2018', 'age': '28', 'clubName': 'Manchester United', 'clubID': '985', 'value': '€30.00m'}, {'date': '19/12/2018', 'age': '29', 'clubName': 'Manchester United', 'clubID': '985', 'value': '€28.00m'}, {'date': '13/06/2019', 'age': '29', 'clubName': 'Manchester United', 'clubID': '985', 'value': '€25.00m'}, {'date': '19/12/2019', 'age': '30', 'clubName': 'Paris Saint-Germain', 'clubID': '583', 'value': '€20.00m'}, {'date': '08/04/2020', 'age': '30', 'clubName': 'Paris Saint-Germain', 'clubID': '583', 'value': '€16.00m'}, {'date': '15/10/2020', 'age': '31', 'clubName': 'Paris Saint-Germain', 'clubID': '583', 'value': '€15.00m'}, {'date': '04/06/2021', 'age': '31', 'clubName': 'Paris Saint-Germain', 'clubID': '583', 'value': '€13.00m'}, {'date': '16/12/2021', 'age': '32', 'clubName': 'Paris Saint-Germain', 'clubID': '583', 'value': '€12.00m'}, {'date': '30/05/2022', 'age': '32', 'clubName': 'Paris Saint-Germain', 'clubID': '583', 'value': '€10.00m'}, {'date': '23/09/2022', 'age': '33', 'clubName': 'Athletic Bilbao', 'clubID': '621', 'value': '€8.00m'}, {'date': '07/11/2022', 'age': '33', 'clubName': 'Athletic Bilbao', 'clubID': '621', 'value': '€4.00m'}, {'date': '23/03/2023', 'age': '33', 'clubName': 'Athletic Bilbao', 'clubID': '621', 'value': '€3.00m'}, {'date': '13/06/2023', 'age': '33', 'clubName': 'Athletic Bilbao', 'clubID': '621', 'value': '€2.50m'}, {'date': '22/12/2023', 'age': '34', 'clubName': 'Athletic Bilbao', 'clubID': '621', 'value': '€2.50m'}, {'date': '07/06/2024', 'age': '34', 'clubName': 'Athletic Bilbao', 'clubID': '621', 'value': '€2.00m'}, {'date': '27/12/2024', 'age': '35', 'clubName': 'Athletic Bilbao', 'clubID': '621', 'value': '€1.50m'}, {'date': '02/04/2025', 'age': '35', 'clubName': 'CA Boca Juniors', 'clubID': '189', 'value': '€1.20m'}, {'date': '02/06/2025', 'age': '35', 'clubName': 'CA Boca Juniors', 'clubID': '189', 'value': '€800k'}, {'date': '24/09/2025', 'age': '36', 'clubName': 'CA Boca Juniors', 'clubID': '189', 'value': '€500k'}, {'date': '17/12/2025', 'age': '36', 'clubName': 'CA Boca Juniors', 'clubID': '189', 'value': '€500k'}]}</t>
  </si>
  <si>
    <t>1989-08-14</t>
  </si>
  <si>
    <t>Mazraoui</t>
  </si>
  <si>
    <t>{'marketValueHistory': [{'date': 'Jul 1, 2016', 'age': '18', 'clubName': 'Ajax Amsterdam U21', 'clubID': '610', 'value': '€25k'}, {'date': 'Feb 2, 2017', 'age': '19', 'clubName': 'Ajax Amsterdam U21', 'clubID': '610', 'value': '€75k'}, {'date': 'Jun 21, 2017', 'age': '19', 'clubName': 'Ajax Amsterdam U21', 'clubID': '610', 'value': '€200k'}, {'date': 'Mar 1, 2018', 'age': '20', 'clubName': 'Ajax Amsterdam U21', 'clubID': '610', 'value': '€600k'}, {'date': 'Jun 12, 2018', 'age': '20', 'clubName': 'Ajax Amsterdam', 'clubID': '610', 'value': '€1.50m'}, {'date': 'Oct 4, 2018', 'age': '20', 'clubName': 'Ajax Amsterdam', 'clubID': '610', 'value': '€6.00m'}, {'date': 'Dec 28, 2018', 'age': '21', 'clubName': 'Ajax Amsterdam', 'clubID': '610', 'value': '€12.00m'}, {'date': 'Jun 12, 2019', 'age': '21', 'clubName': 'Ajax Amsterdam', 'clubID': '610', 'value': '€18.00m'}, {'date': 'Sep 19, 2019', 'age': '21', 'clubName': 'Ajax Amsterdam', 'clubID': '610', 'value': '€15.00m'}, {'date': 'Dec 18, 2019', 'age': '22', 'clubName': 'Ajax Amsterdam', 'clubID': '610', 'value': '€15.00m'}, {'date': 'Mar 12, 2020', 'age': '22', 'clubName': 'Ajax Amsterdam', 'clubID': '610', 'value': '€12.00m'}, {'date': 'Apr 8, 2020', 'age': '22', 'clubName': 'Ajax Amsterdam', 'clubID': '610', 'value': '€9.50m'}, {'date': 'Oct 14, 2020', 'age': '22', 'clubName': 'Ajax Amsterdam', 'clubID': '610', 'value': '€14.00m'}, {'date': 'Jan 6, 2021', 'age': '23', 'clubName': 'Ajax Amsterdam', 'clubID': '610', 'value': '€15.00m'}, {'date': 'Mar 9, 2021', 'age': '23', 'clubName': 'Ajax Amsterdam', 'clubID': '610', 'value': '€17.00m'}, {'date': 'May 19, 2021', 'age': '23', 'clubName': 'Ajax Amsterdam', 'clubID': '610', 'value': '€17.00m'}, {'date': 'Oct 4, 2021', 'age': '23', 'clubName': 'Ajax Amsterdam', 'clubID': '610', 'value': '€18.00m'}, {'date': 'Jan 5, 2022', 'age': '24', 'clubName': 'Ajax Amsterdam', 'clubID': '610', 'value': '€20.00m'}, {'date': 'Jun 8, 2022', 'age': '24', 'clubName': 'Ajax Amsterdam', 'clubID': '610', 'value': '€20.00m'}, {'date': 'Nov 9, 2022', 'age': '24', 'clubName': 'Bayern Munich', 'clubID': '27', 'value': '€25.00m'}, {'date': 'Dec 23, 2022', 'age': '25', 'clubName': 'Bayern Munich', 'clubID': '27', 'value': '€28.00m'}, {'date': 'Jun 22, 2023', 'age': '25', 'clubName': 'Bayern Munich', 'clubID': '27', 'value': '€28.00m'}, {'date': 'Dec 14, 2023', 'age': '26', 'clubName': 'Bayern Munich', 'clubID': '27', 'value': '€30.00m'}, {'date': 'May 29, 2024', 'age': '26', 'clubName': 'Bayern Munich', 'clubID': '27', 'value': '€30.00m'}, {'date': 'Dec 16, 2024', 'age': '27', 'clubName': 'Manchester United', 'clubID': '985', 'value': '€32.00m'}, {'date': 'May 30, 2025', 'age': '27', 'clubName': 'Manchester United', 'clubID': '985', 'value': '€25.00m'}, {'date': 'Dec 9, 2025', 'age': '28', 'clubName': 'Manchester United', 'clubID': '985', 'value': '€22.00m'}, {'date': 'Mar 9, 2026', 'age': '28', 'clubName': 'Manchester United', 'clubID': '985', 'value': '€20.00m'}]}</t>
  </si>
  <si>
    <t>1997-11-14</t>
  </si>
  <si>
    <t>Eder Militao</t>
  </si>
  <si>
    <t>{'marketValueHistory': [{'date': '30/10/2017', 'age': '19', 'clubName': 'São Paulo Futebol Clube', 'clubID': '585', 'value': '€1.00m'}, {'date': '07/12/2017', 'age': '19', 'clubName': 'São Paulo Futebol Clube', 'clubID': '585', 'value': '€2.00m'}, {'date': '23/05/2018', 'age': '20', 'clubName': 'São Paulo Futebol Clube', 'clubID': '585', 'value': '€8.00m'}, {'date': '01/11/2018', 'age': '20', 'clubName': 'FC Porto', 'clubID': '720', 'value': '€20.00m'}, {'date': '11/01/2019', 'age': '20', 'clubName': 'FC Porto', 'clubID': '720', 'value': '€35.00m'}, {'date': '18/03/2019', 'age': '21', 'clubName': 'FC Porto', 'clubID': '720', 'value': '€50.00m'}, {'date': '07/06/2019', 'age': '21', 'clubName': 'FC Porto', 'clubID': '720', 'value': '€50.00m'}, {'date': '20/12/2019', 'age': '21', 'clubName': 'Real Madrid', 'clubID': '418', 'value': '€45.00m'}, {'date': '05/03/2020', 'age': '22', 'clubName': 'Real Madrid', 'clubID': '418', 'value': '€40.00m'}, {'date': '08/04/2020', 'age': '22', 'clubName': 'Real Madrid', 'clubID': '418', 'value': '€36.00m'}, {'date': '08/10/2020', 'age': '22', 'clubName': 'Real Madrid', 'clubID': '418', 'value': '€40.00m'}, {'date': '05/01/2021', 'age': '22', 'clubName': 'Real Madrid', 'clubID': '418', 'value': '€30.00m'}, {'date': '10/06/2021', 'age': '23', 'clubName': 'Real Madrid', 'clubID': '418', 'value': '€40.00m'}, {'date': '30/12/2021', 'age': '23', 'clubName': 'Real Madrid', 'clubID': '418', 'value': '€60.00m'}, {'date': '03/06/2022', 'age': '24', 'clubName': 'Real Madrid', 'clubID': '418', 'value': '€60.00m'}, {'date': '07/11/2022', 'age': '24', 'clubName': 'Real Madrid', 'clubID': '418', 'value': '€60.00m'}, {'date': '23/03/2023', 'age': '25', 'clubName': 'Real Madrid', 'clubID': '418', 'value': '€70.00m'}, {'date': '13/06/2023', 'age': '25', 'clubName': 'Real Madrid', 'clubID': '418', 'value': '€70.00m'}, {'date': '22/12/2023', 'age': '25', 'clubName': 'Real Madrid', 'clubID': '418', 'value': '€70.00m'}, {'date': '07/06/2024', 'age': '26', 'clubName': 'Real Madrid', 'clubID': '418', 'value': '€60.00m'}, {'date': '27/12/2024', 'age': '26', 'clubName': 'Real Madrid', 'clubID': '418', 'value': '€40.00m'}, {'date': '09/06/2025', 'age': '27', 'clubName': 'Real Madrid', 'clubID': '418', 'value': '€30.00m'}, {'date': '12/12/2025', 'age': '27', 'clubName': 'Real Madrid', 'clubID': '418', 'value': '€30.00m'}, {'date': '16/03/2026', 'age': '28', 'clubName': 'Real Madrid', 'clubID': '418', 'value': '€25.00m'}]}</t>
  </si>
  <si>
    <t>1998-01-18</t>
  </si>
  <si>
    <t>Pjanic</t>
  </si>
  <si>
    <t>{'marketValueHistory': [{'date': 'Sep 20, 2007', 'age': '17', 'clubName': 'FC Metz', 'clubID': '347', 'value': '€500k'}, {'date': 'Oct 26, 2007', 'age': '17', 'clubName': 'FC Metz', 'clubID': '347', 'value': '€1.00m'}, {'date': 'Dec 27, 2007', 'age': '17', 'clubName': 'FC Metz', 'clubID': '347', 'value': '€1.50m'}, {'date': 'May 5, 2008', 'age': '18', 'clubName': 'FC Metz', 'clubID': '347', 'value': '€4.00m'}, {'date': 'Jun 6, 2008', 'age': '18', 'clubName': 'FC Metz', 'clubID': '347', 'value': '€5.50m'}, {'date': 'Dec 30, 2008', 'age': '18', 'clubName': 'Olympique Lyon', 'clubID': '1041', 'value': '€6.50m'}, {'date': 'May 18, 2009', 'age': '19', 'clubName': 'Olympique Lyon', 'clubID': '1041', 'value': '€6.00m'}, {'date': 'Dec 22, 2009', 'age': '19', 'clubName': 'Olympique Lyon', 'clubID': '1041', 'value': '€9.00m'}, {'date': 'Jan 9, 2010', 'age': '19', 'clubName': 'Olympique Lyon', 'clubID': '1041', 'value': '€10.00m'}, {'date': 'May 18, 2010', 'age': '20', 'clubName': 'Olympique Lyon', 'clubID': '1041', 'value': '€12.50m'}, {'date': 'Dec 28, 2010', 'age': '20', 'clubName': 'Olympique Lyon', 'clubID': '1041', 'value': '€11.50m'}, {'date': 'May 24, 2011', 'age': '21', 'clubName': 'Olympique Lyon', 'clubID': '1041', 'value': '€9.00m'}, {'date': 'Sep 21, 2011', 'age': '21', 'clubName': 'AS Roma', 'clubID': '12', 'value': '€10.00m'}, {'date': 'Jan 11, 2012', 'age': '21', 'clubName': 'AS Roma', 'clubID': '12', 'value': '€10.50m'}, {'date': 'Mar 15, 2012', 'age': '21', 'clubName': 'AS Roma', 'clubID': '12', 'value': '€11.50m'}, {'date': 'Jun 8, 2012', 'age': '22', 'clubName': 'AS Roma', 'clubID': '12', 'value': '€12.50m'}, {'date': 'Jan 14, 2013', 'age': '22', 'clubName': 'AS Roma', 'clubID': '12', 'value': '€14.00m'}, {'date': 'Jun 19, 2013', 'age': '23', 'clubName': 'AS Roma', 'clubID': '12', 'value': '€14.00m'}, {'date': 'Nov 11, 2013', 'age': '23', 'clubName': 'AS Roma', 'clubID': '12', 'value': '€18.00m'}, {'date': 'Jan 7, 2014', 'age': '23', 'clubName': 'AS Roma', 'clubID': '12', 'value': '€20.00m'}, {'date': 'Jul 11, 2014', 'age': '24', 'clubName': 'AS Roma', 'clubID': '12', 'value': '€27.00m'}, {'date': 'Jan 7, 2015', 'age': '24', 'clubName': 'AS Roma', 'clubID': '12', 'value': '€30.00m'}, {'date': 'Mar 20, 2015', 'age': '24', 'clubName': 'AS Roma', 'clubID': '12', 'value': '€28.00m'}, {'date': 'Jul 1, 2015', 'age': '25', 'clubName': 'AS Roma', 'clubID': '12', 'value': '€26.00m'}, {'date': 'Nov 5, 2015', 'age': '25', 'clubName': 'AS Roma', 'clubID': '12', 'value': '€30.00m'}, {'date': 'Jan 4, 2016', 'age': '25', 'clubName': 'AS Roma', 'clubID': '12', 'value': '€35.00m'}, {'date': 'Jul 15, 2016', 'age': '26', 'clubName': 'Juventus FC', 'clubID': '506', 'value': '€38.00m'}, {'date': 'Jan 2, 2017', 'age': '26', 'clubName': 'Juventus FC', 'clubID': '506', 'value': '€38.00m'}, {'date': 'Jun 8, 2017', 'age': '27', 'clubName': 'Juventus FC', 'clubID': '506', 'value': '€40.00m'}, {'date': 'Dec 29, 2017', 'age': '27', 'clubName': 'Juventus FC', 'clubID': '506', 'value': '€50.00m'}, {'date': 'Mar 24, 2018', 'age': '27', 'clubName': 'Juventus FC', 'clubID': '506', 'value': '€65.00m'}, {'date': 'Jun 7, 2018', 'age': '28', 'clubName': 'Juventus FC', 'clubID': '506', 'value': '€65.00m'}, {'date': 'Oct 12, 2018', 'age': '28', 'clubName': 'Juventus FC', 'clubID': '506', 'value': '€70.00m'}, {'date': 'Dec 20, 2018', 'age': '28', 'clubName': 'Juventus FC', 'clubID': '506', 'value': '€70.00m'}, {'date': 'Jun 6, 2019', 'age': '29', 'clubName': 'Juventus FC', 'clubID': '506', 'value': '€70.00m'}, {'date': 'Dec 12, 2019', 'age': '29', 'clubName': 'Juventus FC', 'clubID': '506', 'value': '€70.00m'}, {'date': 'Mar 3, 2020', 'age': '29', 'clubName': 'Juventus FC', 'clubID': '506', 'value': '€65.00m'}, {'date': 'Apr 8, 2020', 'age': '30', 'clubName': 'Juventus FC', 'clubID': '506', 'value': '€52.00m'}, {'date': 'Aug 25, 2020', 'age': '30', 'clubName': 'Juventus FC', 'clubID': '506', 'value': '€45.00m'}, {'date': 'Oct 8, 2020', 'age': '30', 'clubName': 'FC Barcelona', 'clubID': '131', 'value': '€50.00m'}, {'date': 'Jan 5, 2021', 'age': '30', 'clubName': 'FC Barcelona', 'clubID': '131', 'value': '€40.00m'}, {'date': 'Mar 19, 2021', 'age': '30', 'clubName': 'FC Barcelona', 'clubID': '131', 'value': '€28.00m'}, {'date': 'Jun 10, 2021', 'age': '31', 'clubName': 'FC Barcelona', 'clubID': '131', 'value': '€20.00m'}, {'date': 'Oct 12, 2021', 'age': '31', 'clubName': 'Besiktas JK', 'clubID': '114', 'value': '€18.00m'}, {'date': 'Jan 4, 2022', 'age': '31', 'clubName': 'Besiktas JK', 'clubID': '114', 'value': '€15.00m'}, {'date': 'Mar 31, 2022', 'age': '31', 'clubName': 'Besiktas JK', 'clubID': '114', 'value': '€11.50m'}, {'date': 'Jun 1, 2022', 'age': '32', 'clubName': 'Besiktas JK', 'clubID': '114', 'value': '€9.50m'}, {'date': 'Dec 15, 2022', 'age': '32', 'clubName': 'Sharjah FC', 'clubID': '13613', 'value': '€8.00m'}, {'date': 'May 31, 2023', 'age': '33', 'clubName': 'Sharjah FC', 'clubID': '13613', 'value': '€6.00m'}, {'date': 'Oct 12, 2023', 'age': '33', 'clubName': 'Sharjah FC', 'clubID': '13613', 'value': '€5.00m'}, {'date': 'Mar 8, 2024', 'age': '33', 'clubName': 'Sharjah FC', 'clubID': '13613', 'value': '€4.00m'}, {'date': 'Jun 3, 2024', 'age': '34', 'clubName': 'Sharjah FC', 'clubID': '13613', 'value': '€3.00m'}, {'date': 'Dec 12, 2024', 'age': '34', 'clubName': 'CSKA Moscow', 'clubID': '2410', 'value': '€2.50m'}, {'date': 'Jun 4, 2025', 'age': '35', 'clubName': 'CSKA Moscow', 'clubID': '2410', 'value': '€2.00m'}, {'date': 'Oct 21, 2025', 'age': '35', 'clubName': 'Without Club', 'clubID': '515', 'value': '€1.50m'}, {'date': 'Dec 30, 2025', 'age': '35', 'clubName': 'Retired', 'clubID': '123', 'value': '-'}]}</t>
  </si>
  <si>
    <t>Luxembourg</t>
  </si>
  <si>
    <t>1990-04-02</t>
  </si>
  <si>
    <t>De Gea</t>
  </si>
  <si>
    <t>Man United</t>
  </si>
  <si>
    <t>{'marketValueHistory': [{'date': '23/11/2007', 'age': '17', 'clubName': 'Atlético Madrid U19', 'clubID': '13', 'value': '€100k'}, {'date': '06/08/2009', 'age': '18', 'clubName': 'Atlético de Madrid', 'clubID': '13', 'value': '€500k'}, {'date': '03/12/2009', 'age': '19', 'clubName': 'Atlético de Madrid', 'clubID': '13', 'value': '€800k'}, {'date': '29/01/2010', 'age': '19', 'clubName': 'Atlético de Madrid', 'clubID': '13', 'value': '€3.00m'}, {'date': '12/04/2010', 'age': '19', 'clubName': 'Atlético de Madrid', 'clubID': '13', 'value': '€7.00m'}, {'date': '27/08/2010', 'age': '19', 'clubName': 'Atlético de Madrid', 'clubID': '13', 'value': '€12.00m'}, {'date': '04/02/2011', 'age': '20', 'clubName': 'Atlético de Madrid', 'clubID': '13', 'value': '€12.00m'}, {'date': '08/08/2011', 'age': '20', 'clubName': 'Manchester United', 'clubID': '985', 'value': '€18.00m'}, {'date': '06/02/2012', 'age': '21', 'clubName': 'Manchester United', 'clubID': '985', 'value': '€16.00m'}, {'date': '24/06/2012', 'age': '21', 'clubName': 'Manchester United', 'clubID': '985', 'value': '€17.50m'}, {'date': '28/01/2013', 'age': '22', 'clubName': 'Manchester United', 'clubID': '985', 'value': '€17.00m'}, {'date': '02/07/2013', 'age': '22', 'clubName': 'Manchester United', 'clubID': '985', 'value': '€17.00m'}, {'date': '15/01/2014', 'age': '23', 'clubName': 'Manchester United', 'clubID': '985', 'value': '€17.00m'}, {'date': '12/08/2014', 'age': '23', 'clubName': 'Manchester United', 'clubID': '985', 'value': '€18.00m'}, {'date': '12/02/2015', 'age': '24', 'clubName': 'Manchester United', 'clubID': '985', 'value': '€25.00m'}, {'date': '01/07/2015', 'age': '24', 'clubName': 'Manchester United', 'clubID': '985', 'value': '€30.00m'}, {'date': '09/02/2016', 'age': '25', 'clubName': 'Manchester United', 'clubID': '985', 'value': '€35.00m'}, {'date': '01/06/2016', 'age': '25', 'clubName': 'Manchester United', 'clubID': '985', 'value': '€40.00m'}, {'date': '01/08/2016', 'age': '25', 'clubName': 'Manchester United', 'clubID': '985', 'value': '€40.00m'}, {'date': '20/02/2017', 'age': '26', 'clubName': 'Manchester United', 'clubID': '985', 'value': '€40.00m'}, {'date': '28/06/2017', 'age': '26', 'clubName': 'Manchester United', 'clubID': '985', 'value': '€40.00m'}, {'date': '02/01/2018', 'age': '27', 'clubName': 'Manchester United', 'clubID': '985', 'value': '€50.00m'}, {'date': '23/03/2018', 'age': '27', 'clubName': 'Manchester United', 'clubID': '985', 'value': '€60.00m'}, {'date': '28/05/2018', 'age': '27', 'clubName': 'Manchester United', 'clubID': '985', 'value': '€70.00m'}, {'date': '19/12/2018', 'age': '28', 'clubName': 'Manchester United', 'clubID': '985', 'value': '€70.00m'}, {'date': '13/06/2019', 'age': '28', 'clubName': 'Manchester United', 'clubID': '985', 'value': '€65.00m'}, {'date': '10/12/2019', 'age': '29', 'clubName': 'Manchester United', 'clubID': '985', 'value': '€60.00m'}, {'date': '09/03/2020', 'age': '29', 'clubName': 'Manchester United', 'clubID': '985', 'value': '€50.00m'}, {'date': '08/04/2020', 'age': '29', 'clubName': 'Manchester United', 'clubID': '985', 'value': '€40.00m'}, {'date': '13/10/2020', 'age': '29', 'clubName': 'Manchester United', 'clubID': '985', 'value': '€35.00m'}, {'date': '17/12/2020', 'age': '30', 'clubName': 'Manchester United', 'clubID': '985', 'value': '€25.00m'}, {'date': '18/03/2021', 'age': '30', 'clubName': 'Manchester United', 'clubID': '985', 'value': '€22.00m'}, {'date': '31/05/2021', 'age': '30', 'clubName': 'Manchester United', 'clubID': '985', 'value': '€18.00m'}, {'date': '23/12/2021', 'age': '31', 'clubName': 'Manchester United', 'clubID': '985', 'value': '€18.00m'}, {'date': '29/03/2022', 'age': '31', 'clubName': 'Manchester United', 'clubID': '985', 'value': '€15.00m'}, {'date': '15/06/2022', 'age': '31', 'clubName': 'Manchester United', 'clubID': '985', 'value': '€15.00m'}, {'date': '03/11/2022', 'age': '31', 'clubName': 'Manchester United', 'clubID': '985', 'value': '€15.00m'}, {'date': '20/06/2023', 'age': '32', 'clubName': 'Manchester United', 'clubID': '985', 'value': '€13.00m'}, {'date': '25/10/2023', 'age': '32', 'clubName': 'Without Club', 'clubID': '515', 'value': '€8.00m'}, {'date': '29/03/2024', 'age': '33', 'clubName': 'Without Club', 'clubID': '515', 'value': '€5.00m'}, {'date': '18/10/2024', 'age': '33', 'clubName': 'ACF Fiorentina', 'clubID': '430', 'value': '€5.00m'}, {'date': '18/12/2024', 'age': '34', 'clubName': 'ACF Fiorentina', 'clubID': '430', 'value': '€5.00m'}, {'date': '17/06/2025', 'age': '34', 'clubName': 'ACF Fiorentina', 'clubID': '430', 'value': '€5.00m'}, {'date': '23/12/2025', 'age': '35', 'clubName': 'ACF Fiorentina', 'clubID': '430', 'value': '€3.50m'}]}</t>
  </si>
  <si>
    <t>1990-11-07</t>
  </si>
  <si>
    <t>Henderson</t>
  </si>
  <si>
    <t>{'marketValueHistory': [{'date': 'Aug 24, 2008', 'age': '18', 'clubName': 'Sunderland AFC', 'clubID': '289', 'value': '€50k'}, {'date': 'Jan 24, 2010', 'age': '19', 'clubName': 'Sunderland AFC', 'clubID': '289', 'value': '€3.00m'}, {'date': 'Aug 13, 2010', 'age': '20', 'clubName': 'Sunderland AFC', 'clubID': '289', 'value': '€4.00m'}, {'date': 'Feb 1, 2011', 'age': '20', 'clubName': 'Sunderland AFC', 'clubID': '289', 'value': '€8.50m'}, {'date': 'Aug 8, 2011', 'age': '21', 'clubName': 'Liverpool FC', 'clubID': '31', 'value': '€13.00m'}, {'date': 'Feb 6, 2012', 'age': '21', 'clubName': 'Liverpool FC', 'clubID': '31', 'value': '€15.00m'}, {'date': 'Jun 24, 2012', 'age': '22', 'clubName': 'Liverpool FC', 'clubID': '31', 'value': '€15.00m'}, {'date': 'Jan 28, 2013', 'age': '22', 'clubName': 'Liverpool FC', 'clubID': '31', 'value': '€10.50m'}, {'date': 'Jul 2, 2013', 'age': '23', 'clubName': 'Liverpool FC', 'clubID': '31', 'value': '€13.00m'}, {'date': 'Jan 15, 2014', 'age': '23', 'clubName': 'Liverpool FC', 'clubID': '31', 'value': '€15.00m'}, {'date': 'Aug 12, 2014', 'age': '24', 'clubName': 'Liverpool FC', 'clubID': '31', 'value': '€18.00m'}, {'date': 'Feb 12, 2015', 'age': '24', 'clubName': 'Liverpool FC', 'clubID': '31', 'value': '€23.00m'}, {'date': 'Jul 1, 2015', 'age': '25', 'clubName': 'Liverpool FC', 'clubID': '31', 'value': '€28.00m'}, {'date': 'Feb 9, 2016', 'age': '25', 'clubName': 'Liverpool FC', 'clubID': '31', 'value': '€28.00m'}, {'date': 'Jun 1, 2016', 'age': '25', 'clubName': 'Liverpool FC', 'clubID': '31', 'value': '€28.00m'}, {'date': 'Aug 1, 2016', 'age': '26', 'clubName': 'Liverpool FC', 'clubID': '31', 'value': '€28.00m'}, {'date': 'Feb 20, 2017', 'age': '26', 'clubName': 'Liverpool FC', 'clubID': '31', 'value': '€28.00m'}, {'date': 'Jun 28, 2017', 'age': '27', 'clubName': 'Liverpool FC', 'clubID': '31', 'value': '€28.00m'}, {'date': 'Jan 2, 2018', 'age': '27', 'clubName': 'Liverpool FC', 'clubID': '31', 'value': '€25.00m'}, {'date': 'May 28, 2018', 'age': '27', 'clubName': 'Liverpool FC', 'clubID': '31', 'value': '€25.00m'}, {'date': 'Jul 16, 2018', 'age': '28', 'clubName': 'Liverpool FC', 'clubID': '31', 'value': '€28.00m'}, {'date': 'Dec 19, 2018', 'age': '28', 'clubName': 'Liverpool FC', 'clubID': '31', 'value': '€28.00m'}, {'date': 'Jun 13, 2019', 'age': '28', 'clubName': 'Liverpool FC', 'clubID': '31', 'value': '€35.00m'}, {'date': 'Dec 10, 2019', 'age': '29', 'clubName': 'Liverpool FC', 'clubID': '31', 'value': '€35.00m'}, {'date': 'Apr 8, 2020', 'age': '29', 'clubName': 'Liverpool FC', 'clubID': '31', 'value': '€28.00m'}, {'date': 'Oct 13, 2020', 'age': '30', 'clubName': 'Liverpool FC', 'clubID': '31', 'value': '€28.00m'}, {'date': 'Mar 18, 2021', 'age': '30', 'clubName': 'Liverpool FC', 'clubID': '31', 'value': '€22.00m'}, {'date': 'May 28, 2021', 'age': '30', 'clubName': 'Liverpool FC', 'clubID': '31', 'value': '€20.00m'}, {'date': 'Dec 23, 2021', 'age': '31', 'clubName': 'Liverpool FC', 'clubID': '31', 'value': '€18.00m'}, {'date': 'Jun 15, 2022', 'age': '31', 'clubName': 'Liverpool FC', 'clubID': '31', 'value': '€15.00m'}, {'date': 'Nov 3, 2022', 'age': '32', 'clubName': 'Liverpool FC', 'clubID': '31', 'value': '€15.00m'}, {'date': 'Mar 16, 2023', 'age': '32', 'clubName': 'Liverpool FC', 'clubID': '31', 'value': '€10.00m'}, {'date': 'Jun 20, 2023', 'age': '33', 'clubName': 'Liverpool FC', 'clubID': '31', 'value': '€10.00m'}, {'date': 'Oct 24, 2023', 'age': '33', 'clubName': 'Al-Ettifaq FC', 'clubID': '7732', 'value': '€8.00m'}, {'date': 'Dec 15, 2023', 'age': '33', 'clubName': 'Al-Ettifaq FC', 'clubID': '7732', 'value': '€7.50m'}, {'date': 'Mar 18, 2024', 'age': '33', 'clubName': 'Ajax Amsterdam', 'clubID': '610', 'value': '€6.00m'}, {'date': 'May 31, 2024', 'age': '33', 'clubName': 'Ajax Amsterdam', 'clubID': '610', 'value': '€4.00m'}, {'date': 'Dec 17, 2024', 'age': '34', 'clubName': 'Ajax Amsterdam', 'clubID': '610', 'value': '€3.50m'}, {'date': 'May 28, 2025', 'age': '34', 'clubName': 'Ajax Amsterdam', 'clubID': '610', 'value': '€2.50m'}, {'date': 'Dec 9, 2025', 'age': '35', 'clubName': 'Brentford FC', 'clubID': '1148', 'value': '€2.00m'}]}</t>
  </si>
  <si>
    <t>1990-06-17</t>
  </si>
  <si>
    <t>Kane</t>
  </si>
  <si>
    <t>{'marketValueHistory': [{'date': '15/11/2012', 'age': '19', 'clubName': 'Norwich City', 'clubID': '1123', 'value': '€500k'}, {'date': '28/01/2013', 'age': '19', 'clubName': 'Norwich City', 'clubID': '1123', 'value': '€500k'}, {'date': '12/08/2014', 'age': '21', 'clubName': 'Tottenham Hotspur', 'clubID': '148', 'value': '€3.00m'}, {'date': '12/02/2015', 'age': '21', 'clubName': 'Tottenham Hotspur', 'clubID': '148', 'value': '€15.00m'}, {'date': '01/07/2015', 'age': '21', 'clubName': 'Tottenham Hotspur', 'clubID': '148', 'value': '€25.00m'}, {'date': '09/02/2016', 'age': '22', 'clubName': 'Tottenham Hotspur', 'clubID': '148', 'value': '€30.00m'}, {'date': '01/06/2016', 'age': '22', 'clubName': 'Tottenham Hotspur', 'clubID': '148', 'value': '€40.00m'}, {'date': '01/08/2016', 'age': '23', 'clubName': 'Tottenham Hotspur', 'clubID': '148', 'value': '€40.00m'}, {'date': '20/02/2017', 'age': '23', 'clubName': 'Tottenham Hotspur', 'clubID': '148', 'value': '€50.00m'}, {'date': '28/06/2017', 'age': '23', 'clubName': 'Tottenham Hotspur', 'clubID': '148', 'value': '€60.00m'}, {'date': '23/10/2017', 'age': '24', 'clubName': 'Tottenham Hotspur', 'clubID': '148', 'value': '€80.00m'}, {'date': '02/01/2018', 'age': '24', 'clubName': 'Tottenham Hotspur', 'clubID': '148', 'value': '€120.00m'}, {'date': '28/05/2018', 'age': '24', 'clubName': 'Tottenham Hotspur', 'clubID': '148', 'value': '€150.00m'}, {'date': '19/12/2018', 'age': '25', 'clubName': 'Tottenham Hotspur', 'clubID': '148', 'value': '€150.00m'}, {'date': '13/06/2019', 'age': '25', 'clubName': 'Tottenham Hotspur', 'clubID': '148', 'value': '€150.00m'}, {'date': '10/12/2019', 'age': '26', 'clubName': 'Tottenham Hotspur', 'clubID': '148', 'value': '€150.00m'}, {'date': '08/04/2020', 'age': '26', 'clubName': 'Tottenham Hotspur', 'clubID': '148', 'value': '€120.00m'}, {'date': '13/10/2020', 'age': '27', 'clubName': 'Tottenham Hotspur', 'clubID': '148', 'value': '€120.00m'}, {'date': '18/03/2021', 'age': '27', 'clubName': 'Tottenham Hotspur', 'clubID': '148', 'value': '€120.00m'}, {'date': '28/05/2021', 'age': '27', 'clubName': 'Tottenham Hotspur', 'clubID': '148', 'value': '€120.00m'}, {'date': '23/12/2021', 'age': '28', 'clubName': 'Tottenham Hotspur', 'clubID': '148', 'value': '€100.00m'}, {'date': '15/06/2022', 'age': '28', 'clubName': 'Tottenham Hotspur', 'clubID': '148', 'value': '€90.00m'}, {'date': '03/11/2022', 'age': '29', 'clubName': 'Tottenham Hotspur', 'clubID': '148', 'value': '€90.00m'}, {'date': '20/06/2023', 'age': '29', 'clubName': 'Tottenham Hotspur', 'clubID': '148', 'value': '€90.00m'}, {'date': '18/10/2023', 'age': '30', 'clubName': 'Bayern Munich', 'clubID': '27', 'value': '€110.00m'}, {'date': '14/12/2023', 'age': '30', 'clubName': 'Bayern Munich', 'clubID': '27', 'value': '€110.00m'}, {'date': '29/05/2024', 'age': '30', 'clubName': 'Bayern Munich', 'clubID': '27', 'value': '€100.00m'}, {'date': '20/12/2024', 'age': '31', 'clubName': 'Bayern Munich', 'clubID': '27', 'value': '€90.00m'}, {'date': '05/06/2025', 'age': '31', 'clubName': 'Bayern Munich', 'clubID': '27', 'value': '€75.00m'}, {'date': '19/12/2025', 'age': '32', 'clubName': 'Bayern Munich', 'clubID': '27', 'value': '€65.00m'}]}</t>
  </si>
  <si>
    <t>1993-07-28</t>
  </si>
  <si>
    <t>Firmino</t>
  </si>
  <si>
    <t>{'marketValueHistory': [{'date': 'Jan 12, 2011', 'age': '19', 'clubName': 'TSG 1899 Hoffenheim', 'clubID': '533', 'value': '€4.00m'}, {'date': 'Jun 29, 2011', 'age': '19', 'clubName': 'TSG 1899 Hoffenheim', 'clubID': '533', 'value': '€4.00m'}, {'date': 'Oct 18, 2011', 'age': '20', 'clubName': 'TSG 1899 Hoffenheim', 'clubID': '533', 'value': '€6.00m'}, {'date': 'Jan 23, 2012', 'age': '20', 'clubName': 'TSG 1899 Hoffenheim', 'clubID': '533', 'value': '€6.00m'}, {'date': 'Jun 29, 2012', 'age': '20', 'clubName': 'TSG 1899 Hoffenheim', 'clubID': '533', 'value': '€7.00m'}, {'date': 'Jan 13, 2013', 'age': '21', 'clubName': 'TSG 1899 Hoffenheim', 'clubID': '533', 'value': '€6.50m'}, {'date': 'Jun 30, 2013', 'age': '21', 'clubName': 'TSG 1899 Hoffenheim', 'clubID': '533', 'value': '€6.50m'}, {'date': 'Aug 27, 2013', 'age': '21', 'clubName': 'TSG 1899 Hoffenheim', 'clubID': '533', 'value': '€11.00m'}, {'date': 'Feb 12, 2014', 'age': '22', 'clubName': 'TSG 1899 Hoffenheim', 'clubID': '533', 'value': '€15.00m'}, {'date': 'Jul 10, 2014', 'age': '22', 'clubName': 'TSG 1899 Hoffenheim', 'clubID': '533', 'value': '€25.00m'}, {'date': 'Feb 4, 2015', 'age': '23', 'clubName': 'TSG 1899 Hoffenheim', 'clubID': '533', 'value': '€25.00m'}, {'date': 'Jul 1, 2015', 'age': '23', 'clubName': 'Liverpool FC', 'clubID': '31', 'value': '€25.00m'}, {'date': 'Oct 14, 2015', 'age': '24', 'clubName': 'Liverpool FC', 'clubID': '31', 'value': '€35.00m'}, {'date': 'Feb 9, 2016', 'age': '24', 'clubName': 'Liverpool FC', 'clubID': '31', 'value': '€35.00m'}, {'date': 'Aug 1, 2016', 'age': '24', 'clubName': 'Liverpool FC', 'clubID': '31', 'value': '€35.00m'}, {'date': 'Feb 20, 2017', 'age': '25', 'clubName': 'Liverpool FC', 'clubID': '31', 'value': '€35.00m'}, {'date': 'Jun 28, 2017', 'age': '25', 'clubName': 'Liverpool FC', 'clubID': '31', 'value': '€38.00m'}, {'date': 'Jan 2, 2018', 'age': '26', 'clubName': 'Liverpool FC', 'clubID': '31', 'value': '€50.00m'}, {'date': 'May 28, 2018', 'age': '26', 'clubName': 'Liverpool FC', 'clubID': '31', 'value': '€80.00m'}, {'date': 'Dec 19, 2018', 'age': '27', 'clubName': 'Liverpool FC', 'clubID': '31', 'value': '€80.00m'}, {'date': 'Jun 13, 2019', 'age': '27', 'clubName': 'Liverpool FC', 'clubID': '31', 'value': '€80.00m'}, {'date': 'Dec 10, 2019', 'age': '28', 'clubName': 'Liverpool FC', 'clubID': '31', 'value': '€90.00m'}, {'date': 'Apr 8, 2020', 'age': '28', 'clubName': 'Liverpool FC', 'clubID': '31', 'value': '€72.00m'}, {'date': 'Oct 13, 2020', 'age': '29', 'clubName': 'Liverpool FC', 'clubID': '31', 'value': '€72.00m'}, {'date': 'Mar 18, 2021', 'age': '29', 'clubName': 'Liverpool FC', 'clubID': '31', 'value': '€55.00m'}, {'date': 'Jun 8, 2021', 'age': '29', 'clubName': 'Liverpool FC', 'clubID': '31', 'value': '€50.00m'}, {'date': 'Oct 5, 2021', 'age': '30', 'clubName': 'Liverpool FC', 'clubID': '31', 'value': '€40.00m'}, {'date': 'Dec 23, 2021', 'age': '30', 'clubName': 'Liverpool FC', 'clubID': '31', 'value': '€38.00m'}, {'date': 'Jun 15, 2022', 'age': '30', 'clubName': 'Liverpool FC', 'clubID': '31', 'value': '€32.00m'}, {'date': 'Nov 3, 2022', 'age': '31', 'clubName': 'Liverpool FC', 'clubID': '31', 'value': '€28.00m'}, {'date': 'Mar 16, 2023', 'age': '31', 'clubName': 'Liverpool FC', 'clubID': '31', 'value': '€22.00m'}, {'date': 'Jun 20, 2023', 'age': '31', 'clubName': 'Liverpool FC', 'clubID': '31', 'value': '€18.00m'}, {'date': 'Oct 24, 2023', 'age': '32', 'clubName': 'Al-Ahli SFC', 'clubID': '18487', 'value': '€15.00m'}, {'date': 'Dec 15, 2023', 'age': '32', 'clubName': 'Al-Ahli SFC', 'clubID': '18487', 'value': '€10.00m'}, {'date': 'Jun 4, 2024', 'age': '32', 'clubName': 'Al-Ahli SFC', 'clubID': '18487', 'value': '€8.00m'}, {'date': 'Dec 13, 2024', 'age': '33', 'clubName': 'Al-Ahli SFC', 'clubID': '18487', 'value': '€6.00m'}, {'date': 'May 27, 2025', 'age': '33', 'clubName': 'Al-Ahli SFC', 'clubID': '18487', 'value': '€5.00m'}, {'date': 'Dec 30, 2025', 'age': '34', 'clubName': 'Al-Sadd SC', 'clubID': '656', 'value': '€4.50m'}]}</t>
  </si>
  <si>
    <t>1991-10-02</t>
  </si>
  <si>
    <t>Ronaldo</t>
  </si>
  <si>
    <t>{'marketValueHistory': [{'date': '04/10/2004', 'age': '19', 'clubName': 'Manchester United', 'clubID': '985', 'value': '€18.00m'}, {'date': '11/02/2005', 'age': '20', 'clubName': 'Manchester United', 'clubID': '985', 'value': '€22.80m'}, {'date': '18/10/2005', 'age': '20', 'clubName': 'Manchester United', 'clubID': '985', 'value': '€26.50m'}, {'date': '14/06/2006', 'age': '21', 'clubName': 'Manchester United', 'clubID': '985', 'value': '€25.00m'}, {'date': '25/04/2007', 'age': '22', 'clubName': 'Manchester United', 'clubID': '985', 'value': '€34.00m'}, {'date': '04/02/2008', 'age': '22', 'clubName': 'Manchester United', 'clubID': '985', 'value': '€50.00m'}, {'date': '08/04/2008', 'age': '23', 'clubName': 'Manchester United', 'clubID': '985', 'value': '€55.00m'}, {'date': '04/07/2008', 'age': '23', 'clubName': 'Manchester United', 'clubID': '985', 'value': '€60.00m'}, {'date': '22/07/2009', 'age': '24', 'clubName': 'Real Madrid', 'clubID': '418', 'value': '€70.00m'}, {'date': '03/12/2009', 'age': '24', 'clubName': 'Real Madrid', 'clubID': '418', 'value': '€70.00m'}, {'date': '07/01/2010', 'age': '24', 'clubName': 'Real Madrid', 'clubID': '418', 'value': '€75.00m'}, {'date': '12/04/2010', 'age': '25', 'clubName': 'Real Madrid', 'clubID': '418', 'value': '€75.00m'}, {'date': '27/08/2010', 'age': '25', 'clubName': 'Real Madrid', 'clubID': '418', 'value': '€90.00m'}, {'date': '04/02/2011', 'age': '25', 'clubName': 'Real Madrid', 'clubID': '418', 'value': '€90.00m'}, {'date': '29/07/2011', 'age': '26', 'clubName': 'Real Madrid', 'clubID': '418', 'value': '€90.00m'}, {'date': '03/02/2012', 'age': '26', 'clubName': 'Real Madrid', 'clubID': '418', 'value': '€90.00m'}, {'date': '07/08/2012', 'age': '27', 'clubName': 'Real Madrid', 'clubID': '418', 'value': '€100.00m'}, {'date': '10/01/2013', 'age': '27', 'clubName': 'Real Madrid', 'clubID': '418', 'value': '€100.00m'}, {'date': '12/06/2013', 'age': '28', 'clubName': 'Real Madrid', 'clubID': '418', 'value': '€100.00m'}, {'date': '23/01/2014', 'age': '28', 'clubName': 'Real Madrid', 'clubID': '418', 'value': '€100.00m'}, {'date': '20/07/2014', 'age': '29', 'clubName': 'Real Madrid', 'clubID': '418', 'value': '€100.00m'}, {'date': '22/10/2014', 'age': '29', 'clubName': 'Real Madrid', 'clubID': '418', 'value': '€120.00m'}, {'date': '23/01/2015', 'age': '29', 'clubName': 'Real Madrid', 'clubID': '418', 'value': '€120.00m'}, {'date': '01/07/2015', 'age': '30', 'clubName': 'Real Madrid', 'clubID': '418', 'value': '€120.00m'}, {'date': '22/11/2015', 'age': '30', 'clubName': 'Real Madrid', 'clubID': '418', 'value': '€110.00m'}, {'date': '22/02/2016', 'age': '31', 'clubName': 'Real Madrid', 'clubID': '418', 'value': '€110.00m'}, {'date': '01/06/2016', 'age': '31', 'clubName': 'Real Madrid', 'clubID': '418', 'value': '€110.00m'}, {'date': '15/07/2016', 'age': '31', 'clubName': 'Real Madrid', 'clubID': '418', 'value': '€110.00m'}, {'date': '24/01/2017', 'age': '31', 'clubName': 'Real Madrid', 'clubID': '418', 'value': '€100.00m'}, {'date': '05/06/2017', 'age': '32', 'clubName': 'Real Madrid', 'clubID': '418', 'value': '€100.00m'}, {'date': '01/01/2018', 'age': '32', 'clubName': 'Real Madrid', 'clubID': '418', 'value': '€120.00m'}, {'date': '30/05/2018', 'age': '33', 'clubName': 'Real Madrid', 'clubID': '418', 'value': '€100.00m'}, {'date': '20/12/2018', 'age': '33', 'clubName': 'Juventus FC', 'clubID': '506', 'value': '€100.00m'}, {'date': '06/06/2019', 'age': '34', 'clubName': 'Juventus FC', 'clubID': '506', 'value': '€90.00m'}, {'date': '12/12/2019', 'age': '34', 'clubName': 'Juventus FC', 'clubID': '506', 'value': '€75.00m'}, {'date': '08/04/2020', 'age': '35', 'clubName': 'Juventus FC', 'clubID': '506', 'value': '€60.00m'}, {'date': '25/08/2020', 'age': '35', 'clubName': 'Juventus FC', 'clubID': '506', 'value': '€60.00m'}, {'date': '29/12/2020', 'age': '35', 'clubName': 'Juventus FC', 'clubID': '506', 'value': '€60.00m'}, {'date': '23/03/2021', 'age': '36', 'clubName': 'Juventus FC', 'clubID': '506', 'value': '€50.00m'}, {'date': '01/06/2021', 'age': '36', 'clubName': 'Juventus FC', 'clubID': '506', 'value': '€45.00m'}, {'date': '23/12/2021', 'age': '36', 'clubName': 'Manchester United', 'clubID': '985', 'value': '€35.00m'}, {'date': '15/06/2022', 'age': '37', 'clubName': 'Manchester United', 'clubID': '985', 'value': '€30.00m'}, {'date': '15/09/2022', 'age': '37', 'clubName': 'Manchester United', 'clubID': '985', 'value': '€20.00m'}, {'date': '03/11/2022', 'age': '37', 'clubName': 'Manchester United', 'clubID': '985', 'value': '€20.00m'}, {'date': '12/06/2023', 'age': '38', 'clubName': 'Al-Nassr FC', 'clubID': '18544', 'value': '€15.00m'}, {'date': '15/12/2023', 'age': '38', 'clubName': 'Al-Nassr FC', 'clubID': '18544', 'value': '€15.00m'}, {'date': '04/06/2024', 'age': '39', 'clubName': 'Al-Nassr FC', 'clubID': '18544', 'value': '€15.00m'}, {'date': '13/12/2024', 'age': '39', 'clubName': 'Al-Nassr FC', 'clubID': '18544', 'value': '€12.00m'}, {'date': '27/05/2025', 'age': '40', 'clubName': 'Al-Nassr FC', 'clubID': '18544', 'value': '€12.00m'}, {'date': '18/12/2025', 'age': '40', 'clubName': 'Al-Nassr FC', 'clubID': '18544', 'value': '€12.00m'}]}</t>
  </si>
  <si>
    <t>1985-02-05</t>
  </si>
  <si>
    <t>Walker</t>
  </si>
  <si>
    <t>{'marketValueHistory': [{'date': 'Jul 2, 2009', 'age': '19', 'clubName': 'Sheffield United', 'clubID': '350', 'value': '€50k'}, {'date': 'Sep 21, 2009', 'age': '19', 'clubName': 'Sheffield United', 'clubID': '350', 'value': '€3.00m'}, {'date': 'Aug 13, 2010', 'age': '20', 'clubName': 'Tottenham Hotspur', 'clubID': '148', 'value': '€2.00m'}, {'date': 'Aug 8, 2011', 'age': '21', 'clubName': 'Tottenham Hotspur', 'clubID': '148', 'value': '€5.50m'}, {'date': 'Feb 6, 2012', 'age': '21', 'clubName': 'Tottenham Hotspur', 'clubID': '148', 'value': '€13.00m'}, {'date': 'Jun 24, 2012', 'age': '22', 'clubName': 'Tottenham Hotspur', 'clubID': '148', 'value': '€16.00m'}, {'date': 'Jan 28, 2013', 'age': '22', 'clubName': 'Tottenham Hotspur', 'clubID': '148', 'value': '€16.00m'}, {'date': 'Jul 2, 2013', 'age': '23', 'clubName': 'Tottenham Hotspur', 'clubID': '148', 'value': '€17.00m'}, {'date': 'Jan 15, 2014', 'age': '23', 'clubName': 'Tottenham Hotspur', 'clubID': '148', 'value': '€19.00m'}, {'date': 'Aug 12, 2014', 'age': '24', 'clubName': 'Tottenham Hotspur', 'clubID': '148', 'value': '€17.00m'}, {'date': 'Feb 12, 2015', 'age': '24', 'clubName': 'Tottenham Hotspur', 'clubID': '148', 'value': '€17.00m'}, {'date': 'Jul 1, 2015', 'age': '25', 'clubName': 'Tottenham Hotspur', 'clubID': '148', 'value': '€13.00m'}, {'date': 'Feb 9, 2016', 'age': '25', 'clubName': 'Tottenham Hotspur', 'clubID': '148', 'value': '€13.00m'}, {'date': 'Jun 1, 2016', 'age': '26', 'clubName': 'Tottenham Hotspur', 'clubID': '148', 'value': '€15.00m'}, {'date': 'Aug 1, 2016', 'age': '26', 'clubName': 'Tottenham Hotspur', 'clubID': '148', 'value': '€15.00m'}, {'date': 'Feb 20, 2017', 'age': '26', 'clubName': 'Tottenham Hotspur', 'clubID': '148', 'value': '€20.00m'}, {'date': 'Jun 28, 2017', 'age': '27', 'clubName': 'Tottenham Hotspur', 'clubID': '148', 'value': '€30.00m'}, {'date': 'Oct 23, 2017', 'age': '27', 'clubName': 'Manchester City', 'clubID': '281', 'value': '€35.00m'}, {'date': 'Jan 2, 2018', 'age': '27', 'clubName': 'Manchester City', 'clubID': '281', 'value': '€40.00m'}, {'date': 'Mar 23, 2018', 'age': '27', 'clubName': 'Manchester City', 'clubID': '281', 'value': '€50.00m'}, {'date': 'May 28, 2018', 'age': '28', 'clubName': 'Manchester City', 'clubID': '281', 'value': '€50.00m'}, {'date': 'Dec 19, 2018', 'age': '28', 'clubName': 'Manchester City', 'clubID': '281', 'value': '€50.00m'}, {'date': 'Jun 13, 2019', 'age': '29', 'clubName': 'Manchester City', 'clubID': '281', 'value': '€50.00m'}, {'date': 'Dec 10, 2019', 'age': '29', 'clubName': 'Manchester City', 'clubID': '281', 'value': '€50.00m'}, {'date': 'Apr 8, 2020', 'age': '29', 'clubName': 'Manchester City', 'clubID': '281', 'value': '€40.00m'}, {'date': 'Oct 13, 2020', 'age': '30', 'clubName': 'Manchester City', 'clubID': '281', 'value': '€40.00m'}, {'date': 'Mar 18, 2021', 'age': '30', 'clubName': 'Manchester City', 'clubID': '281', 'value': '€35.00m'}, {'date': 'May 28, 2021', 'age': '31', 'clubName': 'Manchester City', 'clubID': '281', 'value': '€28.00m'}, {'date': 'Dec 23, 2021', 'age': '31', 'clubName': 'Manchester City', 'clubID': '281', 'value': '€25.00m'}, {'date': 'Jun 15, 2022', 'age': '32', 'clubName': 'Manchester City', 'clubID': '281', 'value': '€18.00m'}, {'date': 'Nov 3, 2022', 'age': '32', 'clubName': 'Manchester City', 'clubID': '281', 'value': '€15.00m'}, {'date': 'Jun 20, 2023', 'age': '33', 'clubName': 'Manchester City', 'clubID': '281', 'value': '€13.00m'}, {'date': 'Dec 19, 2023', 'age': '33', 'clubName': 'Manchester City', 'clubID': '281', 'value': '€13.00m'}, {'date': 'May 27, 2024', 'age': '33', 'clubName': 'Manchester City', 'clubID': '281', 'value': '€13.00m'}, {'date': 'Dec 16, 2024', 'age': '34', 'clubName': 'Manchester City', 'clubID': '281', 'value': '€10.00m'}, {'date': 'Mar 25, 2025', 'age': '34', 'clubName': 'AC Milan', 'clubID': '5', 'value': '€6.00m'}, {'date': 'Jun 17, 2025', 'age': '35', 'clubName': 'AC Milan', 'clubID': '5', 'value': '€4.00m'}, {'date': 'Oct 17, 2025', 'age': '35', 'clubName': 'Burnley FC', 'clubID': '1132', 'value': '€3.00m'}, {'date': 'Dec 9, 2025', 'age': '35', 'clubName': 'Burnley FC', 'clubID': '1132', 'value': '€2.50m'}]}</t>
  </si>
  <si>
    <t>1990-05-28</t>
  </si>
  <si>
    <t>Alex Sandro</t>
  </si>
  <si>
    <t>{'marketValueHistory': [{'date': '20/07/2008', 'age': '17', 'clubName': 'Atlético Paranaense', 'clubID': '679', 'value': '€50k'}, {'date': '06/09/2009', 'age': '18', 'clubName': 'Atlético Paranaense', 'clubID': '679', 'value': '€200k'}, {'date': '08/12/2009', 'age': '18', 'clubName': 'Atlético Paranaense', 'clubID': '679', 'value': '€500k'}, {'date': '15/04/2010', 'age': '19', 'clubName': 'Santos FC', 'clubID': '221', 'value': '€400k'}, {'date': '06/06/2010', 'age': '19', 'clubName': 'Santos FC', 'clubID': '221', 'value': '€1.20m'}, {'date': '21/02/2011', 'age': '20', 'clubName': 'Santos FC', 'clubID': '221', 'value': '€1.80m'}, {'date': '30/05/2011', 'age': '20', 'clubName': 'Santos FC', 'clubID': '221', 'value': '€1.80m'}, {'date': '21/09/2011', 'age': '20', 'clubName': 'FC Porto', 'clubID': '720', 'value': '€6.80m'}, {'date': '02/02/2012', 'age': '21', 'clubName': 'FC Porto', 'clubID': '720', 'value': '€6.00m'}, {'date': '07/07/2012', 'age': '21', 'clubName': 'FC Porto', 'clubID': '720', 'value': '€8.50m'}, {'date': '27/03/2013', 'age': '22', 'clubName': 'FC Porto', 'clubID': '720', 'value': '€12.00m'}, {'date': '02/07/2013', 'age': '22', 'clubName': 'FC Porto', 'clubID': '720', 'value': '€16.00m'}, {'date': '25/07/2014', 'age': '23', 'clubName': 'FC Porto', 'clubID': '720', 'value': '€16.00m'}, {'date': '17/02/2015', 'age': '24', 'clubName': 'FC Porto', 'clubID': '720', 'value': '€18.00m'}, {'date': '01/07/2015', 'age': '24', 'clubName': 'FC Porto', 'clubID': '720', 'value': '€20.00m'}, {'date': '23/09/2015', 'age': '24', 'clubName': 'Juventus FC', 'clubID': '506', 'value': '€24.00m'}, {'date': '04/01/2016', 'age': '24', 'clubName': 'Juventus FC', 'clubID': '506', 'value': '€24.00m'}, {'date': '01/04/2016', 'age': '25', 'clubName': 'Juventus FC', 'clubID': '506', 'value': '€26.00m'}, {'date': '15/07/2016', 'age': '25', 'clubName': 'Juventus FC', 'clubID': '506', 'value': '€26.00m'}, {'date': '14/10/2016', 'age': '25', 'clubName': 'Juventus FC', 'clubID': '506', 'value': '€28.00m'}, {'date': '02/01/2017', 'age': '25', 'clubName': 'Juventus FC', 'clubID': '506', 'value': '€30.00m'}, {'date': '08/06/2017', 'age': '26', 'clubName': 'Juventus FC', 'clubID': '506', 'value': '€35.00m'}, {'date': '29/12/2017', 'age': '26', 'clubName': 'Juventus FC', 'clubID': '506', 'value': '€40.00m'}, {'date': '24/03/2018', 'age': '27', 'clubName': 'Juventus FC', 'clubID': '506', 'value': '€50.00m'}, {'date': '07/06/2018', 'age': '27', 'clubName': 'Juventus FC', 'clubID': '506', 'value': '€45.00m'}, {'date': '20/12/2018', 'age': '27', 'clubName': 'Juventus FC', 'clubID': '506', 'value': '€50.00m'}, {'date': '06/06/2019', 'age': '28', 'clubName': 'Juventus FC', 'clubID': '506', 'value': '€45.00m'}, {'date': '12/12/2019', 'age': '28', 'clubName': 'Juventus FC', 'clubID': '506', 'value': '€50.00m'}, {'date': '08/04/2020', 'age': '29', 'clubName': 'Juventus FC', 'clubID': '506', 'value': '€40.00m'}, {'date': '25/08/2020', 'age': '29', 'clubName': 'Juventus FC', 'clubID': '506', 'value': '€35.00m'}, {'date': '29/12/2020', 'age': '29', 'clubName': 'Juventus FC', 'clubID': '506', 'value': '€28.00m'}, {'date': '03/06/2021', 'age': '30', 'clubName': 'Juventus FC', 'clubID': '506', 'value': '€20.00m'}, {'date': '28/12/2021', 'age': '30', 'clubName': 'Juventus FC', 'clubID': '506', 'value': '€12.00m'}, {'date': '15/03/2022', 'age': '31', 'clubName': 'Juventus FC', 'clubID': '506', 'value': '€9.00m'}, {'date': '07/06/2022', 'age': '31', 'clubName': 'Juventus FC', 'clubID': '506', 'value': '€6.00m'}, {'date': '11/11/2022', 'age': '31', 'clubName': 'Juventus FC', 'clubID': '506', 'value': '€4.50m'}, {'date': '15/06/2023', 'age': '32', 'clubName': 'Juventus FC', 'clubID': '506', 'value': '€3.00m'}, {'date': '20/12/2023', 'age': '32', 'clubName': 'Juventus FC', 'clubID': '506', 'value': '€2.00m'}, {'date': '05/06/2024', 'age': '33', 'clubName': 'Juventus FC', 'clubID': '506', 'value': '€2.00m'}, {'date': '09/12/2024', 'age': '33', 'clubName': 'CR Flamengo', 'clubID': '614', 'value': '€1.80m'}, {'date': '06/06/2025', 'age': '34', 'clubName': 'CR Flamengo', 'clubID': '614', 'value': '€1.80m'}, {'date': '10/12/2025', 'age': '34', 'clubName': 'CR Flamengo', 'clubID': '614', 'value': '€1.50m'}]}</t>
  </si>
  <si>
    <t>1991-01-26</t>
  </si>
  <si>
    <t>Sissoko</t>
  </si>
  <si>
    <t>{'marketValueHistory': [{'date': 'Oct 4, 2004', 'age': '19', 'clubName': 'Valencia CF', 'clubID': '1049', 'value': '€1.20m'}, {'date': 'Dec 11, 2004', 'age': '19', 'clubName': 'Valencia CF', 'clubID': '1049', 'value': '€2.50m'}, {'date': 'Dec 14, 2004', 'age': '19', 'clubName': 'Valencia CF', 'clubID': '1049', 'value': '€4.00m'}, {'date': 'Aug 10, 2005', 'age': '20', 'clubName': 'Liverpool FC', 'clubID': '31', 'value': '€7.50m'}, {'date': 'Apr 25, 2007', 'age': '22', 'clubName': 'Liverpool FC', 'clubID': '31', 'value': '€8.80m'}, {'date': 'Sep 1, 2007', 'age': '22', 'clubName': 'Liverpool FC', 'clubID': '31', 'value': '€9.00m'}, {'date': 'Feb 4, 2008', 'age': '23', 'clubName': 'Juventus FC', 'clubID': '506', 'value': '€11.00m'}, {'date': 'Feb 15, 2008', 'age': '23', 'clubName': 'Juventus FC', 'clubID': '506', 'value': '€10.00m'}, {'date': 'Jul 3, 2008', 'age': '23', 'clubName': 'Juventus FC', 'clubID': '506', 'value': '€12.50m'}, {'date': 'Feb 6, 2009', 'age': '24', 'clubName': 'Juventus FC', 'clubID': '506', 'value': '€14.50m'}, {'date': 'Aug 6, 2009', 'age': '24', 'clubName': 'Juventus FC', 'clubID': '506', 'value': '€16.00m'}, {'date': 'Jan 20, 2011', 'age': '25', 'clubName': 'Juventus FC', 'clubID': '506', 'value': '€12.50m'}, {'date': 'Mar 18, 2011', 'age': '26', 'clubName': 'Juventus FC', 'clubID': '506', 'value': '€9.00m'}, {'date': 'Jun 21, 2011', 'age': '26', 'clubName': 'Juventus FC', 'clubID': '506', 'value': '€7.50m'}, {'date': 'Dec 24, 2011', 'age': '26', 'clubName': 'Paris Saint-Germain', 'clubID': '583', 'value': '€7.25m'}, {'date': 'Feb 2, 2012', 'age': '27', 'clubName': 'Paris Saint-Germain', 'clubID': '583', 'value': '€7.50m'}, {'date': 'May 23, 2012', 'age': '27', 'clubName': 'Paris Saint-Germain', 'clubID': '583', 'value': '€7.50m'}, {'date': 'Jan 7, 2013', 'age': '27', 'clubName': 'Paris Saint-Germain', 'clubID': '583', 'value': '€6.00m'}, {'date': 'Feb 12, 2013', 'age': '28', 'clubName': 'ACF Fiorentina', 'clubID': '430', 'value': '€5.00m'}, {'date': 'Jun 19, 2013', 'age': '28', 'clubName': 'ACF Fiorentina', 'clubID': '430', 'value': '€3.60m'}, {'date': 'Jul 2, 2013', 'age': '28', 'clubName': 'Paris Saint-Germain', 'clubID': '583', 'value': '€3.50m'}, {'date': 'Sep 13, 2013', 'age': '28', 'clubName': 'Without Club', 'clubID': '515', 'value': '€2.50m'}, {'date': 'Feb 6, 2014', 'age': '29', 'clubName': 'Levante UD', 'clubID': '3368', 'value': '€2.00m'}, {'date': 'Jul 19, 2014', 'age': '29', 'clubName': 'Levante UD', 'clubID': '3368', 'value': '€2.00m'}, {'date': 'Jan 23, 2015', 'age': '30', 'clubName': 'Levante UD', 'clubID': '3368', 'value': '€2.00m'}, {'date': 'Jul 1, 2015', 'age': '30', 'clubName': 'Shanghai Greenland Shenhua', 'clubID': '3183', 'value': '€2.00m'}, {'date': 'Jul 11, 2015', 'age': '30', 'clubName': 'Shanghai Greenland Shenhua', 'clubID': '3183', 'value': '€1.60m'}, {'date': 'Nov 1, 2015', 'age': '30', 'clubName': 'Shanghai Greenland Shenhua', 'clubID': '3183', 'value': '€1.50m'}, {'date': 'Nov 15, 2016', 'age': '31', 'clubName': 'FC Pune City', 'clubID': '45275', 'value': '€750k'}, {'date': 'Feb 17, 2017', 'age': '32', 'clubName': 'Ternana Calcio', 'clubID': '1103', 'value': '€500k'}, {'date': 'May 31, 2017', 'age': '32', 'clubName': 'PS Mitra Kukar', 'clubID': '31442', 'value': '€400k'}, {'date': 'May 24, 2018', 'age': '33', 'clubName': 'Atlético de San Luis', 'clubID': '40188', 'value': '€400k'}, {'date': 'Jun 27, 2019', 'age': '34', 'clubName': 'FC Sochaux-Montbéliard', 'clubID': '750', 'value': '€300k'}, {'date': 'Jan 14, 2020', 'age': '34', 'clubName': 'Retired', 'clubID': '123', 'value': '-'}]}</t>
  </si>
  <si>
    <t>1985-01-22</t>
  </si>
  <si>
    <t>Pogba</t>
  </si>
  <si>
    <t>{'marketValueHistory': [{'date': '21/04/2012', 'age': '19', 'clubName': 'Manchester United Reserves', 'clubID': '9251', 'value': '€3.50m'}, {'date': '24/06/2012', 'age': '19', 'clubName': 'Manchester United Reserves', 'clubID': '9251', 'value': '€3.50m'}, {'date': '07/11/2012', 'age': '19', 'clubName': 'Juventus FC', 'clubID': '506', 'value': '€6.00m'}, {'date': '15/01/2013', 'age': '19', 'clubName': 'Juventus FC', 'clubID': '506', 'value': '€8.00m'}, {'date': '12/02/2013', 'age': '19', 'clubName': 'Juventus FC', 'clubID': '506', 'value': '€10.00m'}, {'date': '09/04/2013', 'age': '20', 'clubName': 'Juventus FC', 'clubID': '506', 'value': '€12.50m'}, {'date': '19/06/2013', 'age': '20', 'clubName': 'Juventus FC', 'clubID': '506', 'value': '€18.00m'}, {'date': '25/09/2013', 'age': '20', 'clubName': 'Juventus FC', 'clubID': '506', 'value': '€25.00m'}, {'date': '07/01/2014', 'age': '20', 'clubName': 'Juventus FC', 'clubID': '506', 'value': '€34.00m'}, {'date': '10/03/2014', 'age': '20', 'clubName': 'Juventus FC', 'clubID': '506', 'value': '€45.00m'}, {'date': '11/07/2014', 'age': '21', 'clubName': 'Juventus FC', 'clubID': '506', 'value': '€45.00m'}, {'date': '07/01/2015', 'age': '21', 'clubName': 'Juventus FC', 'clubID': '506', 'value': '€50.00m'}, {'date': '01/07/2015', 'age': '22', 'clubName': 'Juventus FC', 'clubID': '506', 'value': '€55.00m'}, {'date': '04/01/2016', 'age': '22', 'clubName': 'Juventus FC', 'clubID': '506', 'value': '€55.00m'}, {'date': '01/04/2016', 'age': '23', 'clubName': 'Juventus FC', 'clubID': '506', 'value': '€65.00m'}, {'date': '01/06/2016', 'age': '23', 'clubName': 'Juventus FC', 'clubID': '506', 'value': '€70.00m'}, {'date': '15/07/2016', 'age': '23', 'clubName': 'Juventus FC', 'clubID': '506', 'value': '€70.00m'}, {'date': '24/10/2016', 'age': '23', 'clubName': 'Manchester United', 'clubID': '985', 'value': '€80.00m'}, {'date': '20/02/2017', 'age': '23', 'clubName': 'Manchester United', 'clubID': '985', 'value': '€80.00m'}, {'date': '28/06/2017', 'age': '24', 'clubName': 'Manchester United', 'clubID': '985', 'value': '€75.00m'}, {'date': '02/01/2018', 'age': '24', 'clubName': 'Manchester United', 'clubID': '985', 'value': '€90.00m'}, {'date': '28/05/2018', 'age': '25', 'clubName': 'Manchester United', 'clubID': '985', 'value': '€90.00m'}, {'date': '19/12/2018', 'age': '25', 'clubName': 'Manchester United', 'clubID': '985', 'value': '€80.00m'}, {'date': '05/03/2019', 'age': '25', 'clubName': 'Manchester United', 'clubID': '985', 'value': '€90.00m'}, {'date': '13/06/2019', 'age': '26', 'clubName': 'Manchester United', 'clubID': '985', 'value': '€100.00m'}, {'date': '10/12/2019', 'age': '26', 'clubName': 'Manchester United', 'clubID': '985', 'value': '€100.00m'}, {'date': '08/04/2020', 'age': '27', 'clubName': 'Manchester United', 'clubID': '985', 'value': '€80.00m'}, {'date': '13/10/2020', 'age': '27', 'clubName': 'Manchester United', 'clubID': '985', 'value': '€80.00m'}, {'date': '17/12/2020', 'age': '27', 'clubName': 'Manchester United', 'clubID': '985', 'value': '€65.00m'}, {'date': '18/03/2021', 'age': '28', 'clubName': 'Manchester United', 'clubID': '985', 'value': '€60.00m'}, {'date': '01/06/2021', 'age': '28', 'clubName': 'Manchester United', 'clubID': '985', 'value': '€60.00m'}, {'date': '23/12/2021', 'age': '28', 'clubName': 'Manchester United', 'clubID': '985', 'value': '€55.00m'}, {'date': '15/06/2022', 'age': '29', 'clubName': 'Manchester United', 'clubID': '985', 'value': '€48.00m'}, {'date': '11/11/2022', 'age': '29', 'clubName': 'Juventus FC', 'clubID': '506', 'value': '€35.00m'}, {'date': '21/03/2023', 'age': '30', 'clubName': 'Juventus FC', 'clubID': '506', 'value': '€20.00m'}, {'date': '15/06/2023', 'age': '30', 'clubName': 'Juventus FC', 'clubID': '506', 'value': '€15.00m'}, {'date': '06/10/2023', 'age': '30', 'clubName': 'Juventus FC', 'clubID': '506', 'value': '-'}, {'date': '01/07/2025', 'age': '32', 'clubName': 'AS Monaco', 'clubID': '162', 'value': '€5.00m'}, {'date': '15/12/2025', 'age': '32', 'clubName': 'AS Monaco', 'clubID': '162', 'value': '€5.00m'}, {'date': '27/03/2026', 'age': '33', 'clubName': 'AS Monaco', 'clubID': '162', 'value': '€3.00m'}]}</t>
  </si>
  <si>
    <t>1993-03-15</t>
  </si>
  <si>
    <t>Fabinho</t>
  </si>
  <si>
    <t>{'marketValueHistory': [{'date': 'Aug 19, 2012', 'age': '18', 'clubName': 'Real Madrid Castilla', 'clubID': '6767', 'value': '€1.00m'}, {'date': 'Dec 2, 2012', 'age': '19', 'clubName': 'Real Madrid Castilla', 'clubID': '6767', 'value': '€1.50m'}, {'date': 'Jan 22, 2013', 'age': '19', 'clubName': 'Real Madrid Castilla', 'clubID': '6767', 'value': '€1.50m'}, {'date': 'May 9, 2013', 'age': '19', 'clubName': 'Real Madrid Castilla', 'clubID': '6767', 'value': '€2.50m'}, {'date': 'Jan 14, 2014', 'age': '20', 'clubName': 'AS Monaco', 'clubID': '162', 'value': '€3.00m'}, {'date': 'Aug 7, 2014', 'age': '20', 'clubName': 'AS Monaco', 'clubID': '162', 'value': '€3.50m'}, {'date': 'Jan 14, 2015', 'age': '21', 'clubName': 'AS Monaco', 'clubID': '162', 'value': '€4.50m'}, {'date': 'Jun 6, 2015', 'age': '21', 'clubName': 'AS Monaco', 'clubID': '162', 'value': '€8.00m'}, {'date': 'Sep 6, 2015', 'age': '21', 'clubName': 'AS Monaco', 'clubID': '162', 'value': '€10.00m'}, {'date': 'Feb 4, 2016', 'age': '22', 'clubName': 'AS Monaco', 'clubID': '162', 'value': '€15.00m'}, {'date': 'Jul 13, 2016', 'age': '22', 'clubName': 'AS Monaco', 'clubID': '162', 'value': '€16.00m'}, {'date': 'Nov 1, 2016', 'age': '23', 'clubName': 'AS Monaco', 'clubID': '162', 'value': '€20.00m'}, {'date': 'Jan 16, 2017', 'age': '23', 'clubName': 'AS Monaco', 'clubID': '162', 'value': '€20.00m'}, {'date': 'Jun 1, 2017', 'age': '23', 'clubName': 'AS Monaco', 'clubID': '162', 'value': '€25.00m'}, {'date': 'Jan 24, 2018', 'age': '24', 'clubName': 'AS Monaco', 'clubID': '162', 'value': '€40.00m'}, {'date': 'Jun 4, 2018', 'age': '24', 'clubName': 'AS Monaco', 'clubID': '162', 'value': '€45.00m'}, {'date': 'Dec 19, 2018', 'age': '25', 'clubName': 'Liverpool FC', 'clubID': '31', 'value': '€40.00m'}, {'date': 'Mar 5, 2019', 'age': '25', 'clubName': 'Liverpool FC', 'clubID': '31', 'value': '€45.00m'}, {'date': 'Jun 13, 2019', 'age': '25', 'clubName': 'Liverpool FC', 'clubID': '31', 'value': '€50.00m'}, {'date': 'Dec 10, 2019', 'age': '26', 'clubName': 'Liverpool FC', 'clubID': '31', 'value': '€70.00m'}, {'date': 'Apr 8, 2020', 'age': '26', 'clubName': 'Liverpool FC', 'clubID': '31', 'value': '€56.00m'}, {'date': 'Oct 13, 2020', 'age': '26', 'clubName': 'Liverpool FC', 'clubID': '31', 'value': '€60.00m'}, {'date': 'Mar 18, 2021', 'age': '27', 'clubName': 'Liverpool FC', 'clubID': '31', 'value': '€60.00m'}, {'date': 'Jun 8, 2021', 'age': '27', 'clubName': 'Liverpool FC', 'clubID': '31', 'value': '€60.00m'}, {'date': 'Dec 23, 2021', 'age': '28', 'clubName': 'Liverpool FC', 'clubID': '31', 'value': '€60.00m'}, {'date': 'Jun 15, 2022', 'age': '28', 'clubName': 'Liverpool FC', 'clubID': '31', 'value': '€60.00m'}, {'date': 'Nov 3, 2022', 'age': '29', 'clubName': 'Liverpool FC', 'clubID': '31', 'value': '€55.00m'}, {'date': 'Mar 16, 2023', 'age': '29', 'clubName': 'Liverpool FC', 'clubID': '31', 'value': '€45.00m'}, {'date': 'Jun 20, 2023', 'age': '29', 'clubName': 'Liverpool FC', 'clubID': '31', 'value': '€42.00m'}, {'date': 'Oct 24, 2023', 'age': '30', 'clubName': 'Al-Ittihad Club', 'clubID': '8023', 'value': '€38.00m'}, {'date': 'Dec 15, 2023', 'age': '30', 'clubName': 'Al-Ittihad Club', 'clubID': '8023', 'value': '€35.00m'}, {'date': 'Jun 4, 2024', 'age': '30', 'clubName': 'Al-Ittihad Club', 'clubID': '8023', 'value': '€25.00m'}, {'date': 'Dec 13, 2024', 'age': '31', 'clubName': 'Al-Ittihad Club', 'clubID': '8023', 'value': '€18.00m'}, {'date': 'May 27, 2025', 'age': '31', 'clubName': 'Al-Ittihad Club', 'clubID': '8023', 'value': '€15.00m'}, {'date': 'Dec 18, 2025', 'age': '32', 'clubName': 'Al-Ittihad Club', 'clubID': '8023', 'value': '€13.00m'}]}</t>
  </si>
  <si>
    <t>1993-10-23</t>
  </si>
  <si>
    <t>Moura</t>
  </si>
  <si>
    <t>{'marketValueHistory': [{'date': '07/12/2017', 'age': '20', 'clubName': 'Atlético Paranaense', 'clubID': '679', 'value': '€50k'}, {'date': '23/05/2018', 'age': '20', 'clubName': 'Atlético Paranaense', 'clubID': '679', 'value': '€400k'}, {'date': '18/02/2019', 'age': '21', 'clubName': 'Club Athletico Paranaense', 'clubID': '679', 'value': '€2.00m'}, {'date': '28/05/2019', 'age': '21', 'clubName': 'Club Athletico Paranaense', 'clubID': '679', 'value': '€5.00m'}, {'date': '27/11/2019', 'age': '22', 'clubName': 'Club Athletico Paranaense', 'clubID': '679', 'value': '€20.00m'}, {'date': '13/03/2020', 'age': '22', 'clubName': 'Olympique Lyon', 'clubID': '1041', 'value': '€35.00m'}, {'date': '08/04/2020', 'age': '22', 'clubName': 'Olympique Lyon', 'clubID': '1041', 'value': '€28.00m'}, {'date': '15/10/2020', 'age': '22', 'clubName': 'Olympique Lyon', 'clubID': '1041', 'value': '€28.00m'}, {'date': '04/06/2021', 'age': '23', 'clubName': 'Olympique Lyon', 'clubID': '1041', 'value': '€30.00m'}, {'date': '16/12/2021', 'age': '24', 'clubName': 'Olympique Lyon', 'clubID': '1041', 'value': '€30.00m'}, {'date': '15/06/2022', 'age': '24', 'clubName': 'Newcastle United', 'clubID': '762', 'value': '€40.00m'}, {'date': '15/09/2022', 'age': '24', 'clubName': 'Newcastle United', 'clubID': '762', 'value': '€50.00m'}, {'date': '03/11/2022', 'age': '24', 'clubName': 'Newcastle United', 'clubID': '762', 'value': '€60.00m'}, {'date': '20/06/2023', 'age': '25', 'clubName': 'Newcastle United', 'clubID': '762', 'value': '€70.00m'}, {'date': '09/10/2023', 'age': '25', 'clubName': 'Newcastle United', 'clubID': '762', 'value': '€85.00m'}, {'date': '19/12/2023', 'age': '26', 'clubName': 'Newcastle United', 'clubID': '762', 'value': '€85.00m'}, {'date': '27/05/2024', 'age': '26', 'clubName': 'Newcastle United', 'clubID': '762', 'value': '€85.00m'}, {'date': '16/12/2024', 'age': '27', 'clubName': 'Newcastle United', 'clubID': '762', 'value': '€80.00m'}, {'date': '30/05/2025', 'age': '27', 'clubName': 'Newcastle United', 'clubID': '762', 'value': '€80.00m'}, {'date': '09/12/2025', 'age': '28', 'clubName': 'Newcastle United', 'clubID': '762', 'value': '€75.00m'}]}</t>
  </si>
  <si>
    <t>1997-11-16</t>
  </si>
  <si>
    <t>Rashford</t>
  </si>
  <si>
    <t>{'marketValueHistory': [{'date': 'Mar 23, 2016', 'age': '18', 'clubName': 'Manchester United', 'clubID': '985', 'value': '€3.00m'}, {'date': 'Jun 1, 2016', 'age': '18', 'clubName': 'Manchester United', 'clubID': '985', 'value': '€6.00m'}, {'date': 'Aug 1, 2016', 'age': '18', 'clubName': 'Manchester United', 'clubID': '985', 'value': '€7.00m'}, {'date': 'Oct 24, 2016', 'age': '18', 'clubName': 'Manchester United', 'clubID': '985', 'value': '€10.00m'}, {'date': 'Feb 20, 2017', 'age': '19', 'clubName': 'Manchester United', 'clubID': '985', 'value': '€10.00m'}, {'date': 'Jun 28, 2017', 'age': '19', 'clubName': 'Manchester United', 'clubID': '985', 'value': '€18.00m'}, {'date': 'Oct 23, 2017', 'age': '19', 'clubName': 'Manchester United', 'clubID': '985', 'value': '€30.00m'}, {'date': 'Jan 2, 2018', 'age': '20', 'clubName': 'Manchester United', 'clubID': '985', 'value': '€50.00m'}, {'date': 'May 28, 2018', 'age': '20', 'clubName': 'Manchester United', 'clubID': '985', 'value': '€65.00m'}, {'date': 'Dec 19, 2018', 'age': '21', 'clubName': 'Manchester United', 'clubID': '985', 'value': '€65.00m'}, {'date': 'Mar 5, 2019', 'age': '21', 'clubName': 'Manchester United', 'clubID': '985', 'value': '€80.00m'}, {'date': 'Jun 13, 2019', 'age': '21', 'clubName': 'Manchester United', 'clubID': '985', 'value': '€80.00m'}, {'date': 'Dec 10, 2019', 'age': '22', 'clubName': 'Manchester United', 'clubID': '985', 'value': '€80.00m'}, {'date': 'Apr 8, 2020', 'age': '22', 'clubName': 'Manchester United', 'clubID': '985', 'value': '€64.00m'}, {'date': 'Jul 30, 2020', 'age': '22', 'clubName': 'Manchester United', 'clubID': '985', 'value': '€80.00m'}, {'date': 'Oct 13, 2020', 'age': '22', 'clubName': 'Manchester United', 'clubID': '985', 'value': '€80.00m'}, {'date': 'Mar 18, 2021', 'age': '23', 'clubName': 'Manchester United', 'clubID': '985', 'value': '€85.00m'}, {'date': 'May 28, 2021', 'age': '23', 'clubName': 'Manchester United', 'clubID': '985', 'value': '€85.00m'}, {'date': 'Dec 23, 2021', 'age': '24', 'clubName': 'Manchester United', 'clubID': '985', 'value': '€85.00m'}, {'date': 'Mar 29, 2022', 'age': '24', 'clubName': 'Manchester United', 'clubID': '985', 'value': '€70.00m'}, {'date': 'Jun 15, 2022', 'age': '24', 'clubName': 'Manchester United', 'clubID': '985', 'value': '€60.00m'}, {'date': 'Nov 3, 2022', 'age': '25', 'clubName': 'Manchester United', 'clubID': '985', 'value': '€55.00m'}, {'date': 'Mar 16, 2023', 'age': '25', 'clubName': 'Manchester United', 'clubID': '985', 'value': '€80.00m'}, {'date': 'Jun 20, 2023', 'age': '25', 'clubName': 'Manchester United', 'clubID': '985', 'value': '€80.00m'}, {'date': 'Oct 9, 2023', 'age': '25', 'clubName': 'Manchester United', 'clubID': '985', 'value': '€75.00m'}, {'date': 'Dec 19, 2023', 'age': '26', 'clubName': 'Manchester United', 'clubID': '985', 'value': '€70.00m'}, {'date': 'Mar 14, 2024', 'age': '26', 'clubName': 'Manchester United', 'clubID': '985', 'value': '€60.00m'}, {'date': 'May 27, 2024', 'age': '26', 'clubName': 'Manchester United', 'clubID': '985', 'value': '€60.00m'}, {'date': 'Dec 16, 2024', 'age': '27', 'clubName': 'Manchester United', 'clubID': '985', 'value': '€55.00m'}, {'date': 'Mar 18, 2025', 'age': '27', 'clubName': 'Aston Villa', 'clubID': '405', 'value': '€50.00m'}, {'date': 'May 30, 2025', 'age': '27', 'clubName': 'Aston Villa', 'clubID': '405', 'value': '€50.00m'}, {'date': 'Oct 2, 2025', 'age': '27', 'clubName': 'FC Barcelona', 'clubID': '131', 'value': '€40.00m'}, {'date': 'Dec 12, 2025', 'age': '28', 'clubName': 'FC Barcelona', 'clubID': '131', 'value': '€40.00m'}]}</t>
  </si>
  <si>
    <t>1997-10-31</t>
  </si>
  <si>
    <t>Griezmann</t>
  </si>
  <si>
    <t>Atletico de Madrid</t>
  </si>
  <si>
    <t>{'marketValueHistory': [{'date': '04/09/2009', 'age': '18', 'clubName': 'Real Sociedad', 'clubID': '681', 'value': '€100k'}, {'date': '23/11/2009', 'age': '18', 'clubName': 'Real Sociedad', 'clubID': '681', 'value': '€1.00m'}, {'date': '05/04/2010', 'age': '19', 'clubName': 'Real Sociedad', 'clubID': '681', 'value': '€2.00m'}, {'date': '20/08/2010', 'age': '19', 'clubName': 'Real Sociedad', 'clubID': '681', 'value': '€4.00m'}, {'date': '10/12/2010', 'age': '19', 'clubName': 'Real Sociedad', 'clubID': '681', 'value': '€8.00m'}, {'date': '04/02/2011', 'age': '19', 'clubName': 'Real Sociedad', 'clubID': '681', 'value': '€8.00m'}, {'date': '29/07/2011', 'age': '20', 'clubName': 'Real Sociedad', 'clubID': '681', 'value': '€8.00m'}, {'date': '05/02/2012', 'age': '20', 'clubName': 'Real Sociedad', 'clubID': '681', 'value': '€8.00m'}, {'date': '07/08/2012', 'age': '21', 'clubName': 'Real Sociedad', 'clubID': '681', 'value': '€12.00m'}, {'date': '11/01/2013', 'age': '21', 'clubName': 'Real Sociedad', 'clubID': '681', 'value': '€12.00m'}, {'date': '12/06/2013', 'age': '22', 'clubName': 'Real Sociedad', 'clubID': '681', 'value': '€15.00m'}, {'date': '17/09/2013', 'age': '22', 'clubName': 'Real Sociedad', 'clubID': '681', 'value': '€20.00m'}, {'date': '23/01/2014', 'age': '22', 'clubName': 'Real Sociedad', 'clubID': '681', 'value': '€25.00m'}, {'date': '20/07/2014', 'age': '23', 'clubName': 'Real Sociedad', 'clubID': '681', 'value': '€30.00m'}, {'date': '04/08/2014', 'age': '23', 'clubName': 'Atlético de Madrid', 'clubID': '13', 'value': '€30.00m'}, {'date': '23/01/2015', 'age': '23', 'clubName': 'Atlético de Madrid', 'clubID': '13', 'value': '€35.00m'}, {'date': '01/07/2015', 'age': '24', 'clubName': 'Atlético de Madrid', 'clubID': '13', 'value': '€45.00m'}, {'date': '22/11/2015', 'age': '24', 'clubName': 'Atlético de Madrid', 'clubID': '13', 'value': '€50.00m'}, {'date': '22/02/2016', 'age': '24', 'clubName': 'Atlético de Madrid', 'clubID': '13', 'value': '€60.00m'}, {'date': '01/06/2016', 'age': '25', 'clubName': 'Atlético de Madrid', 'clubID': '13', 'value': '€70.00m'}, {'date': '15/07/2016', 'age': '25', 'clubName': 'Atlético de Madrid', 'clubID': '13', 'value': '€80.00m'}, {'date': '24/01/2017', 'age': '25', 'clubName': 'Atlético de Madrid', 'clubID': '13', 'value': '€80.00m'}, {'date': '05/06/2017', 'age': '26', 'clubName': 'Atlético de Madrid', 'clubID': '13', 'value': '€80.00m'}, {'date': '01/01/2018', 'age': '26', 'clubName': 'Atlético de Madrid', 'clubID': '13', 'value': '€100.00m'}, {'date': '30/05/2018', 'age': '27', 'clubName': 'Atlético de Madrid', 'clubID': '13', 'value': '€100.00m'}, {'date': '16/07/2018', 'age': '27', 'clubName': 'Atlético de Madrid', 'clubID': '13', 'value': '€120.00m'}, {'date': '31/10/2018', 'age': '27', 'clubName': 'Atlético de Madrid', 'clubID': '13', 'value': '€150.00m'}, {'date': '21/12/2018', 'age': '27', 'clubName': 'Atlético de Madrid', 'clubID': '13', 'value': '€150.00m'}, {'date': '11/06/2019', 'age': '28', 'clubName': 'Atlético de Madrid', 'clubID': '13', 'value': '€130.00m'}, {'date': '20/12/2019', 'age': '28', 'clubName': 'FC Barcelona', 'clubID': '131', 'value': '€120.00m'}, {'date': '08/04/2020', 'age': '29', 'clubName': 'FC Barcelona', 'clubID': '131', 'value': '€96.00m'}, {'date': '08/10/2020', 'age': '29', 'clubName': 'FC Barcelona', 'clubID': '131', 'value': '€80.00m'}, {'date': '05/01/2021', 'age': '29', 'clubName': 'FC Barcelona', 'clubID': '131', 'value': '€60.00m'}, {'date': '01/06/2021', 'age': '30', 'clubName': 'FC Barcelona', 'clubID': '131', 'value': '€60.00m'}, {'date': '13/10/2021', 'age': '30', 'clubName': 'Atlético de Madrid', 'clubID': '13', 'value': '€50.00m'}, {'date': '30/12/2021', 'age': '30', 'clubName': 'Atlético de Madrid', 'clubID': '13', 'value': '€50.00m'}, {'date': '03/06/2022', 'age': '31', 'clubName': 'Atlético de Madrid', 'clubID': '13', 'value': '€35.00m'}, {'date': '07/11/2022', 'age': '31', 'clubName': 'Atlético de Madrid', 'clubID': '13', 'value': '€25.00m'}, {'date': '13/06/2023', 'age': '32', 'clubName': 'Atlético de Madrid', 'clubID': '13', 'value': '€25.00m'}, {'date': '22/12/2023', 'age': '32', 'clubName': 'Atlético de Madrid', 'clubID': '13', 'value': '€25.00m'}, {'date': '07/06/2024', 'age': '33', 'clubName': 'Atlético de Madrid', 'clubID': '13', 'value': '€25.00m'}, {'date': '27/12/2024', 'age': '33', 'clubName': 'Atlético de Madrid', 'clubID': '13', 'value': '€22.00m'}, {'date': '09/06/2025', 'age': '34', 'clubName': 'Atlético de Madrid', 'clubID': '13', 'value': '€18.00m'}, {'date': '02/10/2025', 'age': '34', 'clubName': 'Atlético de Madrid', 'clubID': '13', 'value': '€12.00m'}, {'date': '12/12/2025', 'age': '34', 'clubName': 'Atlético de Madrid', 'clubID': '13', 'value': '€11.00m'}, {'date': '16/03/2026', 'age': '34', 'clubName': 'Atlético de Madrid', 'clubID': '13', 'value': '€10.00m'}]}</t>
  </si>
  <si>
    <t>1991-03-21</t>
  </si>
  <si>
    <t>Matip</t>
  </si>
  <si>
    <t>{'marketValueHistory': [{'date': 'Nov 9, 2009', 'age': '18', 'clubName': 'FC Schalke 04', 'clubID': '33', 'value': '€150k'}, {'date': 'Dec 16, 2009', 'age': '18', 'clubName': 'FC Schalke 04', 'clubID': '33', 'value': '€600k'}, {'date': 'Jan 17, 2010', 'age': '18', 'clubName': 'FC Schalke 04', 'clubID': '33', 'value': '€1.00m'}, {'date': 'Feb 20, 2010', 'age': '18', 'clubName': 'FC Schalke 04', 'clubID': '33', 'value': '€1.50m'}, {'date': 'Mar 12, 2010', 'age': '18', 'clubName': 'FC Schalke 04', 'clubID': '33', 'value': '€2.00m'}, {'date': 'May 8, 2010', 'age': '18', 'clubName': 'FC Schalke 04', 'clubID': '33', 'value': '€3.00m'}, {'date': 'Aug 30, 2010', 'age': '19', 'clubName': 'FC Schalke 04', 'clubID': '33', 'value': '€4.00m'}, {'date': 'Jan 12, 2011', 'age': '19', 'clubName': 'FC Schalke 04', 'clubID': '33', 'value': '€4.00m'}, {'date': 'Jun 29, 2011', 'age': '19', 'clubName': 'FC Schalke 04', 'clubID': '33', 'value': '€3.00m'}, {'date': 'Jan 23, 2012', 'age': '20', 'clubName': 'FC Schalke 04', 'clubID': '33', 'value': '€6.00m'}, {'date': 'Jun 29, 2012', 'age': '20', 'clubName': 'FC Schalke 04', 'clubID': '33', 'value': '€10.00m'}, {'date': 'Jan 13, 2013', 'age': '21', 'clubName': 'FC Schalke 04', 'clubID': '33', 'value': '€9.00m'}, {'date': 'Jun 30, 2013', 'age': '21', 'clubName': 'FC Schalke 04', 'clubID': '33', 'value': '€11.00m'}, {'date': 'Feb 12, 2014', 'age': '22', 'clubName': 'FC Schalke 04', 'clubID': '33', 'value': '€13.00m'}, {'date': 'Jul 10, 2014', 'age': '22', 'clubName': 'FC Schalke 04', 'clubID': '33', 'value': '€16.00m'}, {'date': 'Feb 4, 2015', 'age': '23', 'clubName': 'FC Schalke 04', 'clubID': '33', 'value': '€16.00m'}, {'date': 'Jul 1, 2015', 'age': '23', 'clubName': 'FC Schalke 04', 'clubID': '33', 'value': '€14.00m'}, {'date': 'Feb 15, 2016', 'age': '24', 'clubName': 'FC Schalke 04', 'clubID': '33', 'value': '€18.00m'}, {'date': 'Aug 1, 2016', 'age': '24', 'clubName': 'Liverpool FC', 'clubID': '31', 'value': '€18.00m'}, {'date': 'Feb 20, 2017', 'age': '25', 'clubName': 'Liverpool FC', 'clubID': '31', 'value': '€20.00m'}, {'date': 'Jun 28, 2017', 'age': '25', 'clubName': 'Liverpool FC', 'clubID': '31', 'value': '€25.00m'}, {'date': 'Jan 2, 2018', 'age': '26', 'clubName': 'Liverpool FC', 'clubID': '31', 'value': '€25.00m'}, {'date': 'May 28, 2018', 'age': '26', 'clubName': 'Liverpool FC', 'clubID': '31', 'value': '€25.00m'}, {'date': 'Oct 17, 2018', 'age': '27', 'clubName': 'Liverpool FC', 'clubID': '31', 'value': '€22.00m'}, {'date': 'Dec 19, 2018', 'age': '27', 'clubName': 'Liverpool FC', 'clubID': '31', 'value': '€20.00m'}, {'date': 'Jun 13, 2019', 'age': '27', 'clubName': 'Liverpool FC', 'clubID': '31', 'value': '€30.00m'}, {'date': 'Sep 12, 2019', 'age': '28', 'clubName': 'Liverpool FC', 'clubID': '31', 'value': '€35.00m'}, {'date': 'Dec 10, 2019', 'age': '28', 'clubName': 'Liverpool FC', 'clubID': '31', 'value': '€40.00m'}, {'date': 'Apr 8, 2020', 'age': '28', 'clubName': 'Liverpool FC', 'clubID': '31', 'value': '€32.00m'}, {'date': 'Oct 13, 2020', 'age': '29', 'clubName': 'Liverpool FC', 'clubID': '31', 'value': '€32.00m'}, {'date': 'Mar 18, 2021', 'age': '29', 'clubName': 'Liverpool FC', 'clubID': '31', 'value': '€25.00m'}, {'date': 'Jun 8, 2021', 'age': '29', 'clubName': 'Liverpool FC', 'clubID': '31', 'value': '€18.00m'}, {'date': 'Dec 23, 2021', 'age': '30', 'clubName': 'Liverpool FC', 'clubID': '31', 'value': '€18.00m'}, {'date': 'Jun 15, 2022', 'age': '30', 'clubName': 'Liverpool FC', 'clubID': '31', 'value': '€18.00m'}, {'date': 'Nov 3, 2022', 'age': '31', 'clubName': 'Liverpool FC', 'clubID': '31', 'value': '€16.00m'}, {'date': 'Jun 20, 2023', 'age': '31', 'clubName': 'Liverpool FC', 'clubID': '31', 'value': '€12.00m'}, {'date': 'Dec 19, 2023', 'age': '32', 'clubName': 'Liverpool FC', 'clubID': '31', 'value': '€8.00m'}, {'date': 'May 27, 2024', 'age': '32', 'clubName': 'Liverpool FC', 'clubID': '31', 'value': '€8.00m'}, {'date': 'Jul 1, 2024', 'age': '32', 'clubName': 'Retired', 'clubID': '123', 'value': '-'}]}</t>
  </si>
  <si>
    <t>1991-08-08</t>
  </si>
  <si>
    <t>Marcelo</t>
  </si>
  <si>
    <t>Lyon</t>
  </si>
  <si>
    <t>{'marketValueHistory': [{'date': '22/10/2006', 'age': '18', 'clubName': 'Fluminense Football Club', 'clubID': '2462', 'value': '€500k'}, {'date': '23/10/2006', 'age': '18', 'clubName': 'Fluminense Football Club', 'clubID': '2462', 'value': '€6.50m'}, {'date': '24/06/2007', 'age': '19', 'clubName': 'Real Madrid', 'clubID': '418', 'value': '€5.50m'}, {'date': '04/02/2008', 'age': '19', 'clubName': 'Real Madrid', 'clubID': '418', 'value': '€6.00m'}, {'date': '08/07/2008', 'age': '20', 'clubName': 'Real Madrid', 'clubID': '418', 'value': '€7.00m'}, {'date': '26/01/2009', 'age': '20', 'clubName': 'Real Madrid', 'clubID': '418', 'value': '€7.00m'}, {'date': '15/03/2009', 'age': '20', 'clubName': 'Real Madrid', 'clubID': '418', 'value': '€8.00m'}, {'date': '22/07/2009', 'age': '21', 'clubName': 'Real Madrid', 'clubID': '418', 'value': '€10.00m'}, {'date': '03/12/2009', 'age': '21', 'clubName': 'Real Madrid', 'clubID': '418', 'value': '€10.00m'}, {'date': '12/04/2010', 'age': '21', 'clubName': 'Real Madrid', 'clubID': '418', 'value': '€13.00m'}, {'date': '27/08/2010', 'age': '22', 'clubName': 'Real Madrid', 'clubID': '418', 'value': '€15.00m'}, {'date': '10/12/2010', 'age': '22', 'clubName': 'Real Madrid', 'clubID': '418', 'value': '€18.00m'}, {'date': '04/02/2011', 'age': '22', 'clubName': 'Real Madrid', 'clubID': '418', 'value': '€18.00m'}, {'date': '01/04/2011', 'age': '22', 'clubName': 'Real Madrid', 'clubID': '418', 'value': '€20.00m'}, {'date': '29/07/2011', 'age': '23', 'clubName': 'Real Madrid', 'clubID': '418', 'value': '€25.00m'}, {'date': '03/02/2012', 'age': '23', 'clubName': 'Real Madrid', 'clubID': '418', 'value': '€25.00m'}, {'date': '07/08/2012', 'age': '24', 'clubName': 'Real Madrid', 'clubID': '418', 'value': '€30.00m'}, {'date': '10/01/2013', 'age': '24', 'clubName': 'Real Madrid', 'clubID': '418', 'value': '€30.00m'}, {'date': '12/06/2013', 'age': '25', 'clubName': 'Real Madrid', 'clubID': '418', 'value': '€25.00m'}, {'date': '23/01/2014', 'age': '25', 'clubName': 'Real Madrid', 'clubID': '418', 'value': '€25.00m'}, {'date': '20/07/2014', 'age': '26', 'clubName': 'Real Madrid', 'clubID': '418', 'value': '€25.00m'}, {'date': '23/01/2015', 'age': '26', 'clubName': 'Real Madrid', 'clubID': '418', 'value': '€25.00m'}, {'date': '01/07/2015', 'age': '27', 'clubName': 'Real Madrid', 'clubID': '418', 'value': '€25.00m'}, {'date': '22/11/2015', 'age': '27', 'clubName': 'Real Madrid', 'clubID': '418', 'value': '€30.00m'}, {'date': '22/02/2016', 'age': '27', 'clubName': 'Real Madrid', 'clubID': '418', 'value': '€30.00m'}, {'date': '15/07/2016', 'age': '28', 'clubName': 'Real Madrid', 'clubID': '418', 'value': '€30.00m'}, {'date': '24/01/2017', 'age': '28', 'clubName': 'Real Madrid', 'clubID': '418', 'value': '€32.00m'}, {'date': '05/06/2017', 'age': '29', 'clubName': 'Real Madrid', 'clubID': '418', 'value': '€38.00m'}, {'date': '01/01/2018', 'age': '29', 'clubName': 'Real Madrid', 'clubID': '418', 'value': '€40.00m'}, {'date': '22/03/2018', 'age': '29', 'clubName': 'Real Madrid', 'clubID': '418', 'value': '€60.00m'}, {'date': '30/05/2018', 'age': '30', 'clubName': 'Real Madrid', 'clubID': '418', 'value': '€60.00m'}, {'date': '31/10/2018', 'age': '30', 'clubName': 'Real Madrid', 'clubID': '418', 'value': '€70.00m'}, {'date': '21/12/2018', 'age': '30', 'clubName': 'Real Madrid', 'clubID': '418', 'value': '€70.00m'}, {'date': '28/02/2019', 'age': '30', 'clubName': 'Real Madrid', 'clubID': '418', 'value': '€35.00m'}, {'date': '11/06/2019', 'age': '31', 'clubName': 'Real Madrid', 'clubID': '418', 'value': '€25.00m'}, {'date': '20/12/2019', 'age': '31', 'clubName': 'Real Madrid', 'clubID': '418', 'value': '€20.00m'}, {'date': '08/04/2020', 'age': '31', 'clubName': 'Real Madrid', 'clubID': '418', 'value': '€16.00m'}, {'date': '08/10/2020', 'age': '32', 'clubName': 'Real Madrid', 'clubID': '418', 'value': '€12.00m'}, {'date': '05/01/2021', 'age': '32', 'clubName': 'Real Madrid', 'clubID': '418', 'value': '€10.00m'}, {'date': '10/06/2021', 'age': '33', 'clubName': 'Real Madrid', 'clubID': '418', 'value': '€7.50m'}, {'date': '13/10/2021', 'age': '33', 'clubName': 'Real Madrid', 'clubID': '418', 'value': '€5.00m'}, {'date': '30/12/2021', 'age': '33', 'clubName': 'Real Madrid', 'clubID': '418', 'value': '€3.00m'}, {'date': '03/06/2022', 'age': '34', 'clubName': 'Real Madrid', 'clubID': '418', 'value': '€3.00m'}, {'date': '07/11/2022', 'age': '34', 'clubName': 'Olympiacos Piraeus', 'clubID': '683', 'value': '€2.50m'}, {'date': '27/02/2023', 'age': '34', 'clubName': 'Fluminense Football Club', 'clubID': '2462', 'value': '€2.00m'}, {'date': '07/04/2023', 'age': '34', 'clubName': 'Fluminense Football Club', 'clubID': '2462', 'value': '€2.00m'}, {'date': '25/07/2023', 'age': '35', 'clubName': 'Fluminense Football Club', 'clubID': '2462', 'value': '€1.80m'}, {'date': '11/12/2023', 'age': '35', 'clubName': 'Fluminense Football Club', 'clubID': '2462', 'value': '€1.50m'}, {'date': '28/03/2024', 'age': '35', 'clubName': 'Fluminense Football Club', 'clubID': '2462', 'value': '€1.50m'}, {'date': '17/06/2024', 'age': '36', 'clubName': 'Fluminense Football Club', 'clubID': '2462', 'value': '€1.30m'}, {'date': '09/12/2024', 'age': '36', 'clubName': 'Without Club', 'clubID': '515', 'value': '€1.00m'}, {'date': '06/02/2025', 'age': '36', 'clubName': 'Retired', 'clubID': '123', 'value': '-'}]}</t>
  </si>
  <si>
    <t>1988-05-12</t>
  </si>
  <si>
    <t>Shaw</t>
  </si>
  <si>
    <t>{'marketValueHistory': [{'date': 'Dec 10, 2012', 'age': '17', 'clubName': 'Southampton FC', 'clubID': '180', 'value': '€1.50m'}, {'date': 'Jan 28, 2013', 'age': '17', 'clubName': 'Southampton FC', 'clubID': '180', 'value': '€4.50m'}, {'date': 'Jul 2, 2013', 'age': '17', 'clubName': 'Southampton FC', 'clubID': '180', 'value': '€7.00m'}, {'date': 'Jan 15, 2014', 'age': '18', 'clubName': 'Southampton FC', 'clubID': '180', 'value': '€11.00m'}, {'date': 'Feb 5, 2014', 'age': '18', 'clubName': 'Southampton FC', 'clubID': '180', 'value': '€13.00m'}, {'date': 'Aug 12, 2014', 'age': '19', 'clubName': 'Manchester United', 'clubID': '985', 'value': '€22.00m'}, {'date': 'Feb 12, 2015', 'age': '19', 'clubName': 'Manchester United', 'clubID': '985', 'value': '€21.00m'}, {'date': 'Jul 1, 2015', 'age': '19', 'clubName': 'Manchester United', 'clubID': '985', 'value': '€21.00m'}, {'date': 'Feb 9, 2016', 'age': '20', 'clubName': 'Manchester United', 'clubID': '985', 'value': '€21.00m'}, {'date': 'Aug 1, 2016', 'age': '21', 'clubName': 'Manchester United', 'clubID': '985', 'value': '€21.00m'}, {'date': 'Feb 20, 2017', 'age': '21', 'clubName': 'Manchester United', 'clubID': '985', 'value': '€20.00m'}, {'date': 'Jun 28, 2017', 'age': '21', 'clubName': 'Manchester United', 'clubID': '985', 'value': '€20.00m'}, {'date': 'Oct 23, 2017', 'age': '22', 'clubName': 'Manchester United', 'clubID': '985', 'value': '€18.00m'}, {'date': 'Jan 2, 2018', 'age': '22', 'clubName': 'Manchester United', 'clubID': '985', 'value': '€15.00m'}, {'date': 'May 28, 2018', 'age': '22', 'clubName': 'Manchester United', 'clubID': '985', 'value': '€15.00m'}, {'date': 'Oct 17, 2018', 'age': '23', 'clubName': 'Manchester United', 'clubID': '985', 'value': '€18.00m'}, {'date': 'Dec 19, 2018', 'age': '23', 'clubName': 'Manchester United', 'clubID': '985', 'value': '€18.00m'}, {'date': 'Mar 5, 2019', 'age': '23', 'clubName': 'Manchester United', 'clubID': '985', 'value': '€25.00m'}, {'date': 'Jun 13, 2019', 'age': '23', 'clubName': 'Manchester United', 'clubID': '985', 'value': '€30.00m'}, {'date': 'Dec 10, 2019', 'age': '24', 'clubName': 'Manchester United', 'clubID': '985', 'value': '€22.00m'}, {'date': 'Apr 8, 2020', 'age': '24', 'clubName': 'Manchester United', 'clubID': '985', 'value': '€17.50m'}, {'date': 'Jul 30, 2020', 'age': '25', 'clubName': 'Manchester United', 'clubID': '985', 'value': '€22.00m'}, {'date': 'Oct 13, 2020', 'age': '25', 'clubName': 'Manchester United', 'clubID': '985', 'value': '€22.00m'}, {'date': 'Mar 18, 2021', 'age': '25', 'clubName': 'Manchester United', 'clubID': '985', 'value': '€25.00m'}, {'date': 'May 28, 2021', 'age': '25', 'clubName': 'Manchester United', 'clubID': '985', 'value': '€35.00m'}, {'date': 'Jul 15, 2021', 'age': '26', 'clubName': 'Manchester United', 'clubID': '985', 'value': '€42.00m'}, {'date': 'Dec 23, 2021', 'age': '26', 'clubName': 'Manchester United', 'clubID': '985', 'value': '€42.00m'}, {'date': 'Jun 15, 2022', 'age': '26', 'clubName': 'Manchester United', 'clubID': '985', 'value': '€38.00m'}, {'date': 'Sep 15, 2022', 'age': '27', 'clubName': 'Manchester United', 'clubID': '985', 'value': '€30.00m'}, {'date': 'Nov 3, 2022', 'age': '27', 'clubName': 'Manchester United', 'clubID': '985', 'value': '€28.00m'}, {'date': 'Mar 16, 2023', 'age': '27', 'clubName': 'Manchester United', 'clubID': '985', 'value': '€35.00m'}, {'date': 'Jun 20, 2023', 'age': '27', 'clubName': 'Manchester United', 'clubID': '985', 'value': '€42.00m'}, {'date': 'Dec 19, 2023', 'age': '28', 'clubName': 'Manchester United', 'clubID': '985', 'value': '€38.00m'}, {'date': 'Mar 14, 2024', 'age': '28', 'clubName': 'Manchester United', 'clubID': '985', 'value': '€35.00m'}, {'date': 'May 27, 2024', 'age': '28', 'clubName': 'Manchester United', 'clubID': '985', 'value': '€32.00m'}, {'date': 'Oct 1, 2024', 'age': '29', 'clubName': 'Manchester United', 'clubID': '985', 'value': '€28.00m'}, {'date': 'Dec 16, 2024', 'age': '29', 'clubName': 'Manchester United', 'clubID': '985', 'value': '€20.00m'}, {'date': 'Mar 18, 2025', 'age': '29', 'clubName': 'Manchester United', 'clubID': '985', 'value': '€16.00m'}, {'date': 'May 30, 2025', 'age': '29', 'clubName': 'Manchester United', 'clubID': '985', 'value': '€12.00m'}, {'date': 'Dec 9, 2025', 'age': '30', 'clubName': 'Manchester United', 'clubID': '985', 'value': '€10.00m'}]}</t>
  </si>
  <si>
    <t>1995-07-12</t>
  </si>
  <si>
    <t>Denayer</t>
  </si>
  <si>
    <t>{'marketValueHistory': [{'date': '07/10/2014', 'age': '19', 'clubName': 'Celtic FC', 'clubID': '371', 'value': '€500k'}, {'date': '01/07/2015', 'age': '20', 'clubName': 'Manchester City', 'clubID': '281', 'value': '€3.00m'}, {'date': '18/01/2016', 'age': '20', 'clubName': 'Galatasaray', 'clubID': '141', 'value': '€4.00m'}, {'date': '01/06/2016', 'age': '20', 'clubName': 'Galatasaray', 'clubID': '141', 'value': '€4.00m'}, {'date': '01/08/2016', 'age': '21', 'clubName': 'Manchester City', 'clubID': '281', 'value': '€4.00m'}, {'date': '20/02/2017', 'age': '21', 'clubName': 'Sunderland AFC', 'clubID': '289', 'value': '€4.00m'}, {'date': '28/06/2017', 'age': '22', 'clubName': 'Manchester City', 'clubID': '281', 'value': '€4.00m'}, {'date': '06/10/2017', 'age': '22', 'clubName': 'Galatasaray', 'clubID': '141', 'value': '€3.00m'}, {'date': '12/02/2018', 'age': '22', 'clubName': 'Galatasaray', 'clubID': '141', 'value': '€3.00m'}, {'date': '29/05/2018', 'age': '22', 'clubName': 'Galatasaray', 'clubID': '141', 'value': '€3.00m'}, {'date': '06/09/2018', 'age': '23', 'clubName': 'Olympique Lyon', 'clubID': '1041', 'value': '€6.00m'}, {'date': '24/10/2018', 'age': '23', 'clubName': 'Olympique Lyon', 'clubID': '1041', 'value': '€8.00m'}, {'date': '17/12/2018', 'age': '23', 'clubName': 'Olympique Lyon', 'clubID': '1041', 'value': '€8.00m'}, {'date': '07/03/2019', 'age': '23', 'clubName': 'Olympique Lyon', 'clubID': '1041', 'value': '€12.50m'}, {'date': '03/06/2019', 'age': '23', 'clubName': 'Olympique Lyon', 'clubID': '1041', 'value': '€12.50m'}, {'date': '27/09/2019', 'age': '24', 'clubName': 'Olympique Lyon', 'clubID': '1041', 'value': '€15.00m'}, {'date': '19/12/2019', 'age': '24', 'clubName': 'Olympique Lyon', 'clubID': '1041', 'value': '€15.00m'}, {'date': '08/04/2020', 'age': '24', 'clubName': 'Olympique Lyon', 'clubID': '1041', 'value': '€12.00m'}, {'date': '15/10/2020', 'age': '25', 'clubName': 'Olympique Lyon', 'clubID': '1041', 'value': '€16.00m'}, {'date': '07/01/2021', 'age': '25', 'clubName': 'Olympique Lyon', 'clubID': '1041', 'value': '€20.00m'}, {'date': '09/04/2021', 'age': '25', 'clubName': 'Olympique Lyon', 'clubID': '1041', 'value': '€25.00m'}, {'date': '26/05/2021', 'age': '25', 'clubName': 'Olympique Lyon', 'clubID': '1041', 'value': '€25.00m'}, {'date': '16/12/2021', 'age': '26', 'clubName': 'Olympique Lyon', 'clubID': '1041', 'value': '€20.00m'}, {'date': '23/03/2022', 'age': '26', 'clubName': 'Olympique Lyon', 'clubID': '1041', 'value': '€17.00m'}, {'date': '30/05/2022', 'age': '26', 'clubName': 'Olympique Lyon', 'clubID': '1041', 'value': '€14.00m'}, {'date': '07/10/2022', 'age': '27', 'clubName': 'Shabab Al-Ahli Club', 'clubID': '60529', 'value': '€9.00m'}, {'date': '15/12/2022', 'age': '27', 'clubName': 'Shabab Al-Ahli Club', 'clubID': '60529', 'value': '€8.00m'}, {'date': '31/05/2023', 'age': '27', 'clubName': 'Shabab Al-Ahli Club', 'clubID': '60529', 'value': '€5.00m'}, {'date': '24/10/2023', 'age': '28', 'clubName': 'Al-Fateh SC', 'clubID': '27221', 'value': '€4.00m'}, {'date': '15/12/2023', 'age': '28', 'clubName': 'Al-Fateh SC', 'clubID': '27221', 'value': '€3.50m'}, {'date': '04/06/2024', 'age': '28', 'clubName': 'Al-Fateh SC', 'clubID': '27221', 'value': '€3.00m'}, {'date': '13/12/2024', 'age': '29', 'clubName': 'Al-Fateh SC', 'clubID': '27221', 'value': '€2.50m'}, {'date': '04/04/2025', 'age': '29', 'clubName': 'Without Club', 'clubID': '515', 'value': '€2.00m'}, {'date': '21/10/2025', 'age': '30', 'clubName': 'Without Club', 'clubID': '515', 'value': '€1.20m'}]}</t>
  </si>
  <si>
    <t>1995-06-28</t>
  </si>
  <si>
    <t>Smalling</t>
  </si>
  <si>
    <t>{'marketValueHistory': [{'date': 'Feb 22, 2009', 'age': '19', 'clubName': 'Fulham FC', 'clubID': '931', 'value': '€50k'}, {'date': 'Jun 25, 2009', 'age': '19', 'clubName': 'Fulham FC', 'clubID': '931', 'value': '€150k'}, {'date': 'Oct 7, 2009', 'age': '19', 'clubName': 'Fulham FC', 'clubID': '931', 'value': '€1.00m'}, {'date': 'Jan 24, 2010', 'age': '20', 'clubName': 'Fulham FC', 'clubID': '931', 'value': '€2.00m'}, {'date': 'Aug 13, 2010', 'age': '20', 'clubName': 'Manchester United', 'clubID': '985', 'value': '€3.00m'}, {'date': 'Feb 1, 2011', 'age': '21', 'clubName': 'Manchester United', 'clubID': '985', 'value': '€5.00m'}, {'date': 'Aug 8, 2011', 'age': '21', 'clubName': 'Manchester United', 'clubID': '985', 'value': '€8.00m'}, {'date': 'Feb 6, 2012', 'age': '22', 'clubName': 'Manchester United', 'clubID': '985', 'value': '€15.00m'}, {'date': 'Jun 24, 2012', 'age': '22', 'clubName': 'Manchester United', 'clubID': '985', 'value': '€15.00m'}, {'date': 'Jan 28, 2013', 'age': '23', 'clubName': 'Manchester United', 'clubID': '985', 'value': '€14.00m'}, {'date': 'Jul 2, 2013', 'age': '23', 'clubName': 'Manchester United', 'clubID': '985', 'value': '€12.00m'}, {'date': 'Jan 15, 2014', 'age': '24', 'clubName': 'Manchester United', 'clubID': '985', 'value': '€12.00m'}, {'date': 'Aug 12, 2014', 'age': '24', 'clubName': 'Manchester United', 'clubID': '985', 'value': '€12.00m'}, {'date': 'Feb 12, 2015', 'age': '25', 'clubName': 'Manchester United', 'clubID': '985', 'value': '€11.00m'}, {'date': 'Jul 1, 2015', 'age': '25', 'clubName': 'Manchester United', 'clubID': '985', 'value': '€14.00m'}, {'date': 'Feb 9, 2016', 'age': '26', 'clubName': 'Manchester United', 'clubID': '985', 'value': '€19.00m'}, {'date': 'Jun 1, 2016', 'age': '26', 'clubName': 'Manchester United', 'clubID': '985', 'value': '€20.00m'}, {'date': 'Aug 1, 2016', 'age': '26', 'clubName': 'Manchester United', 'clubID': '985', 'value': '€20.00m'}, {'date': 'Feb 20, 2017', 'age': '27', 'clubName': 'Manchester United', 'clubID': '985', 'value': '€20.00m'}, {'date': 'Jun 28, 2017', 'age': '27', 'clubName': 'Manchester United', 'clubID': '985', 'value': '€18.00m'}, {'date': 'Jan 2, 2018', 'age': '28', 'clubName': 'Manchester United', 'clubID': '985', 'value': '€18.00m'}, {'date': 'May 28, 2018', 'age': '28', 'clubName': 'Manchester United', 'clubID': '985', 'value': '€18.00m'}, {'date': 'Dec 19, 2018', 'age': '29', 'clubName': 'Manchester United', 'clubID': '985', 'value': '€18.00m'}, {'date': 'Jun 13, 2019', 'age': '29', 'clubName': 'Manchester United', 'clubID': '985', 'value': '€20.00m'}, {'date': 'Dec 12, 2019', 'age': '30', 'clubName': 'AS Roma', 'clubID': '12', 'value': '€20.00m'}, {'date': 'Apr 8, 2020', 'age': '30', 'clubName': 'AS Roma', 'clubID': '12', 'value': '€16.00m'}, {'date': 'Aug 25, 2020', 'age': '30', 'clubName': 'Manchester United', 'clubID': '985', 'value': '€20.00m'}, {'date': 'Dec 29, 2020', 'age': '31', 'clubName': 'AS Roma', 'clubID': '12', 'value': '€17.00m'}, {'date': 'Mar 23, 2021', 'age': '31', 'clubName': 'AS Roma', 'clubID': '12', 'value': '€15.00m'}, {'date': 'Jun 3, 2021', 'age': '31', 'clubName': 'AS Roma', 'clubID': '12', 'value': '€12.00m'}, {'date': 'Dec 28, 2021', 'age': '32', 'clubName': 'AS Roma', 'clubID': '12', 'value': '€8.00m'}, {'date': 'Jun 7, 2022', 'age': '32', 'clubName': 'AS Roma', 'clubID': '12', 'value': '€8.00m'}, {'date': 'Nov 11, 2022', 'age': '32', 'clubName': 'AS Roma', 'clubID': '12', 'value': '€8.00m'}, {'date': 'Jun 15, 2023', 'age': '33', 'clubName': 'AS Roma', 'clubID': '12', 'value': '€8.00m'}, {'date': 'Dec 20, 2023', 'age': '34', 'clubName': 'AS Roma', 'clubID': '12', 'value': '€3.50m'}, {'date': 'Jun 5, 2024', 'age': '34', 'clubName': 'AS Roma', 'clubID': '12', 'value': '€2.50m'}, {'date': 'Dec 13, 2024', 'age': '35', 'clubName': 'Al-Fayha FC', 'clubID': '50531', 'value': '€2.00m'}, {'date': 'May 27, 2025', 'age': '35', 'clubName': 'Al-Fayha FC', 'clubID': '50531', 'value': '€1.50m'}, {'date': 'Dec 18, 2025', 'age': '36', 'clubName': 'Al-Fayha FC', 'clubID': '50531', 'value': '€1.20m'}]}</t>
  </si>
  <si>
    <t>1989-11-22</t>
  </si>
  <si>
    <t>Neuer</t>
  </si>
  <si>
    <t>Bayern</t>
  </si>
  <si>
    <t>{'marketValueHistory': [{'date': '17/03/2005', 'age': '18', 'clubName': 'FC Schalke 04 U19', 'clubID': '1463', 'value': '€75k'}, {'date': '16/09/2005', 'age': '19', 'clubName': 'FC Schalke 04', 'clubID': '33', 'value': '€150k'}, {'date': '21/08/2006', 'age': '20', 'clubName': 'FC Schalke 04', 'clubID': '33', 'value': '€350k'}, {'date': '15/01/2007', 'age': '20', 'clubName': 'FC Schalke 04', 'clubID': '33', 'value': '€1.50m'}, {'date': '21/06/2007', 'age': '21', 'clubName': 'FC Schalke 04', 'clubID': '33', 'value': '€3.00m'}, {'date': '01/01/2008', 'age': '21', 'clubName': 'FC Schalke 04', 'clubID': '33', 'value': '€4.50m'}, {'date': '04/06/2008', 'age': '22', 'clubName': 'FC Schalke 04', 'clubID': '33', 'value': '€7.00m'}, {'date': '21/01/2009', 'age': '22', 'clubName': 'FC Schalke 04', 'clubID': '33', 'value': '€9.00m'}, {'date': '10/06/2009', 'age': '23', 'clubName': 'FC Schalke 04', 'clubID': '33', 'value': '€11.00m'}, {'date': '17/01/2010', 'age': '23', 'clubName': 'FC Schalke 04', 'clubID': '33', 'value': '€15.00m'}, {'date': '16/07/2010', 'age': '24', 'clubName': 'FC Schalke 04', 'clubID': '33', 'value': '€20.00m'}, {'date': '12/01/2011', 'age': '24', 'clubName': 'FC Schalke 04', 'clubID': '33', 'value': '€24.00m'}, {'date': '29/06/2011', 'age': '25', 'clubName': 'FC Schalke 04', 'clubID': '33', 'value': '€28.00m'}, {'date': '23/01/2012', 'age': '25', 'clubName': 'Bayern Munich', 'clubID': '27', 'value': '€30.00m'}, {'date': '29/06/2012', 'age': '26', 'clubName': 'Bayern Munich', 'clubID': '27', 'value': '€30.00m'}, {'date': '13/01/2013', 'age': '26', 'clubName': 'Bayern Munich', 'clubID': '27', 'value': '€30.00m'}, {'date': '30/06/2013', 'age': '27', 'clubName': 'Bayern Munich', 'clubID': '27', 'value': '€30.00m'}, {'date': '12/02/2014', 'age': '27', 'clubName': 'Bayern Munich', 'clubID': '27', 'value': '€35.00m'}, {'date': '10/07/2014', 'age': '28', 'clubName': 'Bayern Munich', 'clubID': '27', 'value': '€40.00m'}, {'date': '04/02/2015', 'age': '28', 'clubName': 'Bayern Munich', 'clubID': '27', 'value': '€45.00m'}, {'date': '01/07/2015', 'age': '29', 'clubName': 'Bayern Munich', 'clubID': '27', 'value': '€45.00m'}, {'date': '15/02/2016', 'age': '29', 'clubName': 'Bayern Munich', 'clubID': '27', 'value': '€45.00m'}, {'date': '01/06/2016', 'age': '30', 'clubName': 'Bayern Munich', 'clubID': '27', 'value': '€45.00m'}, {'date': '22/07/2016', 'age': '30', 'clubName': 'Bayern Munich', 'clubID': '27', 'value': '€45.00m'}, {'date': '07/02/2017', 'age': '30', 'clubName': 'Bayern Munich', 'clubID': '27', 'value': '€45.00m'}, {'date': '19/06/2017', 'age': '31', 'clubName': 'Bayern Munich', 'clubID': '27', 'value': '€40.00m'}, {'date': '28/12/2017', 'age': '31', 'clubName': 'Bayern Munich', 'clubID': '27', 'value': '€35.00m'}, {'date': '05/06/2018', 'age': '32', 'clubName': 'Bayern Munich', 'clubID': '27', 'value': '€35.00m'}, {'date': '22/10/2018', 'age': '32', 'clubName': 'Bayern Munich', 'clubID': '27', 'value': '€30.00m'}, {'date': '18/12/2018', 'age': '32', 'clubName': 'Bayern Munich', 'clubID': '27', 'value': '€22.00m'}, {'date': '05/06/2019', 'age': '33', 'clubName': 'Bayern Munich', 'clubID': '27', 'value': '€18.00m'}, {'date': '17/12/2019', 'age': '33', 'clubName': 'Bayern Munich', 'clubID': '27', 'value': '€18.00m'}, {'date': '08/04/2020', 'age': '34', 'clubName': 'Bayern Munich', 'clubID': '27', 'value': '€14.50m'}, {'date': '16/09/2020', 'age': '34', 'clubName': 'Bayern Munich', 'clubID': '27', 'value': '€18.00m'}, {'date': '10/02/2021', 'age': '34', 'clubName': 'Bayern Munich', 'clubID': '27', 'value': '€18.00m'}, {'date': '01/06/2021', 'age': '35', 'clubName': 'Bayern Munich', 'clubID': '27', 'value': '€18.00m'}, {'date': '22/12/2021', 'age': '35', 'clubName': 'Bayern Munich', 'clubID': '27', 'value': '€14.00m'}, {'date': '09/06/2022', 'age': '36', 'clubName': 'Bayern Munich', 'clubID': '27', 'value': '€15.00m'}, {'date': '09/11/2022', 'age': '36', 'clubName': 'Bayern Munich', 'clubID': '27', 'value': '€12.00m'}, {'date': '29/03/2023', 'age': '37', 'clubName': 'Bayern Munich', 'clubID': '27', 'value': '€7.00m'}, {'date': '22/06/2023', 'age': '37', 'clubName': 'Bayern Munich', 'clubID': '27', 'value': '€7.00m'}, {'date': '18/10/2023', 'age': '37', 'clubName': 'Bayern Munich', 'clubID': '27', 'value': '€5.00m'}, {'date': '14/12/2023', 'age': '37', 'clubName': 'Bayern Munich', 'clubID': '27', 'value': '€5.00m'}, {'date': '29/05/2024', 'age': '38', 'clubName': 'Bayern Munich', 'clubID': '27', 'value': '€4.00m'}, {'date': '20/12/2024', 'age': '38', 'clubName': 'Bayern Munich', 'clubID': '27', 'value': '€4.00m'}, {'date': '05/06/2025', 'age': '39', 'clubName': 'Bayern Munich', 'clubID': '27', 'value': '€4.00m'}, {'date': '19/12/2025', 'age': '39', 'clubName': 'Bayern Munich', 'clubID': '27', 'value': '€4.00m'}]}</t>
  </si>
  <si>
    <t>1986-03-27</t>
  </si>
  <si>
    <t>Oblak</t>
  </si>
  <si>
    <t>{'marketValueHistory': [{'date': 'Aug 6, 2009', 'age': '16', 'clubName': 'NK Olimpija Ljubljana', 'clubID': '4772', 'value': '€150k'}, {'date': 'Sep 11, 2009', 'age': '16', 'clubName': 'NK Olimpija Ljubljana', 'clubID': '4772', 'value': '€250k'}, {'date': 'Dec 22, 2009', 'age': '16', 'clubName': 'NK Olimpija Ljubljana', 'clubID': '4772', 'value': '€750k'}, {'date': 'Jul 20, 2011', 'age': '18', 'clubName': 'SL Benfica', 'clubID': '294', 'value': '€700k'}, {'date': 'Jun 14, 2012', 'age': '19', 'clubName': 'UD Leiria', 'clubID': '2639', 'value': '€1.10m'}, {'date': 'Apr 3, 2013', 'age': '20', 'clubName': 'Rio Ave FC', 'clubID': '2425', 'value': '€2.40m'}, {'date': 'Jul 2, 2013', 'age': '20', 'clubName': 'SL Benfica', 'clubID': '294', 'value': '€3.00m'}, {'date': 'Feb 20, 2014', 'age': '21', 'clubName': 'SL Benfica', 'clubID': '294', 'value': '€4.00m'}, {'date': 'Jul 20, 2014', 'age': '21', 'clubName': 'Atlético de Madrid', 'clubID': '13', 'value': '€16.00m'}, {'date': 'Oct 5, 2014', 'age': '21', 'clubName': 'Atlético de Madrid', 'clubID': '13', 'value': '€8.00m'}, {'date': 'Jan 23, 2015', 'age': '22', 'clubName': 'Atlético de Madrid', 'clubID': '13', 'value': '€7.00m'}, {'date': 'Apr 9, 2015', 'age': '22', 'clubName': 'Atlético de Madrid', 'clubID': '13', 'value': '€8.00m'}, {'date': 'Jul 1, 2015', 'age': '22', 'clubName': 'Atlético de Madrid', 'clubID': '13', 'value': '€15.00m'}, {'date': 'Nov 22, 2015', 'age': '22', 'clubName': 'Atlético de Madrid', 'clubID': '13', 'value': '€20.00m'}, {'date': 'Feb 22, 2016', 'age': '23', 'clubName': 'Atlético de Madrid', 'clubID': '13', 'value': '€25.00m'}, {'date': 'Jul 15, 2016', 'age': '23', 'clubName': 'Atlético de Madrid', 'clubID': '13', 'value': '€35.00m'}, {'date': 'Jan 24, 2017', 'age': '24', 'clubName': 'Atlético de Madrid', 'clubID': '13', 'value': '€35.00m'}, {'date': 'Jun 5, 2017', 'age': '24', 'clubName': 'Atlético de Madrid', 'clubID': '13', 'value': '€40.00m'}, {'date': 'Jan 1, 2018', 'age': '24', 'clubName': 'Atlético de Madrid', 'clubID': '13', 'value': '€50.00m'}, {'date': 'Mar 22, 2018', 'age': '25', 'clubName': 'Atlético de Madrid', 'clubID': '13', 'value': '€70.00m'}, {'date': 'May 30, 2018', 'age': '25', 'clubName': 'Atlético de Madrid', 'clubID': '13', 'value': '€70.00m'}, {'date': 'Oct 31, 2018', 'age': '25', 'clubName': 'Atlético de Madrid', 'clubID': '13', 'value': '€80.00m'}, {'date': 'Dec 21, 2018', 'age': '25', 'clubName': 'Atlético de Madrid', 'clubID': '13', 'value': '€80.00m'}, {'date': 'Jun 11, 2019', 'age': '26', 'clubName': 'Atlético de Madrid', 'clubID': '13', 'value': '€100.00m'}, {'date': 'Dec 20, 2019', 'age': '26', 'clubName': 'Atlético de Madrid', 'clubID': '13', 'value': '€100.00m'}, {'date': 'Apr 8, 2020', 'age': '27', 'clubName': 'Atlético de Madrid', 'clubID': '13', 'value': '€80.00m'}, {'date': 'Oct 8, 2020', 'age': '27', 'clubName': 'Atlético de Madrid', 'clubID': '13', 'value': '€90.00m'}, {'date': 'Jan 5, 2021', 'age': '27', 'clubName': 'Atlético de Madrid', 'clubID': '13', 'value': '€90.00m'}, {'date': 'Jun 10, 2021', 'age': '28', 'clubName': 'Atlético de Madrid', 'clubID': '13', 'value': '€70.00m'}, {'date': 'Dec 30, 2021', 'age': '28', 'clubName': 'Atlético de Madrid', 'clubID': '13', 'value': '€60.00m'}, {'date': 'Jun 3, 2022', 'age': '29', 'clubName': 'Atlético de Madrid', 'clubID': '13', 'value': '€45.00m'}, {'date': 'Sep 23, 2022', 'age': '29', 'clubName': 'Atlético de Madrid', 'clubID': '13', 'value': '€40.00m'}, {'date': 'Nov 7, 2022', 'age': '29', 'clubName': 'Atlético de Madrid', 'clubID': '13', 'value': '€40.00m'}, {'date': 'Jun 13, 2023', 'age': '30', 'clubName': 'Atlético de Madrid', 'clubID': '13', 'value': '€35.00m'}, {'date': 'Dec 22, 2023', 'age': '30', 'clubName': 'Atlético de Madrid', 'clubID': '13', 'value': '€35.00m'}, {'date': 'Mar 21, 2024', 'age': '31', 'clubName': 'Atlético de Madrid', 'clubID': '13', 'value': '€30.00m'}, {'date': 'Jun 7, 2024', 'age': '31', 'clubName': 'Atlético de Madrid', 'clubID': '13', 'value': '€28.00m'}, {'date': 'Dec 27, 2024', 'age': '31', 'clubName': 'Atlético de Madrid', 'clubID': '13', 'value': '€25.00m'}, {'date': 'Jun 9, 2025', 'age': '32', 'clubName': 'Atlético de Madrid', 'clubID': '13', 'value': '€20.00m'}, {'date': 'Dec 12, 2025', 'age': '32', 'clubName': 'Atlético de Madrid', 'clubID': '13', 'value': '€17.00m'}]}</t>
  </si>
  <si>
    <t>Slovenia</t>
  </si>
  <si>
    <t>1993-01-07</t>
  </si>
  <si>
    <t>David Silva</t>
  </si>
  <si>
    <t>{'marketValueHistory': [{'date': '07/02/2006', 'age': '20', 'clubName': 'Celta de Vigo', 'clubID': '940', 'value': '€800k'}, {'date': '08/02/2007', 'age': '21', 'clubName': 'Valencia CF', 'clubID': '1049', 'value': '€3.00m'}, {'date': '21/06/2007', 'age': '21', 'clubName': 'Valencia CF', 'clubID': '1049', 'value': '€15.00m'}, {'date': '04/02/2008', 'age': '22', 'clubName': 'Valencia CF', 'clubID': '1049', 'value': '€18.00m'}, {'date': '17/07/2008', 'age': '22', 'clubName': 'Valencia CF', 'clubID': '1049', 'value': '€22.00m'}, {'date': '26/01/2009', 'age': '23', 'clubName': 'Valencia CF', 'clubID': '1049', 'value': '€22.00m'}, {'date': '22/07/2009', 'age': '23', 'clubName': 'Valencia CF', 'clubID': '1049', 'value': '€26.00m'}, {'date': '03/12/2009', 'age': '23', 'clubName': 'Valencia CF', 'clubID': '1049', 'value': '€28.00m'}, {'date': '12/04/2010', 'age': '24', 'clubName': 'Valencia CF', 'clubID': '1049', 'value': '€32.00m'}, {'date': '13/08/2010', 'age': '24', 'clubName': 'Manchester City', 'clubID': '281', 'value': '€32.00m'}, {'date': '01/02/2011', 'age': '25', 'clubName': 'Manchester City', 'clubID': '281', 'value': '€32.00m'}, {'date': '08/08/2011', 'age': '25', 'clubName': 'Manchester City', 'clubID': '281', 'value': '€34.00m'}, {'date': '06/02/2012', 'age': '26', 'clubName': 'Manchester City', 'clubID': '281', 'value': '€46.00m'}, {'date': '24/06/2012', 'age': '26', 'clubName': 'Manchester City', 'clubID': '281', 'value': '€50.00m'}, {'date': '28/01/2013', 'age': '27', 'clubName': 'Manchester City', 'clubID': '281', 'value': '€44.00m'}, {'date': '02/07/2013', 'age': '27', 'clubName': 'Manchester City', 'clubID': '281', 'value': '€40.00m'}, {'date': '15/01/2014', 'age': '28', 'clubName': 'Manchester City', 'clubID': '281', 'value': '€40.00m'}, {'date': '12/08/2014', 'age': '28', 'clubName': 'Manchester City', 'clubID': '281', 'value': '€40.00m'}, {'date': '12/02/2015', 'age': '29', 'clubName': 'Manchester City', 'clubID': '281', 'value': '€38.00m'}, {'date': '01/07/2015', 'age': '29', 'clubName': 'Manchester City', 'clubID': '281', 'value': '€38.00m'}, {'date': '09/02/2016', 'age': '30', 'clubName': 'Manchester City', 'clubID': '281', 'value': '€38.00m'}, {'date': '01/06/2016', 'age': '30', 'clubName': 'Manchester City', 'clubID': '281', 'value': '€33.00m'}, {'date': '01/08/2016', 'age': '30', 'clubName': 'Manchester City', 'clubID': '281', 'value': '€33.00m'}, {'date': '20/02/2017', 'age': '31', 'clubName': 'Manchester City', 'clubID': '281', 'value': '€30.00m'}, {'date': '28/06/2017', 'age': '31', 'clubName': 'Manchester City', 'clubID': '281', 'value': '€30.00m'}, {'date': '02/01/2018', 'age': '31', 'clubName': 'Manchester City', 'clubID': '281', 'value': '€30.00m'}, {'date': '28/05/2018', 'age': '32', 'clubName': 'Manchester City', 'clubID': '281', 'value': '€30.00m'}, {'date': '19/12/2018', 'age': '32', 'clubName': 'Manchester City', 'clubID': '281', 'value': '€25.00m'}, {'date': '13/06/2019', 'age': '33', 'clubName': 'Manchester City', 'clubID': '281', 'value': '€20.00m'}, {'date': '10/12/2019', 'age': '33', 'clubName': 'Manchester City', 'clubID': '281', 'value': '€15.00m'}, {'date': '08/04/2020', 'age': '34', 'clubName': 'Manchester City', 'clubID': '281', 'value': '€12.00m'}, {'date': '08/10/2020', 'age': '34', 'clubName': 'Real Sociedad', 'clubID': '681', 'value': '€5.00m'}, {'date': '05/01/2021', 'age': '34', 'clubName': 'Real Sociedad', 'clubID': '681', 'value': '€5.00m'}, {'date': '10/06/2021', 'age': '35', 'clubName': 'Real Sociedad', 'clubID': '681', 'value': '€5.00m'}, {'date': '30/12/2021', 'age': '35', 'clubName': 'Real Sociedad', 'clubID': '681', 'value': '€4.00m'}, {'date': '03/06/2022', 'age': '36', 'clubName': 'Real Sociedad', 'clubID': '681', 'value': '€4.00m'}, {'date': '07/11/2022', 'age': '36', 'clubName': 'Real Sociedad', 'clubID': '681', 'value': '€4.00m'}, {'date': '13/06/2023', 'age': '37', 'clubName': 'Real Sociedad', 'clubID': '681', 'value': '€4.00m'}, {'date': '27/07/2023', 'age': '37', 'clubName': 'Retired', 'clubID': '123', 'value': '-'}]}</t>
  </si>
  <si>
    <t>1986-01-08</t>
  </si>
  <si>
    <t>Lewandowski</t>
  </si>
  <si>
    <t>{'marketValueHistory': [{'date': 'Mar 18, 2008', 'age': '19', 'clubName': 'Znicz Pruszkow', 'clubID': '9109', 'value': '€100k'}, {'date': 'May 19, 2008', 'age': '19', 'clubName': 'Znicz Pruszkow', 'clubID': '9109', 'value': '€500k'}, {'date': 'Sep 5, 2008', 'age': '20', 'clubName': 'Lech Poznan', 'clubID': '238', 'value': '€800k'}, {'date': 'Dec 30, 2008', 'age': '20', 'clubName': 'Lech Poznan', 'clubID': '238', 'value': '€1.65m'}, {'date': 'Jul 4, 2009', 'age': '20', 'clubName': 'Lech Poznan', 'clubID': '238', 'value': '€3.00m'}, {'date': 'Mar 17, 2010', 'age': '21', 'clubName': 'Lech Poznan', 'clubID': '238', 'value': '€3.60m'}, {'date': 'May 18, 2010', 'age': '21', 'clubName': 'Lech Poznan', 'clubID': '238', 'value': '€4.50m'}, {'date': 'Jul 16, 2010', 'age': '21', 'clubName': 'Borussia Dortmund', 'clubID': '16', 'value': '€6.00m'}, {'date': 'Jan 12, 2011', 'age': '22', 'clubName': 'Borussia Dortmund', 'clubID': '16', 'value': '€6.00m'}, {'date': 'Jun 29, 2011', 'age': '22', 'clubName': 'Borussia Dortmund', 'clubID': '16', 'value': '€7.00m'}, {'date': 'Jan 23, 2012', 'age': '23', 'clubName': 'Borussia Dortmund', 'clubID': '16', 'value': '€12.00m'}, {'date': 'Mar 5, 2012', 'age': '23', 'clubName': 'Borussia Dortmund', 'clubID': '16', 'value': '€15.00m'}, {'date': 'Jun 29, 2012', 'age': '23', 'clubName': 'Borussia Dortmund', 'clubID': '16', 'value': '€20.00m'}, {'date': 'Oct 26, 2012', 'age': '24', 'clubName': 'Borussia Dortmund', 'clubID': '16', 'value': '€25.00m'}, {'date': 'Jan 13, 2013', 'age': '24', 'clubName': 'Borussia Dortmund', 'clubID': '16', 'value': '€28.00m'}, {'date': 'Jun 30, 2013', 'age': '24', 'clubName': 'Borussia Dortmund', 'clubID': '16', 'value': '€39.00m'}, {'date': 'Feb 12, 2014', 'age': '25', 'clubName': 'Borussia Dortmund', 'clubID': '16', 'value': '€50.00m'}, {'date': 'Jul 10, 2014', 'age': '25', 'clubName': 'Bayern Munich', 'clubID': '27', 'value': '€50.00m'}, {'date': 'Feb 4, 2015', 'age': '26', 'clubName': 'Bayern Munich', 'clubID': '27', 'value': '€50.00m'}, {'date': 'Jul 1, 2015', 'age': '26', 'clubName': 'Bayern Munich', 'clubID': '27', 'value': '€50.00m'}, {'date': 'Oct 16, 2015', 'age': '27', 'clubName': 'Bayern Munich', 'clubID': '27', 'value': '€70.00m'}, {'date': 'Feb 15, 2016', 'age': '27', 'clubName': 'Bayern Munich', 'clubID': '27', 'value': '€70.00m'}, {'date': 'Jun 1, 2016', 'age': '27', 'clubName': 'Bayern Munich', 'clubID': '27', 'value': '€75.00m'}, {'date': 'Jul 22, 2016', 'age': '27', 'clubName': 'Bayern Munich', 'clubID': '27', 'value': '€75.00m'}, {'date': 'Feb 7, 2017', 'age': '28', 'clubName': 'Bayern Munich', 'clubID': '27', 'value': '€80.00m'}, {'date': 'Jun 19, 2017', 'age': '28', 'clubName': 'Bayern Munich', 'clubID': '27', 'value': '€80.00m'}, {'date': 'Dec 28, 2017', 'age': '29', 'clubName': 'Bayern Munich', 'clubID': '27', 'value': '€80.00m'}, {'date': 'Apr 4, 2018', 'age': '29', 'clubName': 'Bayern Munich', 'clubID': '27', 'value': '€90.00m'}, {'date': 'Jun 5, 2018', 'age': '29', 'clubName': 'Bayern Munich', 'clubID': '27', 'value': '€90.00m'}, {'date': 'Jul 16, 2018', 'age': '29', 'clubName': 'Bayern Munich', 'clubID': '27', 'value': '€85.00m'}, {'date': 'Oct 22, 2018', 'age': '30', 'clubName': 'Bayern Munich', 'clubID': '27', 'value': '€80.00m'}, {'date': 'Dec 18, 2018', 'age': '30', 'clubName': 'Bayern Munich', 'clubID': '27', 'value': '€70.00m'}, {'date': 'Jun 5, 2019', 'age': '30', 'clubName': 'Bayern Munich', 'clubID': '27', 'value': '€65.00m'}, {'date': 'Dec 17, 2019', 'age': '31', 'clubName': 'Bayern Munich', 'clubID': '27', 'value': '€70.00m'}, {'date': 'Apr 8, 2020', 'age': '31', 'clubName': 'Bayern Munich', 'clubID': '27', 'value': '€56.00m'}, {'date': 'Sep 16, 2020', 'age': '32', 'clubName': 'Bayern Munich', 'clubID': '27', 'value': '€60.00m'}, {'date': 'Feb 10, 2021', 'age': '32', 'clubName': 'Bayern Munich', 'clubID': '27', 'value': '€60.00m'}, {'date': 'May 31, 2021', 'age': '32', 'clubName': 'Bayern Munich', 'clubID': '27', 'value': '€60.00m'}, {'date': 'Dec 22, 2021', 'age': '33', 'clubName': 'Bayern Munich', 'clubID': '27', 'value': '€50.00m'}, {'date': 'Jun 9, 2022', 'age': '33', 'clubName': 'Bayern Munich', 'clubID': '27', 'value': '€45.00m'}, {'date': 'Nov 7, 2022', 'age': '34', 'clubName': 'FC Barcelona', 'clubID': '131', 'value': '€45.00m'}, {'date': 'Mar 23, 2023', 'age': '34', 'clubName': 'FC Barcelona', 'clubID': '131', 'value': '€40.00m'}, {'date': 'Jun 13, 2023', 'age': '34', 'clubName': 'FC Barcelona', 'clubID': '131', 'value': '€30.00m'}, {'date': 'Dec 22, 2023', 'age': '35', 'clubName': 'FC Barcelona', 'clubID': '131', 'value': '€20.00m'}, {'date': 'Mar 21, 2024', 'age': '35', 'clubName': 'FC Barcelona', 'clubID': '131', 'value': '€15.00m'}, {'date': 'Jun 7, 2024', 'age': '35', 'clubName': 'FC Barcelona', 'clubID': '131', 'value': '€15.00m'}, {'date': 'Dec 27, 2024', 'age': '36', 'clubName': 'FC Barcelona', 'clubID': '131', 'value': '€15.00m'}, {'date': 'Jun 9, 2025', 'age': '36', 'clubName': 'FC Barcelona', 'clubID': '131', 'value': '€12.00m'}, {'date': 'Oct 2, 2025', 'age': '37', 'clubName': 'FC Barcelona', 'clubID': '131', 'value': '€10.00m'}, {'date': 'Dec 12, 2025', 'age': '37', 'clubName': 'FC Barcelona', 'clubID': '131', 'value': '€9.00m'}, {'date': 'Mar 16, 2026', 'age': '37', 'clubName': 'FC Barcelona', 'clubID': '131', 'value': '€8.00m'}]}</t>
  </si>
  <si>
    <t>1988-08-21</t>
  </si>
  <si>
    <t>Sergi Roberto</t>
  </si>
  <si>
    <t>{'marketValueHistory': [{'date': '20/08/2010', 'age': '18', 'clubName': 'FC Barcelona B', 'clubID': '2464', 'value': '€1.50m'}, {'date': '04/02/2011', 'age': '18', 'clubName': 'FC Barcelona B', 'clubID': '2464', 'value': '€1.50m'}, {'date': '08/08/2011', 'age': '19', 'clubName': 'FC Barcelona B', 'clubID': '2464', 'value': '€2.50m'}, {'date': '01/03/2012', 'age': '20', 'clubName': 'FC Barcelona B', 'clubID': '2464', 'value': '€2.50m'}, {'date': '07/08/2012', 'age': '20', 'clubName': 'FC Barcelona B', 'clubID': '2464', 'value': '€5.00m'}, {'date': '10/01/2013', 'age': '20', 'clubName': 'FC Barcelona B', 'clubID': '2464', 'value': '€5.00m'}, {'date': '09/05/2013', 'age': '21', 'clubName': 'FC Barcelona B', 'clubID': '2464', 'value': '€7.50m'}, {'date': '12/06/2013', 'age': '21', 'clubName': 'FC Barcelona B', 'clubID': '2464', 'value': '€7.50m'}, {'date': '23/01/2014', 'age': '21', 'clubName': 'FC Barcelona', 'clubID': '131', 'value': '€8.00m'}, {'date': '20/07/2014', 'age': '22', 'clubName': 'FC Barcelona', 'clubID': '131', 'value': '€8.00m'}, {'date': '23/01/2015', 'age': '22', 'clubName': 'FC Barcelona', 'clubID': '131', 'value': '€8.00m'}, {'date': '01/07/2015', 'age': '23', 'clubName': 'FC Barcelona', 'clubID': '131', 'value': '€8.00m'}, {'date': '22/11/2015', 'age': '23', 'clubName': 'FC Barcelona', 'clubID': '131', 'value': '€15.00m'}, {'date': '22/02/2016', 'age': '24', 'clubName': 'FC Barcelona', 'clubID': '131', 'value': '€20.00m'}, {'date': '15/07/2016', 'age': '24', 'clubName': 'FC Barcelona', 'clubID': '131', 'value': '€20.00m'}, {'date': '27/10/2016', 'age': '24', 'clubName': 'FC Barcelona', 'clubID': '131', 'value': '€25.00m'}, {'date': '24/01/2017', 'age': '24', 'clubName': 'FC Barcelona', 'clubID': '131', 'value': '€25.00m'}, {'date': '05/06/2017', 'age': '25', 'clubName': 'FC Barcelona', 'clubID': '131', 'value': '€25.00m'}, {'date': '01/01/2018', 'age': '25', 'clubName': 'FC Barcelona', 'clubID': '131', 'value': '€40.00m'}, {'date': '22/03/2018', 'age': '26', 'clubName': 'FC Barcelona', 'clubID': '131', 'value': '€60.00m'}, {'date': '30/05/2018', 'age': '26', 'clubName': 'FC Barcelona', 'clubID': '131', 'value': '€55.00m'}, {'date': '21/12/2018', 'age': '26', 'clubName': 'FC Barcelona', 'clubID': '131', 'value': '€55.00m'}, {'date': '11/06/2019', 'age': '27', 'clubName': 'FC Barcelona', 'clubID': '131', 'value': '€50.00m'}, {'date': '20/12/2019', 'age': '27', 'clubName': 'FC Barcelona', 'clubID': '131', 'value': '€50.00m'}, {'date': '08/04/2020', 'age': '28', 'clubName': 'FC Barcelona', 'clubID': '131', 'value': '€40.00m'}, {'date': '08/10/2020', 'age': '28', 'clubName': 'FC Barcelona', 'clubID': '131', 'value': '€20.00m'}, {'date': '23/11/2020', 'age': '28', 'clubName': 'FC Barcelona', 'clubID': '131', 'value': '€25.00m'}, {'date': '05/01/2021', 'age': '28', 'clubName': 'FC Barcelona', 'clubID': '131', 'value': '€25.00m'}, {'date': '10/06/2021', 'age': '29', 'clubName': 'FC Barcelona', 'clubID': '131', 'value': '€18.00m'}, {'date': '13/10/2021', 'age': '29', 'clubName': 'FC Barcelona', 'clubID': '131', 'value': '€15.00m'}, {'date': '30/12/2021', 'age': '29', 'clubName': 'FC Barcelona', 'clubID': '131', 'value': '€9.00m'}, {'date': '21/03/2022', 'age': '30', 'clubName': 'FC Barcelona', 'clubID': '131', 'value': '€7.00m'}, {'date': '03/06/2022', 'age': '30', 'clubName': 'FC Barcelona', 'clubID': '131', 'value': '€6.00m'}, {'date': '07/11/2022', 'age': '30', 'clubName': 'FC Barcelona', 'clubID': '131', 'value': '€6.00m'}, {'date': '13/06/2023', 'age': '31', 'clubName': 'FC Barcelona', 'clubID': '131', 'value': '€5.00m'}, {'date': '13/10/2023', 'age': '31', 'clubName': 'FC Barcelona', 'clubID': '131', 'value': '€4.00m'}, {'date': '22/12/2023', 'age': '31', 'clubName': 'FC Barcelona', 'clubID': '131', 'value': '€3.00m'}, {'date': '07/06/2024', 'age': '32', 'clubName': 'FC Barcelona', 'clubID': '131', 'value': '€2.50m'}, {'date': '18/12/2024', 'age': '32', 'clubName': 'Como 1907', 'clubID': '1047', 'value': '€2.00m'}, {'date': '17/06/2025', 'age': '33', 'clubName': 'Como 1907', 'clubID': '1047', 'value': '€1.50m'}, {'date': '23/12/2025', 'age': '33', 'clubName': 'Como 1907', 'clubID': '1047', 'value': '€1.50m'}]}</t>
  </si>
  <si>
    <t>1992-02-07</t>
  </si>
  <si>
    <t>Alli</t>
  </si>
  <si>
    <t>{'marketValueHistory': [{'date': 'Oct 9, 2017', 'age': '18', 'clubName': 'AA Argentinos Juniors', 'clubID': '1030', 'value': '€300k'}, {'date': 'May 8, 2018', 'age': '19', 'clubName': 'AA Argentinos Juniors', 'clubID': '1030', 'value': '€4.00m'}, {'date': 'Dec 18, 2018', 'age': '19', 'clubName': 'AA Argentinos Juniors', 'clubID': '1030', 'value': '€5.00m'}, {'date': 'Aug 6, 2019', 'age': '20', 'clubName': 'CA Boca Juniors', 'clubID': '189', 'value': '€10.00m'}, {'date': 'Dec 5, 2019', 'age': '20', 'clubName': 'CA Boca Juniors', 'clubID': '189', 'value': '€12.50m'}, {'date': 'Apr 8, 2020', 'age': '21', 'clubName': 'Brighton &amp; Hove Albion', 'clubID': '1237', 'value': '€11.00m'}, {'date': 'Oct 13, 2020', 'age': '21', 'clubName': 'Brighton &amp; Hove Albion', 'clubID': '1237', 'value': '€11.00m'}, {'date': 'Mar 18, 2021', 'age': '22', 'clubName': 'Brighton &amp; Hove Albion', 'clubID': '1237', 'value': '€10.00m'}, {'date': 'Jun 8, 2021', 'age': '22', 'clubName': 'Brighton &amp; Hove Albion', 'clubID': '1237', 'value': '€10.00m'}, {'date': 'Dec 23, 2021', 'age': '22', 'clubName': 'Brighton &amp; Hove Albion', 'clubID': '1237', 'value': '€10.00m'}, {'date': 'Jun 15, 2022', 'age': '23', 'clubName': 'Brighton &amp; Hove Albion', 'clubID': '1237', 'value': '€16.00m'}, {'date': 'Sep 15, 2022', 'age': '23', 'clubName': 'Brighton &amp; Hove Albion', 'clubID': '1237', 'value': '€25.00m'}, {'date': 'Nov 3, 2022', 'age': '23', 'clubName': 'Brighton &amp; Hove Albion', 'clubID': '1237', 'value': '€32.00m'}, {'date': 'Dec 23, 2022', 'age': '23', 'clubName': 'Brighton &amp; Hove Albion', 'clubID': '1237', 'value': '€42.00m'}, {'date': 'Jun 20, 2023', 'age': '24', 'clubName': 'Brighton &amp; Hove Albion', 'clubID': '1237', 'value': '€65.00m'}, {'date': 'Dec 19, 2023', 'age': '24', 'clubName': 'Liverpool FC', 'clubID': '31', 'value': '€65.00m'}, {'date': 'Mar 14, 2024', 'age': '25', 'clubName': 'Liverpool FC', 'clubID': '31', 'value': '€70.00m'}, {'date': 'May 27, 2024', 'age': '25', 'clubName': 'Liverpool FC', 'clubID': '31', 'value': '€75.00m'}, {'date': 'Dec 16, 2024', 'age': '25', 'clubName': 'Liverpool FC', 'clubID': '31', 'value': '€80.00m'}, {'date': 'Mar 18, 2025', 'age': '26', 'clubName': 'Liverpool FC', 'clubID': '31', 'value': '€90.00m'}, {'date': 'May 30, 2025', 'age': '26', 'clubName': 'Liverpool FC', 'clubID': '31', 'value': '€100.00m'}, {'date': 'Dec 9, 2025', 'age': '26', 'clubName': 'Liverpool FC', 'clubID': '31', 'value': '€85.00m'}, {'date': 'Mar 9, 2026', 'age': '27', 'clubName': 'Liverpool FC', 'clubID': '31', 'value': '€80.00m'}]}</t>
  </si>
  <si>
    <t>1998-12-24</t>
  </si>
  <si>
    <t>Mendy</t>
  </si>
  <si>
    <t>{'marketValueHistory': [{'date': '08/08/2011', 'age': '17', 'clubName': 'Le Havre AC', 'clubID': '738', 'value': '€50k'}, {'date': '03/09/2011', 'age': '17', 'clubName': 'Le Havre AC', 'clubID': '738', 'value': '€250k'}, {'date': '25/12/2011', 'age': '17', 'clubName': 'Le Havre AC', 'clubID': '738', 'value': '€750k'}, {'date': '01/06/2012', 'age': '17', 'clubName': 'Le Havre AC', 'clubID': '738', 'value': '€900k'}, {'date': '04/01/2013', 'age': '18', 'clubName': 'Le Havre AC', 'clubID': '738', 'value': '€1.50m'}, {'date': '30/05/2013', 'age': '18', 'clubName': 'Le Havre AC', 'clubID': '738', 'value': '€2.00m'}, {'date': '22/07/2013', 'age': '19', 'clubName': 'Olympique Marseille', 'clubID': '244', 'value': '€4.00m'}, {'date': '14/01/2014', 'age': '19', 'clubName': 'Olympique Marseille', 'clubID': '244', 'value': '€4.00m'}, {'date': '07/08/2014', 'age': '20', 'clubName': 'Olympique Marseille', 'clubID': '244', 'value': '€4.00m'}, {'date': '14/01/2015', 'age': '20', 'clubName': 'Olympique Marseille', 'clubID': '244', 'value': '€6.00m'}, {'date': '06/06/2015', 'age': '20', 'clubName': 'Olympique Marseille', 'clubID': '244', 'value': '€6.50m'}, {'date': '04/02/2016', 'age': '21', 'clubName': 'Olympique Marseille', 'clubID': '244', 'value': '€6.50m'}, {'date': '13/07/2016', 'age': '21', 'clubName': 'AS Monaco', 'clubID': '162', 'value': '€9.00m'}, {'date': '16/01/2017', 'age': '22', 'clubName': 'AS Monaco', 'clubID': '162', 'value': '€9.00m'}, {'date': '01/06/2017', 'age': '22', 'clubName': 'AS Monaco', 'clubID': '162', 'value': '€13.00m'}, {'date': '16/08/2017', 'age': '23', 'clubName': 'Manchester City', 'clubID': '281', 'value': '€30.00m'}, {'date': '02/01/2018', 'age': '23', 'clubName': 'Manchester City', 'clubID': '281', 'value': '€40.00m'}, {'date': '28/05/2018', 'age': '23', 'clubName': 'Manchester City', 'clubID': '281', 'value': '€40.00m'}, {'date': '17/10/2018', 'age': '24', 'clubName': 'Manchester City', 'clubID': '281', 'value': '€45.00m'}, {'date': '19/12/2018', 'age': '24', 'clubName': 'Manchester City', 'clubID': '281', 'value': '€45.00m'}, {'date': '05/03/2019', 'age': '24', 'clubName': 'Manchester City', 'clubID': '281', 'value': '€40.00m'}, {'date': '13/06/2019', 'age': '24', 'clubName': 'Manchester City', 'clubID': '281', 'value': '€35.00m'}, {'date': '10/12/2019', 'age': '25', 'clubName': 'Manchester City', 'clubID': '281', 'value': '€35.00m'}, {'date': '08/04/2020', 'age': '25', 'clubName': 'Manchester City', 'clubID': '281', 'value': '€28.00m'}, {'date': '13/10/2020', 'age': '26', 'clubName': 'Manchester City', 'clubID': '281', 'value': '€28.00m'}, {'date': '18/03/2021', 'age': '26', 'clubName': 'Manchester City', 'clubID': '281', 'value': '€22.00m'}, {'date': '08/06/2021', 'age': '26', 'clubName': 'Manchester City', 'clubID': '281', 'value': '€20.00m'}, {'date': '05/10/2021', 'age': '27', 'clubName': 'Manchester City', 'clubID': '281', 'value': '€10.00m'}, {'date': '23/12/2021', 'age': '27', 'clubName': 'Manchester City', 'clubID': '281', 'value': '€10.00m'}, {'date': '29/03/2022', 'age': '27', 'clubName': 'Manchester City', 'clubID': '281', 'value': '-'}, {'date': '19/07/2023', 'age': '29', 'clubName': 'FC Lorient', 'clubID': '1158', 'value': '€3.00m'}, {'date': '18/12/2023', 'age': '29', 'clubName': 'FC Lorient', 'clubID': '1158', 'value': '€2.00m'}, {'date': '03/06/2024', 'age': '29', 'clubName': 'FC Lorient', 'clubID': '1158', 'value': '€2.00m'}, {'date': '03/10/2024', 'age': '30', 'clubName': 'FC Lorient', 'clubID': '1158', 'value': '€1.50m'}, {'date': '04/12/2024', 'age': '30', 'clubName': 'FC Lorient', 'clubID': '1158', 'value': '€1.20m'}, {'date': '10/06/2025', 'age': '30', 'clubName': 'FC Zürich', 'clubID': '260', 'value': '€1.00m'}, {'date': '08/12/2025', 'age': '31', 'clubName': 'Pogon Szczecin', 'clubID': '324', 'value': '€800k'}, {'date': '26/03/2026', 'age': '31', 'clubName': 'Pogon Szczecin', 'clubID': '324', 'value': '€600k'}]}</t>
  </si>
  <si>
    <t>1994-07-17</t>
  </si>
  <si>
    <t>Mbappe</t>
  </si>
  <si>
    <t>Paris</t>
  </si>
  <si>
    <t>{'marketValueHistory': [{'date': 'Dec 2, 2015', 'age': '16', 'clubName': 'AS Monaco U19', 'clubID': '9669', 'value': '€50k'}, {'date': 'Feb 4, 2016', 'age': '17', 'clubName': 'AS Monaco', 'clubID': '162', 'value': '€250k'}, {'date': 'Apr 9, 2016', 'age': '17', 'clubName': 'AS Monaco', 'clubID': '162', 'value': '€1.00m'}, {'date': 'Jul 13, 2016', 'age': '17', 'clubName': 'AS Monaco', 'clubID': '162', 'value': '€1.50m'}, {'date': 'Nov 1, 2016', 'age': '17', 'clubName': 'AS Monaco', 'clubID': '162', 'value': '€4.00m'}, {'date': 'Jan 16, 2017', 'age': '18', 'clubName': 'AS Monaco', 'clubID': '162', 'value': '€10.00m'}, {'date': 'Jun 1, 2017', 'age': '18', 'clubName': 'AS Monaco', 'clubID': '162', 'value': '€35.00m'}, {'date': 'Oct 12, 2017', 'age': '18', 'clubName': 'Paris Saint-Germain', 'clubID': '583', 'value': '€90.00m'}, {'date': 'Jan 24, 2018', 'age': '19', 'clubName': 'Paris Saint-Germain', 'clubID': '583', 'value': '€120.00m'}, {'date': 'Jun 4, 2018', 'age': '19', 'clubName': 'Paris Saint-Germain', 'clubID': '583', 'value': '€120.00m'}, {'date': 'Jul 16, 2018', 'age': '19', 'clubName': 'Paris Saint-Germain', 'clubID': '583', 'value': '€150.00m'}, {'date': 'Oct 24, 2018', 'age': '19', 'clubName': 'Paris Saint-Germain', 'clubID': '583', 'value': '€180.00m'}, {'date': 'Dec 17, 2018', 'age': '19', 'clubName': 'Paris Saint-Germain', 'clubID': '583', 'value': '€200.00m'}, {'date': 'Jun 3, 2019', 'age': '20', 'clubName': 'Paris Saint-Germain', 'clubID': '583', 'value': '€200.00m'}, {'date': 'Dec 19, 2019', 'age': '20', 'clubName': 'Paris Saint-Germain', 'clubID': '583', 'value': '€200.00m'}, {'date': 'Apr 8, 2020', 'age': '21', 'clubName': 'Paris Saint-Germain', 'clubID': '583', 'value': '€180.00m'}, {'date': 'Oct 15, 2020', 'age': '21', 'clubName': 'Paris Saint-Germain', 'clubID': '583', 'value': '€180.00m'}, {'date': 'Apr 9, 2021', 'age': '22', 'clubName': 'Paris Saint-Germain', 'clubID': '583', 'value': '€160.00m'}, {'date': 'Jun 1, 2021', 'age': '22', 'clubName': 'Paris Saint-Germain', 'clubID': '583', 'value': '€160.00m'}, {'date': 'Dec 16, 2021', 'age': '22', 'clubName': 'Paris Saint-Germain', 'clubID': '583', 'value': '€160.00m'}, {'date': 'May 30, 2022', 'age': '23', 'clubName': 'Paris Saint-Germain', 'clubID': '583', 'value': '€160.00m'}, {'date': 'Nov 2, 2022', 'age': '23', 'clubName': 'Paris Saint-Germain', 'clubID': '583', 'value': '€160.00m'}, {'date': 'Dec 23, 2022', 'age': '24', 'clubName': 'Paris Saint-Germain', 'clubID': '583', 'value': '€180.00m'}, {'date': 'Jun 27, 2023', 'age': '24', 'clubName': 'Paris Saint-Germain', 'clubID': '583', 'value': '€180.00m'}, {'date': 'Dec 18, 2023', 'age': '24', 'clubName': 'Paris Saint-Germain', 'clubID': '583', 'value': '€180.00m'}, {'date': 'Jun 3, 2024', 'age': '25', 'clubName': 'Paris Saint-Germain', 'clubID': '583', 'value': '€180.00m'}, {'date': 'Dec 27, 2024', 'age': '26', 'clubName': 'Real Madrid', 'clubID': '418', 'value': '€160.00m'}, {'date': 'Mar 21, 2025', 'age': '26', 'clubName': 'Real Madrid', 'clubID': '418', 'value': '€170.00m'}, {'date': 'Jun 9, 2025', 'age': '26', 'clubName': 'Real Madrid', 'clubID': '418', 'value': '€180.00m'}, {'date': 'Dec 12, 2025', 'age': '26', 'clubName': 'Real Madrid', 'clubID': '418', 'value': '€200.00m'}]}</t>
  </si>
  <si>
    <t>1998-12-20</t>
  </si>
  <si>
    <t>Matuidi</t>
  </si>
  <si>
    <t>{'marketValueHistory': [{'date': '17/03/2006', 'age': '18', 'clubName': 'ESTAC Troyes', 'clubID': '1095', 'value': '€1.85m'}, {'date': '27/08/2007', 'age': '20', 'clubName': 'AS Saint-Étienne', 'clubID': '618', 'value': '€4.00m'}, {'date': '05/05/2008', 'age': '21', 'clubName': 'AS Saint-Étienne', 'clubID': '618', 'value': '€4.50m'}, {'date': '24/10/2008', 'age': '21', 'clubName': 'AS Saint-Étienne', 'clubID': '618', 'value': '€6.00m'}, {'date': '30/12/2008', 'age': '21', 'clubName': 'AS Saint-Étienne', 'clubID': '618', 'value': '€6.50m'}, {'date': '18/05/2009', 'age': '22', 'clubName': 'AS Saint-Étienne', 'clubID': '618', 'value': '€7.00m'}, {'date': '28/12/2010', 'age': '23', 'clubName': 'AS Saint-Étienne', 'clubID': '618', 'value': '€7.50m'}, {'date': '12/01/2011', 'age': '23', 'clubName': 'AS Saint-Étienne', 'clubID': '618', 'value': '€8.00m'}, {'date': '24/05/2011', 'age': '24', 'clubName': 'AS Saint-Étienne', 'clubID': '618', 'value': '€8.00m'}, {'date': '24/12/2011', 'age': '24', 'clubName': 'Paris Saint-Germain', 'clubID': '583', 'value': '€9.50m'}, {'date': '23/05/2012', 'age': '25', 'clubName': 'Paris Saint-Germain', 'clubID': '583', 'value': '€10.00m'}, {'date': '07/01/2013', 'age': '25', 'clubName': 'Paris Saint-Germain', 'clubID': '583', 'value': '€13.00m'}, {'date': '30/05/2013', 'age': '26', 'clubName': 'Paris Saint-Germain', 'clubID': '583', 'value': '€17.00m'}, {'date': '12/06/2013', 'age': '26', 'clubName': 'Paris Saint-Germain', 'clubID': '583', 'value': '€18.00m'}, {'date': '14/01/2014', 'age': '26', 'clubName': 'Paris Saint-Germain', 'clubID': '583', 'value': '€20.00m'}, {'date': '01/08/2014', 'age': '27', 'clubName': 'Paris Saint-Germain', 'clubID': '583', 'value': '€24.50m'}, {'date': '14/01/2015', 'age': '27', 'clubName': 'Paris Saint-Germain', 'clubID': '583', 'value': '€24.00m'}, {'date': '06/06/2015', 'age': '28', 'clubName': 'Paris Saint-Germain', 'clubID': '583', 'value': '€24.00m'}, {'date': '04/02/2016', 'age': '28', 'clubName': 'Paris Saint-Germain', 'clubID': '583', 'value': '€30.00m'}, {'date': '01/06/2016', 'age': '29', 'clubName': 'Paris Saint-Germain', 'clubID': '583', 'value': '€30.00m'}, {'date': '13/07/2016', 'age': '29', 'clubName': 'Paris Saint-Germain', 'clubID': '583', 'value': '€30.00m'}, {'date': '16/01/2017', 'age': '29', 'clubName': 'Paris Saint-Germain', 'clubID': '583', 'value': '€30.00m'}, {'date': '01/06/2017', 'age': '30', 'clubName': 'Paris Saint-Germain', 'clubID': '583', 'value': '€30.00m'}, {'date': '29/12/2017', 'age': '30', 'clubName': 'Juventus FC', 'clubID': '506', 'value': '€30.00m'}, {'date': '07/06/2018', 'age': '31', 'clubName': 'Juventus FC', 'clubID': '506', 'value': '€30.00m'}, {'date': '20/12/2018', 'age': '31', 'clubName': 'Juventus FC', 'clubID': '506', 'value': '€30.00m'}, {'date': '06/06/2019', 'age': '32', 'clubName': 'Juventus FC', 'clubID': '506', 'value': '€22.00m'}, {'date': '12/12/2019', 'age': '32', 'clubName': 'Juventus FC', 'clubID': '506', 'value': '€18.00m'}, {'date': '03/03/2020', 'age': '32', 'clubName': 'Juventus FC', 'clubID': '506', 'value': '€13.00m'}, {'date': '08/04/2020', 'age': '32', 'clubName': 'Juventus FC', 'clubID': '506', 'value': '€10.50m'}, {'date': '25/08/2020', 'age': '33', 'clubName': 'Inter Miami CF', 'clubID': '69261', 'value': '€6.00m'}, {'date': '18/12/2020', 'age': '33', 'clubName': 'Inter Miami CF', 'clubID': '69261', 'value': '€5.00m'}, {'date': '09/07/2021', 'age': '34', 'clubName': 'Inter Miami CF', 'clubID': '69261', 'value': '€3.00m'}, {'date': '09/11/2021', 'age': '34', 'clubName': 'Inter Miami CF', 'clubID': '69261', 'value': '€2.00m'}, {'date': '01/04/2022', 'age': '34', 'clubName': 'Inter Miami CF', 'clubID': '69261', 'value': '€1.00m'}, {'date': '18/08/2022', 'age': '35', 'clubName': 'Inter Miami CF', 'clubID': '69261', 'value': '€500k'}, {'date': '08/11/2022', 'age': '35', 'clubName': 'Inter Miami CF', 'clubID': '69261', 'value': '€500k'}, {'date': '01/01/2023', 'age': '35', 'clubName': 'Retired', 'clubID': '123', 'value': '-'}]}</t>
  </si>
  <si>
    <t>1987-04-09</t>
  </si>
  <si>
    <t>Winks</t>
  </si>
  <si>
    <t>{'marketValueHistory': [{'date': 'Nov 25, 2016', 'age': '20', 'clubName': 'Tottenham Hotspur', 'clubID': '148', 'value': '€1.00m'}, {'date': 'Feb 20, 2017', 'age': '21', 'clubName': 'Tottenham Hotspur', 'clubID': '148', 'value': '€3.00m'}, {'date': 'Jun 28, 2017', 'age': '21', 'clubName': 'Tottenham Hotspur', 'clubID': '148', 'value': '€4.00m'}, {'date': 'Oct 23, 2017', 'age': '21', 'clubName': 'Tottenham Hotspur', 'clubID': '148', 'value': '€5.00m'}, {'date': 'Jan 2, 2018', 'age': '21', 'clubName': 'Tottenham Hotspur', 'clubID': '148', 'value': '€15.00m'}, {'date': 'May 28, 2018', 'age': '22', 'clubName': 'Tottenham Hotspur', 'clubID': '148', 'value': '€15.00m'}, {'date': 'Dec 19, 2018', 'age': '22', 'clubName': 'Tottenham Hotspur', 'clubID': '148', 'value': '€15.00m'}, {'date': 'Mar 5, 2019', 'age': '23', 'clubName': 'Tottenham Hotspur', 'clubID': '148', 'value': '€20.00m'}, {'date': 'Jun 13, 2019', 'age': '23', 'clubName': 'Tottenham Hotspur', 'clubID': '148', 'value': '€25.00m'}, {'date': 'Sep 12, 2019', 'age': '23', 'clubName': 'Tottenham Hotspur', 'clubID': '148', 'value': '€40.00m'}, {'date': 'Dec 10, 2019', 'age': '23', 'clubName': 'Tottenham Hotspur', 'clubID': '148', 'value': '€40.00m'}, {'date': 'Apr 8, 2020', 'age': '24', 'clubName': 'Tottenham Hotspur', 'clubID': '148', 'value': '€32.00m'}, {'date': 'Jul 30, 2020', 'age': '24', 'clubName': 'Tottenham Hotspur', 'clubID': '148', 'value': '€28.00m'}, {'date': 'Oct 13, 2020', 'age': '24', 'clubName': 'Tottenham Hotspur', 'clubID': '148', 'value': '€28.00m'}, {'date': 'Dec 17, 2020', 'age': '24', 'clubName': 'Tottenham Hotspur', 'clubID': '148', 'value': '€25.00m'}, {'date': 'Mar 18, 2021', 'age': '25', 'clubName': 'Tottenham Hotspur', 'clubID': '148', 'value': '€22.00m'}, {'date': 'Jun 8, 2021', 'age': '25', 'clubName': 'Tottenham Hotspur', 'clubID': '148', 'value': '€20.00m'}, {'date': 'Dec 23, 2021', 'age': '25', 'clubName': 'Tottenham Hotspur', 'clubID': '148', 'value': '€17.00m'}, {'date': 'Jun 15, 2022', 'age': '26', 'clubName': 'Tottenham Hotspur', 'clubID': '148', 'value': '€15.00m'}, {'date': 'Nov 11, 2022', 'age': '26', 'clubName': 'UC Sampdoria', 'clubID': '1038', 'value': '€12.00m'}, {'date': 'Jun 15, 2023', 'age': '27', 'clubName': 'UC Sampdoria', 'clubID': '1038', 'value': '€10.00m'}, {'date': 'Oct 27, 2023', 'age': '27', 'clubName': 'Leicester City', 'clubID': '1003', 'value': '€12.00m'}, {'date': 'Dec 21, 2023', 'age': '27', 'clubName': 'Leicester City', 'clubID': '1003', 'value': '€12.00m'}, {'date': 'May 24, 2024', 'age': '28', 'clubName': 'Leicester City', 'clubID': '1003', 'value': '€12.00m'}, {'date': 'Dec 16, 2024', 'age': '28', 'clubName': 'Leicester City', 'clubID': '1003', 'value': '€12.00m'}, {'date': 'Mar 18, 2025', 'age': '29', 'clubName': 'Leicester City', 'clubID': '1003', 'value': '€10.00m'}, {'date': 'May 30, 2025', 'age': '29', 'clubName': 'Leicester City', 'clubID': '1003', 'value': '€9.00m'}, {'date': 'Oct 6, 2025', 'age': '29', 'clubName': 'Leicester City', 'clubID': '1003', 'value': '€8.00m'}, {'date': 'Dec 3, 2025', 'age': '29', 'clubName': 'Leicester City', 'clubID': '1003', 'value': '€7.00m'}, {'date': 'Mar 3, 2026', 'age': '30', 'clubName': 'Leicester City', 'clubID': '1003', 'value': '€5.00m'}]}</t>
  </si>
  <si>
    <t>1996-02-02</t>
  </si>
  <si>
    <t>Bernat</t>
  </si>
  <si>
    <t>{'marketValueHistory': [{'date': '24/08/2011', 'age': '18', 'clubName': 'Valencia Mestalla', 'clubID': '6182', 'value': '€500k'}, {'date': '03/02/2012', 'age': '18', 'clubName': 'Valencia Mestalla', 'clubID': '6182', 'value': '€500k'}, {'date': '07/08/2012', 'age': '19', 'clubName': 'Valencia Mestalla', 'clubID': '6182', 'value': '€1.00m'}, {'date': '11/01/2013', 'age': '19', 'clubName': 'Valencia Mestalla', 'clubID': '6182', 'value': '€1.50m'}, {'date': '05/02/2013', 'age': '19', 'clubName': 'Valencia Mestalla', 'clubID': '6182', 'value': '€3.00m'}, {'date': '12/06/2013', 'age': '20', 'clubName': 'Valencia Mestalla', 'clubID': '6182', 'value': '€2.00m'}, {'date': '25/07/2013', 'age': '20', 'clubName': 'Valencia CF', 'clubID': '1049', 'value': '€3.00m'}, {'date': '23/01/2014', 'age': '20', 'clubName': 'Valencia CF', 'clubID': '1049', 'value': '€4.00m'}, {'date': '10/07/2014', 'age': '21', 'clubName': 'Bayern Munich', 'clubID': '27', 'value': '€8.00m'}, {'date': '21/08/2014', 'age': '21', 'clubName': 'Bayern Munich', 'clubID': '27', 'value': '€10.00m'}, {'date': '04/02/2015', 'age': '21', 'clubName': 'Bayern Munich', 'clubID': '27', 'value': '€15.00m'}, {'date': '01/07/2015', 'age': '22', 'clubName': 'Bayern Munich', 'clubID': '27', 'value': '€20.00m'}, {'date': '15/02/2016', 'age': '22', 'clubName': 'Bayern Munich', 'clubID': '27', 'value': '€18.00m'}, {'date': '22/07/2016', 'age': '23', 'clubName': 'Bayern Munich', 'clubID': '27', 'value': '€18.00m'}, {'date': '07/02/2017', 'age': '23', 'clubName': 'Bayern Munich', 'clubID': '27', 'value': '€16.00m'}, {'date': '19/06/2017', 'age': '24', 'clubName': 'Bayern Munich', 'clubID': '27', 'value': '€16.00m'}, {'date': '28/12/2017', 'age': '24', 'clubName': 'Bayern Munich', 'clubID': '27', 'value': '€12.00m'}, {'date': '05/06/2018', 'age': '25', 'clubName': 'Bayern Munich', 'clubID': '27', 'value': '€12.00m'}, {'date': '24/10/2018', 'age': '25', 'clubName': 'Paris Saint-Germain', 'clubID': '583', 'value': '€10.00m'}, {'date': '17/12/2018', 'age': '25', 'clubName': 'Paris Saint-Germain', 'clubID': '583', 'value': '€12.00m'}, {'date': '07/03/2019', 'age': '26', 'clubName': 'Paris Saint-Germain', 'clubID': '583', 'value': '€15.00m'}, {'date': '03/06/2019', 'age': '26', 'clubName': 'Paris Saint-Germain', 'clubID': '583', 'value': '€15.00m'}, {'date': '19/12/2019', 'age': '26', 'clubName': 'Paris Saint-Germain', 'clubID': '583', 'value': '€20.00m'}, {'date': '08/04/2020', 'age': '27', 'clubName': 'Paris Saint-Germain', 'clubID': '583', 'value': '€16.00m'}, {'date': '15/10/2020', 'age': '27', 'clubName': 'Paris Saint-Germain', 'clubID': '583', 'value': '€16.00m'}, {'date': '04/06/2021', 'age': '28', 'clubName': 'Paris Saint-Germain', 'clubID': '583', 'value': '€16.00m'}, {'date': '08/10/2021', 'age': '28', 'clubName': 'Paris Saint-Germain', 'clubID': '583', 'value': '€13.00m'}, {'date': '16/12/2021', 'age': '28', 'clubName': 'Paris Saint-Germain', 'clubID': '583', 'value': '€12.00m'}, {'date': '30/05/2022', 'age': '29', 'clubName': 'Paris Saint-Germain', 'clubID': '583', 'value': '€12.00m'}, {'date': '02/11/2022', 'age': '29', 'clubName': 'Paris Saint-Germain', 'clubID': '583', 'value': '€12.00m'}, {'date': '27/06/2023', 'age': '30', 'clubName': 'Paris Saint-Germain', 'clubID': '583', 'value': '€10.00m'}, {'date': '27/12/2023', 'age': '30', 'clubName': 'SL Benfica', 'clubID': '294', 'value': '€6.00m'}, {'date': '08/03/2024', 'age': '31', 'clubName': 'SL Benfica', 'clubID': '294', 'value': '€5.00m'}, {'date': '06/06/2024', 'age': '31', 'clubName': 'SL Benfica', 'clubID': '294', 'value': '€4.00m'}, {'date': '27/12/2024', 'age': '31', 'clubName': 'Villarreal CF', 'clubID': '1050', 'value': '€2.50m'}, {'date': '09/06/2025', 'age': '32', 'clubName': 'Getafe CF', 'clubID': '3709', 'value': '€2.00m'}, {'date': '21/10/2025', 'age': '32', 'clubName': 'Without Club', 'clubID': '515', 'value': '€1.50m'}, {'date': '18/03/2026', 'age': '33', 'clubName': 'SD Eibar', 'clubID': '1533', 'value': '€500k'}]}</t>
  </si>
  <si>
    <t>1993-03-01</t>
  </si>
  <si>
    <t>Lopes</t>
  </si>
  <si>
    <t>{'marketValueHistory': [{'date': 'Apr 6, 2022', 'age': '18', 'clubName': 'São Paulo FC U20', 'clubID': '14708', 'value': '€1.50m'}, {'date': 'Aug 19, 2022', 'age': '18', 'clubName': 'São Paulo Futebol Clube', 'clubID': '585', 'value': '€1.50m'}, {'date': 'Nov 14, 2022', 'age': '18', 'clubName': 'São Paulo Futebol Clube', 'clubID': '585', 'value': '€1.50m'}, {'date': 'Apr 7, 2023', 'age': '19', 'clubName': 'São Paulo Futebol Clube', 'clubID': '585', 'value': '€2.50m'}, {'date': 'Jul 25, 2023', 'age': '19', 'clubName': 'São Paulo Futebol Clube', 'clubID': '585', 'value': '€6.00m'}, {'date': 'Dec 11, 2023', 'age': '20', 'clubName': 'São Paulo Futebol Clube', 'clubID': '585', 'value': '€15.00m'}, {'date': 'Mar 19, 2024', 'age': '20', 'clubName': 'Paris Saint-Germain', 'clubID': '583', 'value': '€20.00m'}, {'date': 'Jun 3, 2024', 'age': '20', 'clubName': 'Paris Saint-Germain', 'clubID': '583', 'value': '€30.00m'}, {'date': 'Dec 10, 2024', 'age': '21', 'clubName': 'Paris Saint-Germain', 'clubID': '583', 'value': '€30.00m'}, {'date': 'Mar 24, 2025', 'age': '21', 'clubName': 'Paris Saint-Germain', 'clubID': '583', 'value': '€25.00m'}, {'date': 'Jun 3, 2025', 'age': '21', 'clubName': 'Paris Saint-Germain', 'clubID': '583', 'value': '€25.00m'}, {'date': 'Dec 15, 2025', 'age': '22', 'clubName': 'Paris Saint-Germain', 'clubID': '583', 'value': '€20.00m'}]}</t>
  </si>
  <si>
    <t>2003-11-24</t>
  </si>
  <si>
    <t>Di Maria</t>
  </si>
  <si>
    <t>{'marketValueHistory': [{'date': '28/07/2007', 'age': '19', 'clubName': 'SL Benfica', 'clubID': '294', 'value': '€4.00m'}, {'date': '18/02/2008', 'age': '20', 'clubName': 'SL Benfica', 'clubID': '294', 'value': '€4.50m'}, {'date': '18/09/2008', 'age': '20', 'clubName': 'SL Benfica', 'clubID': '294', 'value': '€7.00m'}, {'date': '01/02/2009', 'age': '20', 'clubName': 'SL Benfica', 'clubID': '294', 'value': '€7.50m'}, {'date': '02/07/2009', 'age': '21', 'clubName': 'SL Benfica', 'clubID': '294', 'value': '€7.80m'}, {'date': '03/02/2010', 'age': '21', 'clubName': 'SL Benfica', 'clubID': '294', 'value': '€9.50m'}, {'date': '13/07/2010', 'age': '22', 'clubName': 'Real Madrid', 'clubID': '418', 'value': '€15.50m'}, {'date': '27/08/2010', 'age': '22', 'clubName': 'Real Madrid', 'clubID': '418', 'value': '€20.00m'}, {'date': '10/12/2010', 'age': '22', 'clubName': 'Real Madrid', 'clubID': '418', 'value': '€25.00m'}, {'date': '04/02/2011', 'age': '22', 'clubName': 'Real Madrid', 'clubID': '418', 'value': '€25.00m'}, {'date': '29/07/2011', 'age': '23', 'clubName': 'Real Madrid', 'clubID': '418', 'value': '€25.00m'}, {'date': '03/02/2012', 'age': '23', 'clubName': 'Real Madrid', 'clubID': '418', 'value': '€30.00m'}, {'date': '07/08/2012', 'age': '24', 'clubName': 'Real Madrid', 'clubID': '418', 'value': '€40.00m'}, {'date': '10/01/2013', 'age': '24', 'clubName': 'Real Madrid', 'clubID': '418', 'value': '€40.00m'}, {'date': '12/06/2013', 'age': '25', 'clubName': 'Real Madrid', 'clubID': '418', 'value': '€34.00m'}, {'date': '23/01/2014', 'age': '25', 'clubName': 'Real Madrid', 'clubID': '418', 'value': '€30.00m'}, {'date': '20/07/2014', 'age': '26', 'clubName': 'Real Madrid', 'clubID': '418', 'value': '€50.00m'}, {'date': '05/10/2014', 'age': '26', 'clubName': 'Manchester United', 'clubID': '985', 'value': '€65.00m'}, {'date': '12/02/2015', 'age': '26', 'clubName': 'Manchester United', 'clubID': '985', 'value': '€65.00m'}, {'date': '01/07/2015', 'age': '27', 'clubName': 'Manchester United', 'clubID': '985', 'value': '€50.00m'}, {'date': '04/02/2016', 'age': '27', 'clubName': 'Paris Saint-Germain', 'clubID': '583', 'value': '€60.00m'}, {'date': '13/07/2016', 'age': '28', 'clubName': 'Paris Saint-Germain', 'clubID': '583', 'value': '€60.00m'}, {'date': '01/11/2016', 'age': '28', 'clubName': 'Paris Saint-Germain', 'clubID': '583', 'value': '€55.00m'}, {'date': '16/01/2017', 'age': '28', 'clubName': 'Paris Saint-Germain', 'clubID': '583', 'value': '€50.00m'}, {'date': '01/06/2017', 'age': '29', 'clubName': 'Paris Saint-Germain', 'clubID': '583', 'value': '€40.00m'}, {'date': '24/01/2018', 'age': '29', 'clubName': 'Paris Saint-Germain', 'clubID': '583', 'value': '€40.00m'}, {'date': '04/06/2018', 'age': '30', 'clubName': 'Paris Saint-Germain', 'clubID': '583', 'value': '€40.00m'}, {'date': '24/10/2018', 'age': '30', 'clubName': 'Paris Saint-Germain', 'clubID': '583', 'value': '€45.00m'}, {'date': '17/12/2018', 'age': '30', 'clubName': 'Paris Saint-Germain', 'clubID': '583', 'value': '€45.00m'}, {'date': '03/06/2019', 'age': '31', 'clubName': 'Paris Saint-Germain', 'clubID': '583', 'value': '€40.00m'}, {'date': '19/12/2019', 'age': '31', 'clubName': 'Paris Saint-Germain', 'clubID': '583', 'value': '€40.00m'}, {'date': '08/04/2020', 'age': '32', 'clubName': 'Paris Saint-Germain', 'clubID': '583', 'value': '€32.00m'}, {'date': '15/10/2020', 'age': '32', 'clubName': 'Paris Saint-Germain', 'clubID': '583', 'value': '€32.00m'}, {'date': '07/01/2021', 'age': '32', 'clubName': 'Paris Saint-Germain', 'clubID': '583', 'value': '€28.00m'}, {'date': '09/04/2021', 'age': '33', 'clubName': 'Paris Saint-Germain', 'clubID': '583', 'value': '€24.00m'}, {'date': '04/06/2021', 'age': '33', 'clubName': 'Paris Saint-Germain', 'clubID': '583', 'value': '€20.00m'}, {'date': '16/12/2021', 'age': '33', 'clubName': 'Paris Saint-Germain', 'clubID': '583', 'value': '€15.00m'}, {'date': '30/05/2022', 'age': '34', 'clubName': 'Paris Saint-Germain', 'clubID': '583', 'value': '€12.00m'}, {'date': '11/11/2022', 'age': '34', 'clubName': 'Juventus FC', 'clubID': '506', 'value': '€10.00m'}, {'date': '15/06/2023', 'age': '35', 'clubName': 'Juventus FC', 'clubID': '506', 'value': '€8.00m'}, {'date': '27/12/2023', 'age': '35', 'clubName': 'SL Benfica', 'clubID': '294', 'value': '€5.00m'}, {'date': '08/03/2024', 'age': '36', 'clubName': 'SL Benfica', 'clubID': '294', 'value': '€4.00m'}, {'date': '06/06/2024', 'age': '36', 'clubName': 'SL Benfica', 'clubID': '294', 'value': '€3.00m'}, {'date': '19/12/2024', 'age': '36', 'clubName': 'SL Benfica', 'clubID': '294', 'value': '€3.00m'}, {'date': '30/05/2025', 'age': '37', 'clubName': 'SL Benfica', 'clubID': '294', 'value': '€2.00m'}, {'date': '17/12/2025', 'age': '37', 'clubName': 'CA Rosario Central', 'clubID': '1418', 'value': '€2.00m'}]}</t>
  </si>
  <si>
    <t>1988-02-14</t>
  </si>
  <si>
    <t>Kolarov</t>
  </si>
  <si>
    <t>Roma</t>
  </si>
  <si>
    <t>{'marketValueHistory': [{'date': 'Feb 27, 2007', 'age': '21', 'clubName': 'OFK Beograd', 'clubID': '53', 'value': '€1.00m'}, {'date': 'Feb 9, 2008', 'age': '22', 'clubName': 'SS Lazio', 'clubID': '398', 'value': '€3.00m'}, {'date': 'Jul 3, 2008', 'age': '22', 'clubName': 'SS Lazio', 'clubID': '398', 'value': '€3.50m'}, {'date': 'Feb 3, 2009', 'age': '23', 'clubName': 'SS Lazio', 'clubID': '398', 'value': '€2.60m'}, {'date': 'Aug 6, 2009', 'age': '23', 'clubName': 'SS Lazio', 'clubID': '398', 'value': '€5.00m'}, {'date': 'Jan 27, 2010', 'age': '24', 'clubName': 'SS Lazio', 'clubID': '398', 'value': '€9.00m'}, {'date': 'Aug 13, 2010', 'age': '24', 'clubName': 'Manchester City', 'clubID': '281', 'value': '€15.00m'}, {'date': 'Feb 1, 2011', 'age': '25', 'clubName': 'Manchester City', 'clubID': '281', 'value': '€15.00m'}, {'date': 'Aug 8, 2011', 'age': '25', 'clubName': 'Manchester City', 'clubID': '281', 'value': '€15.00m'}, {'date': 'Feb 6, 2012', 'age': '26', 'clubName': 'Manchester City', 'clubID': '281', 'value': '€17.00m'}, {'date': 'Jun 24, 2012', 'age': '26', 'clubName': 'Manchester City', 'clubID': '281', 'value': '€14.00m'}, {'date': 'Jan 28, 2013', 'age': '27', 'clubName': 'Manchester City', 'clubID': '281', 'value': '€12.50m'}, {'date': 'Jul 2, 2013', 'age': '27', 'clubName': 'Manchester City', 'clubID': '281', 'value': '€11.00m'}, {'date': 'Jan 15, 2014', 'age': '28', 'clubName': 'Manchester City', 'clubID': '281', 'value': '€12.00m'}, {'date': 'Aug 12, 2014', 'age': '28', 'clubName': 'Manchester City', 'clubID': '281', 'value': '€12.00m'}, {'date': 'Feb 12, 2015', 'age': '29', 'clubName': 'Manchester City', 'clubID': '281', 'value': '€11.00m'}, {'date': 'Jul 1, 2015', 'age': '29', 'clubName': 'Manchester City', 'clubID': '281', 'value': '€11.00m'}, {'date': 'Feb 9, 2016', 'age': '30', 'clubName': 'Manchester City', 'clubID': '281', 'value': '€11.00m'}, {'date': 'Aug 1, 2016', 'age': '30', 'clubName': 'Manchester City', 'clubID': '281', 'value': '€11.00m'}, {'date': 'Feb 20, 2017', 'age': '31', 'clubName': 'Manchester City', 'clubID': '281', 'value': '€11.00m'}, {'date': 'Jun 28, 2017', 'age': '31', 'clubName': 'Manchester City', 'clubID': '281', 'value': '€10.00m'}, {'date': 'Dec 29, 2017', 'age': '32', 'clubName': 'AS Roma', 'clubID': '12', 'value': '€10.00m'}, {'date': 'Jun 7, 2018', 'age': '32', 'clubName': 'AS Roma', 'clubID': '12', 'value': '€12.00m'}, {'date': 'Dec 20, 2018', 'age': '33', 'clubName': 'AS Roma', 'clubID': '12', 'value': '€12.00m'}, {'date': 'Jun 6, 2019', 'age': '33', 'clubName': 'AS Roma', 'clubID': '12', 'value': '€8.00m'}, {'date': 'Dec 12, 2019', 'age': '34', 'clubName': 'AS Roma', 'clubID': '12', 'value': '€8.00m'}, {'date': 'Apr 8, 2020', 'age': '34', 'clubName': 'AS Roma', 'clubID': '12', 'value': '€6.50m'}, {'date': 'Aug 25, 2020', 'age': '34', 'clubName': 'AS Roma', 'clubID': '12', 'value': '€5.00m'}, {'date': 'Dec 29, 2020', 'age': '35', 'clubName': 'Inter Milan', 'clubID': '46', 'value': '€2.50m'}, {'date': 'Jun 3, 2021', 'age': '35', 'clubName': 'Inter Milan', 'clubID': '46', 'value': '€1.50m'}, {'date': 'Dec 28, 2021', 'age': '36', 'clubName': 'Inter Milan', 'clubID': '46', 'value': '€1.00m'}, {'date': 'Jun 7, 2022', 'age': '36', 'clubName': 'Inter Milan', 'clubID': '46', 'value': '€500k'}, {'date': 'Jul 1, 2022', 'age': '36', 'clubName': 'Retired', 'clubID': '123', 'value': '-'}]}</t>
  </si>
  <si>
    <t>1985-11-10</t>
  </si>
  <si>
    <t>Manolas</t>
  </si>
  <si>
    <t>{'marketValueHistory': [{'date': '08/03/2009', 'age': '17', 'clubName': 'Thrasyvoulos Fylis', 'clubID': '6678', 'value': '€100k'}, {'date': '04/07/2009', 'age': '18', 'clubName': 'AEK Athens', 'clubID': '2441', 'value': '€250k'}, {'date': '26/10/2009', 'age': '18', 'clubName': 'AEK Athens', 'clubID': '2441', 'value': '€350k'}, {'date': '18/02/2010', 'age': '18', 'clubName': 'AEK Athens', 'clubID': '2441', 'value': '€250k'}, {'date': '05/10/2010', 'age': '19', 'clubName': 'AEK Athens', 'clubID': '2441', 'value': '€1.00m'}, {'date': '28/02/2011', 'age': '19', 'clubName': 'AEK Athens', 'clubID': '2441', 'value': '€1.80m'}, {'date': '11/07/2011', 'age': '20', 'clubName': 'AEK Athens', 'clubID': '2441', 'value': '€2.00m'}, {'date': '21/11/2011', 'age': '20', 'clubName': 'AEK Athens', 'clubID': '2441', 'value': '€2.00m'}, {'date': '26/02/2012', 'age': '20', 'clubName': 'AEK Athens', 'clubID': '2441', 'value': '€2.00m'}, {'date': '21/09/2012', 'age': '21', 'clubName': 'Olympiacos Piraeus', 'clubID': '683', 'value': '€2.00m'}, {'date': '10/02/2013', 'age': '21', 'clubName': 'Olympiacos Piraeus', 'clubID': '683', 'value': '€2.75m'}, {'date': '02/12/2013', 'age': '22', 'clubName': 'Olympiacos Piraeus', 'clubID': '683', 'value': '€3.80m'}, {'date': '28/03/2014', 'age': '22', 'clubName': 'Olympiacos Piraeus', 'clubID': '683', 'value': '€6.00m'}, {'date': '11/09/2014', 'age': '23', 'clubName': 'AS Roma', 'clubID': '12', 'value': '€11.00m'}, {'date': '08/11/2014', 'age': '23', 'clubName': 'AS Roma', 'clubID': '12', 'value': '€13.00m'}, {'date': '07/01/2015', 'age': '23', 'clubName': 'AS Roma', 'clubID': '12', 'value': '€15.00m'}, {'date': '01/07/2015', 'age': '24', 'clubName': 'AS Roma', 'clubID': '12', 'value': '€17.00m'}, {'date': '05/11/2015', 'age': '24', 'clubName': 'AS Roma', 'clubID': '12', 'value': '€20.00m'}, {'date': '04/01/2016', 'age': '24', 'clubName': 'AS Roma', 'clubID': '12', 'value': '€20.00m'}, {'date': '01/04/2016', 'age': '24', 'clubName': 'AS Roma', 'clubID': '12', 'value': '€24.00m'}, {'date': '15/07/2016', 'age': '25', 'clubName': 'AS Roma', 'clubID': '12', 'value': '€25.00m'}, {'date': '02/01/2017', 'age': '25', 'clubName': 'AS Roma', 'clubID': '12', 'value': '€28.00m'}, {'date': '08/06/2017', 'age': '25', 'clubName': 'AS Roma', 'clubID': '12', 'value': '€30.00m'}, {'date': '29/12/2017', 'age': '26', 'clubName': 'AS Roma', 'clubID': '12', 'value': '€35.00m'}, {'date': '07/06/2018', 'age': '26', 'clubName': 'AS Roma', 'clubID': '12', 'value': '€40.00m'}, {'date': '20/12/2018', 'age': '27', 'clubName': 'AS Roma', 'clubID': '12', 'value': '€45.00m'}, {'date': '06/06/2019', 'age': '27', 'clubName': 'AS Roma', 'clubID': '12', 'value': '€45.00m'}, {'date': '12/12/2019', 'age': '28', 'clubName': 'SSC Napoli', 'clubID': '6195', 'value': '€40.00m'}, {'date': '08/04/2020', 'age': '28', 'clubName': 'SSC Napoli', 'clubID': '6195', 'value': '€32.00m'}, {'date': '25/08/2020', 'age': '29', 'clubName': 'SSC Napoli', 'clubID': '6195', 'value': '€32.00m'}, {'date': '29/12/2020', 'age': '29', 'clubName': 'SSC Napoli', 'clubID': '6195', 'value': '€32.00m'}, {'date': '23/03/2021', 'age': '29', 'clubName': 'SSC Napoli', 'clubID': '6195', 'value': '€28.00m'}, {'date': '03/06/2021', 'age': '29', 'clubName': 'SSC Napoli', 'clubID': '6195', 'value': '€23.00m'}, {'date': '14/10/2021', 'age': '30', 'clubName': 'SSC Napoli', 'clubID': '6195', 'value': '€15.00m'}, {'date': '28/12/2021', 'age': '30', 'clubName': 'SSC Napoli', 'clubID': '6195', 'value': '€5.00m'}, {'date': '09/06/2022', 'age': '30', 'clubName': 'Olympiacos Piraeus', 'clubID': '683', 'value': '€4.50m'}, {'date': '15/12/2022', 'age': '31', 'clubName': 'Sharjah FC', 'clubID': '13613', 'value': '€3.50m'}, {'date': '31/05/2023', 'age': '31', 'clubName': 'Sharjah FC', 'clubID': '13613', 'value': '€3.00m'}, {'date': '12/10/2023', 'age': '32', 'clubName': 'Sharjah FC', 'clubID': '13613', 'value': '€2.50m'}, {'date': '12/03/2024', 'age': '32', 'clubName': 'US Salernitana 1919', 'clubID': '380', 'value': '€1.50m'}, {'date': '05/06/2024', 'age': '32', 'clubName': 'US Salernitana 1919', 'clubID': '380', 'value': '€1.00m'}, {'date': '16/10/2024', 'age': '33', 'clubName': 'Pannaxiakos', 'clubID': '33569', 'value': '-'}]}</t>
  </si>
  <si>
    <t>Greece</t>
  </si>
  <si>
    <t>1991-06-14</t>
  </si>
  <si>
    <t>Kimpembe</t>
  </si>
  <si>
    <t>{'marketValueHistory': [{'date': 'Jul 2, 2015', 'age': '19', 'clubName': 'Paris Saint-Germain', 'clubID': '583', 'value': '€150k'}, {'date': 'Sep 6, 2015', 'age': '20', 'clubName': 'Paris Saint-Germain', 'clubID': '583', 'value': '€250k'}, {'date': 'Feb 4, 2016', 'age': '20', 'clubName': 'Paris Saint-Germain', 'clubID': '583', 'value': '€1.50m'}, {'date': 'Jul 13, 2016', 'age': '20', 'clubName': 'Paris Saint-Germain', 'clubID': '583', 'value': '€2.00m'}, {'date': 'Nov 1, 2016', 'age': '21', 'clubName': 'Paris Saint-Germain', 'clubID': '583', 'value': '€8.00m'}, {'date': 'Jan 16, 2017', 'age': '21', 'clubName': 'Paris Saint-Germain', 'clubID': '583', 'value': '€8.00m'}, {'date': 'Jun 1, 2017', 'age': '21', 'clubName': 'Paris Saint-Germain', 'clubID': '583', 'value': '€8.00m'}, {'date': 'Jan 24, 2018', 'age': '22', 'clubName': 'Paris Saint-Germain', 'clubID': '583', 'value': '€18.00m'}, {'date': 'Jun 4, 2018', 'age': '22', 'clubName': 'Paris Saint-Germain', 'clubID': '583', 'value': '€30.00m'}, {'date': 'Dec 17, 2018', 'age': '23', 'clubName': 'Paris Saint-Germain', 'clubID': '583', 'value': '€30.00m'}, {'date': 'Jun 3, 2019', 'age': '23', 'clubName': 'Paris Saint-Germain', 'clubID': '583', 'value': '€30.00m'}, {'date': 'Dec 19, 2019', 'age': '24', 'clubName': 'Paris Saint-Germain', 'clubID': '583', 'value': '€35.00m'}, {'date': 'Apr 8, 2020', 'age': '24', 'clubName': 'Paris Saint-Germain', 'clubID': '583', 'value': '€28.00m'}, {'date': 'Oct 15, 2020', 'age': '25', 'clubName': 'Paris Saint-Germain', 'clubID': '583', 'value': '€35.00m'}, {'date': 'Jan 7, 2021', 'age': '25', 'clubName': 'Paris Saint-Germain', 'clubID': '583', 'value': '€40.00m'}, {'date': 'Jun 1, 2021', 'age': '25', 'clubName': 'Paris Saint-Germain', 'clubID': '583', 'value': '€40.00m'}, {'date': 'Dec 16, 2021', 'age': '26', 'clubName': 'Paris Saint-Germain', 'clubID': '583', 'value': '€40.00m'}, {'date': 'May 30, 2022', 'age': '26', 'clubName': 'Paris Saint-Germain', 'clubID': '583', 'value': '€40.00m'}, {'date': 'Nov 2, 2022', 'age': '27', 'clubName': 'Paris Saint-Germain', 'clubID': '583', 'value': '€40.00m'}, {'date': 'Mar 27, 2023', 'age': '27', 'clubName': 'Paris Saint-Germain', 'clubID': '583', 'value': '€35.00m'}, {'date': 'Jun 27, 2023', 'age': '27', 'clubName': 'Paris Saint-Germain', 'clubID': '583', 'value': '€28.00m'}, {'date': 'Oct 16, 2023', 'age': '28', 'clubName': 'Paris Saint-Germain', 'clubID': '583', 'value': '€22.00m'}, {'date': 'Dec 18, 2023', 'age': '28', 'clubName': 'Paris Saint-Germain', 'clubID': '583', 'value': '€20.00m'}, {'date': 'Mar 19, 2024', 'age': '28', 'clubName': 'Paris Saint-Germain', 'clubID': '583', 'value': '€15.00m'}, {'date': 'Jun 3, 2024', 'age': '28', 'clubName': 'Paris Saint-Germain', 'clubID': '583', 'value': '€12.00m'}, {'date': 'Oct 7, 2024', 'age': '29', 'clubName': 'Paris Saint-Germain', 'clubID': '583', 'value': '€9.00m'}, {'date': 'Dec 10, 2024', 'age': '29', 'clubName': 'Paris Saint-Germain', 'clubID': '583', 'value': '€8.00m'}, {'date': 'Jun 3, 2025', 'age': '29', 'clubName': 'Paris Saint-Germain', 'clubID': '583', 'value': '€5.00m'}, {'date': 'Dec 30, 2025', 'age': '30', 'clubName': 'Qatar SC', 'clubID': '965', 'value': '€4.00m'}]}</t>
  </si>
  <si>
    <t>1995-08-13</t>
  </si>
  <si>
    <t>Kroos</t>
  </si>
  <si>
    <t>Real Madrid</t>
  </si>
  <si>
    <t>{'marketValueHistory': [{'date': '21/06/2007', 'age': '17', 'clubName': 'FC Bayern Munich U19 ', 'clubID': '27', 'value': '€100k'}, {'date': '01/10/2007', 'age': '17', 'clubName': 'Bayern Munich', 'clubID': '27', 'value': '€1.00m'}, {'date': '01/01/2008', 'age': '17', 'clubName': 'Bayern Munich', 'clubID': '27', 'value': '€3.00m'}, {'date': '27/08/2008', 'age': '18', 'clubName': 'Bayern Munich', 'clubID': '27', 'value': '€5.00m'}, {'date': '17/01/2010', 'age': '20', 'clubName': 'Bayer 04 Leverkusen', 'clubID': '15', 'value': '€8.00m'}, {'date': '07/03/2010', 'age': '20', 'clubName': 'Bayer 04 Leverkusen', 'clubID': '15', 'value': '€10.00m'}, {'date': '08/05/2010', 'age': '20', 'clubName': 'Bayer 04 Leverkusen', 'clubID': '15', 'value': '€12.00m'}, {'date': '12/01/2011', 'age': '21', 'clubName': 'Bayern Munich', 'clubID': '27', 'value': '€12.00m'}, {'date': '29/06/2011', 'age': '21', 'clubName': 'Bayern Munich', 'clubID': '27', 'value': '€12.00m'}, {'date': '18/10/2011', 'age': '21', 'clubName': 'Bayern Munich', 'clubID': '27', 'value': '€16.00m'}, {'date': '23/01/2012', 'age': '22', 'clubName': 'Bayern Munich', 'clubID': '27', 'value': '€23.00m'}, {'date': '29/06/2012', 'age': '22', 'clubName': 'Bayern Munich', 'clubID': '27', 'value': '€23.00m'}, {'date': '13/01/2013', 'age': '23', 'clubName': 'Bayern Munich', 'clubID': '27', 'value': '€32.00m'}, {'date': '30/06/2013', 'age': '23', 'clubName': 'Bayern Munich', 'clubID': '27', 'value': '€32.00m'}, {'date': '12/02/2014', 'age': '24', 'clubName': 'Bayern Munich', 'clubID': '27', 'value': '€40.00m'}, {'date': '10/07/2014', 'age': '24', 'clubName': 'Bayern Munich', 'clubID': '27', 'value': '€42.00m'}, {'date': '20/07/2014', 'age': '24', 'clubName': 'Real Madrid', 'clubID': '418', 'value': '€45.00m'}, {'date': '23/01/2015', 'age': '25', 'clubName': 'Real Madrid', 'clubID': '418', 'value': '€50.00m'}, {'date': '01/07/2015', 'age': '25', 'clubName': 'Real Madrid', 'clubID': '418', 'value': '€50.00m'}, {'date': '22/02/2016', 'age': '26', 'clubName': 'Real Madrid', 'clubID': '418', 'value': '€50.00m'}, {'date': '01/06/2016', 'age': '26', 'clubName': 'Real Madrid', 'clubID': '418', 'value': '€50.00m'}, {'date': '15/07/2016', 'age': '26', 'clubName': 'Real Madrid', 'clubID': '418', 'value': '€55.00m'}, {'date': '27/10/2016', 'age': '26', 'clubName': 'Real Madrid', 'clubID': '418', 'value': '€60.00m'}, {'date': '24/01/2017', 'age': '27', 'clubName': 'Real Madrid', 'clubID': '418', 'value': '€60.00m'}, {'date': '05/06/2017', 'age': '27', 'clubName': 'Real Madrid', 'clubID': '418', 'value': '€70.00m'}, {'date': '01/01/2018', 'age': '27', 'clubName': 'Real Madrid', 'clubID': '418', 'value': '€80.00m'}, {'date': '30/05/2018', 'age': '28', 'clubName': 'Real Madrid', 'clubID': '418', 'value': '€80.00m'}, {'date': '21/12/2018', 'age': '28', 'clubName': 'Real Madrid', 'clubID': '418', 'value': '€80.00m'}, {'date': '11/06/2019', 'age': '29', 'clubName': 'Real Madrid', 'clubID': '418', 'value': '€60.00m'}, {'date': '20/12/2019', 'age': '29', 'clubName': 'Real Madrid', 'clubID': '418', 'value': '€60.00m'}, {'date': '08/04/2020', 'age': '30', 'clubName': 'Real Madrid', 'clubID': '418', 'value': '€48.00m'}, {'date': '08/10/2020', 'age': '30', 'clubName': 'Real Madrid', 'clubID': '418', 'value': '€50.00m'}, {'date': '05/01/2021', 'age': '31', 'clubName': 'Real Madrid', 'clubID': '418', 'value': '€50.00m'}, {'date': '01/06/2021', 'age': '31', 'clubName': 'Real Madrid', 'clubID': '418', 'value': '€40.00m'}, {'date': '13/10/2021', 'age': '31', 'clubName': 'Real Madrid', 'clubID': '418', 'value': '€30.00m'}, {'date': '30/12/2021', 'age': '31', 'clubName': 'Real Madrid', 'clubID': '418', 'value': '€25.00m'}, {'date': '03/06/2022', 'age': '32', 'clubName': 'Real Madrid', 'clubID': '418', 'value': '€20.00m'}, {'date': '07/11/2022', 'age': '32', 'clubName': 'Real Madrid', 'clubID': '418', 'value': '€20.00m'}, {'date': '23/03/2023', 'age': '33', 'clubName': 'Real Madrid', 'clubID': '418', 'value': '€18.00m'}, {'date': '13/06/2023', 'age': '33', 'clubName': 'Real Madrid', 'clubID': '418', 'value': '€15.00m'}, {'date': '22/12/2023', 'age': '33', 'clubName': 'Real Madrid', 'clubID': '418', 'value': '€14.00m'}, {'date': '21/03/2024', 'age': '34', 'clubName': 'Real Madrid', 'clubID': '418', 'value': '€12.00m'}, {'date': '07/06/2024', 'age': '34', 'clubName': 'Real Madrid', 'clubID': '418', 'value': '€10.00m'}, {'date': '07/07/2024', 'age': '34', 'clubName': 'Retired', 'clubID': '123', 'value': '-'}]}</t>
  </si>
  <si>
    <t>1990-01-04</t>
  </si>
  <si>
    <t>Fernandinho</t>
  </si>
  <si>
    <t>{'marketValueHistory': [{'date': 'Oct 19, 2004', 'age': '19', 'clubName': 'Atlético Paranaense', 'clubID': '679', 'value': '€500k'}, {'date': 'Jul 15, 2005', 'age': '20', 'clubName': 'Atlético Paranaense', 'clubID': '679', 'value': '€4.00m'}, {'date': 'Oct 7, 2007', 'age': '22', 'clubName': 'Shakhtar Donetsk', 'clubID': '660', 'value': '€7.50m'}, {'date': 'Mar 12, 2008', 'age': '22', 'clubName': 'Shakhtar Donetsk', 'clubID': '660', 'value': '€9.50m'}, {'date': 'Sep 13, 2008', 'age': '23', 'clubName': 'Shakhtar Donetsk', 'clubID': '660', 'value': '€13.50m'}, {'date': 'Dec 14, 2008', 'age': '23', 'clubName': 'Shakhtar Donetsk', 'clubID': '660', 'value': '€10.00m'}, {'date': 'Feb 4, 2009', 'age': '23', 'clubName': 'Shakhtar Donetsk', 'clubID': '660', 'value': '€10.00m'}, {'date': 'May 25, 2009', 'age': '24', 'clubName': 'Shakhtar Donetsk', 'clubID': '660', 'value': '€13.00m'}, {'date': 'Sep 23, 2009', 'age': '24', 'clubName': 'Shakhtar Donetsk', 'clubID': '660', 'value': '€12.00m'}, {'date': 'Feb 16, 2010', 'age': '24', 'clubName': 'Shakhtar Donetsk', 'clubID': '660', 'value': '€12.00m'}, {'date': 'Aug 28, 2010', 'age': '25', 'clubName': 'Shakhtar Donetsk', 'clubID': '660', 'value': '€12.00m'}, {'date': 'Jan 2, 2011', 'age': '25', 'clubName': 'Shakhtar Donetsk', 'clubID': '660', 'value': '€11.00m'}, {'date': 'Jan 5, 2012', 'age': '26', 'clubName': 'Shakhtar Donetsk', 'clubID': '660', 'value': '€12.00m'}, {'date': 'Nov 21, 2012', 'age': '27', 'clubName': 'Shakhtar Donetsk', 'clubID': '660', 'value': '€14.00m'}, {'date': 'Jun 17, 2013', 'age': '28', 'clubName': 'Shakhtar Donetsk', 'clubID': '660', 'value': '€32.00m'}, {'date': 'Jan 15, 2014', 'age': '28', 'clubName': 'Manchester City', 'clubID': '281', 'value': '€32.00m'}, {'date': 'Aug 12, 2014', 'age': '29', 'clubName': 'Manchester City', 'clubID': '281', 'value': '€32.00m'}, {'date': 'Feb 12, 2015', 'age': '29', 'clubName': 'Manchester City', 'clubID': '281', 'value': '€28.00m'}, {'date': 'Jul 1, 2015', 'age': '30', 'clubName': 'Manchester City', 'clubID': '281', 'value': '€28.00m'}, {'date': 'Feb 9, 2016', 'age': '30', 'clubName': 'Manchester City', 'clubID': '281', 'value': '€28.00m'}, {'date': 'Aug 1, 2016', 'age': '31', 'clubName': 'Manchester City', 'clubID': '281', 'value': '€28.00m'}, {'date': 'Feb 20, 2017', 'age': '31', 'clubName': 'Manchester City', 'clubID': '281', 'value': '€25.00m'}, {'date': 'Jun 28, 2017', 'age': '32', 'clubName': 'Manchester City', 'clubID': '281', 'value': '€18.00m'}, {'date': 'Jan 2, 2018', 'age': '32', 'clubName': 'Manchester City', 'clubID': '281', 'value': '€15.00m'}, {'date': 'May 28, 2018', 'age': '33', 'clubName': 'Manchester City', 'clubID': '281', 'value': '€15.00m'}, {'date': 'Dec 19, 2018', 'age': '33', 'clubName': 'Manchester City', 'clubID': '281', 'value': '€15.00m'}, {'date': 'Jun 13, 2019', 'age': '34', 'clubName': 'Manchester City', 'clubID': '281', 'value': '€12.00m'}, {'date': 'Dec 10, 2019', 'age': '34', 'clubName': 'Manchester City', 'clubID': '281', 'value': '€10.00m'}, {'date': 'Apr 8, 2020', 'age': '34', 'clubName': 'Manchester City', 'clubID': '281', 'value': '€8.00m'}, {'date': 'Oct 13, 2020', 'age': '35', 'clubName': 'Manchester City', 'clubID': '281', 'value': '€4.00m'}, {'date': 'Mar 18, 2021', 'age': '35', 'clubName': 'Manchester City', 'clubID': '281', 'value': '€2.50m'}, {'date': 'Jun 8, 2021', 'age': '36', 'clubName': 'Manchester City', 'clubID': '281', 'value': '€2.00m'}, {'date': 'Dec 23, 2021', 'age': '36', 'clubName': 'Manchester City', 'clubID': '281', 'value': '€2.00m'}, {'date': 'Jun 15, 2022', 'age': '37', 'clubName': 'Manchester City', 'clubID': '281', 'value': '€1.50m'}, {'date': 'Aug 19, 2022', 'age': '37', 'clubName': 'Club Athletico Paranaense', 'clubID': '679', 'value': '€1.50m'}, {'date': 'Nov 14, 2022', 'age': '37', 'clubName': 'Club Athletico Paranaense', 'clubID': '679', 'value': '€1.00m'}, {'date': 'Apr 7, 2023', 'age': '37', 'clubName': 'Club Athletico Paranaense', 'clubID': '679', 'value': '€800k'}, {'date': 'Jul 25, 2023', 'age': '38', 'clubName': 'Club Athletico Paranaense', 'clubID': '679', 'value': '€600k'}, {'date': 'Dec 11, 2023', 'age': '38', 'clubName': 'Club Athletico Paranaense', 'clubID': '679', 'value': '€500k'}, {'date': 'Mar 28, 2024', 'age': '38', 'clubName': 'Club Athletico Paranaense', 'clubID': '679', 'value': '€450k'}, {'date': 'Jun 17, 2024', 'age': '39', 'clubName': 'Club Athletico Paranaense', 'clubID': '679', 'value': '€400k'}, {'date': 'Dec 9, 2024', 'age': '39', 'clubName': 'Club Athletico Paranaense', 'clubID': '679', 'value': '€300k'}, {'date': 'Apr 4, 2025', 'age': '39', 'clubName': 'Without Club', 'clubID': '515', 'value': '€250k'}, {'date': 'Nov 20, 2025', 'age': '40', 'clubName': 'Retired', 'clubID': '123', 'value': '-'}]}</t>
  </si>
  <si>
    <t>1985-05-04</t>
  </si>
  <si>
    <t>Ndombele</t>
  </si>
  <si>
    <t>{'marketValueHistory': [{'date': '20/03/2017', 'age': '20', 'clubName': 'Amiens SC', 'clubID': '1416', 'value': '€400k'}, {'date': '15/06/2017', 'age': '20', 'clubName': 'Amiens SC', 'clubID': '1416', 'value': '€1.00m'}, {'date': '12/10/2017', 'age': '20', 'clubName': 'Olympique Lyon', 'clubID': '1041', 'value': '€5.00m'}, {'date': '24/01/2018', 'age': '21', 'clubName': 'Olympique Lyon', 'clubID': '1041', 'value': '€15.00m'}, {'date': '04/06/2018', 'age': '21', 'clubName': 'Olympique Lyon', 'clubID': '1041', 'value': '€25.00m'}, {'date': '24/10/2018', 'age': '21', 'clubName': 'Olympique Lyon', 'clubID': '1041', 'value': '€35.00m'}, {'date': '17/12/2018', 'age': '21', 'clubName': 'Olympique Lyon', 'clubID': '1041', 'value': '€45.00m'}, {'date': '07/03/2019', 'age': '22', 'clubName': 'Olympique Lyon', 'clubID': '1041', 'value': '€50.00m'}, {'date': '03/06/2019', 'age': '22', 'clubName': 'Olympique Lyon', 'clubID': '1041', 'value': '€65.00m'}, {'date': '10/12/2019', 'age': '22', 'clubName': 'Tottenham Hotspur', 'clubID': '148', 'value': '€65.00m'}, {'date': '08/04/2020', 'age': '23', 'clubName': 'Tottenham Hotspur', 'clubID': '148', 'value': '€52.00m'}, {'date': '30/07/2020', 'age': '23', 'clubName': 'Tottenham Hotspur', 'clubID': '148', 'value': '€45.00m'}, {'date': '13/10/2020', 'age': '23', 'clubName': 'Tottenham Hotspur', 'clubID': '148', 'value': '€40.00m'}, {'date': '17/12/2020', 'age': '23', 'clubName': 'Tottenham Hotspur', 'clubID': '148', 'value': '€45.00m'}, {'date': '18/03/2021', 'age': '24', 'clubName': 'Tottenham Hotspur', 'clubID': '148', 'value': '€50.00m'}, {'date': '08/06/2021', 'age': '24', 'clubName': 'Tottenham Hotspur', 'clubID': '148', 'value': '€50.00m'}, {'date': '05/10/2021', 'age': '24', 'clubName': 'Tottenham Hotspur', 'clubID': '148', 'value': '€45.00m'}, {'date': '23/12/2021', 'age': '24', 'clubName': 'Tottenham Hotspur', 'clubID': '148', 'value': '€38.00m'}, {'date': '23/03/2022', 'age': '25', 'clubName': 'Olympique Lyon', 'clubID': '1041', 'value': '€35.00m'}, {'date': '30/05/2022', 'age': '25', 'clubName': 'Olympique Lyon', 'clubID': '1041', 'value': '€30.00m'}, {'date': '11/11/2022', 'age': '25', 'clubName': 'SSC Napoli', 'clubID': '6195', 'value': '€28.00m'}, {'date': '21/03/2023', 'age': '26', 'clubName': 'SSC Napoli', 'clubID': '6195', 'value': '€25.00m'}, {'date': '15/06/2023', 'age': '26', 'clubName': 'SSC Napoli', 'clubID': '6195', 'value': '€22.00m'}, {'date': '27/09/2023', 'age': '26', 'clubName': 'Galatasaray', 'clubID': '141', 'value': '€21.00m'}, {'date': '21/12/2023', 'age': '26', 'clubName': 'Galatasaray', 'clubID': '141', 'value': '€15.00m'}, {'date': '15/03/2024', 'age': '27', 'clubName': 'Galatasaray', 'clubID': '141', 'value': '€11.00m'}, {'date': '31/05/2024', 'age': '27', 'clubName': 'Galatasaray', 'clubID': '141', 'value': '€8.00m'}, {'date': '10/12/2024', 'age': '27', 'clubName': 'OGC Nice', 'clubID': '417', 'value': '€10.00m'}, {'date': '03/06/2025', 'age': '28', 'clubName': 'OGC Nice', 'clubID': '417', 'value': '€7.00m'}, {'date': '10/10/2025', 'age': '28', 'clubName': 'OGC Nice', 'clubID': '417', 'value': '€4.00m'}, {'date': '15/12/2025', 'age': '28', 'clubName': 'OGC Nice', 'clubID': '417', 'value': '€3.00m'}]}</t>
  </si>
  <si>
    <t>1996-12-28</t>
  </si>
  <si>
    <t>Maxi Pereira</t>
  </si>
  <si>
    <t>{'marketValueHistory': [{'date': 'Sep 20, 2007', 'age': '23', 'clubName': 'SL Benfica', 'clubID': '294', 'value': '€3.00m'}, {'date': 'Feb 18, 2008', 'age': '23', 'clubName': 'SL Benfica', 'clubID': '294', 'value': '€3.50m'}, {'date': 'Feb 1, 2009', 'age': '24', 'clubName': 'SL Benfica', 'clubID': '294', 'value': '€4.80m'}, {'date': 'Jul 2, 2009', 'age': '25', 'clubName': 'SL Benfica', 'clubID': '294', 'value': '€5.20m'}, {'date': 'Jul 13, 2010', 'age': '26', 'clubName': 'SL Benfica', 'clubID': '294', 'value': '€6.00m'}, {'date': 'Jul 14, 2010', 'age': '26', 'clubName': 'SL Benfica', 'clubID': '294', 'value': '€7.20m'}, {'date': 'Jun 15, 2011', 'age': '27', 'clubName': 'SL Benfica', 'clubID': '294', 'value': '€9.40m'}, {'date': 'Sep 21, 2011', 'age': '27', 'clubName': 'SL Benfica', 'clubID': '294', 'value': '€11.50m'}, {'date': 'Feb 2, 2012', 'age': '27', 'clubName': 'SL Benfica', 'clubID': '294', 'value': '€13.00m'}, {'date': 'Jul 7, 2012', 'age': '28', 'clubName': 'SL Benfica', 'clubID': '294', 'value': '€15.00m'}, {'date': 'Mar 27, 2013', 'age': '28', 'clubName': 'SL Benfica', 'clubID': '294', 'value': '€14.00m'}, {'date': 'Jul 2, 2013', 'age': '29', 'clubName': 'SL Benfica', 'clubID': '294', 'value': '€13.00m'}, {'date': 'Oct 8, 2013', 'age': '29', 'clubName': 'SL Benfica', 'clubID': '294', 'value': '€10.00m'}, {'date': 'Feb 20, 2014', 'age': '29', 'clubName': 'SL Benfica', 'clubID': '294', 'value': '€9.00m'}, {'date': 'Jul 25, 2014', 'age': '30', 'clubName': 'SL Benfica', 'clubID': '294', 'value': '€9.00m'}, {'date': 'Feb 17, 2015', 'age': '30', 'clubName': 'SL Benfica', 'clubID': '294', 'value': '€8.50m'}, {'date': 'Jul 1, 2015', 'age': '31', 'clubName': 'SL Benfica', 'clubID': '294', 'value': '€8.00m'}, {'date': 'Feb 24, 2016', 'age': '31', 'clubName': 'FC Porto', 'clubID': '720', 'value': '€7.00m'}, {'date': 'Jul 29, 2016', 'age': '32', 'clubName': 'FC Porto', 'clubID': '720', 'value': '€5.50m'}, {'date': 'Feb 22, 2017', 'age': '32', 'clubName': 'FC Porto', 'clubID': '720', 'value': '€5.00m'}, {'date': 'Jun 26, 2017', 'age': '33', 'clubName': 'FC Porto', 'clubID': '720', 'value': '€4.00m'}, {'date': 'Nov 6, 2017', 'age': '33', 'clubName': 'FC Porto', 'clubID': '720', 'value': '€2.50m'}, {'date': 'Feb 7, 2018', 'age': '33', 'clubName': 'FC Porto', 'clubID': '720', 'value': '€1.50m'}, {'date': 'Jun 13, 2018', 'age': '34', 'clubName': 'FC Porto', 'clubID': '720', 'value': '€1.00m'}, {'date': 'Jan 11, 2019', 'age': '34', 'clubName': 'FC Porto', 'clubID': '720', 'value': '€1.00m'}, {'date': 'Jun 7, 2019', 'age': '34', 'clubName': 'FC Porto', 'clubID': '720', 'value': '€500k'}, {'date': 'Jul 1, 2019', 'age': '35', 'clubName': 'Career break', 'clubID': '2113', 'value': '-'}, {'date': 'Jan 2, 2021', 'age': '36', 'clubName': 'Career break', 'clubID': '2113', 'value': '€50k'}, {'date': 'Apr 10, 2021', 'age': '36', 'clubName': 'CA Peñarol', 'clubID': '861', 'value': '€50k'}, {'date': 'Sep 10, 2021', 'age': '37', 'clubName': 'CA Peñarol', 'clubID': '861', 'value': '€50k'}, {'date': 'Jan 1, 2022', 'age': '37', 'clubName': 'CA Peñarol', 'clubID': '861', 'value': '€50k'}, {'date': 'Jun 2, 2022', 'age': '37', 'clubName': 'CA River Plate Montevideo', 'clubID': '2419', 'value': '€25k'}, {'date': 'Nov 12, 2022', 'age': '38', 'clubName': 'CA River Plate Montevideo', 'clubID': '2419', 'value': '€25k'}, {'date': 'May 18, 2023', 'age': '38', 'clubName': 'Retired', 'clubID': '123', 'value': '-'}]}</t>
  </si>
  <si>
    <t>1984-06-08</t>
  </si>
  <si>
    <t>Saul Niguez</t>
  </si>
  <si>
    <t>{'marketValueHistory': [{'date': '07/08/2012', 'age': '17', 'clubName': 'Atlético Madrileño', 'clubID': '3679', 'value': '€1.50m'}, {'date': '10/01/2013', 'age': '18', 'clubName': 'Atlético Madrileño', 'clubID': '3679', 'value': '€2.00m'}, {'date': '12/06/2013', 'age': '18', 'clubName': 'Atlético Madrileño', 'clubID': '3679', 'value': '€2.00m'}, {'date': '25/07/2013', 'age': '18', 'clubName': 'Rayo Vallecano', 'clubID': '367', 'value': '€5.00m'}, {'date': '23/01/2014', 'age': '19', 'clubName': 'Rayo Vallecano', 'clubID': '367', 'value': '€5.00m'}, {'date': '20/02/2014', 'age': '19', 'clubName': 'Rayo Vallecano', 'clubID': '367', 'value': '€7.50m'}, {'date': '20/07/2014', 'age': '19', 'clubName': 'Atlético de Madrid', 'clubID': '13', 'value': '€7.50m'}, {'date': '23/01/2015', 'age': '20', 'clubName': 'Atlético de Madrid', 'clubID': '13', 'value': '€9.00m'}, {'date': '01/07/2015', 'age': '20', 'clubName': 'Atlético de Madrid', 'clubID': '13', 'value': '€10.00m'}, {'date': '22/02/2016', 'age': '21', 'clubName': 'Atlético de Madrid', 'clubID': '13', 'value': '€15.00m'}, {'date': '07/04/2016', 'age': '21', 'clubName': 'Atlético de Madrid', 'clubID': '13', 'value': '€20.00m'}, {'date': '15/07/2016', 'age': '21', 'clubName': 'Atlético de Madrid', 'clubID': '13', 'value': '€35.00m'}, {'date': '24/01/2017', 'age': '22', 'clubName': 'Atlético de Madrid', 'clubID': '13', 'value': '€35.00m'}, {'date': '05/06/2017', 'age': '22', 'clubName': 'Atlético de Madrid', 'clubID': '13', 'value': '€40.00m'}, {'date': '01/01/2018', 'age': '23', 'clubName': 'Atlético de Madrid', 'clubID': '13', 'value': '€70.00m'}, {'date': '30/05/2018', 'age': '23', 'clubName': 'Atlético de Madrid', 'clubID': '13', 'value': '€70.00m'}, {'date': '31/10/2018', 'age': '23', 'clubName': 'Atlético de Madrid', 'clubID': '13', 'value': '€90.00m'}, {'date': '21/12/2018', 'age': '24', 'clubName': 'Atlético de Madrid', 'clubID': '13', 'value': '€90.00m'}, {'date': '11/06/2019', 'age': '24', 'clubName': 'Atlético de Madrid', 'clubID': '13', 'value': '€90.00m'}, {'date': '20/12/2019', 'age': '25', 'clubName': 'Atlético de Madrid', 'clubID': '13', 'value': '€90.00m'}, {'date': '08/04/2020', 'age': '25', 'clubName': 'Atlético de Madrid', 'clubID': '13', 'value': '€72.00m'}, {'date': '08/10/2020', 'age': '25', 'clubName': 'Atlético de Madrid', 'clubID': '13', 'value': '€70.00m'}, {'date': '05/01/2021', 'age': '26', 'clubName': 'Atlético de Madrid', 'clubID': '13', 'value': '€60.00m'}, {'date': '19/03/2021', 'age': '26', 'clubName': 'Atlético de Madrid', 'clubID': '13', 'value': '€55.00m'}, {'date': '10/06/2021', 'age': '26', 'clubName': 'Atlético de Madrid', 'clubID': '13', 'value': '€40.00m'}, {'date': '23/12/2021', 'age': '27', 'clubName': 'Chelsea FC', 'clubID': '631', 'value': '€35.00m'}, {'date': '29/03/2022', 'age': '27', 'clubName': 'Chelsea FC', 'clubID': '631', 'value': '€28.00m'}, {'date': '15/06/2022', 'age': '27', 'clubName': 'Chelsea FC', 'clubID': '631', 'value': '€25.00m'}, {'date': '23/09/2022', 'age': '27', 'clubName': 'Atlético de Madrid', 'clubID': '13', 'value': '€20.00m'}, {'date': '07/11/2022', 'age': '27', 'clubName': 'Atlético de Madrid', 'clubID': '13', 'value': '€15.00m'}, {'date': '23/03/2023', 'age': '28', 'clubName': 'Atlético de Madrid', 'clubID': '13', 'value': '€10.00m'}, {'date': '13/06/2023', 'age': '28', 'clubName': 'Atlético de Madrid', 'clubID': '13', 'value': '€10.00m'}, {'date': '13/10/2023', 'age': '28', 'clubName': 'Atlético de Madrid', 'clubID': '13', 'value': '€12.00m'}, {'date': '22/12/2023', 'age': '29', 'clubName': 'Atlético de Madrid', 'clubID': '13', 'value': '€12.00m'}, {'date': '21/03/2024', 'age': '29', 'clubName': 'Atlético de Madrid', 'clubID': '13', 'value': '€7.50m'}, {'date': '07/06/2024', 'age': '29', 'clubName': 'Atlético de Madrid', 'clubID': '13', 'value': '€7.50m'}, {'date': '11/10/2024', 'age': '29', 'clubName': 'Sevilla FC', 'clubID': '368', 'value': '€5.00m'}, {'date': '27/12/2024', 'age': '30', 'clubName': 'Sevilla FC', 'clubID': '368', 'value': '€3.50m'}, {'date': '09/06/2025', 'age': '30', 'clubName': 'Sevilla FC', 'clubID': '368', 'value': '€3.00m'}, {'date': '10/12/2025', 'age': '31', 'clubName': 'CR Flamengo', 'clubID': '614', 'value': '€2.50m'}, {'date': '12/03/2026', 'age': '31', 'clubName': 'CR Flamengo', 'clubID': '614', 'value': '€2.00m'}]}</t>
  </si>
  <si>
    <t>1994-11-21</t>
  </si>
  <si>
    <t>Sanchez</t>
  </si>
  <si>
    <t>{'marketValueHistory': [{'date': 'Dec 29, 2006', 'age': '18', 'clubName': 'CSD Colo-Colo', 'clubID': '2433', 'value': '€50k'}, {'date': 'Sep 24, 2007', 'age': '18', 'clubName': 'CA River Plate', 'clubID': '15108', 'value': '€2.75m'}, {'date': 'Mar 31, 2008', 'age': '19', 'clubName': 'CA River Plate', 'clubID': '15108', 'value': '€3.40m'}, {'date': 'Jul 4, 2008', 'age': '19', 'clubName': 'Udinese Calcio', 'clubID': '410', 'value': '€3.80m'}, {'date': 'Aug 6, 2009', 'age': '20', 'clubName': 'Udinese Calcio', 'clubID': '410', 'value': '€6.50m'}, {'date': 'Jan 27, 2010', 'age': '21', 'clubName': 'Udinese Calcio', 'clubID': '410', 'value': '€7.00m'}, {'date': 'May 9, 2010', 'age': '21', 'clubName': 'Udinese Calcio', 'clubID': '410', 'value': '€8.00m'}, {'date': 'Aug 1, 2010', 'age': '21', 'clubName': 'Udinese Calcio', 'clubID': '410', 'value': '€9.50m'}, {'date': 'Jan 10, 2011', 'age': '22', 'clubName': 'Udinese Calcio', 'clubID': '410', 'value': '€13.50m'}, {'date': 'Mar 18, 2011', 'age': '22', 'clubName': 'Udinese Calcio', 'clubID': '410', 'value': '€18.50m'}, {'date': 'Jun 21, 2011', 'age': '22', 'clubName': 'Udinese Calcio', 'clubID': '410', 'value': '€25.00m'}, {'date': 'Jul 29, 2011', 'age': '22', 'clubName': 'FC Barcelona', 'clubID': '131', 'value': '€26.00m'}, {'date': 'Feb 3, 2012', 'age': '23', 'clubName': 'FC Barcelona', 'clubID': '131', 'value': '€28.00m'}, {'date': 'Apr 14, 2012', 'age': '23', 'clubName': 'FC Barcelona', 'clubID': '131', 'value': '€30.00m'}, {'date': 'Aug 7, 2012', 'age': '23', 'clubName': 'FC Barcelona', 'clubID': '131', 'value': '€38.00m'}, {'date': 'Jan 10, 2013', 'age': '24', 'clubName': 'FC Barcelona', 'clubID': '131', 'value': '€28.00m'}, {'date': 'Mar 7, 2013', 'age': '24', 'clubName': 'FC Barcelona', 'clubID': '131', 'value': '€25.00m'}, {'date': 'Jun 12, 2013', 'age': '24', 'clubName': 'FC Barcelona', 'clubID': '131', 'value': '€26.00m'}, {'date': 'Jan 23, 2014', 'age': '25', 'clubName': 'FC Barcelona', 'clubID': '131', 'value': '€30.00m'}, {'date': 'Aug 12, 2014', 'age': '25', 'clubName': 'Arsenal FC', 'clubID': '11', 'value': '€38.00m'}, {'date': 'Feb 12, 2015', 'age': '26', 'clubName': 'Arsenal FC', 'clubID': '11', 'value': '€45.00m'}, {'date': 'Jul 1, 2015', 'age': '26', 'clubName': 'Arsenal FC', 'clubID': '11', 'value': '€55.00m'}, {'date': 'Feb 9, 2016', 'age': '27', 'clubName': 'Arsenal FC', 'clubID': '11', 'value': '€55.00m'}, {'date': 'Aug 1, 2016', 'age': '27', 'clubName': 'Arsenal FC', 'clubID': '11', 'value': '€55.00m'}, {'date': 'Feb 20, 2017', 'age': '28', 'clubName': 'Arsenal FC', 'clubID': '11', 'value': '€65.00m'}, {'date': 'Jun 28, 2017', 'age': '28', 'clubName': 'Arsenal FC', 'clubID': '11', 'value': '€65.00m'}, {'date': 'Jan 2, 2018', 'age': '29', 'clubName': 'Arsenal FC', 'clubID': '11', 'value': '€70.00m'}, {'date': 'May 28, 2018', 'age': '29', 'clubName': 'Manchester United', 'clubID': '985', 'value': '€70.00m'}, {'date': 'Oct 17, 2018', 'age': '29', 'clubName': 'Manchester United', 'clubID': '985', 'value': '€55.00m'}, {'date': 'Dec 19, 2018', 'age': '30', 'clubName': 'Manchester United', 'clubID': '985', 'value': '€45.00m'}, {'date': 'Jun 13, 2019', 'age': '30', 'clubName': 'Manchester United', 'clubID': '985', 'value': '€35.00m'}, {'date': 'Dec 12, 2019', 'age': '30', 'clubName': 'Inter Milan', 'clubID': '46', 'value': '€25.00m'}, {'date': 'Mar 3, 2020', 'age': '31', 'clubName': 'Inter Milan', 'clubID': '46', 'value': '€20.00m'}, {'date': 'Apr 8, 2020', 'age': '31', 'clubName': 'Inter Milan', 'clubID': '46', 'value': '€16.00m'}, {'date': 'Aug 25, 2020', 'age': '31', 'clubName': 'Inter Milan', 'clubID': '46', 'value': '€16.00m'}, {'date': 'Dec 29, 2020', 'age': '32', 'clubName': 'Inter Milan', 'clubID': '46', 'value': '€10.00m'}, {'date': 'Jun 3, 2021', 'age': '32', 'clubName': 'Inter Milan', 'clubID': '46', 'value': '€7.50m'}, {'date': 'Oct 14, 2021', 'age': '32', 'clubName': 'Inter Milan', 'clubID': '46', 'value': '€5.00m'}, {'date': 'Dec 28, 2021', 'age': '33', 'clubName': 'Inter Milan', 'clubID': '46', 'value': '€3.50m'}, {'date': 'Jun 7, 2022', 'age': '33', 'clubName': 'Inter Milan', 'clubID': '46', 'value': '€3.50m'}, {'date': 'Nov 2, 2022', 'age': '33', 'clubName': 'Olympique Marseille', 'clubID': '244', 'value': '€4.50m'}, {'date': 'Jun 27, 2023', 'age': '34', 'clubName': 'Olympique Marseille', 'clubID': '244', 'value': '€4.00m'}, {'date': 'Dec 20, 2023', 'age': '35', 'clubName': 'Inter Milan', 'clubID': '46', 'value': '€2.50m'}, {'date': 'Jun 5, 2024', 'age': '35', 'clubName': 'Inter Milan', 'clubID': '46', 'value': '€2.50m'}, {'date': 'Dec 18, 2024', 'age': '35', 'clubName': 'Udinese Calcio', 'clubID': '410', 'value': '€2.00m'}, {'date': 'Jun 17, 2025', 'age': '36', 'clubName': 'Udinese Calcio', 'clubID': '410', 'value': '€1.50m'}, {'date': 'Dec 12, 2025', 'age': '36', 'clubName': 'Sevilla FC', 'clubID': '368', 'value': '€1.40m'}]}</t>
  </si>
  <si>
    <t>Chile</t>
  </si>
  <si>
    <t>1988-12-19</t>
  </si>
  <si>
    <t>Witsel</t>
  </si>
  <si>
    <t>Dortmund</t>
  </si>
  <si>
    <t>{'marketValueHistory': [{'date': '24/09/2006', 'age': '17', 'clubName': 'Standard Liège', 'clubID': '3057', 'value': '€400k'}, {'date': '07/08/2007', 'age': '18', 'clubName': 'Standard Liège', 'clubID': '3057', 'value': '€1.50m'}, {'date': '31/03/2008', 'age': '19', 'clubName': 'Standard Liège', 'clubID': '3057', 'value': '€2.50m'}, {'date': '15/07/2008', 'age': '19', 'clubName': 'Standard Liège', 'clubID': '3057', 'value': '€3.00m'}, {'date': '22/10/2008', 'age': '19', 'clubName': 'Standard Liège', 'clubID': '3057', 'value': '€4.00m'}, {'date': '25/11/2008', 'age': '19', 'clubName': 'Standard Liège', 'clubID': '3057', 'value': '€8.00m'}, {'date': '22/05/2009', 'age': '20', 'clubName': 'Standard Liège', 'clubID': '3057', 'value': '€8.50m'}, {'date': '04/09/2009', 'age': '20', 'clubName': 'Standard Liège', 'clubID': '3057', 'value': '€7.50m'}, {'date': '28/07/2010', 'age': '21', 'clubName': 'Standard Liège', 'clubID': '3057', 'value': '€8.50m'}, {'date': '28/12/2010', 'age': '21', 'clubName': 'Standard Liège', 'clubID': '3057', 'value': '€8.50m'}, {'date': '24/05/2011', 'age': '22', 'clubName': 'Standard Liège', 'clubID': '3057', 'value': '€10.00m'}, {'date': '21/09/2011', 'age': '22', 'clubName': 'SL Benfica', 'clubID': '294', 'value': '€11.00m'}, {'date': '02/02/2012', 'age': '23', 'clubName': 'SL Benfica', 'clubID': '294', 'value': '€14.00m'}, {'date': '07/07/2012', 'age': '23', 'clubName': 'SL Benfica', 'clubID': '294', 'value': '€20.00m'}, {'date': '04/09/2012', 'age': '23', 'clubName': 'Zenit St. Petersburg', 'clubID': '964', 'value': '€25.00m'}, {'date': '09/09/2012', 'age': '23', 'clubName': 'Zenit St. Petersburg', 'clubID': '964', 'value': '€30.00m'}, {'date': '13/01/2013', 'age': '24', 'clubName': 'Zenit St. Petersburg', 'clubID': '964', 'value': '€30.00m'}, {'date': '19/06/2013', 'age': '24', 'clubName': 'Zenit St. Petersburg', 'clubID': '964', 'value': '€32.00m'}, {'date': '03/03/2014', 'age': '25', 'clubName': 'Zenit St. Petersburg', 'clubID': '964', 'value': '€35.00m'}, {'date': '31/07/2014', 'age': '25', 'clubName': 'Zenit St. Petersburg', 'clubID': '964', 'value': '€35.00m'}, {'date': '23/02/2015', 'age': '26', 'clubName': 'Zenit St. Petersburg', 'clubID': '964', 'value': '€28.00m'}, {'date': '18/06/2015', 'age': '26', 'clubName': 'Zenit St. Petersburg', 'clubID': '964', 'value': '€28.00m'}, {'date': '06/01/2016', 'age': '26', 'clubName': 'Zenit St. Petersburg', 'clubID': '964', 'value': '€28.00m'}, {'date': '01/06/2016', 'age': '27', 'clubName': 'Zenit St. Petersburg', 'clubID': '964', 'value': '€23.00m'}, {'date': '27/12/2016', 'age': '27', 'clubName': 'Zenit St. Petersburg', 'clubID': '964', 'value': '€20.00m'}, {'date': '05/03/2017', 'age': '28', 'clubName': 'Tianjin Quanjian', 'clubID': '33714', 'value': '€15.00m'}, {'date': '19/06/2017', 'age': '28', 'clubName': 'Tianjin Quanjian', 'clubID': '33714', 'value': '€15.00m'}, {'date': '01/12/2017', 'age': '28', 'clubName': 'Tianjin Quanjian', 'clubID': '33714', 'value': '€17.00m'}, {'date': '05/06/2018', 'age': '29', 'clubName': 'Tianjin Quanjian', 'clubID': '33714', 'value': '€18.00m'}, {'date': '16/07/2018', 'age': '29', 'clubName': 'Tianjin Tianhai (-2019)', 'clubID': '33714', 'value': '€20.00m'}, {'date': '22/08/2018', 'age': '29', 'clubName': 'Borussia Dortmund', 'clubID': '16', 'value': '€25.00m'}, {'date': '22/10/2018', 'age': '29', 'clubName': 'Borussia Dortmund', 'clubID': '16', 'value': '€30.00m'}, {'date': '18/12/2018', 'age': '29', 'clubName': 'Borussia Dortmund', 'clubID': '16', 'value': '€40.00m'}, {'date': '05/06/2019', 'age': '30', 'clubName': 'Borussia Dortmund', 'clubID': '16', 'value': '€32.00m'}, {'date': '17/12/2019', 'age': '30', 'clubName': 'Borussia Dortmund', 'clubID': '16', 'value': '€27.00m'}, {'date': '08/04/2020', 'age': '31', 'clubName': 'Borussia Dortmund', 'clubID': '16', 'value': '€21.50m'}, {'date': '16/09/2020', 'age': '31', 'clubName': 'Borussia Dortmund', 'clubID': '16', 'value': '€17.00m'}, {'date': '10/02/2021', 'age': '32', 'clubName': 'Borussia Dortmund', 'clubID': '16', 'value': '€12.00m'}, {'date': '26/05/2021', 'age': '32', 'clubName': 'Borussia Dortmund', 'clubID': '16', 'value': '€9.00m'}, {'date': '22/12/2021', 'age': '32', 'clubName': 'Borussia Dortmund', 'clubID': '16', 'value': '€6.00m'}, {'date': '24/03/2022', 'age': '33', 'clubName': 'Borussia Dortmund', 'clubID': '16', 'value': '€4.00m'}, {'date': '09/06/2022', 'age': '33', 'clubName': 'Borussia Dortmund', 'clubID': '16', 'value': '€4.00m'}, {'date': '23/09/2022', 'age': '33', 'clubName': 'Atlético de Madrid', 'clubID': '13', 'value': '€5.00m'}, {'date': '07/11/2022', 'age': '33', 'clubName': 'Atlético de Madrid', 'clubID': '13', 'value': '€5.00m'}, {'date': '13/06/2023', 'age': '34', 'clubName': 'Atlético de Madrid', 'clubID': '13', 'value': '€5.00m'}, {'date': '22/12/2023', 'age': '34', 'clubName': 'Atlético de Madrid', 'clubID': '13', 'value': '€5.00m'}, {'date': '21/03/2024', 'age': '35', 'clubName': 'Atlético de Madrid', 'clubID': '13', 'value': '€4.00m'}, {'date': '07/06/2024', 'age': '35', 'clubName': 'Atlético de Madrid', 'clubID': '13', 'value': '€3.50m'}, {'date': '27/12/2024', 'age': '35', 'clubName': 'Atlético de Madrid', 'clubID': '13', 'value': '€2.50m'}, {'date': '09/06/2025', 'age': '36', 'clubName': 'Atlético de Madrid', 'clubID': '13', 'value': '€2.00m'}, {'date': '02/10/2025', 'age': '36', 'clubName': 'Girona FC', 'clubID': '12321', 'value': '€1.50m'}, {'date': '12/12/2025', 'age': '36', 'clubName': 'Girona FC', 'clubID': '12321', 'value': '€1.40m'}]}</t>
  </si>
  <si>
    <t>1989-01-12</t>
  </si>
  <si>
    <t>Marquinhos</t>
  </si>
  <si>
    <t>{'marketValueHistory': [{'date': 'Feb 2, 2012', 'age': '17', 'clubName': 'Sport Club Corinthians Paulista', 'clubID': '199', 'value': '€150k'}, {'date': 'May 24, 2012', 'age': '18', 'clubName': 'Sport Club Corinthians Paulista', 'clubID': '199', 'value': '€150k'}, {'date': 'Jul 29, 2012', 'age': '18', 'clubName': 'Sport Club Corinthians Paulista', 'clubID': '199', 'value': '€750k'}, {'date': 'Jan 14, 2013', 'age': '18', 'clubName': 'AS Roma', 'clubID': '12', 'value': '€5.00m'}, {'date': 'Apr 9, 2013', 'age': '18', 'clubName': 'AS Roma', 'clubID': '12', 'value': '€10.00m'}, {'date': 'Jun 19, 2013', 'age': '19', 'clubName': 'AS Roma', 'clubID': '12', 'value': '€15.00m'}, {'date': 'Jul 25, 2013', 'age': '19', 'clubName': 'Paris Saint-Germain', 'clubID': '583', 'value': '€25.00m'}, {'date': 'Jan 14, 2014', 'age': '19', 'clubName': 'Paris Saint-Germain', 'clubID': '583', 'value': '€25.00m'}, {'date': 'Aug 1, 2014', 'age': '20', 'clubName': 'Paris Saint-Germain', 'clubID': '583', 'value': '€25.00m'}, {'date': 'Jan 14, 2015', 'age': '20', 'clubName': 'Paris Saint-Germain', 'clubID': '583', 'value': '€25.00m'}, {'date': 'Jun 6, 2015', 'age': '21', 'clubName': 'Paris Saint-Germain', 'clubID': '583', 'value': '€25.00m'}, {'date': 'Sep 6, 2015', 'age': '21', 'clubName': 'Paris Saint-Germain', 'clubID': '583', 'value': '€30.00m'}, {'date': 'Feb 4, 2016', 'age': '21', 'clubName': 'Paris Saint-Germain', 'clubID': '583', 'value': '€30.00m'}, {'date': 'Jul 13, 2016', 'age': '22', 'clubName': 'Paris Saint-Germain', 'clubID': '583', 'value': '€30.00m'}, {'date': 'Jan 16, 2017', 'age': '22', 'clubName': 'Paris Saint-Germain', 'clubID': '583', 'value': '€32.00m'}, {'date': 'Jun 1, 2017', 'age': '23', 'clubName': 'Paris Saint-Germain', 'clubID': '583', 'value': '€35.00m'}, {'date': 'Jan 24, 2018', 'age': '23', 'clubName': 'Paris Saint-Germain', 'clubID': '583', 'value': '€40.00m'}, {'date': 'Mar 20, 2018', 'age': '23', 'clubName': 'Paris Saint-Germain', 'clubID': '583', 'value': '€55.00m'}, {'date': 'Jun 4, 2018', 'age': '24', 'clubName': 'Paris Saint-Germain', 'clubID': '583', 'value': '€55.00m'}, {'date': 'Dec 17, 2018', 'age': '24', 'clubName': 'Paris Saint-Germain', 'clubID': '583', 'value': '€60.00m'}, {'date': 'Jun 3, 2019', 'age': '25', 'clubName': 'Paris Saint-Germain', 'clubID': '583', 'value': '€65.00m'}, {'date': 'Dec 19, 2019', 'age': '25', 'clubName': 'Paris Saint-Germain', 'clubID': '583', 'value': '€65.00m'}, {'date': 'Apr 8, 2020', 'age': '25', 'clubName': 'Paris Saint-Germain', 'clubID': '583', 'value': '€52.00m'}, {'date': 'Oct 15, 2020', 'age': '26', 'clubName': 'Paris Saint-Germain', 'clubID': '583', 'value': '€70.00m'}, {'date': 'Jun 4, 2021', 'age': '27', 'clubName': 'Paris Saint-Germain', 'clubID': '583', 'value': '€75.00m'}, {'date': 'Dec 16, 2021', 'age': '27', 'clubName': 'Paris Saint-Germain', 'clubID': '583', 'value': '€75.00m'}, {'date': 'May 30, 2022', 'age': '28', 'clubName': 'Paris Saint-Germain', 'clubID': '583', 'value': '€70.00m'}, {'date': 'Nov 2, 2022', 'age': '28', 'clubName': 'Paris Saint-Germain', 'clubID': '583', 'value': '€70.00m'}, {'date': 'Jun 27, 2023', 'age': '29', 'clubName': 'Paris Saint-Germain', 'clubID': '583', 'value': '€65.00m'}, {'date': 'Dec 18, 2023', 'age': '29', 'clubName': 'Paris Saint-Germain', 'clubID': '583', 'value': '€60.00m'}, {'date': 'Mar 19, 2024', 'age': '29', 'clubName': 'Paris Saint-Germain', 'clubID': '583', 'value': '€55.00m'}, {'date': 'Jun 3, 2024', 'age': '30', 'clubName': 'Paris Saint-Germain', 'clubID': '583', 'value': '€50.00m'}, {'date': 'Dec 10, 2024', 'age': '30', 'clubName': 'Paris Saint-Germain', 'clubID': '583', 'value': '€40.00m'}, {'date': 'Jun 3, 2025', 'age': '31', 'clubName': 'Paris Saint-Germain', 'clubID': '583', 'value': '€35.00m'}, {'date': 'Dec 15, 2025', 'age': '31', 'clubName': 'Paris Saint-Germain', 'clubID': '583', 'value': '€30.00m'}]}</t>
  </si>
  <si>
    <t>1994-05-14</t>
  </si>
  <si>
    <t>Kimmich</t>
  </si>
  <si>
    <t>{'marketValueHistory': [{'date': '09/08/2013', 'age': '18', 'clubName': 'RB Leipzig', 'clubID': '23826', 'value': '€300k'}, {'date': '24/01/2014', 'age': '18', 'clubName': 'RB Leipzig', 'clubID': '23826', 'value': '€500k'}, {'date': '30/06/2014', 'age': '19', 'clubName': 'RB Leipzig', 'clubID': '23826', 'value': '€700k'}, {'date': '01/10/2014', 'age': '19', 'clubName': 'RB Leipzig', 'clubID': '23826', 'value': '€1.50m'}, {'date': '13/01/2015', 'age': '19', 'clubName': 'RB Leipzig', 'clubID': '23826', 'value': '€5.00m'}, {'date': '01/07/2015', 'age': '20', 'clubName': 'VfB Stuttgart', 'clubID': '79', 'value': '€5.00m'}, {'date': '15/02/2016', 'age': '21', 'clubName': 'Bayern Munich', 'clubID': '27', 'value': '€8.00m'}, {'date': '13/04/2016', 'age': '21', 'clubName': 'Bayern Munich', 'clubID': '27', 'value': '€10.00m'}, {'date': '01/06/2016', 'age': '21', 'clubName': 'Bayern Munich', 'clubID': '27', 'value': '€13.00m'}, {'date': '22/07/2016', 'age': '21', 'clubName': 'Bayern Munich', 'clubID': '27', 'value': '€20.00m'}, {'date': '07/02/2017', 'age': '21', 'clubName': 'Bayern Munich', 'clubID': '27', 'value': '€25.00m'}, {'date': '19/06/2017', 'age': '22', 'clubName': 'Bayern Munich', 'clubID': '27', 'value': '€25.00m'}, {'date': '28/12/2017', 'age': '22', 'clubName': 'Bayern Munich', 'clubID': '27', 'value': '€40.00m'}, {'date': '04/04/2018', 'age': '23', 'clubName': 'Bayern Munich', 'clubID': '27', 'value': '€55.00m'}, {'date': '05/06/2018', 'age': '23', 'clubName': 'Bayern Munich', 'clubID': '27', 'value': '€55.00m'}, {'date': '18/12/2018', 'age': '23', 'clubName': 'Bayern Munich', 'clubID': '27', 'value': '€60.00m'}, {'date': '05/06/2019', 'age': '24', 'clubName': 'Bayern Munich', 'clubID': '27', 'value': '€70.00m'}, {'date': '17/12/2019', 'age': '24', 'clubName': 'Bayern Munich', 'clubID': '27', 'value': '€80.00m'}, {'date': '08/04/2020', 'age': '25', 'clubName': 'Bayern Munich', 'clubID': '27', 'value': '€64.00m'}, {'date': '08/07/2020', 'age': '25', 'clubName': 'Bayern Munich', 'clubID': '27', 'value': '€75.00m'}, {'date': '16/09/2020', 'age': '25', 'clubName': 'Bayern Munich', 'clubID': '27', 'value': '€85.00m'}, {'date': '10/02/2021', 'age': '26', 'clubName': 'Bayern Munich', 'clubID': '27', 'value': '€90.00m'}, {'date': '01/06/2021', 'age': '26', 'clubName': 'Bayern Munich', 'clubID': '27', 'value': '€90.00m'}, {'date': '22/12/2021', 'age': '26', 'clubName': 'Bayern Munich', 'clubID': '27', 'value': '€85.00m'}, {'date': '09/06/2022', 'age': '27', 'clubName': 'Bayern Munich', 'clubID': '27', 'value': '€80.00m'}, {'date': '09/11/2022', 'age': '27', 'clubName': 'Bayern Munich', 'clubID': '27', 'value': '€80.00m'}, {'date': '22/06/2023', 'age': '28', 'clubName': 'Bayern Munich', 'clubID': '27', 'value': '€75.00m'}, {'date': '14/12/2023', 'age': '28', 'clubName': 'Bayern Munich', 'clubID': '27', 'value': '€75.00m'}, {'date': '27/03/2024', 'age': '29', 'clubName': 'Bayern Munich', 'clubID': '27', 'value': '€60.00m'}, {'date': '29/05/2024', 'age': '29', 'clubName': 'Bayern Munich', 'clubID': '27', 'value': '€50.00m'}, {'date': '20/12/2024', 'age': '29', 'clubName': 'Bayern Munich', 'clubID': '27', 'value': '€50.00m'}, {'date': '05/06/2025', 'age': '30', 'clubName': 'Bayern Munich', 'clubID': '27', 'value': '€45.00m'}, {'date': '19/12/2025', 'age': '30', 'clubName': 'Bayern Munich', 'clubID': '27', 'value': '€40.00m'}]}</t>
  </si>
  <si>
    <t>1995-02-08</t>
  </si>
  <si>
    <t>Alaba</t>
  </si>
  <si>
    <t>{'marketValueHistory': [{'date': 'Jun 24, 2008', 'age': '16', 'clubName': 'Austria Vienna Reserves', 'clubID': '4383', 'value': '€200k'}, {'date': 'Oct 13, 2009', 'age': '17', 'clubName': 'FC Bayern Munich II', 'clubID': '27', 'value': '€800k'}, {'date': 'Jan 11, 2010', 'age': '17', 'clubName': 'FC Bayern Munich II', 'clubID': '27', 'value': '€1.00m'}, {'date': 'Jul 16, 2010', 'age': '18', 'clubName': 'Bayern Munich', 'clubID': '27', 'value': '€2.00m'}, {'date': 'Jan 12, 2011', 'age': '18', 'clubName': 'TSG 1899 Hoffenheim', 'clubID': '533', 'value': '€2.00m'}, {'date': 'Mar 1, 2011', 'age': '18', 'clubName': 'TSG 1899 Hoffenheim', 'clubID': '533', 'value': '€3.00m'}, {'date': 'Jun 29, 2011', 'age': '19', 'clubName': 'TSG 1899 Hoffenheim', 'clubID': '533', 'value': '€5.00m'}, {'date': 'Jan 23, 2012', 'age': '19', 'clubName': 'Bayern Munich', 'clubID': '27', 'value': '€8.50m'}, {'date': 'Jun 29, 2012', 'age': '20', 'clubName': 'Bayern Munich', 'clubID': '27', 'value': '€16.00m'}, {'date': 'Jan 13, 2013', 'age': '20', 'clubName': 'Bayern Munich', 'clubID': '27', 'value': '€22.00m'}, {'date': 'Jun 30, 2013', 'age': '21', 'clubName': 'Bayern Munich', 'clubID': '27', 'value': '€28.00m'}, {'date': 'Nov 5, 2013', 'age': '21', 'clubName': 'Bayern Munich', 'clubID': '27', 'value': '€32.00m'}, {'date': 'Jul 10, 2014', 'age': '22', 'clubName': 'Bayern Munich', 'clubID': '27', 'value': '€35.00m'}, {'date': 'Feb 4, 2015', 'age': '22', 'clubName': 'Bayern Munich', 'clubID': '27', 'value': '€38.00m'}, {'date': 'Jul 1, 2015', 'age': '23', 'clubName': 'Bayern Munich', 'clubID': '27', 'value': '€38.00m'}, {'date': 'Oct 16, 2015', 'age': '23', 'clubName': 'Bayern Munich', 'clubID': '27', 'value': '€45.00m'}, {'date': 'Feb 15, 2016', 'age': '23', 'clubName': 'Bayern Munich', 'clubID': '27', 'value': '€45.00m'}, {'date': 'Jun 1, 2016', 'age': '23', 'clubName': 'Bayern Munich', 'clubID': '27', 'value': '€45.00m'}, {'date': 'Jul 22, 2016', 'age': '24', 'clubName': 'Bayern Munich', 'clubID': '27', 'value': '€45.00m'}, {'date': 'Feb 7, 2017', 'age': '24', 'clubName': 'Bayern Munich', 'clubID': '27', 'value': '€40.00m'}, {'date': 'Jun 19, 2017', 'age': '24', 'clubName': 'Bayern Munich', 'clubID': '27', 'value': '€38.00m'}, {'date': 'Dec 28, 2017', 'age': '25', 'clubName': 'Bayern Munich', 'clubID': '27', 'value': '€38.00m'}, {'date': 'Apr 4, 2018', 'age': '25', 'clubName': 'Bayern Munich', 'clubID': '27', 'value': '€50.00m'}, {'date': 'Jun 5, 2018', 'age': '25', 'clubName': 'Bayern Munich', 'clubID': '27', 'value': '€50.00m'}, {'date': 'Dec 18, 2018', 'age': '26', 'clubName': 'Bayern Munich', 'clubID': '27', 'value': '€55.00m'}, {'date': 'Jun 5, 2019', 'age': '26', 'clubName': 'Bayern Munich', 'clubID': '27', 'value': '€55.00m'}, {'date': 'Dec 17, 2019', 'age': '27', 'clubName': 'Bayern Munich', 'clubID': '27', 'value': '€65.00m'}, {'date': 'Apr 8, 2020', 'age': '27', 'clubName': 'Bayern Munich', 'clubID': '27', 'value': '€52.00m'}, {'date': 'Jul 8, 2020', 'age': '28', 'clubName': 'Bayern Munich', 'clubID': '27', 'value': '€65.00m'}, {'date': 'Feb 10, 2021', 'age': '28', 'clubName': 'Bayern Munich', 'clubID': '27', 'value': '€55.00m'}, {'date': 'May 27, 2021', 'age': '28', 'clubName': 'Bayern Munich', 'clubID': '27', 'value': '€55.00m'}, {'date': 'Dec 30, 2021', 'age': '29', 'clubName': 'Real Madrid', 'clubID': '418', 'value': '€55.00m'}, {'date': 'Jun 3, 2022', 'age': '29', 'clubName': 'Real Madrid', 'clubID': '418', 'value': '€55.00m'}, {'date': 'Nov 7, 2022', 'age': '30', 'clubName': 'Real Madrid', 'clubID': '418', 'value': '€55.00m'}, {'date': 'Mar 23, 2023', 'age': '30', 'clubName': 'Real Madrid', 'clubID': '418', 'value': '€50.00m'}, {'date': 'Jun 13, 2023', 'age': '30', 'clubName': 'Real Madrid', 'clubID': '418', 'value': '€40.00m'}, {'date': 'Dec 22, 2023', 'age': '31', 'clubName': 'Real Madrid', 'clubID': '418', 'value': '€30.00m'}, {'date': 'Mar 21, 2024', 'age': '31', 'clubName': 'Real Madrid', 'clubID': '418', 'value': '€25.00m'}, {'date': 'Jun 7, 2024', 'age': '31', 'clubName': 'Real Madrid', 'clubID': '418', 'value': '€20.00m'}, {'date': 'Oct 11, 2024', 'age': '32', 'clubName': 'Real Madrid', 'clubID': '418', 'value': '€15.00m'}, {'date': 'Dec 27, 2024', 'age': '32', 'clubName': 'Real Madrid', 'clubID': '418', 'value': '€10.00m'}, {'date': 'Jun 9, 2025', 'age': '32', 'clubName': 'Real Madrid', 'clubID': '418', 'value': '€6.00m'}, {'date': 'Oct 2, 2025', 'age': '33', 'clubName': 'Real Madrid', 'clubID': '418', 'value': '€4.00m'}, {'date': 'Dec 12, 2025', 'age': '33', 'clubName': 'Real Madrid', 'clubID': '418', 'value': '€4.00m'}, {'date': 'Mar 16, 2026', 'age': '33', 'clubName': 'Real Madrid', 'clubID': '418', 'value': '€3.50m'}]}</t>
  </si>
  <si>
    <t>Austria</t>
  </si>
  <si>
    <t>1992-06-24</t>
  </si>
  <si>
    <t>Aouar</t>
  </si>
  <si>
    <t>{'marketValueHistory': [{'date': '16/01/2017', 'age': '18', 'clubName': 'Olympique Lyon B', 'clubID': '12764', 'value': '€150k'}, {'date': '01/06/2017', 'age': '18', 'clubName': 'Olympique Lyon B', 'clubID': '12764', 'value': '€300k'}, {'date': '12/10/2017', 'age': '19', 'clubName': 'Olympique Lyon', 'clubID': '1041', 'value': '€800k'}, {'date': '24/01/2018', 'age': '19', 'clubName': 'Olympique Lyon', 'clubID': '1041', 'value': '€25.00m'}, {'date': '04/06/2018', 'age': '19', 'clubName': 'Olympique Lyon', 'clubID': '1041', 'value': '€35.00m'}, {'date': '17/12/2018', 'age': '20', 'clubName': 'Olympique Lyon', 'clubID': '1041', 'value': '€40.00m'}, {'date': '03/06/2019', 'age': '20', 'clubName': 'Olympique Lyon', 'clubID': '1041', 'value': '€45.00m'}, {'date': '19/12/2019', 'age': '21', 'clubName': 'Olympique Lyon', 'clubID': '1041', 'value': '€50.00m'}, {'date': '13/03/2020', 'age': '21', 'clubName': 'Olympique Lyon', 'clubID': '1041', 'value': '€55.00m'}, {'date': '08/04/2020', 'age': '21', 'clubName': 'Olympique Lyon', 'clubID': '1041', 'value': '€49.50m'}, {'date': '15/10/2020', 'age': '22', 'clubName': 'Olympique Lyon', 'clubID': '1041', 'value': '€50.00m'}, {'date': '04/06/2021', 'age': '22', 'clubName': 'Olympique Lyon', 'clubID': '1041', 'value': '€42.00m'}, {'date': '08/10/2021', 'age': '23', 'clubName': 'Olympique Lyon', 'clubID': '1041', 'value': '€35.00m'}, {'date': '16/12/2021', 'age': '23', 'clubName': 'Olympique Lyon', 'clubID': '1041', 'value': '€32.00m'}, {'date': '23/03/2022', 'age': '23', 'clubName': 'Olympique Lyon', 'clubID': '1041', 'value': '€30.00m'}, {'date': '30/05/2022', 'age': '23', 'clubName': 'Olympique Lyon', 'clubID': '1041', 'value': '€25.00m'}, {'date': '19/09/2022', 'age': '24', 'clubName': 'Olympique Lyon', 'clubID': '1041', 'value': '€20.00m'}, {'date': '02/11/2022', 'age': '24', 'clubName': 'Olympique Lyon', 'clubID': '1041', 'value': '€20.00m'}, {'date': '27/03/2023', 'age': '24', 'clubName': 'Olympique Lyon', 'clubID': '1041', 'value': '€15.00m'}, {'date': '27/06/2023', 'age': '24', 'clubName': 'Olympique Lyon', 'clubID': '1041', 'value': '€13.00m'}, {'date': '20/12/2023', 'age': '25', 'clubName': 'AS Roma', 'clubID': '12', 'value': '€13.00m'}, {'date': '05/06/2024', 'age': '25', 'clubName': 'AS Roma', 'clubID': '12', 'value': '€10.00m'}, {'date': '13/12/2024', 'age': '26', 'clubName': 'Al-Ittihad Club', 'clubID': '8023', 'value': '€9.00m'}, {'date': '27/05/2025', 'age': '26', 'clubName': 'Al-Ittihad Club', 'clubID': '8023', 'value': '€8.50m'}, {'date': '18/12/2025', 'age': '27', 'clubName': 'Al-Ittihad Club', 'clubID': '8023', 'value': '€8.00m'}]}</t>
  </si>
  <si>
    <t>1998-06-30</t>
  </si>
  <si>
    <t>Lindelof</t>
  </si>
  <si>
    <t>{'marketValueHistory': [{'date': 'Jun 7, 2011', 'age': '16', 'clubName': 'Västerås SK', 'clubID': '5202', 'value': '€75k'}, {'date': 'May 2, 2012', 'age': '17', 'clubName': 'Västerås SK', 'clubID': '5202', 'value': '-'}, {'date': 'Nov 10, 2012', 'age': '18', 'clubName': 'SL Benfica B', 'clubID': '10330', 'value': '€150k'}, {'date': 'Nov 8, 2013', 'age': '19', 'clubName': 'SL Benfica B', 'clubID': '10330', 'value': '€500k'}, {'date': 'Feb 20, 2014', 'age': '19', 'clubName': 'SL Benfica B', 'clubID': '10330', 'value': '€1.00m'}, {'date': 'Jul 1, 2015', 'age': '20', 'clubName': 'SL Benfica', 'clubID': '294', 'value': '€1.50m'}, {'date': 'Feb 24, 2016', 'age': '21', 'clubName': 'SL Benfica', 'clubID': '294', 'value': '€2.50m'}, {'date': 'Jun 1, 2016', 'age': '21', 'clubName': 'SL Benfica', 'clubID': '294', 'value': '€8.00m'}, {'date': 'Jul 29, 2016', 'age': '22', 'clubName': 'SL Benfica', 'clubID': '294', 'value': '€12.00m'}, {'date': 'Feb 22, 2017', 'age': '22', 'clubName': 'SL Benfica', 'clubID': '294', 'value': '€18.00m'}, {'date': 'Jun 26, 2017', 'age': '22', 'clubName': 'SL Benfica', 'clubID': '294', 'value': '€22.00m'}, {'date': 'Jan 2, 2018', 'age': '23', 'clubName': 'Manchester United', 'clubID': '985', 'value': '€25.00m'}, {'date': 'May 28, 2018', 'age': '23', 'clubName': 'Manchester United', 'clubID': '985', 'value': '€25.00m'}, {'date': 'Dec 19, 2018', 'age': '24', 'clubName': 'Manchester United', 'clubID': '985', 'value': '€25.00m'}, {'date': 'Mar 5, 2019', 'age': '24', 'clubName': 'Manchester United', 'clubID': '985', 'value': '€35.00m'}, {'date': 'Jun 13, 2019', 'age': '24', 'clubName': 'Manchester United', 'clubID': '985', 'value': '€35.00m'}, {'date': 'Dec 10, 2019', 'age': '25', 'clubName': 'Manchester United', 'clubID': '985', 'value': '€35.00m'}, {'date': 'Apr 8, 2020', 'age': '25', 'clubName': 'Manchester United', 'clubID': '985', 'value': '€28.00m'}, {'date': 'Oct 13, 2020', 'age': '26', 'clubName': 'Manchester United', 'clubID': '985', 'value': '€24.00m'}, {'date': 'Mar 18, 2021', 'age': '26', 'clubName': 'Manchester United', 'clubID': '985', 'value': '€24.00m'}, {'date': 'May 31, 2021', 'age': '26', 'clubName': 'Manchester United', 'clubID': '985', 'value': '€24.00m'}, {'date': 'Dec 23, 2021', 'age': '27', 'clubName': 'Manchester United', 'clubID': '985', 'value': '€24.00m'}, {'date': 'Jun 15, 2022', 'age': '27', 'clubName': 'Manchester United', 'clubID': '985', 'value': '€22.00m'}, {'date': 'Sep 15, 2022', 'age': '28', 'clubName': 'Manchester United', 'clubID': '985', 'value': '€18.00m'}, {'date': 'Nov 3, 2022', 'age': '28', 'clubName': 'Manchester United', 'clubID': '985', 'value': '€15.00m'}, {'date': 'Jun 20, 2023', 'age': '28', 'clubName': 'Manchester United', 'clubID': '985', 'value': '€18.00m'}, {'date': 'Dec 19, 2023', 'age': '29', 'clubName': 'Manchester United', 'clubID': '985', 'value': '€18.00m'}, {'date': 'Mar 14, 2024', 'age': '29', 'clubName': 'Manchester United', 'clubID': '985', 'value': '€15.00m'}, {'date': 'May 27, 2024', 'age': '29', 'clubName': 'Manchester United', 'clubID': '985', 'value': '€15.00m'}, {'date': 'Dec 16, 2024', 'age': '30', 'clubName': 'Manchester United', 'clubID': '985', 'value': '€10.00m'}, {'date': 'May 30, 2025', 'age': '30', 'clubName': 'Manchester United', 'clubID': '985', 'value': '€8.00m'}, {'date': 'Dec 9, 2025', 'age': '31', 'clubName': 'Aston Villa', 'clubID': '405', 'value': '€6.00m'}]}</t>
  </si>
  <si>
    <t>Sweden</t>
  </si>
  <si>
    <t>Burki</t>
  </si>
  <si>
    <t>{'marketValueHistory': [{'date': '14/02/2008', 'age': '17', 'clubName': 'BSC Young Boys U21', 'clubID': '5508', 'value': '€50k'}, {'date': '12/10/2009', 'age': '18', 'clubName': 'FC Thun', 'clubID': '938', 'value': '€100k'}, {'date': '28/05/2010', 'age': '19', 'clubName': 'FC Schaffhausen', 'clubID': '1277', 'value': '€250k'}, {'date': '01/05/2011', 'age': '20', 'clubName': 'Grasshopper Club Zurich', 'clubID': '504', 'value': '€400k'}, {'date': '15/06/2011', 'age': '20', 'clubName': 'Grasshopper Club Zurich', 'clubID': '504', 'value': '€400k'}, {'date': '02/06/2012', 'age': '21', 'clubName': 'Grasshopper Club Zurich', 'clubID': '504', 'value': '€750k'}, {'date': '29/10/2012', 'age': '21', 'clubName': 'Grasshopper Club Zurich', 'clubID': '504', 'value': '€1.00m'}, {'date': '14/04/2013', 'age': '22', 'clubName': 'Grasshopper Club Zurich', 'clubID': '504', 'value': '€1.25m'}, {'date': '17/06/2013', 'age': '22', 'clubName': 'Grasshopper Club Zurich', 'clubID': '504', 'value': '€1.75m'}, {'date': '26/11/2013', 'age': '23', 'clubName': 'Grasshopper Club Zurich', 'clubID': '504', 'value': '€2.50m'}, {'date': '10/07/2014', 'age': '23', 'clubName': 'SC Freiburg', 'clubID': '60', 'value': '€2.50m'}, {'date': '04/02/2015', 'age': '24', 'clubName': 'SC Freiburg', 'clubID': '60', 'value': '€4.50m'}, {'date': '01/07/2015', 'age': '24', 'clubName': 'Borussia Dortmund', 'clubID': '16', 'value': '€6.00m'}, {'date': '15/02/2016', 'age': '25', 'clubName': 'Borussia Dortmund', 'clubID': '16', 'value': '€6.00m'}, {'date': '01/06/2016', 'age': '25', 'clubName': 'Borussia Dortmund', 'clubID': '16', 'value': '€6.00m'}, {'date': '22/07/2016', 'age': '25', 'clubName': 'Borussia Dortmund', 'clubID': '16', 'value': '€6.00m'}, {'date': '07/02/2017', 'age': '26', 'clubName': 'Borussia Dortmund', 'clubID': '16', 'value': '€7.50m'}, {'date': '19/06/2017', 'age': '26', 'clubName': 'Borussia Dortmund', 'clubID': '16', 'value': '€9.00m'}, {'date': '28/12/2017', 'age': '27', 'clubName': 'Borussia Dortmund', 'clubID': '16', 'value': '€8.00m'}, {'date': '05/06/2018', 'age': '27', 'clubName': 'Borussia Dortmund', 'clubID': '16', 'value': '€7.00m'}, {'date': '22/10/2018', 'age': '27', 'clubName': 'Borussia Dortmund', 'clubID': '16', 'value': '€8.50m'}, {'date': '18/12/2018', 'age': '28', 'clubName': 'Borussia Dortmund', 'clubID': '16', 'value': '€10.00m'}, {'date': '06/03/2019', 'age': '28', 'clubName': 'Borussia Dortmund', 'clubID': '16', 'value': '€14.00m'}, {'date': '05/06/2019', 'age': '28', 'clubName': 'Borussia Dortmund', 'clubID': '16', 'value': '€14.00m'}, {'date': '17/12/2019', 'age': '29', 'clubName': 'Borussia Dortmund', 'clubID': '16', 'value': '€14.00m'}, {'date': '08/04/2020', 'age': '29', 'clubName': 'Borussia Dortmund', 'clubID': '16', 'value': '€11.00m'}, {'date': '10/02/2021', 'age': '30', 'clubName': 'Borussia Dortmund', 'clubID': '16', 'value': '€7.00m'}, {'date': '31/03/2021', 'age': '30', 'clubName': 'Borussia Dortmund', 'clubID': '16', 'value': '€4.00m'}, {'date': '09/06/2021', 'age': '30', 'clubName': 'Borussia Dortmund', 'clubID': '16', 'value': '€4.00m'}, {'date': '07/10/2021', 'age': '30', 'clubName': 'Borussia Dortmund', 'clubID': '16', 'value': '€3.00m'}, {'date': '22/12/2021', 'age': '31', 'clubName': 'Borussia Dortmund', 'clubID': '16', 'value': '€1.80m'}, {'date': '09/06/2022', 'age': '31', 'clubName': 'Borussia Dortmund', 'clubID': '16', 'value': '€1.50m'}, {'date': '31/03/2023', 'age': '32', 'clubName': 'St. Louis CITY SC', 'clubID': '82686', 'value': '€1.50m'}, {'date': '22/08/2023', 'age': '32', 'clubName': 'St. Louis CITY SC', 'clubID': '82686', 'value': '€2.50m'}, {'date': '18/12/2023', 'age': '33', 'clubName': 'St. Louis CITY SC', 'clubID': '82686', 'value': '€2.50m'}, {'date': '13/06/2024', 'age': '33', 'clubName': 'St. Louis CITY SC', 'clubID': '82686', 'value': '€2.50m'}, {'date': '12/12/2024', 'age': '34', 'clubName': 'St. Louis CITY SC', 'clubID': '82686', 'value': '€2.00m'}, {'date': '17/04/2025', 'age': '34', 'clubName': 'St. Louis CITY SC', 'clubID': '82686', 'value': '€1.80m'}, {'date': '05/06/2025', 'age': '34', 'clubName': 'St. Louis CITY SC', 'clubID': '82686', 'value': '€1.50m'}, {'date': '11/12/2025', 'age': '35', 'clubName': 'St. Louis CITY SC', 'clubID': '82686', 'value': '€1.20m'}]}</t>
  </si>
  <si>
    <t>1990-11-14</t>
  </si>
  <si>
    <t>Trippier</t>
  </si>
  <si>
    <t>{'marketValueHistory': [{'date': 'Mar 15, 2010', 'age': '19', 'clubName': 'Manchester City Reserves', 'clubID': '9265', 'value': '€50k'}, {'date': 'Oct 24, 2010', 'age': '20', 'clubName': 'Barnsley FC', 'clubID': '349', 'value': '€250k'}, {'date': 'Feb 7, 2012', 'age': '21', 'clubName': 'Burnley FC', 'clubID': '1132', 'value': '€750k'}, {'date': 'Jun 22, 2012', 'age': '21', 'clubName': 'Burnley FC', 'clubID': '1132', 'value': '€1.25m'}, {'date': 'Mar 2, 2013', 'age': '22', 'clubName': 'Burnley FC', 'clubID': '1132', 'value': '€1.75m'}, {'date': 'Jul 12, 2013', 'age': '22', 'clubName': 'Burnley FC', 'clubID': '1132', 'value': '€2.00m'}, {'date': 'Jan 8, 2014', 'age': '23', 'clubName': 'Burnley FC', 'clubID': '1132', 'value': '€2.10m'}, {'date': 'Aug 10, 2014', 'age': '23', 'clubName': 'Burnley FC', 'clubID': '1132', 'value': '€3.00m'}, {'date': 'Feb 12, 2015', 'age': '24', 'clubName': 'Burnley FC', 'clubID': '1132', 'value': '€3.50m'}, {'date': 'Jul 1, 2015', 'age': '24', 'clubName': 'Tottenham Hotspur', 'clubID': '148', 'value': '€6.00m'}, {'date': 'Feb 9, 2016', 'age': '25', 'clubName': 'Tottenham Hotspur', 'clubID': '148', 'value': '€6.00m'}, {'date': 'Aug 1, 2016', 'age': '25', 'clubName': 'Tottenham Hotspur', 'clubID': '148', 'value': '€6.00m'}, {'date': 'Feb 20, 2017', 'age': '26', 'clubName': 'Tottenham Hotspur', 'clubID': '148', 'value': '€6.00m'}, {'date': 'Jun 28, 2017', 'age': '26', 'clubName': 'Tottenham Hotspur', 'clubID': '148', 'value': '€10.00m'}, {'date': 'Oct 23, 2017', 'age': '27', 'clubName': 'Tottenham Hotspur', 'clubID': '148', 'value': '€12.00m'}, {'date': 'Jan 2, 2018', 'age': '27', 'clubName': 'Tottenham Hotspur', 'clubID': '148', 'value': '€15.00m'}, {'date': 'May 28, 2018', 'age': '27', 'clubName': 'Tottenham Hotspur', 'clubID': '148', 'value': '€20.00m'}, {'date': 'Jul 16, 2018', 'age': '27', 'clubName': 'Tottenham Hotspur', 'clubID': '148', 'value': '€30.00m'}, {'date': 'Oct 17, 2018', 'age': '28', 'clubName': 'Tottenham Hotspur', 'clubID': '148', 'value': '€35.00m'}, {'date': 'Dec 19, 2018', 'age': '28', 'clubName': 'Tottenham Hotspur', 'clubID': '148', 'value': '€35.00m'}, {'date': 'Jun 13, 2019', 'age': '28', 'clubName': 'Tottenham Hotspur', 'clubID': '148', 'value': '€35.00m'}, {'date': 'Dec 20, 2019', 'age': '29', 'clubName': 'Atlético de Madrid', 'clubID': '13', 'value': '€35.00m'}, {'date': 'Apr 8, 2020', 'age': '29', 'clubName': 'Atlético de Madrid', 'clubID': '13', 'value': '€28.00m'}, {'date': 'Oct 8, 2020', 'age': '30', 'clubName': 'Atlético de Madrid', 'clubID': '13', 'value': '€28.00m'}, {'date': 'Nov 23, 2020', 'age': '30', 'clubName': 'Atlético de Madrid', 'clubID': '13', 'value': '€20.00m'}, {'date': 'Jan 5, 2021', 'age': '30', 'clubName': 'Atlético de Madrid', 'clubID': '13', 'value': '€20.00m'}, {'date': 'May 28, 2021', 'age': '30', 'clubName': 'Atlético de Madrid', 'clubID': '13', 'value': '€20.00m'}, {'date': 'Dec 30, 2021', 'age': '31', 'clubName': 'Atlético de Madrid', 'clubID': '13', 'value': '€18.00m'}, {'date': 'Jun 15, 2022', 'age': '31', 'clubName': 'Newcastle United', 'clubID': '762', 'value': '€15.00m'}, {'date': 'Nov 3, 2022', 'age': '32', 'clubName': 'Newcastle United', 'clubID': '762', 'value': '€13.00m'}, {'date': 'Jun 20, 2023', 'age': '32', 'clubName': 'Newcastle United', 'clubID': '762', 'value': '€11.00m'}, {'date': 'Dec 19, 2023', 'age': '33', 'clubName': 'Newcastle United', 'clubID': '762', 'value': '€11.00m'}, {'date': 'May 27, 2024', 'age': '33', 'clubName': 'Newcastle United', 'clubID': '762', 'value': '€10.00m'}, {'date': 'Dec 16, 2024', 'age': '34', 'clubName': 'Newcastle United', 'clubID': '762', 'value': '€8.00m'}, {'date': 'Mar 18, 2025', 'age': '34', 'clubName': 'Newcastle United', 'clubID': '762', 'value': '€5.00m'}, {'date': 'May 30, 2025', 'age': '34', 'clubName': 'Newcastle United', 'clubID': '762', 'value': '€4.00m'}, {'date': 'Dec 9, 2025', 'age': '35', 'clubName': 'Newcastle United', 'clubID': '762', 'value': '€2.50m'}]}</t>
  </si>
  <si>
    <t>1990-09-19</t>
  </si>
  <si>
    <t>Brahimi</t>
  </si>
  <si>
    <t>{'marketValueHistory': [{'date': '02/07/2008', 'age': '18', 'clubName': 'Stade Rennais FC B', 'clubID': '8154', 'value': '€50k'}, {'date': '04/09/2009', 'age': '19', 'clubName': 'Clermont Foot Auvergne 63', 'clubID': '3524', 'value': '€500k'}, {'date': '13/12/2009', 'age': '19', 'clubName': 'Clermont Foot Auvergne 63', 'clubID': '3524', 'value': '€750k'}, {'date': '18/05/2010', 'age': '20', 'clubName': 'Clermont Foot Auvergne 63', 'clubID': '3524', 'value': '€1.50m'}, {'date': '08/09/2010', 'age': '20', 'clubName': 'Stade Rennais FC', 'clubID': '273', 'value': '€3.00m'}, {'date': '28/12/2010', 'age': '20', 'clubName': 'Stade Rennais FC', 'clubID': '273', 'value': '€3.20m'}, {'date': '24/05/2011', 'age': '21', 'clubName': 'Stade Rennais FC', 'clubID': '273', 'value': '€3.20m'}, {'date': '24/12/2011', 'age': '21', 'clubName': 'Stade Rennais FC', 'clubID': '273', 'value': '€3.00m'}, {'date': '23/05/2012', 'age': '22', 'clubName': 'Stade Rennais FC', 'clubID': '273', 'value': '€3.00m'}, {'date': '02/09/2012', 'age': '22', 'clubName': 'Granada CF', 'clubID': '16795', 'value': '€3.00m'}, {'date': '11/01/2013', 'age': '22', 'clubName': 'Granada CF', 'clubID': '16795', 'value': '€3.00m'}, {'date': '12/06/2013', 'age': '23', 'clubName': 'Granada CF', 'clubID': '16795', 'value': '€4.00m'}, {'date': '23/01/2014', 'age': '23', 'clubName': 'Granada CF', 'clubID': '16795', 'value': '€4.00m'}, {'date': '30/09/2014', 'age': '24', 'clubName': 'FC Porto', 'clubID': '720', 'value': '€7.50m'}, {'date': '17/02/2015', 'age': '25', 'clubName': 'FC Porto', 'clubID': '720', 'value': '€16.00m'}, {'date': '01/07/2015', 'age': '25', 'clubName': 'FC Porto', 'clubID': '720', 'value': '€18.50m'}, {'date': '07/10/2015', 'age': '25', 'clubName': 'FC Porto', 'clubID': '720', 'value': '€22.00m'}, {'date': '24/02/2016', 'age': '26', 'clubName': 'FC Porto', 'clubID': '720', 'value': '€22.00m'}, {'date': '29/07/2016', 'age': '26', 'clubName': 'FC Porto', 'clubID': '720', 'value': '€20.00m'}, {'date': '22/02/2017', 'age': '27', 'clubName': 'FC Porto', 'clubID': '720', 'value': '€18.00m'}, {'date': '26/06/2017', 'age': '27', 'clubName': 'FC Porto', 'clubID': '720', 'value': '€18.00m'}, {'date': '06/11/2017', 'age': '27', 'clubName': 'FC Porto', 'clubID': '720', 'value': '€20.00m'}, {'date': '07/02/2018', 'age': '27', 'clubName': 'FC Porto', 'clubID': '720', 'value': '€25.00m'}, {'date': '13/06/2018', 'age': '28', 'clubName': 'FC Porto', 'clubID': '720', 'value': '€26.00m'}, {'date': '11/01/2019', 'age': '28', 'clubName': 'FC Porto', 'clubID': '720', 'value': '€26.00m'}, {'date': '07/06/2019', 'age': '29', 'clubName': 'FC Porto', 'clubID': '720', 'value': '€21.00m'}, {'date': '04/04/2020', 'age': '30', 'clubName': 'Al-Rayyan SC', 'clubID': '3229', 'value': '€16.00m'}, {'date': '08/04/2020', 'age': '30', 'clubName': 'Al-Rayyan SC', 'clubID': '3229', 'value': '€13.00m'}, {'date': '31/12/2020', 'age': '30', 'clubName': 'Al-Rayyan SC', 'clubID': '3229', 'value': '€10.00m'}, {'date': '13/08/2021', 'age': '31', 'clubName': 'Al-Rayyan SC', 'clubID': '3229', 'value': '€8.00m'}, {'date': '31/12/2021', 'age': '31', 'clubName': 'Al-Rayyan SC', 'clubID': '3229', 'value': '€6.00m'}, {'date': '25/05/2022', 'age': '32', 'clubName': 'Al-Rayyan SC', 'clubID': '3229', 'value': '€5.00m'}, {'date': '06/11/2022', 'age': '32', 'clubName': 'Al-Gharafa SC', 'clubID': '6297', 'value': '€3.00m'}, {'date': '30/05/2023', 'age': '33', 'clubName': 'Al-Gharafa SC', 'clubID': '6297', 'value': '€2.80m'}, {'date': '27/11/2023', 'age': '33', 'clubName': 'Al-Gharafa SC', 'clubID': '6297', 'value': '€2.80m'}, {'date': '02/05/2024', 'age': '34', 'clubName': 'Al-Gharafa SC', 'clubID': '6297', 'value': '€2.80m'}, {'date': '10/12/2024', 'age': '34', 'clubName': 'Al-Gharafa SC', 'clubID': '6297', 'value': '€2.50m'}, {'date': '28/05/2025', 'age': '35', 'clubName': 'Al-Gharafa SC', 'clubID': '6297', 'value': '€2.00m'}, {'date': '30/12/2025', 'age': '35', 'clubName': 'Al-Gharafa SC', 'clubID': '6297', 'value': '€1.80m'}]}</t>
  </si>
  <si>
    <t>1990-02-08</t>
  </si>
  <si>
    <t>Diallo</t>
  </si>
  <si>
    <t>{'marketValueHistory': [{'date': 'Oct 29, 2020', 'age': '18', 'clubName': 'Atalanta BC', 'clubID': '800', 'value': '€15.00m'}, {'date': 'Dec 29, 2020', 'age': '18', 'clubName': 'Atalanta BC', 'clubID': '800', 'value': '€15.00m'}, {'date': 'Mar 18, 2021', 'age': '18', 'clubName': 'Manchester United', 'clubID': '985', 'value': '€15.00m'}, {'date': 'Jun 8, 2021', 'age': '18', 'clubName': 'Manchester United', 'clubID': '985', 'value': '€18.00m'}, {'date': 'Dec 23, 2021', 'age': '19', 'clubName': 'Manchester United', 'clubID': '985', 'value': '€18.00m'}, {'date': 'Jun 15, 2022', 'age': '19', 'clubName': 'Manchester United', 'clubID': '985', 'value': '€15.00m'}, {'date': 'Sep 14, 2022', 'age': '20', 'clubName': 'Sunderland AFC', 'clubID': '289', 'value': '€10.00m'}, {'date': 'Oct 27, 2022', 'age': '20', 'clubName': 'Sunderland AFC', 'clubID': '289', 'value': '€7.00m'}, {'date': 'Mar 24, 2023', 'age': '20', 'clubName': 'Sunderland AFC', 'clubID': '289', 'value': '€13.00m'}, {'date': 'Jun 1, 2023', 'age': '20', 'clubName': 'Manchester United', 'clubID': '985', 'value': '€18.00m'}, {'date': 'Dec 19, 2023', 'age': '21', 'clubName': 'Manchester United', 'clubID': '985', 'value': '€18.00m'}, {'date': 'May 27, 2024', 'age': '21', 'clubName': 'Manchester United', 'clubID': '985', 'value': '€18.00m'}, {'date': 'Oct 1, 2024', 'age': '22', 'clubName': 'Manchester United', 'clubID': '985', 'value': '€22.00m'}, {'date': 'Dec 16, 2024', 'age': '22', 'clubName': 'Manchester United', 'clubID': '985', 'value': '€25.00m'}, {'date': 'Mar 18, 2025', 'age': '22', 'clubName': 'Manchester United', 'clubID': '985', 'value': '€40.00m'}, {'date': 'May 30, 2025', 'age': '22', 'clubName': 'Manchester United', 'clubID': '985', 'value': '€45.00m'}, {'date': 'Oct 17, 2025', 'age': '23', 'clubName': 'Manchester United', 'clubID': '985', 'value': '€40.00m'}, {'date': 'Dec 9, 2025', 'age': '23', 'clubName': 'Manchester United', 'clubID': '985', 'value': '€50.00m'}]}</t>
  </si>
  <si>
    <t>Ivory Coast</t>
  </si>
  <si>
    <t>2002-07-11</t>
  </si>
  <si>
    <t>Depay</t>
  </si>
  <si>
    <t>{'marketValueHistory': [{'date': '29/09/2011', 'age': '17', 'clubName': 'PSV Eindhoven U19', 'clubID': '32801', 'value': '€100k'}, {'date': '11/07/2012', 'age': '18', 'clubName': 'PSV Eindhoven', 'clubID': '383', 'value': '€1.00m'}, {'date': '11/01/2013', 'age': '18', 'clubName': 'PSV Eindhoven', 'clubID': '383', 'value': '€1.50m'}, {'date': '28/05/2013', 'age': '19', 'clubName': 'PSV Eindhoven', 'clubID': '383', 'value': '€2.50m'}, {'date': '11/02/2014', 'age': '19', 'clubName': 'PSV Eindhoven', 'clubID': '383', 'value': '€5.00m'}, {'date': '11/08/2014', 'age': '20', 'clubName': 'PSV Eindhoven', 'clubID': '383', 'value': '€12.00m'}, {'date': '16/02/2015', 'age': '21', 'clubName': 'PSV Eindhoven', 'clubID': '383', 'value': '€15.00m'}, {'date': '04/05/2015', 'age': '21', 'clubName': 'PSV Eindhoven', 'clubID': '383', 'value': '€20.00m'}, {'date': '01/07/2015', 'age': '21', 'clubName': 'Manchester United', 'clubID': '985', 'value': '€28.00m'}, {'date': '09/02/2016', 'age': '21', 'clubName': 'Manchester United', 'clubID': '985', 'value': '€25.00m'}, {'date': '01/08/2016', 'age': '22', 'clubName': 'Manchester United', 'clubID': '985', 'value': '€25.00m'}, {'date': '01/06/2017', 'age': '23', 'clubName': 'Olympique Lyon', 'clubID': '1041', 'value': '€19.00m'}, {'date': '24/01/2018', 'age': '23', 'clubName': 'Olympique Lyon', 'clubID': '1041', 'value': '€28.00m'}, {'date': '04/06/2018', 'age': '24', 'clubName': 'Olympique Lyon', 'clubID': '1041', 'value': '€45.00m'}, {'date': '17/12/2018', 'age': '24', 'clubName': 'Olympique Lyon', 'clubID': '1041', 'value': '€50.00m'}, {'date': '03/06/2019', 'age': '25', 'clubName': 'Olympique Lyon', 'clubID': '1041', 'value': '€45.00m'}, {'date': '19/12/2019', 'age': '25', 'clubName': 'Olympique Lyon', 'clubID': '1041', 'value': '€55.00m'}, {'date': '08/04/2020', 'age': '26', 'clubName': 'Olympique Lyon', 'clubID': '1041', 'value': '€44.00m'}, {'date': '15/10/2020', 'age': '26', 'clubName': 'Olympique Lyon', 'clubID': '1041', 'value': '€45.00m'}, {'date': '27/05/2021', 'age': '27', 'clubName': 'Olympique Lyon', 'clubID': '1041', 'value': '€45.00m'}, {'date': '30/12/2021', 'age': '27', 'clubName': 'FC Barcelona', 'clubID': '131', 'value': '€45.00m'}, {'date': '03/06/2022', 'age': '28', 'clubName': 'FC Barcelona', 'clubID': '131', 'value': '€35.00m'}, {'date': '23/09/2022', 'age': '28', 'clubName': 'FC Barcelona', 'clubID': '131', 'value': '€25.00m'}, {'date': '07/11/2022', 'age': '28', 'clubName': 'FC Barcelona', 'clubID': '131', 'value': '€20.00m'}, {'date': '23/03/2023', 'age': '29', 'clubName': 'Atlético de Madrid', 'clubID': '13', 'value': '€16.00m'}, {'date': '13/06/2023', 'age': '29', 'clubName': 'Atlético de Madrid', 'clubID': '13', 'value': '€14.00m'}, {'date': '22/12/2023', 'age': '29', 'clubName': 'Atlético de Madrid', 'clubID': '13', 'value': '€12.00m'}, {'date': '07/06/2024', 'age': '30', 'clubName': 'Atlético de Madrid', 'clubID': '13', 'value': '€10.00m'}, {'date': '09/12/2024', 'age': '30', 'clubName': 'Sport Club Corinthians Paulista', 'clubID': '199', 'value': '€10.00m'}, {'date': '06/06/2025', 'age': '31', 'clubName': 'Sport Club Corinthians Paulista', 'clubID': '199', 'value': '€10.00m'}, {'date': '05/09/2025', 'age': '31', 'clubName': 'Sport Club Corinthians Paulista', 'clubID': '199', 'value': '€9.00m'}, {'date': '10/12/2025', 'age': '31', 'clubName': 'Sport Club Corinthians Paulista', 'clubID': '199', 'value': '€8.00m'}]}</t>
  </si>
  <si>
    <t>Ghana</t>
  </si>
  <si>
    <t>1994-02-13</t>
  </si>
  <si>
    <t>Florenzi</t>
  </si>
  <si>
    <t>{'marketValueHistory': [{'date': 'Nov 18, 2009', 'age': '18', 'clubName': 'Roma U19', 'clubID': '12', 'value': '€50k'}, {'date': 'Jun 15, 2011', 'age': '20', 'clubName': 'Roma U19', 'clubID': '12', 'value': '€125k'}, {'date': 'Jan 1, 2012', 'age': '20', 'clubName': 'FC Crotone', 'clubID': '4083', 'value': '€400k'}, {'date': 'Jun 8, 2012', 'age': '21', 'clubName': 'FC Crotone', 'clubID': '4083', 'value': '€1.50m'}, {'date': 'Nov 7, 2012', 'age': '21', 'clubName': 'AS Roma', 'clubID': '12', 'value': '€4.00m'}, {'date': 'Jan 14, 2013', 'age': '21', 'clubName': 'AS Roma', 'clubID': '12', 'value': '€6.00m'}, {'date': 'Jun 19, 2013', 'age': '22', 'clubName': 'AS Roma', 'clubID': '12', 'value': '€7.50m'}, {'date': 'Nov 11, 2013', 'age': '22', 'clubName': 'AS Roma', 'clubID': '12', 'value': '€12.00m'}, {'date': 'Jan 7, 2014', 'age': '22', 'clubName': 'AS Roma', 'clubID': '12', 'value': '€12.00m'}, {'date': 'Jul 1, 2014', 'age': '23', 'clubName': 'AS Roma', 'clubID': '12', 'value': '€14.00m'}, {'date': 'Jan 7, 2015', 'age': '23', 'clubName': 'AS Roma', 'clubID': '12', 'value': '€14.00m'}, {'date': 'Jul 1, 2015', 'age': '24', 'clubName': 'AS Roma', 'clubID': '12', 'value': '€18.00m'}, {'date': 'Nov 5, 2015', 'age': '24', 'clubName': 'AS Roma', 'clubID': '12', 'value': '€20.00m'}, {'date': 'Jan 4, 2016', 'age': '24', 'clubName': 'AS Roma', 'clubID': '12', 'value': '€20.00m'}, {'date': 'Jun 1, 2016', 'age': '25', 'clubName': 'AS Roma', 'clubID': '12', 'value': '€20.00m'}, {'date': 'Jul 15, 2016', 'age': '25', 'clubName': 'AS Roma', 'clubID': '12', 'value': '€22.00m'}, {'date': 'Jan 2, 2017', 'age': '25', 'clubName': 'AS Roma', 'clubID': '12', 'value': '€22.00m'}, {'date': 'Mar 28, 2017', 'age': '26', 'clubName': 'AS Roma', 'clubID': '12', 'value': '€20.00m'}, {'date': 'Jun 8, 2017', 'age': '26', 'clubName': 'AS Roma', 'clubID': '12', 'value': '€20.00m'}, {'date': 'Dec 29, 2017', 'age': '26', 'clubName': 'AS Roma', 'clubID': '12', 'value': '€25.00m'}, {'date': 'Jun 7, 2018', 'age': '27', 'clubName': 'AS Roma', 'clubID': '12', 'value': '€30.00m'}, {'date': 'Dec 20, 2018', 'age': '27', 'clubName': 'AS Roma', 'clubID': '12', 'value': '€30.00m'}, {'date': 'Jun 6, 2019', 'age': '28', 'clubName': 'AS Roma', 'clubID': '12', 'value': '€25.00m'}, {'date': 'Dec 12, 2019', 'age': '28', 'clubName': 'AS Roma', 'clubID': '12', 'value': '€20.00m'}, {'date': 'Apr 8, 2020', 'age': '29', 'clubName': 'Valencia CF', 'clubID': '1049', 'value': '€16.00m'}, {'date': 'Aug 25, 2020', 'age': '29', 'clubName': 'AS Roma', 'clubID': '12', 'value': '€10.00m'}, {'date': 'Oct 15, 2020', 'age': '29', 'clubName': 'Paris Saint-Germain', 'clubID': '583', 'value': '€12.00m'}, {'date': 'Jan 7, 2021', 'age': '29', 'clubName': 'Paris Saint-Germain', 'clubID': '583', 'value': '€15.00m'}, {'date': 'May 25, 2021', 'age': '30', 'clubName': 'Paris Saint-Germain', 'clubID': '583', 'value': '€13.00m'}, {'date': 'Oct 14, 2021', 'age': '30', 'clubName': 'AC Milan', 'clubID': '5', 'value': '€8.00m'}, {'date': 'Dec 28, 2021', 'age': '30', 'clubName': 'AC Milan', 'clubID': '5', 'value': '€7.00m'}, {'date': 'Jun 7, 2022', 'age': '31', 'clubName': 'AC Milan', 'clubID': '5', 'value': '€5.50m'}, {'date': 'Sep 27, 2022', 'age': '31', 'clubName': 'AC Milan', 'clubID': '5', 'value': '€3.50m'}, {'date': 'Nov 11, 2022', 'age': '31', 'clubName': 'AC Milan', 'clubID': '5', 'value': '€2.50m'}, {'date': 'Jun 15, 2023', 'age': '32', 'clubName': 'AC Milan', 'clubID': '5', 'value': '€2.00m'}, {'date': 'Dec 20, 2023', 'age': '32', 'clubName': 'AC Milan', 'clubID': '5', 'value': '€2.00m'}, {'date': 'Jun 5, 2024', 'age': '33', 'clubName': 'AC Milan', 'clubID': '5', 'value': '€2.00m'}, {'date': 'Dec 18, 2024', 'age': '33', 'clubName': 'AC Milan', 'clubID': '5', 'value': '€1.50m'}, {'date': 'Jun 17, 2025', 'age': '34', 'clubName': 'AC Milan', 'clubID': '5', 'value': '€1.00m'}, {'date': 'Aug 27, 2025', 'age': '34', 'clubName': 'Retired', 'clubID': '123', 'value': '-'}]}</t>
  </si>
  <si>
    <t>1991-03-11</t>
  </si>
  <si>
    <t>Thiago Silva</t>
  </si>
  <si>
    <t>{'marketValueHistory': [{'date': '04/02/2005', 'age': '20', 'clubName': 'Dinamo Moscow', 'clubID': '121', 'value': '€3.50m'}, {'date': '04/10/2007', 'age': '23', 'clubName': 'Fluminense Football Club', 'clubID': '2462', 'value': '€1.80m'}, {'date': '04/02/2008', 'age': '23', 'clubName': 'Fluminense Football Club', 'clubID': '2462', 'value': '€3.00m'}, {'date': '26/04/2008', 'age': '23', 'clubName': 'Fluminense Football Club', 'clubID': '2462', 'value': '€5.00m'}, {'date': '15/07/2008', 'age': '23', 'clubName': 'Fluminense Football Club', 'clubID': '2462', 'value': '€6.00m'}, {'date': '12/12/2008', 'age': '24', 'clubName': 'Fluminense Football Club', 'clubID': '2462', 'value': '€7.50m'}, {'date': '06/02/2009', 'age': '24', 'clubName': 'AC Milan', 'clubID': '5', 'value': '€9.00m'}, {'date': '27/01/2010', 'age': '25', 'clubName': 'AC Milan', 'clubID': '5', 'value': '€14.50m'}, {'date': '09/05/2010', 'age': '25', 'clubName': 'AC Milan', 'clubID': '5', 'value': '€15.50m'}, {'date': '02/08/2010', 'age': '25', 'clubName': 'AC Milan', 'clubID': '5', 'value': '€18.50m'}, {'date': '20/01/2011', 'age': '26', 'clubName': 'AC Milan', 'clubID': '5', 'value': '€23.00m'}, {'date': '21/06/2011', 'age': '26', 'clubName': 'AC Milan', 'clubID': '5', 'value': '€30.00m'}, {'date': '12/01/2012', 'age': '27', 'clubName': 'AC Milan', 'clubID': '5', 'value': '€32.00m'}, {'date': '08/06/2012', 'age': '27', 'clubName': 'AC Milan', 'clubID': '5', 'value': '€38.00m'}, {'date': '07/01/2013', 'age': '28', 'clubName': 'Paris Saint-Germain', 'clubID': '583', 'value': '€40.00m'}, {'date': '30/05/2013', 'age': '28', 'clubName': 'Paris Saint-Germain', 'clubID': '583', 'value': '€40.00m'}, {'date': '14/01/2014', 'age': '29', 'clubName': 'Paris Saint-Germain', 'clubID': '583', 'value': '€40.00m'}, {'date': '01/08/2014', 'age': '29', 'clubName': 'Paris Saint-Germain', 'clubID': '583', 'value': '€40.00m'}, {'date': '14/01/2015', 'age': '30', 'clubName': 'Paris Saint-Germain', 'clubID': '583', 'value': '€35.00m'}, {'date': '06/06/2015', 'age': '30', 'clubName': 'Paris Saint-Germain', 'clubID': '583', 'value': '€30.00m'}, {'date': '06/09/2015', 'age': '30', 'clubName': 'Paris Saint-Germain', 'clubID': '583', 'value': '€25.00m'}, {'date': '04/02/2016', 'age': '31', 'clubName': 'Paris Saint-Germain', 'clubID': '583', 'value': '€20.00m'}, {'date': '13/07/2016', 'age': '31', 'clubName': 'Paris Saint-Germain', 'clubID': '583', 'value': '€16.00m'}, {'date': '16/01/2017', 'age': '32', 'clubName': 'Paris Saint-Germain', 'clubID': '583', 'value': '€16.00m'}, {'date': '01/06/2017', 'age': '32', 'clubName': 'Paris Saint-Germain', 'clubID': '583', 'value': '€12.00m'}, {'date': '24/01/2018', 'age': '33', 'clubName': 'Paris Saint-Germain', 'clubID': '583', 'value': '€10.00m'}, {'date': '04/06/2018', 'age': '33', 'clubName': 'Paris Saint-Germain', 'clubID': '583', 'value': '€10.00m'}, {'date': '17/12/2018', 'age': '34', 'clubName': 'Paris Saint-Germain', 'clubID': '583', 'value': '€10.00m'}, {'date': '03/06/2019', 'age': '34', 'clubName': 'Paris Saint-Germain', 'clubID': '583', 'value': '€10.00m'}, {'date': '27/09/2019', 'age': '35', 'clubName': 'Paris Saint-Germain', 'clubID': '583', 'value': '€6.00m'}, {'date': '19/12/2019', 'age': '35', 'clubName': 'Paris Saint-Germain', 'clubID': '583', 'value': '€6.00m'}, {'date': '08/04/2020', 'age': '35', 'clubName': 'Paris Saint-Germain', 'clubID': '583', 'value': '€4.80m'}, {'date': '13/10/2020', 'age': '36', 'clubName': 'Chelsea FC', 'clubID': '631', 'value': '€4.50m'}, {'date': '18/03/2021', 'age': '36', 'clubName': 'Chelsea FC', 'clubID': '631', 'value': '€3.50m'}, {'date': '08/06/2021', 'age': '36', 'clubName': 'Chelsea FC', 'clubID': '631', 'value': '€3.00m'}, {'date': '23/12/2021', 'age': '37', 'clubName': 'Chelsea FC', 'clubID': '631', 'value': '€2.50m'}, {'date': '15/06/2022', 'age': '37', 'clubName': 'Chelsea FC', 'clubID': '631', 'value': '€2.50m'}, {'date': '03/11/2022', 'age': '38', 'clubName': 'Chelsea FC', 'clubID': '631', 'value': '€2.50m'}, {'date': '20/06/2023', 'age': '38', 'clubName': 'Chelsea FC', 'clubID': '631', 'value': '€2.00m'}, {'date': '19/12/2023', 'age': '39', 'clubName': 'Chelsea FC', 'clubID': '631', 'value': '€2.00m'}, {'date': '27/05/2024', 'age': '39', 'clubName': 'Chelsea FC', 'clubID': '631', 'value': '€1.00m'}, {'date': '09/12/2024', 'age': '40', 'clubName': 'Fluminense Football Club', 'clubID': '2462', 'value': '€800k'}, {'date': '06/06/2025', 'age': '40', 'clubName': 'Fluminense Football Club', 'clubID': '2462', 'value': '€700k'}, {'date': '10/12/2025', 'age': '41', 'clubName': 'Fluminense Football Club', 'clubID': '2462', 'value': '€600k'}]}</t>
  </si>
  <si>
    <t>1984-09-22</t>
  </si>
  <si>
    <t>Nzonzi</t>
  </si>
  <si>
    <t>{'marketValueHistory': [{'date': 'Aug 10, 2008', 'age': '19', 'clubName': 'Amiens SC', 'clubID': '1416', 'value': '€200k'}, {'date': 'Dec 13, 2008', 'age': '19', 'clubName': 'Amiens SC', 'clubID': '1416', 'value': '€400k'}, {'date': 'Jun 3, 2009', 'age': '20', 'clubName': 'Amiens SC', 'clubID': '1416', 'value': '€700k'}, {'date': 'Jan 24, 2010', 'age': '21', 'clubName': 'Blackburn Rovers', 'clubID': '164', 'value': '€3.00m'}, {'date': 'Aug 13, 2010', 'age': '21', 'clubName': 'Blackburn Rovers', 'clubID': '164', 'value': '€4.00m'}, {'date': 'Feb 1, 2011', 'age': '22', 'clubName': 'Blackburn Rovers', 'clubID': '164', 'value': '€4.00m'}, {'date': 'Aug 8, 2011', 'age': '22', 'clubName': 'Blackburn Rovers', 'clubID': '164', 'value': '€5.00m'}, {'date': 'Feb 6, 2012', 'age': '23', 'clubName': 'Blackburn Rovers', 'clubID': '164', 'value': '€5.00m'}, {'date': 'Jun 24, 2012', 'age': '23', 'clubName': 'Blackburn Rovers', 'clubID': '164', 'value': '€4.50m'}, {'date': 'Sep 9, 2012', 'age': '23', 'clubName': 'Stoke City', 'clubID': '512', 'value': '€6.00m'}, {'date': 'Jan 28, 2013', 'age': '24', 'clubName': 'Stoke City', 'clubID': '512', 'value': '€7.00m'}, {'date': 'Jul 2, 2013', 'age': '24', 'clubName': 'Stoke City', 'clubID': '512', 'value': '€6.00m'}, {'date': 'Jan 15, 2014', 'age': '25', 'clubName': 'Stoke City', 'clubID': '512', 'value': '€6.00m'}, {'date': 'Aug 12, 2014', 'age': '25', 'clubName': 'Stoke City', 'clubID': '512', 'value': '€6.00m'}, {'date': 'Feb 12, 2015', 'age': '26', 'clubName': 'Stoke City', 'clubID': '512', 'value': '€6.50m'}, {'date': 'Jul 1, 2015', 'age': '26', 'clubName': 'Stoke City', 'clubID': '512', 'value': '€7.50m'}, {'date': 'Jul 15, 2015', 'age': '26', 'clubName': 'Sevilla FC', 'clubID': '368', 'value': '€10.00m'}, {'date': 'Feb 22, 2016', 'age': '27', 'clubName': 'Sevilla FC', 'clubID': '368', 'value': '€12.00m'}, {'date': 'Jul 15, 2016', 'age': '27', 'clubName': 'Sevilla FC', 'clubID': '368', 'value': '€20.00m'}, {'date': 'Jan 24, 2017', 'age': '28', 'clubName': 'Sevilla FC', 'clubID': '368', 'value': '€25.00m'}, {'date': 'Jun 5, 2017', 'age': '28', 'clubName': 'Sevilla FC', 'clubID': '368', 'value': '€30.00m'}, {'date': 'Jan 1, 2018', 'age': '29', 'clubName': 'Sevilla FC', 'clubID': '368', 'value': '€30.00m'}, {'date': 'May 30, 2018', 'age': '29', 'clubName': 'Sevilla FC', 'clubID': '368', 'value': '€30.00m'}, {'date': 'Dec 20, 2018', 'age': '30', 'clubName': 'AS Roma', 'clubID': '12', 'value': '€28.00m'}, {'date': 'Jun 6, 2019', 'age': '30', 'clubName': 'AS Roma', 'clubID': '12', 'value': '€23.00m'}, {'date': 'Oct 4, 2019', 'age': '30', 'clubName': 'Galatasaray', 'clubID': '141', 'value': '€19.00m'}, {'date': 'Jan 3, 2020', 'age': '31', 'clubName': 'Galatasaray', 'clubID': '141', 'value': '€13.50m'}, {'date': 'Apr 8, 2020', 'age': '31', 'clubName': 'Stade Rennais FC', 'clubID': '273', 'value': '€11.00m'}, {'date': 'Oct 12, 2020', 'age': '31', 'clubName': 'Stade Rennais FC', 'clubID': '273', 'value': '€12.00m'}, {'date': 'Jan 7, 2021', 'age': '32', 'clubName': 'Stade Rennais FC', 'clubID': '273', 'value': '€10.00m'}, {'date': 'Jun 4, 2021', 'age': '32', 'clubName': 'Stade Rennais FC', 'clubID': '273', 'value': '€8.00m'}, {'date': 'Jan 10, 2022', 'age': '33', 'clubName': 'Al-Rayyan SC', 'clubID': '3229', 'value': '€6.00m'}, {'date': 'May 25, 2022', 'age': '33', 'clubName': 'Al-Rayyan SC', 'clubID': '3229', 'value': '€5.00m'}, {'date': 'Nov 10, 2022', 'age': '33', 'clubName': 'Al-Rayyan SC', 'clubID': '3229', 'value': '€4.00m'}, {'date': 'May 30, 2023', 'age': '34', 'clubName': 'Al-Rayyan SC', 'clubID': '3229', 'value': '€3.00m'}, {'date': 'Sep 27, 2023', 'age': '34', 'clubName': 'Konyaspor', 'clubID': '2293', 'value': '€2.00m'}, {'date': 'Dec 21, 2023', 'age': '35', 'clubName': 'Konyaspor', 'clubID': '2293', 'value': '€1.40m'}, {'date': 'Mar 15, 2024', 'age': '35', 'clubName': 'Konyaspor', 'clubID': '2293', 'value': '€1.00m'}, {'date': 'May 31, 2024', 'age': '35', 'clubName': 'Konyaspor', 'clubID': '2293', 'value': '€900k'}, {'date': 'Dec 23, 2024', 'age': '36', 'clubName': 'Sepahan FC', 'clubID': '4947', 'value': '€750k'}, {'date': 'May 16, 2025', 'age': '36', 'clubName': 'Sepahan FC', 'clubID': '4947', 'value': '€700k'}, {'date': 'Dec 3, 2025', 'age': '36', 'clubName': 'Stoke City', 'clubID': '512', 'value': '€500k'}]}</t>
  </si>
  <si>
    <t>1988-12-15</t>
  </si>
  <si>
    <t>Rodri</t>
  </si>
  <si>
    <t>{'marketValueHistory': [{'date': '01/08/2016', 'age': '20', 'clubName': 'Villarreal CF', 'clubID': '1050', 'value': '€500k'}, {'date': '24/01/2017', 'age': '20', 'clubName': 'Villarreal CF', 'clubID': '1050', 'value': '€1.50m'}, {'date': '05/06/2017', 'age': '20', 'clubName': 'Villarreal CF', 'clubID': '1050', 'value': '€2.50m'}, {'date': '01/01/2018', 'age': '21', 'clubName': 'Villarreal CF', 'clubID': '1050', 'value': '€20.00m'}, {'date': '30/05/2018', 'age': '21', 'clubName': 'Villarreal CF', 'clubID': '1050', 'value': '€25.00m'}, {'date': '31/10/2018', 'age': '22', 'clubName': 'Atlético de Madrid', 'clubID': '13', 'value': '€40.00m'}, {'date': '21/12/2018', 'age': '22', 'clubName': 'Atlético de Madrid', 'clubID': '13', 'value': '€50.00m'}, {'date': '28/02/2019', 'age': '22', 'clubName': 'Atlético de Madrid', 'clubID': '13', 'value': '€60.00m'}, {'date': '11/06/2019', 'age': '22', 'clubName': 'Atlético de Madrid', 'clubID': '13', 'value': '€80.00m'}, {'date': '10/12/2019', 'age': '23', 'clubName': 'Manchester City', 'clubID': '281', 'value': '€80.00m'}, {'date': '08/04/2020', 'age': '23', 'clubName': 'Manchester City', 'clubID': '281', 'value': '€64.00m'}, {'date': '13/10/2020', 'age': '24', 'clubName': 'Manchester City', 'clubID': '281', 'value': '€64.00m'}, {'date': '18/03/2021', 'age': '24', 'clubName': 'Manchester City', 'clubID': '281', 'value': '€70.00m'}, {'date': '31/05/2021', 'age': '24', 'clubName': 'Manchester City', 'clubID': '281', 'value': '€70.00m'}, {'date': '23/12/2021', 'age': '25', 'clubName': 'Manchester City', 'clubID': '281', 'value': '€70.00m'}, {'date': '15/06/2022', 'age': '25', 'clubName': 'Manchester City', 'clubID': '281', 'value': '€80.00m'}, {'date': '03/11/2022', 'age': '26', 'clubName': 'Manchester City', 'clubID': '281', 'value': '€80.00m'}, {'date': '20/06/2023', 'age': '26', 'clubName': 'Manchester City', 'clubID': '281', 'value': '€90.00m'}, {'date': '09/10/2023', 'age': '27', 'clubName': 'Manchester City', 'clubID': '281', 'value': '€100.00m'}, {'date': '19/12/2023', 'age': '27', 'clubName': 'Manchester City', 'clubID': '281', 'value': '€110.00m'}, {'date': '27/05/2024', 'age': '27', 'clubName': 'Manchester City', 'clubID': '281', 'value': '€120.00m'}, {'date': '18/07/2024', 'age': '28', 'clubName': 'Manchester City', 'clubID': '281', 'value': '€130.00m'}, {'date': '16/12/2024', 'age': '28', 'clubName': 'Manchester City', 'clubID': '281', 'value': '€130.00m'}, {'date': '30/05/2025', 'age': '28', 'clubName': 'Manchester City', 'clubID': '281', 'value': '€110.00m'}, {'date': '17/10/2025', 'age': '29', 'clubName': 'Manchester City', 'clubID': '281', 'value': '€90.00m'}, {'date': '09/12/2025', 'age': '29', 'clubName': 'Manchester City', 'clubID': '281', 'value': '€75.00m'}, {'date': '09/03/2026', 'age': '29', 'clubName': 'Manchester City', 'clubID': '281', 'value': '€65.00m'}]}</t>
  </si>
  <si>
    <t>1996-06-22</t>
  </si>
  <si>
    <t>Verratti</t>
  </si>
  <si>
    <t>{'marketValueHistory': [{'date': 'Sep 11, 2009', 'age': '16', 'clubName': 'Delfino Pescara 1936', 'clubID': '2921', 'value': '€100k'}, {'date': 'Mar 30, 2010', 'age': '17', 'clubName': 'Delfino Pescara 1936', 'clubID': '2921', 'value': '€500k'}, {'date': 'Apr 7, 2010', 'age': '17', 'clubName': 'Delfino Pescara 1936', 'clubID': '2921', 'value': '€400k'}, {'date': 'Oct 6, 2010', 'age': '17', 'clubName': 'Delfino Pescara 1936', 'clubID': '2921', 'value': '€900k'}, {'date': 'Feb 8, 2011', 'age': '18', 'clubName': 'Delfino Pescara 1936', 'clubID': '2921', 'value': '€1.00m'}, {'date': 'Jun 7, 2011', 'age': '18', 'clubName': 'Delfino Pescara 1936', 'clubID': '2921', 'value': '€1.40m'}, {'date': 'Mar 14, 2012', 'age': '19', 'clubName': 'Delfino Pescara 1936', 'clubID': '2921', 'value': '€2.00m'}, {'date': 'May 14, 2012', 'age': '19', 'clubName': 'Delfino Pescara 1936', 'clubID': '2921', 'value': '€6.50m'}, {'date': 'Jun 6, 2012', 'age': '19', 'clubName': 'Delfino Pescara 1936', 'clubID': '2921', 'value': '€10.00m'}, {'date': 'Jul 25, 2012', 'age': '19', 'clubName': 'Paris Saint-Germain', 'clubID': '583', 'value': '€11.00m'}, {'date': 'Jan 7, 2013', 'age': '20', 'clubName': 'Paris Saint-Germain', 'clubID': '583', 'value': '€12.00m'}, {'date': 'May 30, 2013', 'age': '20', 'clubName': 'Paris Saint-Germain', 'clubID': '583', 'value': '€14.00m'}, {'date': 'Jun 12, 2013', 'age': '20', 'clubName': 'Paris Saint-Germain', 'clubID': '583', 'value': '€15.00m'}, {'date': 'Jan 14, 2014', 'age': '21', 'clubName': 'Paris Saint-Germain', 'clubID': '583', 'value': '€20.00m'}, {'date': 'Aug 1, 2014', 'age': '21', 'clubName': 'Paris Saint-Germain', 'clubID': '583', 'value': '€24.00m'}, {'date': 'Nov 20, 2014', 'age': '22', 'clubName': 'Paris Saint-Germain', 'clubID': '583', 'value': '€30.00m'}, {'date': 'Jan 14, 2015', 'age': '22', 'clubName': 'Paris Saint-Germain', 'clubID': '583', 'value': '€30.00m'}, {'date': 'Jun 6, 2015', 'age': '22', 'clubName': 'Paris Saint-Germain', 'clubID': '583', 'value': '€40.00m'}, {'date': 'Feb 4, 2016', 'age': '23', 'clubName': 'Paris Saint-Germain', 'clubID': '583', 'value': '€40.00m'}, {'date': 'Jul 13, 2016', 'age': '23', 'clubName': 'Paris Saint-Germain', 'clubID': '583', 'value': '€40.00m'}, {'date': 'Jan 16, 2017', 'age': '24', 'clubName': 'Paris Saint-Germain', 'clubID': '583', 'value': '€40.00m'}, {'date': 'Jun 1, 2017', 'age': '24', 'clubName': 'Paris Saint-Germain', 'clubID': '583', 'value': '€45.00m'}, {'date': 'Oct 12, 2017', 'age': '24', 'clubName': 'Paris Saint-Germain', 'clubID': '583', 'value': '€60.00m'}, {'date': 'Jan 24, 2018', 'age': '25', 'clubName': 'Paris Saint-Germain', 'clubID': '583', 'value': '€70.00m'}, {'date': 'Jun 4, 2018', 'age': '25', 'clubName': 'Paris Saint-Germain', 'clubID': '583', 'value': '€70.00m'}, {'date': 'Dec 17, 2018', 'age': '26', 'clubName': 'Paris Saint-Germain', 'clubID': '583', 'value': '€70.00m'}, {'date': 'Mar 7, 2019', 'age': '26', 'clubName': 'Paris Saint-Germain', 'clubID': '583', 'value': '€75.00m'}, {'date': 'Jun 3, 2019', 'age': '26', 'clubName': 'Paris Saint-Germain', 'clubID': '583', 'value': '€75.00m'}, {'date': 'Dec 19, 2019', 'age': '27', 'clubName': 'Paris Saint-Germain', 'clubID': '583', 'value': '€75.00m'}, {'date': 'Apr 8, 2020', 'age': '27', 'clubName': 'Paris Saint-Germain', 'clubID': '583', 'value': '€60.00m'}, {'date': 'Oct 15, 2020', 'age': '27', 'clubName': 'Paris Saint-Germain', 'clubID': '583', 'value': '€60.00m'}, {'date': 'May 25, 2021', 'age': '28', 'clubName': 'Paris Saint-Germain', 'clubID': '583', 'value': '€55.00m'}, {'date': 'Dec 16, 2021', 'age': '29', 'clubName': 'Paris Saint-Germain', 'clubID': '583', 'value': '€55.00m'}, {'date': 'May 30, 2022', 'age': '29', 'clubName': 'Paris Saint-Germain', 'clubID': '583', 'value': '€50.00m'}, {'date': 'Nov 2, 2022', 'age': '29', 'clubName': 'Paris Saint-Germain', 'clubID': '583', 'value': '€50.00m'}, {'date': 'Jun 27, 2023', 'age': '30', 'clubName': 'Paris Saint-Germain', 'clubID': '583', 'value': '€40.00m'}, {'date': 'Nov 27, 2023', 'age': '31', 'clubName': 'Al-Arabi SC', 'clubID': '1230', 'value': '€25.00m'}, {'date': 'May 2, 2024', 'age': '31', 'clubName': 'Al-Arabi SC', 'clubID': '1230', 'value': '€18.00m'}, {'date': 'Dec 10, 2024', 'age': '32', 'clubName': 'Al-Arabi SC', 'clubID': '1230', 'value': '€13.00m'}, {'date': 'May 28, 2025', 'age': '32', 'clubName': 'Al-Arabi SC', 'clubID': '1230', 'value': '€10.00m'}, {'date': 'Dec 30, 2025', 'age': '33', 'clubName': 'Al-Duhail SC', 'clubID': '26091', 'value': '€7.00m'}]}</t>
  </si>
  <si>
    <t>1992-11-05</t>
  </si>
  <si>
    <t>Gundogan</t>
  </si>
  <si>
    <t>{'marketValueHistory': [{'date': '21/01/2008', 'age': '17', 'clubName': 'VfL Bochum U19', 'clubID': '3862', 'value': '€50k'}, {'date': '30/01/2009', 'age': '18', 'clubName': 'VfL Bochum U19', 'clubID': '3862', 'value': '€100k'}, {'date': '30/08/2009', 'age': '18', 'clubName': '1.FC Nuremberg', 'clubID': '4', 'value': '€700k'}, {'date': '10/03/2010', 'age': '19', 'clubName': '1.FC Nuremberg', 'clubID': '4', 'value': '€1.00m'}, {'date': '13/06/2010', 'age': '19', 'clubName': '1.FC Nuremberg', 'clubID': '4', 'value': '€2.00m'}, {'date': '16/07/2010', 'age': '19', 'clubName': '1.FC Nuremberg', 'clubID': '4', 'value': '€3.50m'}, {'date': '29/08/2010', 'age': '19', 'clubName': '1.FC Nuremberg', 'clubID': '4', 'value': '€4.50m'}, {'date': '28/09/2010', 'age': '19', 'clubName': '1.FC Nuremberg', 'clubID': '4', 'value': '€6.00m'}, {'date': '12/01/2011', 'age': '20', 'clubName': '1.FC Nuremberg', 'clubID': '4', 'value': '€7.00m'}, {'date': '29/06/2011', 'age': '20', 'clubName': '1.FC Nuremberg', 'clubID': '4', 'value': '€6.50m'}, {'date': '23/01/2012', 'age': '21', 'clubName': 'Borussia Dortmund', 'clubID': '16', 'value': '€6.00m'}, {'date': '29/06/2012', 'age': '21', 'clubName': 'Borussia Dortmund', 'clubID': '16', 'value': '€9.00m'}, {'date': '30/10/2012', 'age': '22', 'clubName': 'Borussia Dortmund', 'clubID': '16', 'value': '€14.00m'}, {'date': '13/01/2013', 'age': '22', 'clubName': 'Borussia Dortmund', 'clubID': '16', 'value': '€14.00m'}, {'date': '11/03/2013', 'age': '22', 'clubName': 'Borussia Dortmund', 'clubID': '16', 'value': '€20.00m'}, {'date': '30/06/2013', 'age': '22', 'clubName': 'Borussia Dortmund', 'clubID': '16', 'value': '€27.00m'}, {'date': '10/07/2014', 'age': '23', 'clubName': 'Borussia Dortmund', 'clubID': '16', 'value': '€20.00m'}, {'date': '04/02/2015', 'age': '24', 'clubName': 'Borussia Dortmund', 'clubID': '16', 'value': '€20.00m'}, {'date': '01/07/2015', 'age': '24', 'clubName': 'Borussia Dortmund', 'clubID': '16', 'value': '€20.00m'}, {'date': '16/10/2015', 'age': '24', 'clubName': 'Borussia Dortmund', 'clubID': '16', 'value': '€25.00m'}, {'date': '15/02/2016', 'age': '25', 'clubName': 'Borussia Dortmund', 'clubID': '16', 'value': '€30.00m'}, {'date': '01/08/2016', 'age': '25', 'clubName': 'Manchester City', 'clubID': '281', 'value': '€30.00m'}, {'date': '20/02/2017', 'age': '26', 'clubName': 'Manchester City', 'clubID': '281', 'value': '€30.00m'}, {'date': '28/06/2017', 'age': '26', 'clubName': 'Manchester City', 'clubID': '281', 'value': '€30.00m'}, {'date': '02/01/2018', 'age': '27', 'clubName': 'Manchester City', 'clubID': '281', 'value': '€30.00m'}, {'date': '28/05/2018', 'age': '27', 'clubName': 'Manchester City', 'clubID': '281', 'value': '€40.00m'}, {'date': '19/12/2018', 'age': '28', 'clubName': 'Manchester City', 'clubID': '281', 'value': '€40.00m'}, {'date': '13/06/2019', 'age': '28', 'clubName': 'Manchester City', 'clubID': '281', 'value': '€50.00m'}, {'date': '10/12/2019', 'age': '29', 'clubName': 'Manchester City', 'clubID': '281', 'value': '€50.00m'}, {'date': '08/04/2020', 'age': '29', 'clubName': 'Manchester City', 'clubID': '281', 'value': '€40.00m'}, {'date': '13/10/2020', 'age': '29', 'clubName': 'Manchester City', 'clubID': '281', 'value': '€40.00m'}, {'date': '18/03/2021', 'age': '30', 'clubName': 'Manchester City', 'clubID': '281', 'value': '€40.00m'}, {'date': '01/06/2021', 'age': '30', 'clubName': 'Manchester City', 'clubID': '281', 'value': '€40.00m'}, {'date': '23/12/2021', 'age': '31', 'clubName': 'Manchester City', 'clubID': '281', 'value': '€35.00m'}, {'date': '15/06/2022', 'age': '31', 'clubName': 'Manchester City', 'clubID': '281', 'value': '€25.00m'}, {'date': '03/11/2022', 'age': '32', 'clubName': 'Manchester City', 'clubID': '281', 'value': '€25.00m'}, {'date': '20/06/2023', 'age': '32', 'clubName': 'Manchester City', 'clubID': '281', 'value': '€20.00m'}, {'date': '22/12/2023', 'age': '33', 'clubName': 'FC Barcelona', 'clubID': '131', 'value': '€18.00m'}, {'date': '21/03/2024', 'age': '33', 'clubName': 'FC Barcelona', 'clubID': '131', 'value': '€16.00m'}, {'date': '07/06/2024', 'age': '33', 'clubName': 'FC Barcelona', 'clubID': '131', 'value': '€15.00m'}, {'date': '01/10/2024', 'age': '33', 'clubName': 'Manchester City', 'clubID': '281', 'value': '€12.00m'}, {'date': '16/12/2024', 'age': '34', 'clubName': 'Manchester City', 'clubID': '281', 'value': '€10.00m'}, {'date': '18/03/2025', 'age': '34', 'clubName': 'Manchester City', 'clubID': '281', 'value': '€7.00m'}, {'date': '30/05/2025', 'age': '34', 'clubName': 'Manchester City', 'clubID': '281', 'value': '€5.00m'}, {'date': '01/10/2025', 'age': '34', 'clubName': 'Galatasaray', 'clubID': '141', 'value': '€4.00m'}, {'date': '17/12/2025', 'age': '35', 'clubName': 'Galatasaray', 'clubID': '141', 'value': '€3.50m'}, {'date': '05/03/2026', 'age': '35', 'clubName': 'Galatasaray', 'clubID': '141', 'value': '€2.50m'}]}</t>
  </si>
  <si>
    <t>1990-10-24</t>
  </si>
  <si>
    <t>Benzema</t>
  </si>
  <si>
    <t>{'marketValueHistory': [{'date': 'Aug 7, 2005', 'age': '17', 'clubName': 'Olympique Lyon', 'clubID': '1041', 'value': '€450k'}, {'date': 'Mar 13, 2006', 'age': '18', 'clubName': 'Olympique Lyon', 'clubID': '1041', 'value': '€1.20m'}, {'date': 'Sep 1, 2006', 'age': '18', 'clubName': 'Olympique Lyon', 'clubID': '1041', 'value': '€2.00m'}, {'date': 'May 31, 2007', 'age': '19', 'clubName': 'Olympique Lyon', 'clubID': '1041', 'value': '€5.00m'}, {'date': 'Sep 20, 2007', 'age': '19', 'clubName': 'Olympique Lyon', 'clubID': '1041', 'value': '€7.50m'}, {'date': 'Oct 28, 2007', 'age': '19', 'clubName': 'Olympique Lyon', 'clubID': '1041', 'value': '€12.00m'}, {'date': 'Dec 27, 2007', 'age': '20', 'clubName': 'Olympique Lyon', 'clubID': '1041', 'value': '€15.00m'}, {'date': 'May 5, 2008', 'age': '20', 'clubName': 'Olympique Lyon', 'clubID': '1041', 'value': '€23.00m'}, {'date': 'Dec 30, 2008', 'age': '21', 'clubName': 'Olympique Lyon', 'clubID': '1041', 'value': '€27.50m'}, {'date': 'May 18, 2009', 'age': '21', 'clubName': 'Olympique Lyon', 'clubID': '1041', 'value': '€29.00m'}, {'date': 'Jul 22, 2009', 'age': '21', 'clubName': 'Real Madrid', 'clubID': '418', 'value': '€35.00m'}, {'date': 'Dec 3, 2009', 'age': '21', 'clubName': 'Real Madrid', 'clubID': '418', 'value': '€35.00m'}, {'date': 'Apr 12, 2010', 'age': '22', 'clubName': 'Real Madrid', 'clubID': '418', 'value': '€28.00m'}, {'date': 'Aug 27, 2010', 'age': '22', 'clubName': 'Real Madrid', 'clubID': '418', 'value': '€25.00m'}, {'date': 'Feb 4, 2011', 'age': '23', 'clubName': 'Real Madrid', 'clubID': '418', 'value': '€25.00m'}, {'date': 'Jul 29, 2011', 'age': '23', 'clubName': 'Real Madrid', 'clubID': '418', 'value': '€25.00m'}, {'date': 'Sep 3, 2011', 'age': '23', 'clubName': 'Real Madrid', 'clubID': '418', 'value': '€30.00m'}, {'date': 'Feb 3, 2012', 'age': '24', 'clubName': 'Real Madrid', 'clubID': '418', 'value': '€35.00m'}, {'date': 'Aug 17, 2012', 'age': '24', 'clubName': 'Real Madrid', 'clubID': '418', 'value': '€40.00m'}, {'date': 'Jan 10, 2013', 'age': '25', 'clubName': 'Real Madrid', 'clubID': '418', 'value': '€40.00m'}, {'date': 'Jun 12, 2013', 'age': '25', 'clubName': 'Real Madrid', 'clubID': '418', 'value': '€34.00m'}, {'date': 'Jan 23, 2014', 'age': '26', 'clubName': 'Real Madrid', 'clubID': '418', 'value': '€34.00m'}, {'date': 'Jul 20, 2014', 'age': '26', 'clubName': 'Real Madrid', 'clubID': '418', 'value': '€45.00m'}, {'date': 'Jan 23, 2015', 'age': '27', 'clubName': 'Real Madrid', 'clubID': '418', 'value': '€50.00m'}, {'date': 'Jul 1, 2015', 'age': '27', 'clubName': 'Real Madrid', 'clubID': '418', 'value': '€50.00m'}, {'date': 'Feb 22, 2016', 'age': '28', 'clubName': 'Real Madrid', 'clubID': '418', 'value': '€60.00m'}, {'date': 'Jul 15, 2016', 'age': '28', 'clubName': 'Real Madrid', 'clubID': '418', 'value': '€60.00m'}, {'date': 'Jan 24, 2017', 'age': '29', 'clubName': 'Real Madrid', 'clubID': '418', 'value': '€60.00m'}, {'date': 'Jun 5, 2017', 'age': '29', 'clubName': 'Real Madrid', 'clubID': '418', 'value': '€60.00m'}, {'date': 'Jan 1, 2018', 'age': '30', 'clubName': 'Real Madrid', 'clubID': '418', 'value': '€50.00m'}, {'date': 'May 30, 2018', 'age': '30', 'clubName': 'Real Madrid', 'clubID': '418', 'value': '€40.00m'}, {'date': 'Dec 21, 2018', 'age': '31', 'clubName': 'Real Madrid', 'clubID': '418', 'value': '€40.00m'}, {'date': 'Jun 11, 2019', 'age': '31', 'clubName': 'Real Madrid', 'clubID': '418', 'value': '€40.00m'}, {'date': 'Dec 20, 2019', 'age': '32', 'clubName': 'Real Madrid', 'clubID': '418', 'value': '€40.00m'}, {'date': 'Apr 8, 2020', 'age': '32', 'clubName': 'Real Madrid', 'clubID': '418', 'value': '€32.00m'}, {'date': 'Oct 8, 2020', 'age': '32', 'clubName': 'Real Madrid', 'clubID': '418', 'value': '€25.00m'}, {'date': 'Jan 5, 2021', 'age': '33', 'clubName': 'Real Madrid', 'clubID': '418', 'value': '€25.00m'}, {'date': 'Jun 1, 2021', 'age': '33', 'clubName': 'Real Madrid', 'clubID': '418', 'value': '€25.00m'}, {'date': 'Dec 30, 2021', 'age': '34', 'clubName': 'Real Madrid', 'clubID': '418', 'value': '€25.00m'}, {'date': 'Jun 3, 2022', 'age': '34', 'clubName': 'Real Madrid', 'clubID': '418', 'value': '€30.00m'}, {'date': 'Nov 7, 2022', 'age': '34', 'clubName': 'Real Madrid', 'clubID': '418', 'value': '€35.00m'}, {'date': 'Jun 13, 2023', 'age': '35', 'clubName': 'Real Madrid', 'clubID': '418', 'value': '€25.00m'}, {'date': 'Oct 24, 2023', 'age': '35', 'clubName': 'Al-Ittihad Club', 'clubID': '8023', 'value': '€15.00m'}, {'date': 'Dec 15, 2023', 'age': '35', 'clubName': 'Al-Ittihad Club', 'clubID': '8023', 'value': '€15.00m'}, {'date': 'Jun 4, 2024', 'age': '36', 'clubName': 'Al-Ittihad Club', 'clubID': '8023', 'value': '€10.00m'}, {'date': 'Dec 13, 2024', 'age': '36', 'clubName': 'Al-Ittihad Club', 'clubID': '8023', 'value': '€8.00m'}, {'date': 'May 27, 2025', 'age': '37', 'clubName': 'Al-Ittihad Club', 'clubID': '8023', 'value': '€7.00m'}, {'date': 'Dec 18, 2025', 'age': '37', 'clubName': 'Al-Ittihad Club', 'clubID': '8023', 'value': '€6.00m'}]}</t>
  </si>
  <si>
    <t>1987-12-19</t>
  </si>
  <si>
    <t>Young</t>
  </si>
  <si>
    <t>{'marketValueHistory': [{'date': '04/10/2004', 'age': '19', 'clubName': 'Watford FC', 'clubID': '1010', 'value': '€50k'}, {'date': '02/06/2006', 'age': '20', 'clubName': 'Watford FC', 'clubID': '1010', 'value': '€1.50m'}, {'date': '16/01/2007', 'age': '21', 'clubName': 'Watford FC', 'clubID': '1010', 'value': '€6.50m'}, {'date': '09/05/2007', 'age': '21', 'clubName': 'Aston Villa', 'clubID': '405', 'value': '€7.10m'}, {'date': '01/09/2007', 'age': '22', 'clubName': 'Aston Villa', 'clubID': '405', 'value': '€7.00m'}, {'date': '21/01/2008', 'age': '22', 'clubName': 'Aston Villa', 'clubID': '405', 'value': '€9.25m'}, {'date': '04/07/2008', 'age': '22', 'clubName': 'Aston Villa', 'clubID': '405', 'value': '€13.00m'}, {'date': '23/02/2009', 'age': '23', 'clubName': 'Aston Villa', 'clubID': '405', 'value': '€17.00m'}, {'date': '26/06/2009', 'age': '23', 'clubName': 'Aston Villa', 'clubID': '405', 'value': '€19.00m'}, {'date': '13/08/2010', 'age': '25', 'clubName': 'Aston Villa', 'clubID': '405', 'value': '€18.00m'}, {'date': '01/02/2011', 'age': '25', 'clubName': 'Aston Villa', 'clubID': '405', 'value': '€18.00m'}, {'date': '08/08/2011', 'age': '26', 'clubName': 'Manchester United', 'clubID': '985', 'value': '€20.00m'}, {'date': '06/02/2012', 'age': '26', 'clubName': 'Manchester United', 'clubID': '985', 'value': '€25.00m'}, {'date': '24/06/2012', 'age': '26', 'clubName': 'Manchester United', 'clubID': '985', 'value': '€27.00m'}, {'date': '28/01/2013', 'age': '27', 'clubName': 'Manchester United', 'clubID': '985', 'value': '€25.00m'}, {'date': '02/07/2013', 'age': '27', 'clubName': 'Manchester United', 'clubID': '985', 'value': '€20.00m'}, {'date': '15/01/2014', 'age': '28', 'clubName': 'Manchester United', 'clubID': '985', 'value': '€14.00m'}, {'date': '12/08/2014', 'age': '29', 'clubName': 'Manchester United', 'clubID': '985', 'value': '€11.00m'}, {'date': '12/02/2015', 'age': '29', 'clubName': 'Manchester United', 'clubID': '985', 'value': '€9.00m'}, {'date': '01/07/2015', 'age': '29', 'clubName': 'Manchester United', 'clubID': '985', 'value': '€10.00m'}, {'date': '09/02/2016', 'age': '30', 'clubName': 'Manchester United', 'clubID': '985', 'value': '€10.00m'}, {'date': '01/08/2016', 'age': '31', 'clubName': 'Manchester United', 'clubID': '985', 'value': '€10.00m'}, {'date': '20/02/2017', 'age': '31', 'clubName': 'Manchester United', 'clubID': '985', 'value': '€7.00m'}, {'date': '28/06/2017', 'age': '31', 'clubName': 'Manchester United', 'clubID': '985', 'value': '€5.00m'}, {'date': '02/01/2018', 'age': '32', 'clubName': 'Manchester United', 'clubID': '985', 'value': '€5.00m'}, {'date': '28/05/2018', 'age': '32', 'clubName': 'Manchester United', 'clubID': '985', 'value': '€7.00m'}, {'date': '19/12/2018', 'age': '33', 'clubName': 'Manchester United', 'clubID': '985', 'value': '€7.00m'}, {'date': '13/06/2019', 'age': '33', 'clubName': 'Manchester United', 'clubID': '985', 'value': '€5.00m'}, {'date': '10/12/2019', 'age': '34', 'clubName': 'Manchester United', 'clubID': '985', 'value': '€4.00m'}, {'date': '08/04/2020', 'age': '34', 'clubName': 'Inter Milan', 'clubID': '46', 'value': '€3.20m'}, {'date': '25/08/2020', 'age': '35', 'clubName': 'Inter Milan', 'clubID': '46', 'value': '€3.00m'}, {'date': '29/12/2020', 'age': '35', 'clubName': 'Inter Milan', 'clubID': '46', 'value': '€2.00m'}, {'date': '23/03/2021', 'age': '35', 'clubName': 'Inter Milan', 'clubID': '46', 'value': '€1.00m'}, {'date': '03/06/2021', 'age': '35', 'clubName': 'Inter Milan', 'clubID': '46', 'value': '€1.00m'}, {'date': '23/12/2021', 'age': '36', 'clubName': 'Aston Villa', 'clubID': '405', 'value': '€1.00m'}, {'date': '15/06/2022', 'age': '36', 'clubName': 'Aston Villa', 'clubID': '405', 'value': '€1.00m'}, {'date': '03/11/2022', 'age': '37', 'clubName': 'Aston Villa', 'clubID': '405', 'value': '€1.00m'}, {'date': '20/06/2023', 'age': '37', 'clubName': 'Aston Villa', 'clubID': '405', 'value': '€600k'}, {'date': '19/12/2023', 'age': '38', 'clubName': 'Everton FC', 'clubID': '29', 'value': '€600k'}, {'date': '27/05/2024', 'age': '38', 'clubName': 'Everton FC', 'clubID': '29', 'value': '€500k'}, {'date': '16/12/2024', 'age': '39', 'clubName': 'Everton FC', 'clubID': '29', 'value': '€500k'}, {'date': '30/05/2025', 'age': '39', 'clubName': 'Everton FC', 'clubID': '29', 'value': '€500k'}, {'date': '03/12/2025', 'age': '40', 'clubName': 'Ipswich Town', 'clubID': '677', 'value': '€400k'}]}</t>
  </si>
  <si>
    <t>1985-07-09</t>
  </si>
  <si>
    <t>Mandzukic</t>
  </si>
  <si>
    <t>{'marketValueHistory': [{'date': 'Mar 15, 2007', 'age': '20', 'clubName': 'NK Zagreb', 'clubID': '5107', 'value': '€600k'}, {'date': 'Jul 10, 2007', 'age': '21', 'clubName': 'GNK Dinamo Zagreb', 'clubID': '419', 'value': '€750k'}, {'date': 'Aug 5, 2007', 'age': '21', 'clubName': 'GNK Dinamo Zagreb', 'clubID': '419', 'value': '€1.50m'}, {'date': 'Oct 4, 2007', 'age': '21', 'clubName': 'GNK Dinamo Zagreb', 'clubID': '419', 'value': '€1.80m'}, {'date': 'Jan 7, 2008', 'age': '21', 'clubName': 'GNK Dinamo Zagreb', 'clubID': '419', 'value': '€2.50m'}, {'date': 'May 4, 2008', 'age': '21', 'clubName': 'GNK Dinamo Zagreb', 'clubID': '419', 'value': '€3.00m'}, {'date': 'Sep 15, 2008', 'age': '22', 'clubName': 'GNK Dinamo Zagreb', 'clubID': '419', 'value': '€4.00m'}, {'date': 'Feb 8, 2009', 'age': '22', 'clubName': 'GNK Dinamo Zagreb', 'clubID': '419', 'value': '€6.00m'}, {'date': 'Oct 5, 2009', 'age': '23', 'clubName': 'GNK Dinamo Zagreb', 'clubID': '419', 'value': '€7.50m'}, {'date': 'Jan 28, 2010', 'age': '23', 'clubName': 'GNK Dinamo Zagreb', 'clubID': '419', 'value': '€7.50m'}, {'date': 'Jul 19, 2010', 'age': '24', 'clubName': 'VfL Wolfsburg', 'clubID': '82', 'value': '€9.00m'}, {'date': 'Nov 23, 2010', 'age': '24', 'clubName': 'VfL Wolfsburg', 'clubID': '82', 'value': '€7.00m'}, {'date': 'Jan 12, 2011', 'age': '24', 'clubName': 'VfL Wolfsburg', 'clubID': '82', 'value': '€6.00m'}, {'date': 'Jun 29, 2011', 'age': '25', 'clubName': 'VfL Wolfsburg', 'clubID': '82', 'value': '€7.50m'}, {'date': 'Jan 23, 2012', 'age': '25', 'clubName': 'VfL Wolfsburg', 'clubID': '82', 'value': '€10.00m'}, {'date': 'Jun 29, 2012', 'age': '26', 'clubName': 'VfL Wolfsburg', 'clubID': '82', 'value': '€14.00m'}, {'date': 'Jan 13, 2013', 'age': '26', 'clubName': 'Bayern Munich', 'clubID': '27', 'value': '€16.00m'}, {'date': 'Mar 11, 2013', 'age': '26', 'clubName': 'Bayern Munich', 'clubID': '27', 'value': '€19.00m'}, {'date': 'Jun 30, 2013', 'age': '27', 'clubName': 'Bayern Munich', 'clubID': '27', 'value': '€23.00m'}, {'date': 'Mar 31, 2014', 'age': '27', 'clubName': 'Bayern Munich', 'clubID': '27', 'value': '€30.00m'}, {'date': 'Jul 20, 2014', 'age': '28', 'clubName': 'Atlético de Madrid', 'clubID': '13', 'value': '€22.00m'}, {'date': 'Jan 23, 2015', 'age': '28', 'clubName': 'Atlético de Madrid', 'clubID': '13', 'value': '€26.00m'}, {'date': 'Jul 1, 2015', 'age': '29', 'clubName': 'Juventus FC', 'clubID': '506', 'value': '€20.00m'}, {'date': 'Nov 5, 2015', 'age': '29', 'clubName': 'Juventus FC', 'clubID': '506', 'value': '€18.00m'}, {'date': 'Jan 4, 2016', 'age': '29', 'clubName': 'Juventus FC', 'clubID': '506', 'value': '€19.00m'}, {'date': 'Jun 1, 2016', 'age': '30', 'clubName': 'Juventus FC', 'clubID': '506', 'value': '€19.00m'}, {'date': 'Jul 15, 2016', 'age': '30', 'clubName': 'Juventus FC', 'clubID': '506', 'value': '€18.00m'}, {'date': 'Jan 2, 2017', 'age': '30', 'clubName': 'Juventus FC', 'clubID': '506', 'value': '€18.00m'}, {'date': 'Jun 8, 2017', 'age': '31', 'clubName': 'Juventus FC', 'clubID': '506', 'value': '€20.00m'}, {'date': 'Dec 29, 2017', 'age': '31', 'clubName': 'Juventus FC', 'clubID': '506', 'value': '€20.00m'}, {'date': 'Jun 7, 2018', 'age': '32', 'clubName': 'Juventus FC', 'clubID': '506', 'value': '€18.00m'}, {'date': 'Jul 16, 2018', 'age': '32', 'clubName': 'Juventus FC', 'clubID': '506', 'value': '€20.00m'}, {'date': 'Dec 20, 2018', 'age': '32', 'clubName': 'Juventus FC', 'clubID': '506', 'value': '€25.00m'}, {'date': 'Jun 6, 2019', 'age': '33', 'clubName': 'Juventus FC', 'clubID': '506', 'value': '€18.00m'}, {'date': 'Oct 8, 2019', 'age': '33', 'clubName': 'Juventus FC', 'clubID': '506', 'value': '€10.00m'}, {'date': 'Dec 12, 2019', 'age': '33', 'clubName': 'Juventus FC', 'clubID': '506', 'value': '€10.00m'}, {'date': 'Feb 11, 2020', 'age': '33', 'clubName': 'Al-Duhail SC', 'clubID': '26091', 'value': '€5.00m'}, {'date': 'Apr 4, 2020', 'age': '33', 'clubName': 'Al-Duhail SC', 'clubID': '26091', 'value': '€5.00m'}, {'date': 'Apr 8, 2020', 'age': '33', 'clubName': 'Al-Duhail SC', 'clubID': '26091', 'value': '€4.00m'}, {'date': 'Nov 10, 2020', 'age': '34', 'clubName': 'Without Club', 'clubID': '515', 'value': '€2.50m'}, {'date': 'Mar 23, 2021', 'age': '34', 'clubName': 'AC Milan', 'clubID': '5', 'value': '€1.00m'}, {'date': 'Jun 3, 2021', 'age': '35', 'clubName': 'AC Milan', 'clubID': '5', 'value': '€800k'}, {'date': 'Jul 1, 2021', 'age': '35', 'clubName': 'Without Club', 'clubID': '515', 'value': '-'}]}</t>
  </si>
  <si>
    <t>Croatia</t>
  </si>
  <si>
    <t>1986-05-21</t>
  </si>
  <si>
    <t>Bernardo Silva</t>
  </si>
  <si>
    <t>{'marketValueHistory': [{'date': '08/11/2013', 'age': '19', 'clubName': 'SL Benfica B', 'clubID': '10330', 'value': '€600k'}, {'date': '20/02/2014', 'age': '19', 'clubName': 'SL Benfica B', 'clubID': '10330', 'value': '€2.50m'}, {'date': '14/01/2015', 'age': '20', 'clubName': 'AS Monaco', 'clubID': '162', 'value': '€3.50m'}, {'date': '05/02/2015', 'age': '20', 'clubName': 'AS Monaco', 'clubID': '162', 'value': '€10.00m'}, {'date': '06/06/2015', 'age': '20', 'clubName': 'AS Monaco', 'clubID': '162', 'value': '€12.00m'}, {'date': '06/09/2015', 'age': '21', 'clubName': 'AS Monaco', 'clubID': '162', 'value': '€15.00m'}, {'date': '04/02/2016', 'age': '21', 'clubName': 'AS Monaco', 'clubID': '162', 'value': '€15.00m'}, {'date': '13/07/2016', 'age': '21', 'clubName': 'AS Monaco', 'clubID': '162', 'value': '€16.00m'}, {'date': '01/11/2016', 'age': '22', 'clubName': 'AS Monaco', 'clubID': '162', 'value': '€20.00m'}, {'date': '16/01/2017', 'age': '22', 'clubName': 'AS Monaco', 'clubID': '162', 'value': '€25.00m'}, {'date': '01/06/2017', 'age': '22', 'clubName': 'AS Monaco', 'clubID': '162', 'value': '€40.00m'}, {'date': '02/01/2018', 'age': '23', 'clubName': 'Manchester City', 'clubID': '281', 'value': '€40.00m'}, {'date': '28/05/2018', 'age': '23', 'clubName': 'Manchester City', 'clubID': '281', 'value': '€50.00m'}, {'date': '17/10/2018', 'age': '24', 'clubName': 'Manchester City', 'clubID': '281', 'value': '€60.00m'}, {'date': '19/12/2018', 'age': '24', 'clubName': 'Manchester City', 'clubID': '281', 'value': '€65.00m'}, {'date': '05/03/2019', 'age': '24', 'clubName': 'Manchester City', 'clubID': '281', 'value': '€80.00m'}, {'date': '13/06/2019', 'age': '24', 'clubName': 'Manchester City', 'clubID': '281', 'value': '€100.00m'}, {'date': '10/12/2019', 'age': '25', 'clubName': 'Manchester City', 'clubID': '281', 'value': '€100.00m'}, {'date': '08/04/2020', 'age': '25', 'clubName': 'Manchester City', 'clubID': '281', 'value': '€80.00m'}, {'date': '13/10/2020', 'age': '26', 'clubName': 'Manchester City', 'clubID': '281', 'value': '€80.00m'}, {'date': '17/12/2020', 'age': '26', 'clubName': 'Manchester City', 'clubID': '281', 'value': '€70.00m'}, {'date': '18/03/2021', 'age': '26', 'clubName': 'Manchester City', 'clubID': '281', 'value': '€70.00m'}, {'date': '01/06/2021', 'age': '26', 'clubName': 'Manchester City', 'clubID': '281', 'value': '€70.00m'}, {'date': '23/12/2021', 'age': '27', 'clubName': 'Manchester City', 'clubID': '281', 'value': '€75.00m'}, {'date': '15/06/2022', 'age': '27', 'clubName': 'Manchester City', 'clubID': '281', 'value': '€80.00m'}, {'date': '03/11/2022', 'age': '28', 'clubName': 'Manchester City', 'clubID': '281', 'value': '€80.00m'}, {'date': '20/06/2023', 'age': '28', 'clubName': 'Manchester City', 'clubID': '281', 'value': '€80.00m'}, {'date': '19/12/2023', 'age': '29', 'clubName': 'Manchester City', 'clubID': '281', 'value': '€80.00m'}, {'date': '27/05/2024', 'age': '29', 'clubName': 'Manchester City', 'clubID': '281', 'value': '€70.00m'}, {'date': '16/12/2024', 'age': '30', 'clubName': 'Manchester City', 'clubID': '281', 'value': '€60.00m'}, {'date': '18/03/2025', 'age': '30', 'clubName': 'Manchester City', 'clubID': '281', 'value': '€45.00m'}, {'date': '30/05/2025', 'age': '30', 'clubName': 'Manchester City', 'clubID': '281', 'value': '€38.00m'}, {'date': '17/10/2025', 'age': '31', 'clubName': 'Manchester City', 'clubID': '281', 'value': '€32.00m'}, {'date': '09/12/2025', 'age': '31', 'clubName': 'Manchester City', 'clubID': '281', 'value': '€27.00m'}]}</t>
  </si>
  <si>
    <t>1994-08-10</t>
  </si>
  <si>
    <t>Dzeko</t>
  </si>
  <si>
    <t>{'marketValueHistory': [{'date': 'Jan 31, 2006', 'age': '19', 'clubName': 'FK Teplice', 'clubID': '814', 'value': '€200k'}, {'date': 'Jun 26, 2007', 'age': '21', 'clubName': 'FK Teplice', 'clubID': '814', 'value': '€4.00m'}, {'date': 'Jan 1, 2008', 'age': '21', 'clubName': 'VfL Wolfsburg', 'clubID': '82', 'value': '€4.50m'}, {'date': 'Jun 4, 2008', 'age': '22', 'clubName': 'VfL Wolfsburg', 'clubID': '82', 'value': '€5.00m'}, {'date': 'Jan 21, 2009', 'age': '22', 'clubName': 'VfL Wolfsburg', 'clubID': '82', 'value': '€7.50m'}, {'date': 'Mar 21, 2009', 'age': '23', 'clubName': 'VfL Wolfsburg', 'clubID': '82', 'value': '€10.00m'}, {'date': 'Apr 21, 2009', 'age': '23', 'clubName': 'VfL Wolfsburg', 'clubID': '82', 'value': '€12.50m'}, {'date': 'Jun 10, 2009', 'age': '23', 'clubName': 'VfL Wolfsburg', 'clubID': '82', 'value': '€18.00m'}, {'date': 'Nov 18, 2009', 'age': '23', 'clubName': 'VfL Wolfsburg', 'clubID': '82', 'value': '€25.00m'}, {'date': 'Jun 15, 2010', 'age': '24', 'clubName': 'VfL Wolfsburg', 'clubID': '82', 'value': '€30.00m'}, {'date': 'Jan 12, 2011', 'age': '24', 'clubName': 'Manchester City', 'clubID': '281', 'value': '€30.00m'}, {'date': 'Aug 8, 2011', 'age': '25', 'clubName': 'Manchester City', 'clubID': '281', 'value': '€28.00m'}, {'date': 'Feb 6, 2012', 'age': '25', 'clubName': 'Manchester City', 'clubID': '281', 'value': '€32.00m'}, {'date': 'Jun 24, 2012', 'age': '26', 'clubName': 'Manchester City', 'clubID': '281', 'value': '€29.00m'}, {'date': 'Jan 28, 2013', 'age': '26', 'clubName': 'Manchester City', 'clubID': '281', 'value': '€27.00m'}, {'date': 'Jul 2, 2013', 'age': '27', 'clubName': 'Manchester City', 'clubID': '281', 'value': '€27.00m'}, {'date': 'Jan 15, 2014', 'age': '27', 'clubName': 'Manchester City', 'clubID': '281', 'value': '€24.00m'}, {'date': 'Aug 12, 2014', 'age': '28', 'clubName': 'Manchester City', 'clubID': '281', 'value': '€27.00m'}, {'date': 'Feb 12, 2015', 'age': '28', 'clubName': 'Manchester City', 'clubID': '281', 'value': '€24.00m'}, {'date': 'Jul 1, 2015', 'age': '29', 'clubName': 'Manchester City', 'clubID': '281', 'value': '€20.00m'}, {'date': 'Nov 5, 2015', 'age': '29', 'clubName': 'AS Roma', 'clubID': '12', 'value': '€18.00m'}, {'date': 'Jan 4, 2016', 'age': '29', 'clubName': 'AS Roma', 'clubID': '12', 'value': '€15.00m'}, {'date': 'Jul 15, 2016', 'age': '30', 'clubName': 'AS Roma', 'clubID': '12', 'value': '€12.00m'}, {'date': 'Oct 14, 2016', 'age': '30', 'clubName': 'AS Roma', 'clubID': '12', 'value': '€13.00m'}, {'date': 'Jan 2, 2017', 'age': '30', 'clubName': 'AS Roma', 'clubID': '12', 'value': '€15.00m'}, {'date': 'Mar 28, 2017', 'age': '31', 'clubName': 'AS Roma', 'clubID': '12', 'value': '€18.00m'}, {'date': 'Jun 8, 2017', 'age': '31', 'clubName': 'AS Roma', 'clubID': '12', 'value': '€22.00m'}, {'date': 'Dec 29, 2017', 'age': '31', 'clubName': 'AS Roma', 'clubID': '12', 'value': '€22.00m'}, {'date': 'Jun 7, 2018', 'age': '32', 'clubName': 'AS Roma', 'clubID': '12', 'value': '€25.00m'}, {'date': 'Dec 20, 2018', 'age': '32', 'clubName': 'AS Roma', 'clubID': '12', 'value': '€23.00m'}, {'date': 'Jun 6, 2019', 'age': '33', 'clubName': 'AS Roma', 'clubID': '12', 'value': '€14.00m'}, {'date': 'Dec 12, 2019', 'age': '33', 'clubName': 'AS Roma', 'clubID': '12', 'value': '€14.00m'}, {'date': 'Apr 8, 2020', 'age': '34', 'clubName': 'AS Roma', 'clubID': '12', 'value': '€11.00m'}, {'date': 'Aug 25, 2020', 'age': '34', 'clubName': 'AS Roma', 'clubID': '12', 'value': '€10.00m'}, {'date': 'Dec 29, 2020', 'age': '34', 'clubName': 'AS Roma', 'clubID': '12', 'value': '€8.00m'}, {'date': 'Mar 23, 2021', 'age': '35', 'clubName': 'AS Roma', 'clubID': '12', 'value': '€5.00m'}, {'date': 'Jun 3, 2021', 'age': '35', 'clubName': 'AS Roma', 'clubID': '12', 'value': '€4.00m'}, {'date': 'Dec 28, 2021', 'age': '35', 'clubName': 'Inter Milan', 'clubID': '46', 'value': '€4.00m'}, {'date': 'Jun 7, 2022', 'age': '36', 'clubName': 'Inter Milan', 'clubID': '46', 'value': '€4.00m'}, {'date': 'Nov 11, 2022', 'age': '36', 'clubName': 'Inter Milan', 'clubID': '46', 'value': '€4.00m'}, {'date': 'Jun 15, 2023', 'age': '37', 'clubName': 'Inter Milan', 'clubID': '46', 'value': '€4.00m'}, {'date': 'Sep 27, 2023', 'age': '37', 'clubName': 'Fenerbahce', 'clubID': '36', 'value': '€4.00m'}, {'date': 'Dec 21, 2023', 'age': '37', 'clubName': 'Fenerbahce', 'clubID': '36', 'value': '€3.60m'}, {'date': 'Mar 15, 2024', 'age': '37', 'clubName': 'Fenerbahce', 'clubID': '36', 'value': '€3.30m'}, {'date': 'May 31, 2024', 'age': '38', 'clubName': 'Fenerbahce', 'clubID': '36', 'value': '€2.70m'}, {'date': 'Oct 4, 2024', 'age': '38', 'clubName': 'Fenerbahce', 'clubID': '36', 'value': '€2.50m'}, {'date': 'Dec 23, 2024', 'age': '38', 'clubName': 'Fenerbahce', 'clubID': '36', 'value': '€2.20m'}, {'date': 'Mar 20, 2025', 'age': '39', 'clubName': 'Fenerbahce', 'clubID': '36', 'value': '€2.00m'}, {'date': 'Jun 18, 2025', 'age': '39', 'clubName': 'Fenerbahce', 'clubID': '36', 'value': '€1.60m'}, {'date': 'Dec 23, 2025', 'age': '39', 'clubName': 'ACF Fiorentina', 'clubID': '430', 'value': '€1.50m'}]}</t>
  </si>
  <si>
    <t>Bosnia-Herzegovina</t>
  </si>
  <si>
    <t>1986-03-17</t>
  </si>
  <si>
    <t>Olsen</t>
  </si>
  <si>
    <t>1961-02-02</t>
  </si>
  <si>
    <t>Davies</t>
  </si>
  <si>
    <t>{'marketValueHistory': [{'date': 'Dec 15, 2016', 'age': '16', 'clubName': 'Vancouver Whitecaps FC', 'clubID': '6321', 'value': '€200k'}, {'date': 'May 24, 2017', 'age': '16', 'clubName': 'Vancouver Whitecaps FC', 'clubID': '6321', 'value': '€450k'}, {'date': 'Dec 5, 2017', 'age': '17', 'clubName': 'Vancouver Whitecaps FC', 'clubID': '6321', 'value': '€700k'}, {'date': 'May 2, 2018', 'age': '17', 'clubName': 'Vancouver Whitecaps FC', 'clubID': '6321', 'value': '€800k'}, {'date': 'Aug 15, 2018', 'age': '17', 'clubName': 'Vancouver Whitecaps FC', 'clubID': '6321', 'value': '€10.00m'}, {'date': 'Dec 15, 2018', 'age': '18', 'clubName': 'Vancouver Whitecaps FC', 'clubID': '6321', 'value': '€10.00m'}, {'date': 'Jun 5, 2019', 'age': '18', 'clubName': 'Bayern Munich', 'clubID': '27', 'value': '€10.00m'}, {'date': 'Oct 2, 2019', 'age': '18', 'clubName': 'Bayern Munich', 'clubID': '27', 'value': '€15.00m'}, {'date': 'Dec 17, 2019', 'age': '19', 'clubName': 'Bayern Munich', 'clubID': '27', 'value': '€25.00m'}, {'date': 'Feb 11, 2020', 'age': '19', 'clubName': 'Bayern Munich', 'clubID': '27', 'value': '€40.00m'}, {'date': 'Mar 11, 2020', 'age': '19', 'clubName': 'Bayern Munich', 'clubID': '27', 'value': '€50.00m'}, {'date': 'Apr 8, 2020', 'age': '19', 'clubName': 'Bayern Munich', 'clubID': '27', 'value': '€45.00m'}, {'date': 'Jul 8, 2020', 'age': '19', 'clubName': 'Bayern Munich', 'clubID': '27', 'value': '€60.00m'}, {'date': 'Sep 16, 2020', 'age': '19', 'clubName': 'Bayern Munich', 'clubID': '27', 'value': '€80.00m'}, {'date': 'Feb 10, 2021', 'age': '20', 'clubName': 'Bayern Munich', 'clubID': '27', 'value': '€75.00m'}, {'date': 'Jun 9, 2021', 'age': '20', 'clubName': 'Bayern Munich', 'clubID': '27', 'value': '€70.00m'}, {'date': 'Dec 22, 2021', 'age': '21', 'clubName': 'Bayern Munich', 'clubID': '27', 'value': '€70.00m'}, {'date': 'Jun 9, 2022', 'age': '21', 'clubName': 'Bayern Munich', 'clubID': '27', 'value': '€70.00m'}, {'date': 'Nov 9, 2022', 'age': '22', 'clubName': 'Bayern Munich', 'clubID': '27', 'value': '€70.00m'}, {'date': 'Jun 22, 2023', 'age': '22', 'clubName': 'Bayern Munich', 'clubID': '27', 'value': '€70.00m'}, {'date': 'Dec 14, 2023', 'age': '23', 'clubName': 'Bayern Munich', 'clubID': '27', 'value': '€70.00m'}, {'date': 'Mar 27, 2024', 'age': '23', 'clubName': 'Bayern Munich', 'clubID': '27', 'value': '€60.00m'}, {'date': 'May 29, 2024', 'age': '23', 'clubName': 'Bayern Munich', 'clubID': '27', 'value': '€50.00m'}, {'date': 'Dec 20, 2024', 'age': '24', 'clubName': 'Bayern Munich', 'clubID': '27', 'value': '€50.00m'}, {'date': 'Jun 5, 2025', 'age': '24', 'clubName': 'Bayern Munich', 'clubID': '27', 'value': '€50.00m'}, {'date': 'Dec 19, 2025', 'age': '25', 'clubName': 'Bayern Munich', 'clubID': '27', 'value': '€50.00m'}, {'date': 'Mar 20, 2026', 'age': '25', 'clubName': 'Bayern Munich', 'clubID': '27', 'value': '€45.00m'}]}</t>
  </si>
  <si>
    <t>Canada</t>
  </si>
  <si>
    <t>2000-11-02</t>
  </si>
  <si>
    <t>Arthur</t>
  </si>
  <si>
    <t>{'marketValueHistory': [{'date': '31/05/2015', 'age': '18', 'clubName': 'Grêmio FBPA B (-2022)', 'clubID': '14704', 'value': '€100k'}, {'date': '15/12/2015', 'age': '19', 'clubName': 'Grêmio FBPA B (-2022)', 'clubID': '14704', 'value': '€100k'}, {'date': '30/10/2017', 'age': '21', 'clubName': 'Grêmio Foot-Ball Porto Alegrense', 'clubID': '210', 'value': '€6.00m'}, {'date': '07/12/2017', 'age': '21', 'clubName': 'Grêmio Foot-Ball Porto Alegrense', 'clubID': '210', 'value': '€14.00m'}, {'date': '23/05/2018', 'age': '21', 'clubName': 'Grêmio Foot-Ball Porto Alegrense', 'clubID': '210', 'value': '€30.00m'}, {'date': '31/10/2018', 'age': '22', 'clubName': 'FC Barcelona', 'clubID': '131', 'value': '€50.00m'}, {'date': '21/12/2018', 'age': '22', 'clubName': 'FC Barcelona', 'clubID': '131', 'value': '€50.00m'}, {'date': '28/02/2019', 'age': '22', 'clubName': 'FC Barcelona', 'clubID': '131', 'value': '€60.00m'}, {'date': '11/06/2019', 'age': '22', 'clubName': 'FC Barcelona', 'clubID': '131', 'value': '€70.00m'}, {'date': '20/12/2019', 'age': '23', 'clubName': 'FC Barcelona', 'clubID': '131', 'value': '€70.00m'}, {'date': '08/04/2020', 'age': '23', 'clubName': 'FC Barcelona', 'clubID': '131', 'value': '€56.00m'}, {'date': '29/10/2020', 'age': '24', 'clubName': 'Juventus FC', 'clubID': '506', 'value': '€60.00m'}, {'date': '29/12/2020', 'age': '24', 'clubName': 'Juventus FC', 'clubID': '506', 'value': '€50.00m'}, {'date': '03/06/2021', 'age': '24', 'clubName': 'Juventus FC', 'clubID': '506', 'value': '€40.00m'}, {'date': '14/10/2021', 'age': '25', 'clubName': 'Juventus FC', 'clubID': '506', 'value': '€35.00m'}, {'date': '28/12/2021', 'age': '25', 'clubName': 'Juventus FC', 'clubID': '506', 'value': '€25.00m'}, {'date': '15/03/2022', 'age': '25', 'clubName': 'Juventus FC', 'clubID': '506', 'value': '€20.00m'}, {'date': '07/06/2022', 'age': '25', 'clubName': 'Juventus FC', 'clubID': '506', 'value': '€18.00m'}, {'date': '03/11/2022', 'age': '26', 'clubName': 'Liverpool FC', 'clubID': '31', 'value': '€18.00m'}, {'date': '16/03/2023', 'age': '26', 'clubName': 'Liverpool FC', 'clubID': '31', 'value': '€15.00m'}, {'date': '20/06/2023', 'age': '26', 'clubName': 'Liverpool FC', 'clubID': '31', 'value': '€15.00m'}, {'date': '20/12/2023', 'age': '27', 'clubName': 'ACF Fiorentina', 'clubID': '430', 'value': '€15.00m'}, {'date': '05/06/2024', 'age': '27', 'clubName': 'ACF Fiorentina', 'clubID': '430', 'value': '€15.00m'}, {'date': '18/10/2024', 'age': '28', 'clubName': 'Juventus FC', 'clubID': '506', 'value': '€8.00m'}, {'date': '18/12/2024', 'age': '28', 'clubName': 'Juventus FC', 'clubID': '506', 'value': '€5.00m'}, {'date': '09/06/2025', 'age': '28', 'clubName': 'Girona FC', 'clubID': '12321', 'value': '€5.00m'}, {'date': '10/12/2025', 'age': '29', 'clubName': 'Grêmio Foot-Ball Porto Alegrense', 'clubID': '210', 'value': '€4.00m'}]}</t>
  </si>
  <si>
    <t>1996-08-12</t>
  </si>
  <si>
    <t>Koke</t>
  </si>
  <si>
    <t>{'marketValueHistory': [{'date': 'Feb 11, 2011', 'age': '19', 'clubName': 'Atlético de Madrid', 'clubID': '13', 'value': '€600k'}, {'date': 'Feb 28, 2011', 'age': '19', 'clubName': 'Atlético de Madrid', 'clubID': '13', 'value': '€1.00m'}, {'date': 'Jul 29, 2011', 'age': '19', 'clubName': 'Atlético de Madrid', 'clubID': '13', 'value': '€3.00m'}, {'date': 'Feb 3, 2012', 'age': '20', 'clubName': 'Atlético de Madrid', 'clubID': '13', 'value': '€3.00m'}, {'date': 'Apr 14, 2012', 'age': '20', 'clubName': 'Atlético de Madrid', 'clubID': '13', 'value': '€3.50m'}, {'date': 'Aug 1, 2012', 'age': '20', 'clubName': 'Atlético de Madrid', 'clubID': '13', 'value': '€5.00m'}, {'date': 'Jan 10, 2013', 'age': '21', 'clubName': 'Atlético de Madrid', 'clubID': '13', 'value': '€8.00m'}, {'date': 'Jun 12, 2013', 'age': '21', 'clubName': 'Atlético de Madrid', 'clubID': '13', 'value': '€14.00m'}, {'date': 'Oct 21, 2013', 'age': '21', 'clubName': 'Atlético de Madrid', 'clubID': '13', 'value': '€20.00m'}, {'date': 'Jan 23, 2014', 'age': '22', 'clubName': 'Atlético de Madrid', 'clubID': '13', 'value': '€25.00m'}, {'date': 'Mar 31, 2014', 'age': '22', 'clubName': 'Atlético de Madrid', 'clubID': '13', 'value': '€30.00m'}, {'date': 'Jul 20, 2014', 'age': '22', 'clubName': 'Atlético de Madrid', 'clubID': '13', 'value': '€40.00m'}, {'date': 'Jan 23, 2015', 'age': '23', 'clubName': 'Atlético de Madrid', 'clubID': '13', 'value': '€50.00m'}, {'date': 'Jul 1, 2015', 'age': '23', 'clubName': 'Atlético de Madrid', 'clubID': '13', 'value': '€50.00m'}, {'date': 'Feb 22, 2016', 'age': '24', 'clubName': 'Atlético de Madrid', 'clubID': '13', 'value': '€50.00m'}, {'date': 'Jun 1, 2016', 'age': '24', 'clubName': 'Atlético de Madrid', 'clubID': '13', 'value': '€60.00m'}, {'date': 'Jul 15, 2016', 'age': '24', 'clubName': 'Atlético de Madrid', 'clubID': '13', 'value': '€60.00m'}, {'date': 'Jan 24, 2017', 'age': '25', 'clubName': 'Atlético de Madrid', 'clubID': '13', 'value': '€55.00m'}, {'date': 'Jun 5, 2017', 'age': '25', 'clubName': 'Atlético de Madrid', 'clubID': '13', 'value': '€60.00m'}, {'date': 'Jan 1, 2018', 'age': '25', 'clubName': 'Atlético de Madrid', 'clubID': '13', 'value': '€70.00m'}, {'date': 'May 30, 2018', 'age': '26', 'clubName': 'Atlético de Madrid', 'clubID': '13', 'value': '€70.00m'}, {'date': 'Dec 21, 2018', 'age': '26', 'clubName': 'Atlético de Madrid', 'clubID': '13', 'value': '€70.00m'}, {'date': 'Jun 11, 2019', 'age': '27', 'clubName': 'Atlético de Madrid', 'clubID': '13', 'value': '€70.00m'}, {'date': 'Dec 20, 2019', 'age': '27', 'clubName': 'Atlético de Madrid', 'clubID': '13', 'value': '€60.00m'}, {'date': 'Apr 8, 2020', 'age': '28', 'clubName': 'Atlético de Madrid', 'clubID': '13', 'value': '€48.00m'}, {'date': 'Oct 8, 2020', 'age': '28', 'clubName': 'Atlético de Madrid', 'clubID': '13', 'value': '€60.00m'}, {'date': 'Jan 5, 2021', 'age': '28', 'clubName': 'Atlético de Madrid', 'clubID': '13', 'value': '€60.00m'}, {'date': 'May 31, 2021', 'age': '29', 'clubName': 'Atlético de Madrid', 'clubID': '13', 'value': '€60.00m'}, {'date': 'Dec 30, 2021', 'age': '29', 'clubName': 'Atlético de Madrid', 'clubID': '13', 'value': '€40.00m'}, {'date': 'Mar 21, 2022', 'age': '30', 'clubName': 'Atlético de Madrid', 'clubID': '13', 'value': '€35.00m'}, {'date': 'Jun 3, 2022', 'age': '30', 'clubName': 'Atlético de Madrid', 'clubID': '13', 'value': '€25.00m'}, {'date': 'Sep 23, 2022', 'age': '30', 'clubName': 'Atlético de Madrid', 'clubID': '13', 'value': '€20.00m'}, {'date': 'Nov 7, 2022', 'age': '30', 'clubName': 'Atlético de Madrid', 'clubID': '13', 'value': '€18.00m'}, {'date': 'Mar 23, 2023', 'age': '31', 'clubName': 'Atlético de Madrid', 'clubID': '13', 'value': '€16.00m'}, {'date': 'Jun 13, 2023', 'age': '31', 'clubName': 'Atlético de Madrid', 'clubID': '13', 'value': '€16.00m'}, {'date': 'Dec 22, 2023', 'age': '31', 'clubName': 'Atlético de Madrid', 'clubID': '13', 'value': '€14.00m'}, {'date': 'Mar 21, 2024', 'age': '32', 'clubName': 'Atlético de Madrid', 'clubID': '13', 'value': '€12.00m'}, {'date': 'Jun 7, 2024', 'age': '32', 'clubName': 'Atlético de Madrid', 'clubID': '13', 'value': '€12.00m'}, {'date': 'Dec 27, 2024', 'age': '32', 'clubName': 'Atlético de Madrid', 'clubID': '13', 'value': '€10.00m'}, {'date': 'Jun 9, 2025', 'age': '33', 'clubName': 'Atlético de Madrid', 'clubID': '13', 'value': '€8.00m'}, {'date': 'Dec 12, 2025', 'age': '33', 'clubName': 'Atlético de Madrid', 'clubID': '13', 'value': '€7.00m'}, {'date': 'Mar 16, 2026', 'age': '34', 'clubName': 'Atlético de Madrid', 'clubID': '13', 'value': '€6.00m'}]}</t>
  </si>
  <si>
    <t>1992-01-08</t>
  </si>
  <si>
    <t>Corona</t>
  </si>
  <si>
    <t>{'marketValueHistory': [{'date': '08/12/2011', 'age': '18', 'clubName': 'CF Monterrey', 'clubID': '2407', 'value': '€600k'}, {'date': '30/05/2012', 'age': '19', 'clubName': 'CF Monterrey', 'clubID': '2407', 'value': '€600k'}, {'date': '30/11/2012', 'age': '19', 'clubName': 'CF Monterrey', 'clubID': '2407', 'value': '€600k'}, {'date': '11/01/2013', 'age': '20', 'clubName': 'CF Monterrey', 'clubID': '2407', 'value': '€850k'}, {'date': '06/02/2013', 'age': '20', 'clubName': 'CF Monterrey', 'clubID': '2407', 'value': '€1.00m'}, {'date': '19/06/2013', 'age': '20', 'clubName': 'CF Monterrey', 'clubID': '2407', 'value': '€1.30m'}, {'date': '26/09/2013', 'age': '20', 'clubName': 'FC Twente Enschede', 'clubID': '317', 'value': '€3.50m'}, {'date': '11/02/2014', 'age': '21', 'clubName': 'FC Twente Enschede', 'clubID': '317', 'value': '€3.50m'}, {'date': '11/08/2014', 'age': '21', 'clubName': 'FC Twente Enschede', 'clubID': '317', 'value': '€3.00m'}, {'date': '16/02/2015', 'age': '22', 'clubName': 'FC Twente Enschede', 'clubID': '317', 'value': '€4.00m'}, {'date': '01/07/2015', 'age': '22', 'clubName': 'FC Twente Enschede', 'clubID': '317', 'value': '€6.50m'}, {'date': '07/10/2015', 'age': '22', 'clubName': 'FC Porto', 'clubID': '720', 'value': '€10.00m'}, {'date': '24/02/2016', 'age': '23', 'clubName': 'FC Porto', 'clubID': '720', 'value': '€10.00m'}, {'date': '29/07/2016', 'age': '23', 'clubName': 'FC Porto', 'clubID': '720', 'value': '€10.00m'}, {'date': '22/02/2017', 'age': '24', 'clubName': 'FC Porto', 'clubID': '720', 'value': '€12.00m'}, {'date': '26/06/2017', 'age': '24', 'clubName': 'FC Porto', 'clubID': '720', 'value': '€12.00m'}, {'date': '07/02/2018', 'age': '25', 'clubName': 'FC Porto', 'clubID': '720', 'value': '€12.00m'}, {'date': '13/06/2018', 'age': '25', 'clubName': 'FC Porto', 'clubID': '720', 'value': '€12.00m'}, {'date': '11/01/2019', 'age': '26', 'clubName': 'FC Porto', 'clubID': '720', 'value': '€16.00m'}, {'date': '18/03/2019', 'age': '26', 'clubName': 'FC Porto', 'clubID': '720', 'value': '€20.00m'}, {'date': '07/06/2019', 'age': '26', 'clubName': 'FC Porto', 'clubID': '720', 'value': '€22.00m'}, {'date': '30/12/2019', 'age': '26', 'clubName': 'FC Porto', 'clubID': '720', 'value': '€25.00m'}, {'date': '08/04/2020', 'age': '27', 'clubName': 'FC Porto', 'clubID': '720', 'value': '€20.00m'}, {'date': '17/08/2020', 'age': '27', 'clubName': 'FC Porto', 'clubID': '720', 'value': '€30.00m'}, {'date': '28/01/2021', 'age': '28', 'clubName': 'FC Porto', 'clubID': '720', 'value': '€30.00m'}, {'date': '21/05/2021', 'age': '28', 'clubName': 'FC Porto', 'clubID': '720', 'value': '€30.00m'}, {'date': '27/12/2021', 'age': '28', 'clubName': 'FC Porto', 'clubID': '720', 'value': '€22.00m'}, {'date': '21/03/2022', 'age': '29', 'clubName': 'Sevilla FC', 'clubID': '368', 'value': '€18.00m'}, {'date': '03/06/2022', 'age': '29', 'clubName': 'Sevilla FC', 'clubID': '368', 'value': '€18.00m'}, {'date': '07/11/2022', 'age': '29', 'clubName': 'Sevilla FC', 'clubID': '368', 'value': '€14.00m'}, {'date': '23/03/2023', 'age': '30', 'clubName': 'Sevilla FC', 'clubID': '368', 'value': '€10.00m'}, {'date': '13/06/2023', 'age': '30', 'clubName': 'Sevilla FC', 'clubID': '368', 'value': '€8.00m'}, {'date': '03/10/2023', 'age': '30', 'clubName': 'CF Monterrey', 'clubID': '2407', 'value': '€7.00m'}, {'date': '29/12/2023', 'age': '30', 'clubName': 'CF Monterrey', 'clubID': '2407', 'value': '€5.00m'}, {'date': '14/06/2024', 'age': '31', 'clubName': 'CF Monterrey', 'clubID': '2407', 'value': '€3.50m'}, {'date': '10/10/2024', 'age': '31', 'clubName': 'CF Monterrey', 'clubID': '2407', 'value': '€3.00m'}, {'date': '11/12/2024', 'age': '31', 'clubName': 'CF Monterrey', 'clubID': '2407', 'value': '€2.50m'}, {'date': '26/05/2025', 'age': '32', 'clubName': 'CF Monterrey', 'clubID': '2407', 'value': '€2.00m'}, {'date': '29/12/2025', 'age': '32', 'clubName': 'CF Monterrey', 'clubID': '2407', 'value': '€1.80m'}]}</t>
  </si>
  <si>
    <t>Mexico</t>
  </si>
  <si>
    <t>1993-01-06</t>
  </si>
  <si>
    <t>Nelson Semedo</t>
  </si>
  <si>
    <t>{'marketValueHistory': [{'date': 'Nov 8, 2013', 'age': '19', 'clubName': 'SL Benfica B', 'clubID': '10330', 'value': '€50k'}, {'date': 'Feb 20, 2014', 'age': '20', 'clubName': 'SL Benfica B', 'clubID': '10330', 'value': '€200k'}, {'date': 'Jul 1, 2015', 'age': '21', 'clubName': 'SL Benfica', 'clubID': '294', 'value': '€600k'}, {'date': 'Oct 7, 2015', 'age': '21', 'clubName': 'SL Benfica', 'clubID': '294', 'value': '€3.75m'}, {'date': 'Feb 24, 2016', 'age': '22', 'clubName': 'SL Benfica', 'clubID': '294', 'value': '€3.75m'}, {'date': 'Jul 29, 2016', 'age': '22', 'clubName': 'SL Benfica', 'clubID': '294', 'value': '€4.00m'}, {'date': 'Oct 31, 2016', 'age': '22', 'clubName': 'SL Benfica', 'clubID': '294', 'value': '€7.00m'}, {'date': 'Feb 22, 2017', 'age': '23', 'clubName': 'SL Benfica', 'clubID': '294', 'value': '€14.00m'}, {'date': 'Jun 26, 2017', 'age': '23', 'clubName': 'SL Benfica', 'clubID': '294', 'value': '€20.00m'}, {'date': 'Jan 1, 2018', 'age': '24', 'clubName': 'FC Barcelona', 'clubID': '131', 'value': '€30.00m'}, {'date': 'May 30, 2018', 'age': '24', 'clubName': 'FC Barcelona', 'clubID': '131', 'value': '€30.00m'}, {'date': 'Dec 21, 2018', 'age': '25', 'clubName': 'FC Barcelona', 'clubID': '131', 'value': '€35.00m'}, {'date': 'Feb 28, 2019', 'age': '25', 'clubName': 'FC Barcelona', 'clubID': '131', 'value': '€40.00m'}, {'date': 'Jun 11, 2019', 'age': '25', 'clubName': 'FC Barcelona', 'clubID': '131', 'value': '€40.00m'}, {'date': 'Dec 20, 2019', 'age': '26', 'clubName': 'FC Barcelona', 'clubID': '131', 'value': '€40.00m'}, {'date': 'Apr 8, 2020', 'age': '26', 'clubName': 'FC Barcelona', 'clubID': '131', 'value': '€32.00m'}, {'date': 'Jul 23, 2020', 'age': '26', 'clubName': 'FC Barcelona', 'clubID': '131', 'value': '€40.00m'}, {'date': 'Oct 13, 2020', 'age': '26', 'clubName': 'Wolverhampton Wanderers', 'clubID': '543', 'value': '€35.00m'}, {'date': 'Mar 18, 2021', 'age': '27', 'clubName': 'Wolverhampton Wanderers', 'clubID': '543', 'value': '€32.00m'}, {'date': 'Jun 1, 2021', 'age': '27', 'clubName': 'Wolverhampton Wanderers', 'clubID': '543', 'value': '€28.00m'}, {'date': 'Dec 23, 2021', 'age': '28', 'clubName': 'Wolverhampton Wanderers', 'clubID': '543', 'value': '€25.00m'}, {'date': 'Jun 15, 2022', 'age': '28', 'clubName': 'Wolverhampton Wanderers', 'clubID': '543', 'value': '€22.00m'}, {'date': 'Sep 15, 2022', 'age': '28', 'clubName': 'Wolverhampton Wanderers', 'clubID': '543', 'value': '€20.00m'}, {'date': 'Nov 3, 2022', 'age': '28', 'clubName': 'Wolverhampton Wanderers', 'clubID': '543', 'value': '€18.00m'}, {'date': 'Mar 16, 2023', 'age': '29', 'clubName': 'Wolverhampton Wanderers', 'clubID': '543', 'value': '€15.00m'}, {'date': 'Jun 20, 2023', 'age': '29', 'clubName': 'Wolverhampton Wanderers', 'clubID': '543', 'value': '€15.00m'}, {'date': 'Dec 19, 2023', 'age': '30', 'clubName': 'Wolverhampton Wanderers', 'clubID': '543', 'value': '€15.00m'}, {'date': 'Mar 14, 2024', 'age': '30', 'clubName': 'Wolverhampton Wanderers', 'clubID': '543', 'value': '€12.00m'}, {'date': 'May 27, 2024', 'age': '30', 'clubName': 'Wolverhampton Wanderers', 'clubID': '543', 'value': '€12.00m'}, {'date': 'Dec 16, 2024', 'age': '31', 'clubName': 'Wolverhampton Wanderers', 'clubID': '543', 'value': '€10.00m'}, {'date': 'May 30, 2025', 'age': '31', 'clubName': 'Wolverhampton Wanderers', 'clubID': '543', 'value': '€9.00m'}, {'date': 'Oct 1, 2025', 'age': '31', 'clubName': 'Fenerbahce', 'clubID': '36', 'value': '€8.00m'}, {'date': 'Dec 17, 2025', 'age': '32', 'clubName': 'Fenerbahce', 'clubID': '36', 'value': '€7.50m'}, {'date': 'Mar 5, 2026', 'age': '32', 'clubName': 'Fenerbahce', 'clubID': '36', 'value': '€7.00m'}]}</t>
  </si>
  <si>
    <t>1993-11-16</t>
  </si>
  <si>
    <t>Bernardeschi</t>
  </si>
  <si>
    <t>{'marketValueHistory': [{'date': '04/11/2011', 'age': '17', 'clubName': 'Fiorentina Primavera', 'clubID': '430', 'value': '€75k'}, {'date': '29/02/2012', 'age': '18', 'clubName': 'Fiorentina Primavera', 'clubID': '430', 'value': '€100k'}, {'date': '06/06/2013', 'age': '19', 'clubName': 'Fiorentina Primavera', 'clubID': '430', 'value': '€200k'}, {'date': '29/01/2014', 'age': '19', 'clubName': 'FC Crotone', 'clubID': '4083', 'value': '€1.20m'}, {'date': '15/07/2014', 'age': '20', 'clubName': 'ACF Fiorentina', 'clubID': '430', 'value': '€3.00m'}, {'date': '08/11/2014', 'age': '20', 'clubName': 'ACF Fiorentina', 'clubID': '430', 'value': '€4.50m'}, {'date': '07/01/2015', 'age': '20', 'clubName': 'ACF Fiorentina', 'clubID': '430', 'value': '€4.50m'}, {'date': '01/07/2015', 'age': '21', 'clubName': 'ACF Fiorentina', 'clubID': '430', 'value': '€4.50m'}, {'date': '05/11/2015', 'age': '21', 'clubName': 'ACF Fiorentina', 'clubID': '430', 'value': '€6.00m'}, {'date': '04/01/2016', 'age': '21', 'clubName': 'ACF Fiorentina', 'clubID': '430', 'value': '€15.00m'}, {'date': '01/06/2016', 'age': '22', 'clubName': 'ACF Fiorentina', 'clubID': '430', 'value': '€16.00m'}, {'date': '15/07/2016', 'age': '22', 'clubName': 'ACF Fiorentina', 'clubID': '430', 'value': '€16.00m'}, {'date': '02/01/2017', 'age': '22', 'clubName': 'ACF Fiorentina', 'clubID': '430', 'value': '€24.00m'}, {'date': '08/06/2017', 'age': '23', 'clubName': 'ACF Fiorentina', 'clubID': '430', 'value': '€30.00m'}, {'date': '29/12/2017', 'age': '23', 'clubName': 'Juventus FC', 'clubID': '506', 'value': '€30.00m'}, {'date': '24/03/2018', 'age': '24', 'clubName': 'Juventus FC', 'clubID': '506', 'value': '€40.00m'}, {'date': '07/06/2018', 'age': '24', 'clubName': 'Juventus FC', 'clubID': '506', 'value': '€40.00m'}, {'date': '12/10/2018', 'age': '24', 'clubName': 'Juventus FC', 'clubID': '506', 'value': '€45.00m'}, {'date': '20/12/2018', 'age': '24', 'clubName': 'Juventus FC', 'clubID': '506', 'value': '€45.00m'}, {'date': '06/06/2019', 'age': '25', 'clubName': 'Juventus FC', 'clubID': '506', 'value': '€45.00m'}, {'date': '12/12/2019', 'age': '25', 'clubName': 'Juventus FC', 'clubID': '506', 'value': '€40.00m'}, {'date': '03/03/2020', 'age': '26', 'clubName': 'Juventus FC', 'clubID': '506', 'value': '€35.00m'}, {'date': '08/04/2020', 'age': '26', 'clubName': 'Juventus FC', 'clubID': '506', 'value': '€28.00m'}, {'date': '25/08/2020', 'age': '26', 'clubName': 'Juventus FC', 'clubID': '506', 'value': '€25.00m'}, {'date': '29/12/2020', 'age': '26', 'clubName': 'Juventus FC', 'clubID': '506', 'value': '€20.00m'}, {'date': '25/05/2021', 'age': '27', 'clubName': 'Juventus FC', 'clubID': '506', 'value': '€15.00m'}, {'date': '28/12/2021', 'age': '27', 'clubName': 'Juventus FC', 'clubID': '506', 'value': '€15.00m'}, {'date': '07/06/2022', 'age': '28', 'clubName': 'Juventus FC', 'clubID': '506', 'value': '€10.00m'}, {'date': '18/08/2022', 'age': '28', 'clubName': 'Toronto FC', 'clubID': '11141', 'value': '€8.00m'}, {'date': '08/11/2022', 'age': '28', 'clubName': 'Toronto FC', 'clubID': '11141', 'value': '€8.00m'}, {'date': '22/08/2023', 'age': '29', 'clubName': 'Toronto FC', 'clubID': '11141', 'value': '€6.00m'}, {'date': '18/12/2023', 'age': '29', 'clubName': 'Toronto FC', 'clubID': '11141', 'value': '€5.00m'}, {'date': '13/06/2024', 'age': '30', 'clubName': 'Toronto FC', 'clubID': '11141', 'value': '€4.50m'}, {'date': '12/12/2024', 'age': '30', 'clubName': 'Toronto FC', 'clubID': '11141', 'value': '€4.00m'}, {'date': '05/06/2025', 'age': '31', 'clubName': 'Toronto FC', 'clubID': '11141', 'value': '€3.50m'}, {'date': '23/12/2025', 'age': '31', 'clubName': 'Bologna FC 1909', 'clubID': '1025', 'value': '€3.50m'}]}</t>
  </si>
  <si>
    <t>1994-02-16</t>
  </si>
  <si>
    <t>Bentancur</t>
  </si>
  <si>
    <t>{'marketValueHistory': [{'date': 'Jul 14, 2015', 'age': '18', 'clubName': 'CA Boca Juniors', 'clubID': '189', 'value': '€2.00m'}, {'date': 'Feb 6, 2016', 'age': '18', 'clubName': 'CA Boca Juniors', 'clubID': '189', 'value': '€5.80m'}, {'date': 'Aug 8, 2016', 'age': '19', 'clubName': 'CA Boca Juniors', 'clubID': '189', 'value': '€5.00m'}, {'date': 'Feb 13, 2017', 'age': '19', 'clubName': 'CA Boca Juniors', 'clubID': '189', 'value': '€6.00m'}, {'date': 'Oct 13, 2017', 'age': '20', 'clubName': 'Juventus FC', 'clubID': '506', 'value': '€9.00m'}, {'date': 'Dec 29, 2017', 'age': '20', 'clubName': 'Juventus FC', 'clubID': '506', 'value': '€12.50m'}, {'date': 'Jun 7, 2018', 'age': '20', 'clubName': 'Juventus FC', 'clubID': '506', 'value': '€15.00m'}, {'date': 'Jul 16, 2018', 'age': '21', 'clubName': 'Juventus FC', 'clubID': '506', 'value': '€20.00m'}, {'date': 'Dec 20, 2018', 'age': '21', 'clubName': 'Juventus FC', 'clubID': '506', 'value': '€35.00m'}, {'date': 'Jun 6, 2019', 'age': '21', 'clubName': 'Juventus FC', 'clubID': '506', 'value': '€35.00m'}, {'date': 'Dec 12, 2019', 'age': '22', 'clubName': 'Juventus FC', 'clubID': '506', 'value': '€40.00m'}, {'date': 'Mar 3, 2020', 'age': '22', 'clubName': 'Juventus FC', 'clubID': '506', 'value': '€50.00m'}, {'date': 'Apr 8, 2020', 'age': '22', 'clubName': 'Juventus FC', 'clubID': '506', 'value': '€40.00m'}, {'date': 'Aug 25, 2020', 'age': '23', 'clubName': 'Juventus FC', 'clubID': '506', 'value': '€50.00m'}, {'date': 'Dec 29, 2020', 'age': '23', 'clubName': 'Juventus FC', 'clubID': '506', 'value': '€46.00m'}, {'date': 'Mar 23, 2021', 'age': '23', 'clubName': 'Juventus FC', 'clubID': '506', 'value': '€40.00m'}, {'date': 'Jun 3, 2021', 'age': '23', 'clubName': 'Juventus FC', 'clubID': '506', 'value': '€35.00m'}, {'date': 'Oct 14, 2021', 'age': '24', 'clubName': 'Juventus FC', 'clubID': '506', 'value': '€30.00m'}, {'date': 'Dec 28, 2021', 'age': '24', 'clubName': 'Juventus FC', 'clubID': '506', 'value': '€25.00m'}, {'date': 'Jun 15, 2022', 'age': '24', 'clubName': 'Tottenham Hotspur', 'clubID': '148', 'value': '€28.00m'}, {'date': 'Sep 15, 2022', 'age': '25', 'clubName': 'Tottenham Hotspur', 'clubID': '148', 'value': '€35.00m'}, {'date': 'Nov 3, 2022', 'age': '25', 'clubName': 'Tottenham Hotspur', 'clubID': '148', 'value': '€40.00m'}, {'date': 'Jun 20, 2023', 'age': '25', 'clubName': 'Tottenham Hotspur', 'clubID': '148', 'value': '€40.00m'}, {'date': 'Dec 19, 2023', 'age': '26', 'clubName': 'Tottenham Hotspur', 'clubID': '148', 'value': '€35.00m'}, {'date': 'May 27, 2024', 'age': '26', 'clubName': 'Tottenham Hotspur', 'clubID': '148', 'value': '€35.00m'}, {'date': 'Dec 16, 2024', 'age': '27', 'clubName': 'Tottenham Hotspur', 'clubID': '148', 'value': '€35.00m'}, {'date': 'Mar 18, 2025', 'age': '27', 'clubName': 'Tottenham Hotspur', 'clubID': '148', 'value': '€30.00m'}, {'date': 'May 30, 2025', 'age': '27', 'clubName': 'Tottenham Hotspur', 'clubID': '148', 'value': '€30.00m'}, {'date': 'Dec 9, 2025', 'age': '28', 'clubName': 'Tottenham Hotspur', 'clubID': '148', 'value': '€27.00m'}, {'date': 'Mar 9, 2026', 'age': '28', 'clubName': 'Tottenham Hotspur', 'clubID': '148', 'value': '€22.00m'}]}</t>
  </si>
  <si>
    <t>1997-06-25</t>
  </si>
  <si>
    <t>Lukaku</t>
  </si>
  <si>
    <t>{'marketValueHistory': [{'date': '27/05/2009', 'age': '16', 'clubName': 'RSC Anderlecht U17', 'clubID': '58', 'value': '€400k'}, {'date': '29/09/2009', 'age': '16', 'clubName': 'RSC Anderlecht', 'clubID': '58', 'value': '€2.00m'}, {'date': '07/12/2009', 'age': '16', 'clubName': 'RSC Anderlecht', 'clubID': '58', 'value': '€5.00m'}, {'date': '26/02/2010', 'age': '16', 'clubName': 'RSC Anderlecht', 'clubID': '58', 'value': '€10.00m'}, {'date': '28/12/2010', 'age': '17', 'clubName': 'RSC Anderlecht', 'clubID': '58', 'value': '€14.00m'}, {'date': '28/06/2011', 'age': '18', 'clubName': 'RSC Anderlecht', 'clubID': '58', 'value': '€15.00m'}, {'date': '06/02/2012', 'age': '18', 'clubName': 'Chelsea FC', 'clubID': '631', 'value': '€15.00m'}, {'date': '24/06/2012', 'age': '19', 'clubName': 'Chelsea FC', 'clubID': '631', 'value': '€14.00m'}, {'date': '28/01/2013', 'age': '19', 'clubName': 'West Bromwich Albion', 'clubID': '984', 'value': '€19.00m'}, {'date': '02/07/2013', 'age': '20', 'clubName': 'Chelsea FC', 'clubID': '631', 'value': '€24.00m'}, {'date': '15/01/2014', 'age': '20', 'clubName': 'Everton FC', 'clubID': '29', 'value': '€25.00m'}, {'date': '12/08/2014', 'age': '21', 'clubName': 'Everton FC', 'clubID': '29', 'value': '€30.00m'}, {'date': '12/02/2015', 'age': '21', 'clubName': 'Everton FC', 'clubID': '29', 'value': '€30.00m'}, {'date': '01/07/2015', 'age': '22', 'clubName': 'Everton FC', 'clubID': '29', 'value': '€28.00m'}, {'date': '09/02/2016', 'age': '22', 'clubName': 'Everton FC', 'clubID': '29', 'value': '€35.00m'}, {'date': '01/06/2016', 'age': '23', 'clubName': 'Everton FC', 'clubID': '29', 'value': '€40.00m'}, {'date': '01/08/2016', 'age': '23', 'clubName': 'Everton FC', 'clubID': '29', 'value': '€40.00m'}, {'date': '20/02/2017', 'age': '23', 'clubName': 'Everton FC', 'clubID': '29', 'value': '€50.00m'}, {'date': '28/06/2017', 'age': '24', 'clubName': 'Everton FC', 'clubID': '29', 'value': '€50.00m'}, {'date': '16/08/2017', 'age': '24', 'clubName': 'Manchester United', 'clubID': '985', 'value': '€60.00m'}, {'date': '23/10/2017', 'age': '24', 'clubName': 'Manchester United', 'clubID': '985', 'value': '€70.00m'}, {'date': '02/01/2018', 'age': '24', 'clubName': 'Manchester United', 'clubID': '985', 'value': '€85.00m'}, {'date': '28/05/2018', 'age': '25', 'clubName': 'Manchester United', 'clubID': '985', 'value': '€90.00m'}, {'date': '16/07/2018', 'age': '25', 'clubName': 'Manchester United', 'clubID': '985', 'value': '€100.00m'}, {'date': '19/12/2018', 'age': '25', 'clubName': 'Manchester United', 'clubID': '985', 'value': '€85.00m'}, {'date': '13/06/2019', 'age': '26', 'clubName': 'Manchester United', 'clubID': '985', 'value': '€75.00m'}, {'date': '12/12/2019', 'age': '26', 'clubName': 'Inter Milan', 'clubID': '46', 'value': '€75.00m'}, {'date': '03/03/2020', 'age': '26', 'clubName': 'Inter Milan', 'clubID': '46', 'value': '€85.00m'}, {'date': '08/04/2020', 'age': '26', 'clubName': 'Inter Milan', 'clubID': '46', 'value': '€68.00m'}, {'date': '25/08/2020', 'age': '27', 'clubName': 'Inter Milan', 'clubID': '46', 'value': '€85.00m'}, {'date': '29/12/2020', 'age': '27', 'clubName': 'Inter Milan', 'clubID': '46', 'value': '€90.00m'}, {'date': '26/05/2021', 'age': '28', 'clubName': 'Inter Milan', 'clubID': '46', 'value': '€100.00m'}, {'date': '23/12/2021', 'age': '28', 'clubName': 'Chelsea FC', 'clubID': '631', 'value': '€100.00m'}, {'date': '29/03/2022', 'age': '28', 'clubName': 'Chelsea FC', 'clubID': '631', 'value': '€85.00m'}, {'date': '15/06/2022', 'age': '29', 'clubName': 'Chelsea FC', 'clubID': '631', 'value': '€70.00m'}, {'date': '11/11/2022', 'age': '29', 'clubName': 'Inter Milan', 'clubID': '46', 'value': '€55.00m'}, {'date': '21/03/2023', 'age': '29', 'clubName': 'Inter Milan', 'clubID': '46', 'value': '€40.00m'}, {'date': '15/06/2023', 'age': '30', 'clubName': 'Inter Milan', 'clubID': '46', 'value': '€40.00m'}, {'date': '20/12/2023', 'age': '30', 'clubName': 'AS Roma', 'clubID': '12', 'value': '€35.00m'}, {'date': '12/03/2024', 'age': '30', 'clubName': 'AS Roma', 'clubID': '12', 'value': '€30.00m'}, {'date': '05/06/2024', 'age': '31', 'clubName': 'AS Roma', 'clubID': '12', 'value': '€30.00m'}, {'date': '18/12/2024', 'age': '31', 'clubName': 'SSC Napoli', 'clubID': '6195', 'value': '€25.00m'}, {'date': '25/03/2025', 'age': '31', 'clubName': 'SSC Napoli', 'clubID': '6195', 'value': '€22.00m'}, {'date': '17/06/2025', 'age': '32', 'clubName': 'SSC Napoli', 'clubID': '6195', 'value': '€22.00m'}, {'date': '07/10/2025', 'age': '32', 'clubName': 'SSC Napoli', 'clubID': '6195', 'value': '€15.00m'}, {'date': '23/12/2025', 'age': '32', 'clubName': 'SSC Napoli', 'clubID': '6195', 'value': '€15.00m'}, {'date': '24/03/2026', 'age': '32', 'clubName': 'SSC Napoli', 'clubID': '6195', 'value': '€12.00m'}]}</t>
  </si>
  <si>
    <t>1993-05-13</t>
  </si>
  <si>
    <t>Icardi</t>
  </si>
  <si>
    <t>Inter</t>
  </si>
  <si>
    <t>{'marketValueHistory': [{'date': 'May 9, 2011', 'age': '18', 'clubName': 'Sampdoria Primavera', 'clubID': '12001', 'value': '€200k'}, {'date': 'Jan 1, 2012', 'age': '18', 'clubName': 'UC Sampdoria', 'clubID': '1038', 'value': '€200k'}, {'date': 'Jun 14, 2012', 'age': '19', 'clubName': 'UC Sampdoria', 'clubID': '1038', 'value': '€400k'}, {'date': 'Jan 14, 2013', 'age': '19', 'clubName': 'UC Sampdoria', 'clubID': '1038', 'value': '€5.00m'}, {'date': 'Feb 12, 2013', 'age': '19', 'clubName': 'UC Sampdoria', 'clubID': '1038', 'value': '€10.00m'}, {'date': 'Jun 19, 2013', 'age': '20', 'clubName': 'UC Sampdoria', 'clubID': '1038', 'value': '€12.00m'}, {'date': 'Jan 7, 2014', 'age': '20', 'clubName': 'Inter Milan', 'clubID': '46', 'value': '€12.00m'}, {'date': 'Jul 1, 2014', 'age': '21', 'clubName': 'Inter Milan', 'clubID': '46', 'value': '€18.00m'}, {'date': 'Nov 8, 2014', 'age': '21', 'clubName': 'Inter Milan', 'clubID': '46', 'value': '€21.00m'}, {'date': 'Jan 7, 2015', 'age': '21', 'clubName': 'Inter Milan', 'clubID': '46', 'value': '€21.00m'}, {'date': 'Mar 20, 2015', 'age': '22', 'clubName': 'Inter Milan', 'clubID': '46', 'value': '€25.00m'}, {'date': 'Jul 1, 2015', 'age': '22', 'clubName': 'Inter Milan', 'clubID': '46', 'value': '€32.00m'}, {'date': 'Jan 4, 2016', 'age': '22', 'clubName': 'Inter Milan', 'clubID': '46', 'value': '€32.00m'}, {'date': 'Jul 15, 2016', 'age': '23', 'clubName': 'Inter Milan', 'clubID': '46', 'value': '€35.00m'}, {'date': 'Oct 14, 2016', 'age': '23', 'clubName': 'Inter Milan', 'clubID': '46', 'value': '€40.00m'}, {'date': 'Jan 2, 2017', 'age': '23', 'clubName': 'Inter Milan', 'clubID': '46', 'value': '€45.00m'}, {'date': 'Mar 28, 2017', 'age': '24', 'clubName': 'Inter Milan', 'clubID': '46', 'value': '€50.00m'}, {'date': 'Jun 8, 2017', 'age': '24', 'clubName': 'Inter Milan', 'clubID': '46', 'value': '€50.00m'}, {'date': 'Dec 29, 2017', 'age': '24', 'clubName': 'Inter Milan', 'clubID': '46', 'value': '€75.00m'}, {'date': 'Jun 7, 2018', 'age': '25', 'clubName': 'Inter Milan', 'clubID': '46', 'value': '€95.00m'}, {'date': 'Dec 20, 2018', 'age': '25', 'clubName': 'Inter Milan', 'clubID': '46', 'value': '€100.00m'}, {'date': 'Mar 1, 2019', 'age': '26', 'clubName': 'Inter Milan', 'clubID': '46', 'value': '€90.00m'}, {'date': 'Jun 6, 2019', 'age': '26', 'clubName': 'Inter Milan', 'clubID': '46', 'value': '€80.00m'}, {'date': 'Sep 27, 2019', 'age': '26', 'clubName': 'Paris Saint-Germain', 'clubID': '583', 'value': '€75.00m'}, {'date': 'Dec 19, 2019', 'age': '26', 'clubName': 'Paris Saint-Germain', 'clubID': '583', 'value': '€75.00m'}, {'date': 'Apr 8, 2020', 'age': '27', 'clubName': 'Paris Saint-Germain', 'clubID': '583', 'value': '€60.00m'}, {'date': 'Oct 15, 2020', 'age': '27', 'clubName': 'Paris Saint-Germain', 'clubID': '583', 'value': '€55.00m'}, {'date': 'Jun 4, 2021', 'age': '28', 'clubName': 'Paris Saint-Germain', 'clubID': '583', 'value': '€40.00m'}, {'date': 'Oct 8, 2021', 'age': '28', 'clubName': 'Paris Saint-Germain', 'clubID': '583', 'value': '€35.00m'}, {'date': 'Dec 16, 2021', 'age': '28', 'clubName': 'Paris Saint-Germain', 'clubID': '583', 'value': '€28.00m'}, {'date': 'May 30, 2022', 'age': '29', 'clubName': 'Paris Saint-Germain', 'clubID': '583', 'value': '€22.00m'}, {'date': 'Oct 27, 2022', 'age': '29', 'clubName': 'Galatasaray', 'clubID': '141', 'value': '€17.50m'}, {'date': 'Mar 14, 2023', 'age': '30', 'clubName': 'Galatasaray', 'clubID': '141', 'value': '€18.00m'}, {'date': 'Jun 8, 2023', 'age': '30', 'clubName': 'Galatasaray', 'clubID': '141', 'value': '€19.00m'}, {'date': 'Sep 27, 2023', 'age': '30', 'clubName': 'Galatasaray', 'clubID': '141', 'value': '€20.00m'}, {'date': 'Dec 21, 2023', 'age': '30', 'clubName': 'Galatasaray', 'clubID': '141', 'value': '€20.00m'}, {'date': 'Mar 15, 2024', 'age': '31', 'clubName': 'Galatasaray', 'clubID': '141', 'value': '€18.00m'}, {'date': 'May 31, 2024', 'age': '31', 'clubName': 'Galatasaray', 'clubID': '141', 'value': '€17.00m'}, {'date': 'Oct 4, 2024', 'age': '31', 'clubName': 'Galatasaray', 'clubID': '141', 'value': '€15.00m'}, {'date': 'Dec 23, 2024', 'age': '31', 'clubName': 'Galatasaray', 'clubID': '141', 'value': '€13.00m'}, {'date': 'Mar 20, 2025', 'age': '32', 'clubName': 'Galatasaray', 'clubID': '141', 'value': '€11.00m'}, {'date': 'Jun 18, 2025', 'age': '32', 'clubName': 'Galatasaray', 'clubID': '141', 'value': '€9.00m'}, {'date': 'Oct 1, 2025', 'age': '32', 'clubName': 'Galatasaray', 'clubID': '141', 'value': '€8.00m'}, {'date': 'Dec 17, 2025', 'age': '32', 'clubName': 'Galatasaray', 'clubID': '141', 'value': '€6.00m'}, {'date': 'Mar 5, 2026', 'age': '33', 'clubName': 'Galatasaray', 'clubID': '141', 'value': '€5.00m'}]}</t>
  </si>
  <si>
    <t>1993-02-19</t>
  </si>
  <si>
    <t>Vlasic</t>
  </si>
  <si>
    <t>CSKA Moskva</t>
  </si>
  <si>
    <t>{'marketValueHistory': [{'date': '01/10/2014', 'age': '16', 'clubName': 'HNK Hajduk Split', 'clubID': '447', 'value': '€750k'}, {'date': '17/03/2015', 'age': '17', 'clubName': 'HNK Hajduk Split', 'clubID': '447', 'value': '€1.25m'}, {'date': '14/09/2015', 'age': '17', 'clubName': 'HNK Hajduk Split', 'clubID': '447', 'value': '€3.50m'}, {'date': '14/03/2016', 'age': '18', 'clubName': 'HNK Hajduk Split', 'clubID': '447', 'value': '€4.50m'}, {'date': '14/09/2016', 'age': '18', 'clubName': 'HNK Hajduk Split', 'clubID': '447', 'value': '€4.50m'}, {'date': '13/03/2017', 'age': '19', 'clubName': 'HNK Hajduk Split', 'clubID': '447', 'value': '€4.00m'}, {'date': '23/10/2017', 'age': '20', 'clubName': 'Everton FC', 'clubID': '29', 'value': '€8.00m'}, {'date': '02/01/2018', 'age': '20', 'clubName': 'Everton FC', 'clubID': '29', 'value': '€8.00m'}, {'date': '28/05/2018', 'age': '20', 'clubName': 'Everton FC', 'clubID': '29', 'value': '€8.00m'}, {'date': '15/10/2018', 'age': '21', 'clubName': 'CSKA Moscow', 'clubID': '2410', 'value': '€10.00m'}, {'date': '20/12/2018', 'age': '21', 'clubName': 'CSKA Moscow', 'clubID': '2410', 'value': '€18.00m'}, {'date': '14/06/2019', 'age': '21', 'clubName': 'CSKA Moscow', 'clubID': '2410', 'value': '€20.00m'}, {'date': '23/12/2019', 'age': '22', 'clubName': 'CSKA Moscow', 'clubID': '2410', 'value': '€22.00m'}, {'date': '08/04/2020', 'age': '22', 'clubName': 'CSKA Moscow', 'clubID': '2410', 'value': '€17.50m'}, {'date': '29/07/2020', 'age': '22', 'clubName': 'CSKA Moscow', 'clubID': '2410', 'value': '€22.00m'}, {'date': '19/10/2020', 'age': '23', 'clubName': 'CSKA Moscow', 'clubID': '2410', 'value': '€25.00m'}, {'date': '29/12/2020', 'age': '23', 'clubName': 'CSKA Moscow', 'clubID': '2410', 'value': '€30.00m'}, {'date': '28/05/2021', 'age': '23', 'clubName': 'CSKA Moscow', 'clubID': '2410', 'value': '€30.00m'}, {'date': '23/12/2021', 'age': '24', 'clubName': 'West Ham United', 'clubID': '379', 'value': '€27.00m'}, {'date': '29/03/2022', 'age': '24', 'clubName': 'West Ham United', 'clubID': '379', 'value': '€25.00m'}, {'date': '15/06/2022', 'age': '24', 'clubName': 'West Ham United', 'clubID': '379', 'value': '€22.00m'}, {'date': '11/11/2022', 'age': '25', 'clubName': 'Torino FC', 'clubID': '416', 'value': '€20.00m'}, {'date': '15/06/2023', 'age': '25', 'clubName': 'Torino FC', 'clubID': '416', 'value': '€17.00m'}, {'date': '11/10/2023', 'age': '26', 'clubName': 'Torino FC', 'clubID': '416', 'value': '€15.00m'}, {'date': '20/12/2023', 'age': '26', 'clubName': 'Torino FC', 'clubID': '416', 'value': '€13.00m'}, {'date': '05/06/2024', 'age': '26', 'clubName': 'Torino FC', 'clubID': '416', 'value': '€10.00m'}, {'date': '18/12/2024', 'age': '27', 'clubName': 'Torino FC', 'clubID': '416', 'value': '€7.00m'}, {'date': '25/03/2025', 'age': '27', 'clubName': 'Torino FC', 'clubID': '416', 'value': '€8.00m'}, {'date': '17/06/2025', 'age': '27', 'clubName': 'Torino FC', 'clubID': '416', 'value': '€8.00m'}, {'date': '23/12/2025', 'age': '28', 'clubName': 'Torino FC', 'clubID': '416', 'value': '€9.00m'}]}</t>
  </si>
  <si>
    <t>1997-10-04</t>
  </si>
  <si>
    <t>Ismaily</t>
  </si>
  <si>
    <t>Shakhtar Donetsk</t>
  </si>
  <si>
    <t>{'marketValueHistory': [{'date': 'Oct 10, 2009', 'age': '19', 'clubName': 'GD Estoril Praia', 'clubID': '1465', 'value': '€100k'}, {'date': 'Aug 1, 2010', 'age': '20', 'clubName': 'SC Olhanense', 'clubID': '4750', 'value': '€300k'}, {'date': 'Jul 20, 2011', 'age': '21', 'clubName': 'SC Olhanense', 'clubID': '4750', 'value': '€600k'}, {'date': 'Jul 5, 2012', 'age': '22', 'clubName': 'SC Braga', 'clubID': '1075', 'value': '€1.30m'}, {'date': 'Mar 1, 2013', 'age': '23', 'clubName': 'Shakhtar Donetsk', 'clubID': '660', 'value': '€3.00m'}, {'date': 'Jan 2, 2014', 'age': '23', 'clubName': 'Shakhtar Donetsk', 'clubID': '660', 'value': '€2.50m'}, {'date': 'Jun 30, 2014', 'age': '24', 'clubName': 'Shakhtar Donetsk', 'clubID': '660', 'value': '€2.50m'}, {'date': 'Dec 25, 2014', 'age': '24', 'clubName': 'Shakhtar Donetsk', 'clubID': '660', 'value': '€1.50m'}, {'date': 'Jun 7, 2015', 'age': '25', 'clubName': 'Shakhtar Donetsk', 'clubID': '660', 'value': '€1.80m'}, {'date': 'Dec 18, 2015', 'age': '25', 'clubName': 'Shakhtar Donetsk', 'clubID': '660', 'value': '€2.00m'}, {'date': 'Jul 21, 2016', 'age': '26', 'clubName': 'Shakhtar Donetsk', 'clubID': '660', 'value': '€2.50m'}, {'date': 'Jan 3, 2017', 'age': '26', 'clubName': 'Shakhtar Donetsk', 'clubID': '660', 'value': '€3.00m'}, {'date': 'Jun 26, 2017', 'age': '27', 'clubName': 'Shakhtar Donetsk', 'clubID': '660', 'value': '€3.50m'}, {'date': 'Jan 12, 2018', 'age': '28', 'clubName': 'Shakhtar Donetsk', 'clubID': '660', 'value': '€5.50m'}, {'date': 'May 14, 2018', 'age': '28', 'clubName': 'Shakhtar Donetsk', 'clubID': '660', 'value': '€6.50m'}, {'date': 'Aug 6, 2018', 'age': '28', 'clubName': 'Shakhtar Donetsk', 'clubID': '660', 'value': '€11.00m'}, {'date': 'Dec 10, 2018', 'age': '28', 'clubName': 'Shakhtar Donetsk', 'clubID': '660', 'value': '€18.00m'}, {'date': 'Jun 20, 2019', 'age': '29', 'clubName': 'Shakhtar Donetsk', 'clubID': '660', 'value': '€19.00m'}, {'date': 'Jan 8, 2020', 'age': '29', 'clubName': 'Shakhtar Donetsk', 'clubID': '660', 'value': '€19.00m'}, {'date': 'Apr 8, 2020', 'age': '30', 'clubName': 'Shakhtar Donetsk', 'clubID': '660', 'value': '€15.00m'}, {'date': 'Sep 4, 2020', 'age': '30', 'clubName': 'Shakhtar Donetsk', 'clubID': '660', 'value': '€12.00m'}, {'date': 'Jan 14, 2021', 'age': '31', 'clubName': 'Shakhtar Donetsk', 'clubID': '660', 'value': '€8.00m'}, {'date': 'Jun 7, 2021', 'age': '31', 'clubName': 'Shakhtar Donetsk', 'clubID': '660', 'value': '€5.00m'}, {'date': 'Dec 20, 2021', 'age': '31', 'clubName': 'Shakhtar Donetsk', 'clubID': '660', 'value': '€3.50m'}, {'date': 'May 18, 2022', 'age': '32', 'clubName': 'Shakhtar Donetsk', 'clubID': '660', 'value': '€3.50m'}, {'date': 'Nov 2, 2022', 'age': '32', 'clubName': 'LOSC Lille', 'clubID': '1082', 'value': '€3.00m'}, {'date': 'Jun 27, 2023', 'age': '33', 'clubName': 'LOSC Lille', 'clubID': '1082', 'value': '€2.50m'}, {'date': 'Dec 18, 2023', 'age': '33', 'clubName': 'LOSC Lille', 'clubID': '1082', 'value': '€2.00m'}, {'date': 'Jun 3, 2024', 'age': '34', 'clubName': 'LOSC Lille', 'clubID': '1082', 'value': '€1.80m'}, {'date': 'Dec 10, 2024', 'age': '34', 'clubName': 'LOSC Lille', 'clubID': '1082', 'value': '€1.50m'}, {'date': 'Jun 3, 2025', 'age': '35', 'clubName': 'LOSC Lille', 'clubID': '1082', 'value': '€1.20m'}, {'date': 'Oct 21, 2025', 'age': '35', 'clubName': 'Without Club', 'clubID': '515', 'value': '€700k'}]}</t>
  </si>
  <si>
    <t>1990-01-11</t>
  </si>
  <si>
    <t>Vanaken</t>
  </si>
  <si>
    <t>Club Brugge</t>
  </si>
  <si>
    <t>{'marketValueHistory': [{'date': '04/07/2010', 'age': '17', 'clubName': 'Lommel United', 'clubID': '5026', 'value': '€50k'}, {'date': '30/11/2010', 'age': '18', 'clubName': 'Lommel United', 'clubID': '5026', 'value': '€100k'}, {'date': '17/06/2011', 'age': '18', 'clubName': 'Lommel United', 'clubID': '5026', 'value': '€150k'}, {'date': '02/12/2011', 'age': '19', 'clubName': 'Lommel United', 'clubID': '5026', 'value': '€250k'}, {'date': '05/02/2012', 'age': '19', 'clubName': 'Lommel United', 'clubID': '5026', 'value': '€350k'}, {'date': '01/01/2013', 'age': '20', 'clubName': 'Lommel United', 'clubID': '5026', 'value': '€400k'}, {'date': '12/08/2013', 'age': '20', 'clubName': 'KSC Lokeren (-2020)', 'clubID': '498', 'value': '€700k'}, {'date': '08/10/2013', 'age': '21', 'clubName': 'KSC Lokeren (-2020)', 'clubID': '498', 'value': '€1.20m'}, {'date': '10/02/2014', 'age': '21', 'clubName': 'KSC Lokeren (-2020)', 'clubID': '498', 'value': '€3.00m'}, {'date': '28/06/2014', 'age': '21', 'clubName': 'KSC Lokeren (-2020)', 'clubID': '498', 'value': '€5.00m'}, {'date': '07/01/2015', 'age': '22', 'clubName': 'KSC Lokeren (-2020)', 'clubID': '498', 'value': '€6.00m'}, {'date': '22/10/2015', 'age': '23', 'clubName': 'Club Brugge KV', 'clubID': '2282', 'value': '€5.00m'}, {'date': '07/02/2016', 'age': '23', 'clubName': 'Club Brugge KV', 'clubID': '2282', 'value': '€5.00m'}, {'date': '15/07/2016', 'age': '23', 'clubName': 'Club Brugge KV', 'clubID': '2282', 'value': '€5.50m'}, {'date': '21/01/2017', 'age': '24', 'clubName': 'Club Brugge KV', 'clubID': '2282', 'value': '€5.00m'}, {'date': '06/06/2017', 'age': '24', 'clubName': 'Club Brugge KV', 'clubID': '2282', 'value': '€5.00m'}, {'date': '09/01/2018', 'age': '25', 'clubName': 'Club Brugge KV', 'clubID': '2282', 'value': '€6.00m'}, {'date': '30/03/2018', 'age': '25', 'clubName': 'Club Brugge KV', 'clubID': '2282', 'value': '€7.00m'}, {'date': '03/06/2018', 'age': '25', 'clubName': 'Club Brugge KV', 'clubID': '2282', 'value': '€7.50m'}, {'date': '11/09/2018', 'age': '26', 'clubName': 'Club Brugge KV', 'clubID': '2282', 'value': '€8.50m'}, {'date': '27/12/2018', 'age': '26', 'clubName': 'Club Brugge KV', 'clubID': '2282', 'value': '€10.00m'}, {'date': '10/06/2019', 'age': '26', 'clubName': 'Club Brugge KV', 'clubID': '2282', 'value': '€11.50m'}, {'date': '13/09/2019', 'age': '27', 'clubName': 'Club Brugge KV', 'clubID': '2282', 'value': '€14.00m'}, {'date': '13/12/2019', 'age': '27', 'clubName': 'Club Brugge KV', 'clubID': '2282', 'value': '€15.00m'}, {'date': '08/04/2020', 'age': '27', 'clubName': 'Club Brugge KV', 'clubID': '2282', 'value': '€12.00m'}, {'date': '16/10/2020', 'age': '28', 'clubName': 'Club Brugge KV', 'clubID': '2282', 'value': '€15.00m'}, {'date': '26/05/2021', 'age': '28', 'clubName': 'Club Brugge KV', 'clubID': '2282', 'value': '€13.00m'}, {'date': '06/10/2021', 'age': '29', 'clubName': 'Club Brugge KV', 'clubID': '2282', 'value': '€16.00m'}, {'date': '06/01/2022', 'age': '29', 'clubName': 'Club Brugge KV', 'clubID': '2282', 'value': '€16.00m'}, {'date': '12/04/2022', 'age': '29', 'clubName': 'Club Brugge KV', 'clubID': '2282', 'value': '€16.00m'}, {'date': '04/11/2022', 'age': '30', 'clubName': 'Club Brugge KV', 'clubID': '2282', 'value': '€15.00m'}, {'date': '22/03/2023', 'age': '30', 'clubName': 'Club Brugge KV', 'clubID': '2282', 'value': '€12.00m'}, {'date': '09/06/2023', 'age': '30', 'clubName': 'Club Brugge KV', 'clubID': '2282', 'value': '€10.00m'}, {'date': '19/12/2023', 'age': '31', 'clubName': 'Club Brugge KV', 'clubID': '2282', 'value': '€8.50m'}, {'date': '22/03/2024', 'age': '31', 'clubName': 'Club Brugge KV', 'clubID': '2282', 'value': '€7.50m'}, {'date': '04/06/2024', 'age': '31', 'clubName': 'Club Brugge KV', 'clubID': '2282', 'value': '€7.00m'}, {'date': '11/12/2024', 'age': '32', 'clubName': 'Club Brugge KV', 'clubID': '2282', 'value': '€6.00m'}, {'date': '26/03/2025', 'age': '32', 'clubName': 'Club Brugge KV', 'clubID': '2282', 'value': '€7.00m'}, {'date': '12/06/2025', 'age': '32', 'clubName': 'Club Brugge KV', 'clubID': '2282', 'value': '€7.00m'}, {'date': '10/12/2025', 'age': '33', 'clubName': 'Club Brugge KV', 'clubID': '2282', 'value': '€6.00m'}]}</t>
  </si>
  <si>
    <t>1992-08-24</t>
  </si>
  <si>
    <t>Lozano</t>
  </si>
  <si>
    <t>PSV</t>
  </si>
  <si>
    <t>{'marketValueHistory': [{'date': 'Sep 1, 2014', 'age': '19', 'clubName': 'CF Pachuca', 'clubID': '4035', 'value': '€1.00m'}, {'date': 'Oct 1, 2015', 'age': '20', 'clubName': 'CF Pachuca', 'clubID': '4035', 'value': '€2.80m'}, {'date': 'Jan 13, 2016', 'age': '20', 'clubName': 'CF Pachuca', 'clubID': '4035', 'value': '€3.20m'}, {'date': 'Aug 4, 2016', 'age': '21', 'clubName': 'CF Pachuca', 'clubID': '4035', 'value': '€6.00m'}, {'date': 'Dec 16, 2016', 'age': '21', 'clubName': 'CF Pachuca', 'clubID': '4035', 'value': '€6.50m'}, {'date': 'Jun 23, 2017', 'age': '21', 'clubName': 'CF Pachuca', 'clubID': '4035', 'value': '€10.00m'}, {'date': 'Oct 26, 2017', 'age': '22', 'clubName': 'PSV Eindhoven', 'clubID': '383', 'value': '€15.00m'}, {'date': 'Jan 17, 2018', 'age': '22', 'clubName': 'PSV Eindhoven', 'clubID': '383', 'value': '€22.00m'}, {'date': 'Jun 12, 2018', 'age': '22', 'clubName': 'PSV Eindhoven', 'clubID': '383', 'value': '€25.00m'}, {'date': 'Jul 16, 2018', 'age': '22', 'clubName': 'PSV Eindhoven', 'clubID': '383', 'value': '€30.00m'}, {'date': 'Oct 4, 2018', 'age': '23', 'clubName': 'PSV Eindhoven', 'clubID': '383', 'value': '€40.00m'}, {'date': 'Dec 28, 2018', 'age': '23', 'clubName': 'PSV Eindhoven', 'clubID': '383', 'value': '€40.00m'}, {'date': 'Jun 12, 2019', 'age': '23', 'clubName': 'PSV Eindhoven', 'clubID': '383', 'value': '€40.00m'}, {'date': 'Dec 12, 2019', 'age': '24', 'clubName': 'SSC Napoli', 'clubID': '6195', 'value': '€40.00m'}, {'date': 'Mar 3, 2020', 'age': '24', 'clubName': 'SSC Napoli', 'clubID': '6195', 'value': '€35.00m'}, {'date': 'Apr 8, 2020', 'age': '24', 'clubName': 'SSC Napoli', 'clubID': '6195', 'value': '€28.00m'}, {'date': 'Aug 25, 2020', 'age': '25', 'clubName': 'SSC Napoli', 'clubID': '6195', 'value': '€28.00m'}, {'date': 'Oct 29, 2020', 'age': '25', 'clubName': 'SSC Napoli', 'clubID': '6195', 'value': '€33.00m'}, {'date': 'Dec 29, 2020', 'age': '25', 'clubName': 'SSC Napoli', 'clubID': '6195', 'value': '€38.00m'}, {'date': 'Mar 23, 2021', 'age': '25', 'clubName': 'SSC Napoli', 'clubID': '6195', 'value': '€45.00m'}, {'date': 'Jun 3, 2021', 'age': '25', 'clubName': 'SSC Napoli', 'clubID': '6195', 'value': '€45.00m'}, {'date': 'Dec 28, 2021', 'age': '26', 'clubName': 'SSC Napoli', 'clubID': '6195', 'value': '€40.00m'}, {'date': 'Mar 15, 2022', 'age': '26', 'clubName': 'SSC Napoli', 'clubID': '6195', 'value': '€35.00m'}, {'date': 'Jun 7, 2022', 'age': '26', 'clubName': 'SSC Napoli', 'clubID': '6195', 'value': '€30.00m'}, {'date': 'Nov 11, 2022', 'age': '27', 'clubName': 'SSC Napoli', 'clubID': '6195', 'value': '€28.00m'}, {'date': 'Jun 15, 2023', 'age': '27', 'clubName': 'SSC Napoli', 'clubID': '6195', 'value': '€25.00m'}, {'date': 'Oct 17, 2023', 'age': '28', 'clubName': 'PSV Eindhoven', 'clubID': '383', 'value': '€22.00m'}, {'date': 'Dec 15, 2023', 'age': '28', 'clubName': 'PSV Eindhoven', 'clubID': '383', 'value': '€22.00m'}, {'date': 'Mar 18, 2024', 'age': '28', 'clubName': 'PSV Eindhoven', 'clubID': '383', 'value': '€18.00m'}, {'date': 'May 31, 2024', 'age': '28', 'clubName': 'PSV Eindhoven', 'clubID': '383', 'value': '€15.00m'}, {'date': 'Dec 17, 2024', 'age': '29', 'clubName': 'PSV Eindhoven', 'clubID': '383', 'value': '€12.00m'}, {'date': 'Jun 5, 2025', 'age': '29', 'clubName': 'San Diego FC', 'clubID': '114977', 'value': '€10.00m'}, {'date': 'Dec 11, 2025', 'age': '30', 'clubName': 'San Diego FC', 'clubID': '114977', 'value': '€8.00m'}, {'date': 'Apr 7, 2026', 'age': '30', 'clubName': 'San Diego FC', 'clubID': '114977', 'value': '€5.00m'}]}</t>
  </si>
  <si>
    <t>1995-07-30</t>
  </si>
  <si>
    <t>Grimaldo</t>
  </si>
  <si>
    <t>Benfica</t>
  </si>
  <si>
    <t>{'marketValueHistory': [{'date': '01/03/2012', 'age': '16', 'clubName': 'FC Barcelona U19', 'clubID': '2470', 'value': '€100k'}, {'date': '07/08/2012', 'age': '16', 'clubName': 'FC Barcelona B', 'clubID': '2464', 'value': '€1.00m'}, {'date': '22/01/2013', 'age': '17', 'clubName': 'FC Barcelona B', 'clubID': '2464', 'value': '€1.50m'}, {'date': '09/05/2013', 'age': '17', 'clubName': 'FC Barcelona B', 'clubID': '2464', 'value': '€1.50m'}, {'date': '08/10/2013', 'age': '18', 'clubName': 'FC Barcelona B', 'clubID': '2464', 'value': '€1.50m'}, {'date': '06/02/2014', 'age': '18', 'clubName': 'FC Barcelona B', 'clubID': '2464', 'value': '€1.50m'}, {'date': '05/08/2014', 'age': '18', 'clubName': 'FC Barcelona B', 'clubID': '2464', 'value': '€2.00m'}, {'date': '08/01/2015', 'age': '19', 'clubName': 'FC Barcelona B', 'clubID': '2464', 'value': '€2.00m'}, {'date': '24/02/2016', 'age': '20', 'clubName': 'SL Benfica', 'clubID': '294', 'value': '€1.50m'}, {'date': '29/07/2016', 'age': '20', 'clubName': 'SL Benfica', 'clubID': '294', 'value': '€2.00m'}, {'date': '31/10/2016', 'age': '21', 'clubName': 'SL Benfica', 'clubID': '294', 'value': '€7.00m'}, {'date': '22/02/2017', 'age': '21', 'clubName': 'SL Benfica', 'clubID': '294', 'value': '€7.00m'}, {'date': '26/06/2017', 'age': '21', 'clubName': 'SL Benfica', 'clubID': '294', 'value': '€9.00m'}, {'date': '07/02/2018', 'age': '22', 'clubName': 'SL Benfica', 'clubID': '294', 'value': '€13.00m'}, {'date': '13/06/2018', 'age': '22', 'clubName': 'SL Benfica', 'clubID': '294', 'value': '€20.00m'}, {'date': '01/11/2018', 'age': '23', 'clubName': 'SL Benfica', 'clubID': '294', 'value': '€25.00m'}, {'date': '11/01/2019', 'age': '23', 'clubName': 'SL Benfica', 'clubID': '294', 'value': '€28.00m'}, {'date': '07/06/2019', 'age': '23', 'clubName': 'SL Benfica', 'clubID': '294', 'value': '€32.00m'}, {'date': '30/12/2019', 'age': '24', 'clubName': 'SL Benfica', 'clubID': '294', 'value': '€35.00m'}, {'date': '08/04/2020', 'age': '24', 'clubName': 'SL Benfica', 'clubID': '294', 'value': '€28.00m'}, {'date': '17/08/2020', 'age': '24', 'clubName': 'SL Benfica', 'clubID': '294', 'value': '€28.00m'}, {'date': '28/01/2021', 'age': '25', 'clubName': 'SL Benfica', 'clubID': '294', 'value': '€28.00m'}, {'date': '25/03/2021', 'age': '25', 'clubName': 'SL Benfica', 'clubID': '294', 'value': '€22.00m'}, {'date': '21/05/2021', 'age': '25', 'clubName': 'SL Benfica', 'clubID': '294', 'value': '€22.00m'}, {'date': '27/12/2021', 'age': '26', 'clubName': 'SL Benfica', 'clubID': '294', 'value': '€20.00m'}, {'date': '31/05/2022', 'age': '26', 'clubName': 'SL Benfica', 'clubID': '294', 'value': '€20.00m'}, {'date': '01/11/2022', 'age': '27', 'clubName': 'SL Benfica', 'clubID': '294', 'value': '€20.00m'}, {'date': '02/03/2023', 'age': '27', 'clubName': 'SL Benfica', 'clubID': '294', 'value': '€25.00m'}, {'date': '16/06/2023', 'age': '27', 'clubName': 'SL Benfica', 'clubID': '294', 'value': '€25.00m'}, {'date': '14/12/2023', 'age': '28', 'clubName': 'Bayer 04 Leverkusen', 'clubID': '15', 'value': '€35.00m'}, {'date': '27/03/2024', 'age': '28', 'clubName': 'Bayer 04 Leverkusen', 'clubID': '15', 'value': '€45.00m'}, {'date': '29/05/2024', 'age': '28', 'clubName': 'Bayer 04 Leverkusen', 'clubID': '15', 'value': '€45.00m'}, {'date': '20/12/2024', 'age': '29', 'clubName': 'Bayer 04 Leverkusen', 'clubID': '15', 'value': '€40.00m'}, {'date': '05/06/2025', 'age': '29', 'clubName': 'Bayer 04 Leverkusen', 'clubID': '15', 'value': '€30.00m'}, {'date': '19/12/2025', 'age': '30', 'clubName': 'Bayer 04 Leverkusen', 'clubID': '15', 'value': '€24.00m'}]}</t>
  </si>
  <si>
    <t>1995-09-20</t>
  </si>
  <si>
    <t>Hrosovsky</t>
  </si>
  <si>
    <t>Viktoria Plzen</t>
  </si>
  <si>
    <t>{'marketValueHistory': [{'date': 'Jul 31, 2012', 'age': '20', 'clubName': 'FK Usti nad Labem', 'clubID': '6377', 'value': '€100k'}, {'date': 'Mar 31, 2013', 'age': '20', 'clubName': 'FK Usti nad Labem', 'clubID': '6377', 'value': '€150k'}, {'date': 'Dec 27, 2013', 'age': '21', 'clubName': '1.SC Znojmo FK', 'clubID': '13716', 'value': '€350k'}, {'date': 'Apr 17, 2014', 'age': '21', 'clubName': 'FC Viktoria Plzen', 'clubID': '941', 'value': '€600k'}, {'date': 'Aug 7, 2014', 'age': '22', 'clubName': 'FC Viktoria Plzen', 'clubID': '941', 'value': '€600k'}, {'date': 'Jan 17, 2015', 'age': '22', 'clubName': 'FC Viktoria Plzen', 'clubID': '941', 'value': '€1.25m'}, {'date': 'Oct 14, 2015', 'age': '23', 'clubName': 'FC Viktoria Plzen', 'clubID': '941', 'value': '€1.50m'}, {'date': 'Mar 19, 2016', 'age': '23', 'clubName': 'FC Viktoria Plzen', 'clubID': '941', 'value': '€1.75m'}, {'date': 'Jun 1, 2016', 'age': '24', 'clubName': 'FC Viktoria Plzen', 'clubID': '941', 'value': '€2.00m'}, {'date': 'Aug 3, 2016', 'age': '24', 'clubName': 'FC Viktoria Plzen', 'clubID': '941', 'value': '€2.25m'}, {'date': 'Dec 19, 2016', 'age': '24', 'clubName': 'FC Viktoria Plzen', 'clubID': '941', 'value': '€2.25m'}, {'date': 'Jun 10, 2017', 'age': '25', 'clubName': 'FC Viktoria Plzen', 'clubID': '941', 'value': '€2.25m'}, {'date': 'Oct 7, 2017', 'age': '25', 'clubName': 'FC Viktoria Plzen', 'clubID': '941', 'value': '€2.50m'}, {'date': 'Dec 21, 2017', 'age': '25', 'clubName': 'FC Viktoria Plzen', 'clubID': '941', 'value': '€3.00m'}, {'date': 'Jul 14, 2018', 'age': '26', 'clubName': 'FC Viktoria Plzen', 'clubID': '941', 'value': '€4.00m'}, {'date': 'Oct 29, 2018', 'age': '26', 'clubName': 'FC Viktoria Plzen', 'clubID': '941', 'value': '€4.25m'}, {'date': 'Dec 30, 2018', 'age': '26', 'clubName': 'FC Viktoria Plzen', 'clubID': '941', 'value': '€5.00m'}, {'date': 'Jun 25, 2019', 'age': '27', 'clubName': 'FC Viktoria Plzen', 'clubID': '941', 'value': '€6.50m'}, {'date': 'Dec 13, 2019', 'age': '27', 'clubName': 'KRC Genk', 'clubID': '1184', 'value': '€6.00m'}, {'date': 'Mar 30, 2020', 'age': '27', 'clubName': 'KRC Genk', 'clubID': '1184', 'value': '€5.00m'}, {'date': 'Apr 8, 2020', 'age': '27', 'clubName': 'KRC Genk', 'clubID': '1184', 'value': '€4.00m'}, {'date': 'Oct 16, 2020', 'age': '28', 'clubName': 'KRC Genk', 'clubID': '1184', 'value': '€3.50m'}, {'date': 'Jan 4, 2021', 'age': '28', 'clubName': 'KRC Genk', 'clubID': '1184', 'value': '€4.50m'}, {'date': 'May 31, 2021', 'age': '29', 'clubName': 'KRC Genk', 'clubID': '1184', 'value': '€5.00m'}, {'date': 'Jan 6, 2022', 'age': '29', 'clubName': 'KRC Genk', 'clubID': '1184', 'value': '€4.20m'}, {'date': 'Apr 12, 2022', 'age': '29', 'clubName': 'KRC Genk', 'clubID': '1184', 'value': '€4.00m'}, {'date': 'Nov 4, 2022', 'age': '30', 'clubName': 'KRC Genk', 'clubID': '1184', 'value': '€4.00m'}, {'date': 'Jun 9, 2023', 'age': '31', 'clubName': 'KRC Genk', 'clubID': '1184', 'value': '€5.00m'}, {'date': 'Dec 19, 2023', 'age': '31', 'clubName': 'KRC Genk', 'clubID': '1184', 'value': '€4.50m'}, {'date': 'Mar 22, 2024', 'age': '31', 'clubName': 'KRC Genk', 'clubID': '1184', 'value': '€4.00m'}, {'date': 'Jun 4, 2024', 'age': '32', 'clubName': 'KRC Genk', 'clubID': '1184', 'value': '€3.50m'}, {'date': 'Dec 11, 2024', 'age': '32', 'clubName': 'KRC Genk', 'clubID': '1184', 'value': '€3.00m'}, {'date': 'Jun 12, 2025', 'age': '33', 'clubName': 'KRC Genk', 'clubID': '1184', 'value': '€2.70m'}, {'date': 'Dec 10, 2025', 'age': '33', 'clubName': 'KRC Genk', 'clubID': '1184', 'value': '€2.00m'}, {'date': 'Mar 24, 2026', 'age': '33', 'clubName': 'FC Viktoria Plzen', 'clubID': '941', 'value': '€1.70m'}]}</t>
  </si>
  <si>
    <t>Slovakia</t>
  </si>
  <si>
    <t>1992-04-22</t>
  </si>
  <si>
    <t>Vormer</t>
  </si>
  <si>
    <t>{'marketValueHistory': [{'date': '08/02/2007', 'age': '18', 'clubName': 'AZ Alkmaar', 'clubID': '1090', 'value': '€250k'}, {'date': '14/08/2007', 'age': '19', 'clubName': 'AZ Alkmaar', 'clubID': '1090', 'value': '€400k'}, {'date': '07/01/2008', 'age': '19', 'clubName': 'AZ Alkmaar', 'clubID': '1090', 'value': '€600k'}, {'date': '03/08/2008', 'age': '20', 'clubName': 'Roda JC Kerkrade', 'clubID': '192', 'value': '€900k'}, {'date': '22/06/2009', 'age': '21', 'clubName': 'Roda JC Kerkrade', 'clubID': '192', 'value': '€800k'}, {'date': '17/01/2011', 'age': '22', 'clubName': 'Roda JC Kerkrade', 'clubID': '192', 'value': '€1.20m'}, {'date': '17/06/2011', 'age': '23', 'clubName': 'Roda JC Kerkrade', 'clubID': '192', 'value': '€1.75m'}, {'date': '20/01/2012', 'age': '23', 'clubName': 'Roda JC Kerkrade', 'clubID': '192', 'value': '€2.50m'}, {'date': '09/01/2013', 'age': '24', 'clubName': 'Feyenoord Rotterdam', 'clubID': '234', 'value': '€1.80m'}, {'date': '28/05/2013', 'age': '25', 'clubName': 'Feyenoord Rotterdam', 'clubID': '234', 'value': '€1.25m'}, {'date': '11/02/2014', 'age': '25', 'clubName': 'Feyenoord Rotterdam', 'clubID': '234', 'value': '€1.00m'}, {'date': '11/08/2014', 'age': '26', 'clubName': 'Feyenoord Rotterdam', 'clubID': '234', 'value': '€1.25m'}, {'date': '07/01/2015', 'age': '26', 'clubName': 'Club Brugge KV', 'clubID': '2282', 'value': '€2.00m'}, {'date': '24/06/2015', 'age': '27', 'clubName': 'Club Brugge KV', 'clubID': '2282', 'value': '€3.00m'}, {'date': '22/10/2015', 'age': '27', 'clubName': 'Club Brugge KV', 'clubID': '2282', 'value': '€5.00m'}, {'date': '07/02/2016', 'age': '27', 'clubName': 'Club Brugge KV', 'clubID': '2282', 'value': '€5.00m'}, {'date': '15/07/2016', 'age': '28', 'clubName': 'Club Brugge KV', 'clubID': '2282', 'value': '€5.00m'}, {'date': '21/01/2017', 'age': '28', 'clubName': 'Club Brugge KV', 'clubID': '2282', 'value': '€6.00m'}, {'date': '06/06/2017', 'age': '29', 'clubName': 'Club Brugge KV', 'clubID': '2282', 'value': '€6.00m'}, {'date': '09/01/2018', 'age': '29', 'clubName': 'Club Brugge KV', 'clubID': '2282', 'value': '€7.00m'}, {'date': '03/06/2018', 'age': '30', 'clubName': 'Club Brugge KV', 'clubID': '2282', 'value': '€7.50m'}, {'date': '27/12/2018', 'age': '30', 'clubName': 'Club Brugge KV', 'clubID': '2282', 'value': '€7.00m'}, {'date': '10/06/2019', 'age': '31', 'clubName': 'Club Brugge KV', 'clubID': '2282', 'value': '€6.00m'}, {'date': '13/12/2019', 'age': '31', 'clubName': 'Club Brugge KV', 'clubID': '2282', 'value': '€6.00m'}, {'date': '08/04/2020', 'age': '31', 'clubName': 'Club Brugge KV', 'clubID': '2282', 'value': '€4.80m'}, {'date': '16/10/2020', 'age': '32', 'clubName': 'Club Brugge KV', 'clubID': '2282', 'value': '€4.30m'}, {'date': '07/06/2021', 'age': '33', 'clubName': 'Club Brugge KV', 'clubID': '2282', 'value': '€4.00m'}, {'date': '06/10/2021', 'age': '33', 'clubName': 'Club Brugge KV', 'clubID': '2282', 'value': '€3.50m'}, {'date': '06/01/2022', 'age': '33', 'clubName': 'Club Brugge KV', 'clubID': '2282', 'value': '€2.50m'}, {'date': '12/04/2022', 'age': '33', 'clubName': 'Club Brugge KV', 'clubID': '2282', 'value': '€1.80m'}, {'date': '07/09/2022', 'age': '34', 'clubName': 'Club Brugge KV', 'clubID': '2282', 'value': '€1.50m'}, {'date': '04/11/2022', 'age': '34', 'clubName': 'Club Brugge KV', 'clubID': '2282', 'value': '€1.00m'}, {'date': '22/03/2023', 'age': '34', 'clubName': 'Zulte Waregem', 'clubID': '3508', 'value': '€750k'}, {'date': '09/06/2023', 'age': '35', 'clubName': 'Zulte Waregem', 'clubID': '3508', 'value': '€600k'}, {'date': '28/12/2023', 'age': '35', 'clubName': 'Zulte Waregem', 'clubID': '3508', 'value': '€500k'}, {'date': '20/06/2024', 'age': '36', 'clubName': 'Zulte Waregem', 'clubID': '3508', 'value': '€300k'}, {'date': '01/07/2024', 'age': '36', 'clubName': 'Retired', 'clubID': '123', 'value': '-'}]}</t>
  </si>
  <si>
    <t>1988-05-11</t>
  </si>
  <si>
    <t>Kaderabek</t>
  </si>
  <si>
    <t>Hoffenheim</t>
  </si>
  <si>
    <t>{'marketValueHistory': [{'date': 'Oct 24, 2010', 'age': '18', 'clubName': 'AC Sparta Prague B', 'clubID': '197', 'value': '€100k'}, {'date': 'Aug 12, 2011', 'age': '19', 'clubName': 'FK Viktoria Zizkov', 'clubID': '892', 'value': '€250k'}, {'date': 'Dec 29, 2011', 'age': '19', 'clubName': 'FK Viktoria Zizkov', 'clubID': '892', 'value': '€300k'}, {'date': 'Aug 2, 2012', 'age': '20', 'clubName': 'AC Sparta Prague', 'clubID': '197', 'value': '€500k'}, {'date': 'Aug 30, 2012', 'age': '20', 'clubName': 'AC Sparta Prague', 'clubID': '197', 'value': '€750k'}, {'date': 'Oct 30, 2012', 'age': '20', 'clubName': 'AC Sparta Prague', 'clubID': '197', 'value': '€1.00m'}, {'date': 'Jul 25, 2013', 'age': '21', 'clubName': 'AC Sparta Prague', 'clubID': '197', 'value': '€1.00m'}, {'date': 'Nov 11, 2013', 'age': '21', 'clubName': 'AC Sparta Prague', 'clubID': '197', 'value': '€1.50m'}, {'date': 'Sep 3, 2014', 'age': '22', 'clubName': 'AC Sparta Prague', 'clubID': '197', 'value': '€1.75m'}, {'date': 'Oct 11, 2014', 'age': '22', 'clubName': 'AC Sparta Prague', 'clubID': '197', 'value': '€2.00m'}, {'date': 'Jan 17, 2015', 'age': '22', 'clubName': 'AC Sparta Prague', 'clubID': '197', 'value': '€3.00m'}, {'date': 'Jul 1, 2015', 'age': '23', 'clubName': 'TSG 1899 Hoffenheim', 'clubID': '533', 'value': '€3.50m'}, {'date': 'Feb 15, 2016', 'age': '23', 'clubName': 'TSG 1899 Hoffenheim', 'clubID': '533', 'value': '€3.50m'}, {'date': 'Jun 1, 2016', 'age': '24', 'clubName': 'TSG 1899 Hoffenheim', 'clubID': '533', 'value': '€3.50m'}, {'date': 'Jul 22, 2016', 'age': '24', 'clubName': 'TSG 1899 Hoffenheim', 'clubID': '533', 'value': '€3.50m'}, {'date': 'Feb 7, 2017', 'age': '24', 'clubName': 'TSG 1899 Hoffenheim', 'clubID': '533', 'value': '€4.50m'}, {'date': 'Jun 19, 2017', 'age': '25', 'clubName': 'TSG 1899 Hoffenheim', 'clubID': '533', 'value': '€4.50m'}, {'date': 'Dec 28, 2017', 'age': '25', 'clubName': 'TSG 1899 Hoffenheim', 'clubID': '533', 'value': '€6.00m'}, {'date': 'Apr 4, 2018', 'age': '25', 'clubName': 'TSG 1899 Hoffenheim', 'clubID': '533', 'value': '€8.50m'}, {'date': 'Jun 5, 2018', 'age': '26', 'clubName': 'TSG 1899 Hoffenheim', 'clubID': '533', 'value': '€11.00m'}, {'date': 'Dec 18, 2018', 'age': '26', 'clubName': 'TSG 1899 Hoffenheim', 'clubID': '533', 'value': '€18.00m'}, {'date': 'Jun 5, 2019', 'age': '27', 'clubName': 'TSG 1899 Hoffenheim', 'clubID': '533', 'value': '€20.00m'}, {'date': 'Dec 17, 2019', 'age': '27', 'clubName': 'TSG 1899 Hoffenheim', 'clubID': '533', 'value': '€20.00m'}, {'date': 'Mar 11, 2020', 'age': '27', 'clubName': 'TSG 1899 Hoffenheim', 'clubID': '533', 'value': '€17.00m'}, {'date': 'Apr 8, 2020', 'age': '27', 'clubName': 'TSG 1899 Hoffenheim', 'clubID': '533', 'value': '€13.50m'}, {'date': 'Sep 16, 2020', 'age': '28', 'clubName': 'TSG 1899 Hoffenheim', 'clubID': '533', 'value': '€10.00m'}, {'date': 'Feb 10, 2021', 'age': '28', 'clubName': 'TSG 1899 Hoffenheim', 'clubID': '533', 'value': '€8.00m'}, {'date': 'May 28, 2021', 'age': '29', 'clubName': 'TSG 1899 Hoffenheim', 'clubID': '533', 'value': '€8.00m'}, {'date': 'Dec 22, 2021', 'age': '29', 'clubName': 'TSG 1899 Hoffenheim', 'clubID': '533', 'value': '€7.00m'}, {'date': 'Jun 9, 2022', 'age': '30', 'clubName': 'TSG 1899 Hoffenheim', 'clubID': '533', 'value': '€5.00m'}, {'date': 'Nov 9, 2022', 'age': '30', 'clubName': 'TSG 1899 Hoffenheim', 'clubID': '533', 'value': '€4.00m'}, {'date': 'Jun 22, 2023', 'age': '31', 'clubName': 'TSG 1899 Hoffenheim', 'clubID': '533', 'value': '€3.00m'}, {'date': 'Dec 14, 2023', 'age': '31', 'clubName': 'TSG 1899 Hoffenheim', 'clubID': '533', 'value': '€3.00m'}, {'date': 'May 29, 2024', 'age': '32', 'clubName': 'TSG 1899 Hoffenheim', 'clubID': '533', 'value': '€3.00m'}, {'date': 'Dec 20, 2024', 'age': '32', 'clubName': 'TSG 1899 Hoffenheim', 'clubID': '533', 'value': '€2.50m'}, {'date': 'Jun 5, 2025', 'age': '33', 'clubName': 'TSG 1899 Hoffenheim', 'clubID': '533', 'value': '€1.70m'}, {'date': 'Dec 22, 2025', 'age': '33', 'clubName': 'AC Sparta Prague', 'clubID': '197', 'value': '€1.50m'}, {'date': 'Mar 24, 2026', 'age': '33', 'clubName': 'AC Sparta Prague', 'clubID': '197', 'value': '€1.20m'}]}</t>
  </si>
  <si>
    <t>Czech Republic</t>
  </si>
  <si>
    <t>1992-04-25</t>
  </si>
  <si>
    <t>Hummels</t>
  </si>
  <si>
    <t>{'marketValueHistory': [{'date': '27/05/2006', 'age': '17', 'clubName': 'FC Bayern Munich U19 ', 'clubID': '27', 'value': '€50k'}, {'date': '01/10/2006', 'age': '17', 'clubName': 'FC Bayern Munich II', 'clubID': '27', 'value': '€150k'}, {'date': '15/01/2007', 'age': '18', 'clubName': 'Bayern Munich', 'clubID': '27', 'value': '€250k'}, {'date': '05/03/2008', 'age': '19', 'clubName': 'Borussia Dortmund', 'clubID': '16', 'value': '€600k'}, {'date': '04/06/2008', 'age': '19', 'clubName': 'Borussia Dortmund', 'clubID': '16', 'value': '€1.00m'}, {'date': '31/08/2008', 'age': '19', 'clubName': 'Borussia Dortmund', 'clubID': '16', 'value': '€2.50m'}, {'date': '21/01/2009', 'age': '20', 'clubName': 'Borussia Dortmund', 'clubID': '16', 'value': '€4.00m'}, {'date': '10/07/2009', 'age': '20', 'clubName': 'Borussia Dortmund', 'clubID': '16', 'value': '€4.50m'}, {'date': '18/11/2009', 'age': '20', 'clubName': 'Borussia Dortmund', 'clubID': '16', 'value': '€5.50m'}, {'date': '17/01/2010', 'age': '21', 'clubName': 'Borussia Dortmund', 'clubID': '16', 'value': '€8.00m'}, {'date': '08/05/2010', 'age': '21', 'clubName': 'Borussia Dortmund', 'clubID': '16', 'value': '€10.00m'}, {'date': '12/01/2011', 'age': '22', 'clubName': 'Borussia Dortmund', 'clubID': '16', 'value': '€13.00m'}, {'date': '01/03/2011', 'age': '22', 'clubName': 'Borussia Dortmund', 'clubID': '16', 'value': '€15.00m'}, {'date': '29/06/2011', 'age': '22', 'clubName': 'Borussia Dortmund', 'clubID': '16', 'value': '€18.00m'}, {'date': '23/01/2012', 'age': '23', 'clubName': 'Borussia Dortmund', 'clubID': '16', 'value': '€20.00m'}, {'date': '29/06/2012', 'age': '23', 'clubName': 'Borussia Dortmund', 'clubID': '16', 'value': '€24.00m'}, {'date': '13/01/2013', 'age': '24', 'clubName': 'Borussia Dortmund', 'clubID': '16', 'value': '€24.00m'}, {'date': '30/06/2013', 'age': '24', 'clubName': 'Borussia Dortmund', 'clubID': '16', 'value': '€26.00m'}, {'date': '10/07/2014', 'age': '25', 'clubName': 'Borussia Dortmund', 'clubID': '16', 'value': '€35.00m'}, {'date': '04/02/2015', 'age': '26', 'clubName': 'Borussia Dortmund', 'clubID': '16', 'value': '€35.00m'}, {'date': '01/07/2015', 'age': '26', 'clubName': 'Borussia Dortmund', 'clubID': '16', 'value': '€35.00m'}, {'date': '15/02/2016', 'age': '27', 'clubName': 'Borussia Dortmund', 'clubID': '16', 'value': '€32.00m'}, {'date': '01/06/2016', 'age': '27', 'clubName': 'Borussia Dortmund', 'clubID': '16', 'value': '€38.00m'}, {'date': '22/07/2016', 'age': '27', 'clubName': 'Bayern Munich', 'clubID': '27', 'value': '€38.00m'}, {'date': '07/02/2017', 'age': '28', 'clubName': 'Bayern Munich', 'clubID': '27', 'value': '€38.00m'}, {'date': '19/06/2017', 'age': '28', 'clubName': 'Bayern Munich', 'clubID': '27', 'value': '€40.00m'}, {'date': '28/12/2017', 'age': '29', 'clubName': 'Bayern Munich', 'clubID': '27', 'value': '€40.00m'}, {'date': '04/04/2018', 'age': '29', 'clubName': 'Bayern Munich', 'clubID': '27', 'value': '€60.00m'}, {'date': '05/06/2018', 'age': '29', 'clubName': 'Bayern Munich', 'clubID': '27', 'value': '€60.00m'}, {'date': '22/10/2018', 'age': '29', 'clubName': 'Bayern Munich', 'clubID': '27', 'value': '€55.00m'}, {'date': '18/12/2018', 'age': '30', 'clubName': 'Bayern Munich', 'clubID': '27', 'value': '€40.00m'}, {'date': '05/06/2019', 'age': '30', 'clubName': 'Bayern Munich', 'clubID': '27', 'value': '€35.00m'}, {'date': '17/12/2019', 'age': '31', 'clubName': 'Borussia Dortmund', 'clubID': '16', 'value': '€30.00m'}, {'date': '08/04/2020', 'age': '31', 'clubName': 'Borussia Dortmund', 'clubID': '16', 'value': '€24.00m'}, {'date': '16/09/2020', 'age': '31', 'clubName': 'Borussia Dortmund', 'clubID': '16', 'value': '€20.00m'}, {'date': '10/02/2021', 'age': '32', 'clubName': 'Borussia Dortmund', 'clubID': '16', 'value': '€15.00m'}, {'date': '01/06/2021', 'age': '32', 'clubName': 'Borussia Dortmund', 'clubID': '16', 'value': '€12.00m'}, {'date': '22/12/2021', 'age': '33', 'clubName': 'Borussia Dortmund', 'clubID': '16', 'value': '€9.00m'}, {'date': '09/06/2022', 'age': '33', 'clubName': 'Borussia Dortmund', 'clubID': '16', 'value': '€6.50m'}, {'date': '09/11/2022', 'age': '33', 'clubName': 'Borussia Dortmund', 'clubID': '16', 'value': '€6.50m'}, {'date': '22/06/2023', 'age': '34', 'clubName': 'Borussia Dortmund', 'clubID': '16', 'value': '€6.00m'}, {'date': '14/12/2023', 'age': '34', 'clubName': 'Borussia Dortmund', 'clubID': '16', 'value': '€6.00m'}, {'date': '29/05/2024', 'age': '35', 'clubName': 'Borussia Dortmund', 'clubID': '16', 'value': '€5.00m'}, {'date': '18/12/2024', 'age': '36', 'clubName': 'AS Roma', 'clubID': '12', 'value': '€3.50m'}, {'date': '25/03/2025', 'age': '36', 'clubName': 'AS Roma', 'clubID': '12', 'value': '€2.50m'}, {'date': '17/06/2025', 'age': '36', 'clubName': 'AS Roma', 'clubID': '12', 'value': '€2.00m'}, {'date': '01/07/2025', 'age': '36', 'clubName': 'Retired', 'clubID': '123', 'value': '-'}]}</t>
  </si>
  <si>
    <t>1988-12-16</t>
  </si>
  <si>
    <t>Godin</t>
  </si>
  <si>
    <t>{'marketValueHistory': [{'date': 'Aug 27, 2007', 'age': '21', 'clubName': 'Villarreal CF', 'clubID': '1050', 'value': '€800k'}, {'date': 'Feb 4, 2008', 'age': '21', 'clubName': 'Villarreal CF', 'clubID': '1050', 'value': '€2.00m'}, {'date': 'Apr 4, 2008', 'age': '22', 'clubName': 'Villarreal CF', 'clubID': '1050', 'value': '€5.00m'}, {'date': 'Jul 9, 2008', 'age': '22', 'clubName': 'Villarreal CF', 'clubID': '1050', 'value': '€7.00m'}, {'date': 'Jan 25, 2009', 'age': '22', 'clubName': 'Villarreal CF', 'clubID': '1050', 'value': '€8.00m'}, {'date': 'Jul 22, 2009', 'age': '23', 'clubName': 'Villarreal CF', 'clubID': '1050', 'value': '€12.00m'}, {'date': 'Dec 3, 2009', 'age': '23', 'clubName': 'Villarreal CF', 'clubID': '1050', 'value': '€12.00m'}, {'date': 'Apr 12, 2010', 'age': '24', 'clubName': 'Villarreal CF', 'clubID': '1050', 'value': '€12.00m'}, {'date': 'Aug 27, 2010', 'age': '24', 'clubName': 'Atlético de Madrid', 'clubID': '13', 'value': '€16.00m'}, {'date': 'Dec 10, 2010', 'age': '24', 'clubName': 'Atlético de Madrid', 'clubID': '13', 'value': '€14.00m'}, {'date': 'Feb 4, 2011', 'age': '24', 'clubName': 'Atlético de Madrid', 'clubID': '13', 'value': '€12.00m'}, {'date': 'Jul 29, 2011', 'age': '25', 'clubName': 'Atlético de Madrid', 'clubID': '13', 'value': '€12.00m'}, {'date': 'Feb 3, 2012', 'age': '25', 'clubName': 'Atlético de Madrid', 'clubID': '13', 'value': '€12.00m'}, {'date': 'Aug 1, 2012', 'age': '26', 'clubName': 'Atlético de Madrid', 'clubID': '13', 'value': '€12.00m'}, {'date': 'Jan 10, 2013', 'age': '26', 'clubName': 'Atlético de Madrid', 'clubID': '13', 'value': '€15.00m'}, {'date': 'Jun 12, 2013', 'age': '27', 'clubName': 'Atlético de Madrid', 'clubID': '13', 'value': '€18.00m'}, {'date': 'Jan 23, 2014', 'age': '27', 'clubName': 'Atlético de Madrid', 'clubID': '13', 'value': '€20.00m'}, {'date': 'Jul 20, 2014', 'age': '28', 'clubName': 'Atlético de Madrid', 'clubID': '13', 'value': '€25.00m'}, {'date': 'Jan 23, 2015', 'age': '28', 'clubName': 'Atlético de Madrid', 'clubID': '13', 'value': '€30.00m'}, {'date': 'Jul 1, 2015', 'age': '29', 'clubName': 'Atlético de Madrid', 'clubID': '13', 'value': '€30.00m'}, {'date': 'Feb 22, 2016', 'age': '30', 'clubName': 'Atlético de Madrid', 'clubID': '13', 'value': '€35.00m'}, {'date': 'Jul 15, 2016', 'age': '30', 'clubName': 'Atlético de Madrid', 'clubID': '13', 'value': '€40.00m'}, {'date': 'Jan 24, 2017', 'age': '30', 'clubName': 'Atlético de Madrid', 'clubID': '13', 'value': '€40.00m'}, {'date': 'Jun 5, 2017', 'age': '31', 'clubName': 'Atlético de Madrid', 'clubID': '13', 'value': '€38.00m'}, {'date': 'Jan 1, 2018', 'age': '31', 'clubName': 'Atlético de Madrid', 'clubID': '13', 'value': '€35.00m'}, {'date': 'May 30, 2018', 'age': '32', 'clubName': 'Atlético de Madrid', 'clubID': '13', 'value': '€35.00m'}, {'date': 'Oct 31, 2018', 'age': '32', 'clubName': 'Atlético de Madrid', 'clubID': '13', 'value': '€30.00m'}, {'date': 'Dec 21, 2018', 'age': '32', 'clubName': 'Atlético de Madrid', 'clubID': '13', 'value': '€25.00m'}, {'date': 'Jun 11, 2019', 'age': '33', 'clubName': 'Atlético de Madrid', 'clubID': '13', 'value': '€20.00m'}, {'date': 'Dec 12, 2019', 'age': '33', 'clubName': 'Inter Milan', 'clubID': '46', 'value': '€15.00m'}, {'date': 'Mar 3, 2020', 'age': '34', 'clubName': 'Inter Milan', 'clubID': '46', 'value': '€10.00m'}, {'date': 'Apr 8, 2020', 'age': '34', 'clubName': 'Inter Milan', 'clubID': '46', 'value': '€8.00m'}, {'date': 'Aug 25, 2020', 'age': '34', 'clubName': 'Inter Milan', 'clubID': '46', 'value': '€5.00m'}, {'date': 'Dec 29, 2020', 'age': '34', 'clubName': 'Cagliari Calcio', 'clubID': '1390', 'value': '€2.50m'}, {'date': 'Jun 3, 2021', 'age': '35', 'clubName': 'Cagliari Calcio', 'clubID': '1390', 'value': '€2.00m'}, {'date': 'Dec 28, 2021', 'age': '35', 'clubName': 'Cagliari Calcio', 'clubID': '1390', 'value': '€1.00m'}, {'date': 'Apr 6, 2022', 'age': '36', 'clubName': 'Clube Atlético Mineiro', 'clubID': '330', 'value': '€1.00m'}, {'date': 'Oct 26, 2022', 'age': '36', 'clubName': 'CA Vélez Sarsfield', 'clubID': '1029', 'value': '€700k'}, {'date': 'Apr 5, 2023', 'age': '37', 'clubName': 'CA Vélez Sarsfield', 'clubID': '1029', 'value': '€500k'}, {'date': 'Jul 4, 2023', 'age': '37', 'clubName': 'CA Vélez Sarsfield', 'clubID': '1029', 'value': '€300k'}, {'date': 'Jul 31, 2023', 'age': '37', 'clubName': 'Career break', 'clubID': '2113', 'value': '-'}]}</t>
  </si>
  <si>
    <t>1986-02-16</t>
  </si>
  <si>
    <t>Hult</t>
  </si>
  <si>
    <t>AEK Athens</t>
  </si>
  <si>
    <t>{'marketValueHistory': [{'date': '01/04/2022', 'age': '21', 'clubName': 'Columbus Crew', 'clubID': '813', 'value': '€50k'}, {'date': '18/08/2022', 'age': '21', 'clubName': 'Columbus Crew', 'clubID': '813', 'value': '€75k'}, {'date': '08/11/2022', 'age': '21', 'clubName': 'Columbus Crew', 'clubID': '813', 'value': '€75k'}, {'date': '22/08/2023', 'age': '22', 'clubName': 'Columbus Crew', 'clubID': '813', 'value': '€400k'}, {'date': '18/12/2023', 'age': '22', 'clubName': 'Columbus Crew', 'clubID': '813', 'value': '€1.50m'}, {'date': '25/03/2024', 'age': '23', 'clubName': 'Columbus Crew', 'clubID': '813', 'value': '€3.00m'}, {'date': '13/06/2024', 'age': '23', 'clubName': 'Columbus Crew', 'clubID': '813', 'value': '€3.50m'}, {'date': '12/12/2024', 'age': '23', 'clubName': 'Columbus Crew', 'clubID': '813', 'value': '€3.50m'}, {'date': '05/06/2025', 'age': '24', 'clubName': 'Columbus Crew', 'clubID': '813', 'value': '€3.50m'}, {'date': '11/12/2025', 'age': '24', 'clubName': 'Columbus Crew', 'clubID': '813', 'value': '€3.50m'}]}</t>
  </si>
  <si>
    <t>United States</t>
  </si>
  <si>
    <t>2001-03-13</t>
  </si>
  <si>
    <t>Krychowiak</t>
  </si>
  <si>
    <t>Lokomotiv Moskva</t>
  </si>
  <si>
    <t>{'marketValueHistory': [{'date': 'Jul 2, 2007', 'age': '17', 'clubName': 'FC Girondins Bordeaux U19', 'clubID': '10873', 'value': '€100k'}, {'date': 'Aug 1, 2010', 'age': '20', 'clubName': 'Stade Reims', 'clubID': '1421', 'value': '€300k'}, {'date': 'Oct 24, 2010', 'age': '20', 'clubName': 'Stade Reims', 'clubID': '1421', 'value': '€500k'}, {'date': 'May 30, 2011', 'age': '21', 'clubName': 'Stade Reims', 'clubID': '1421', 'value': '€1.00m'}, {'date': 'Dec 25, 2011', 'age': '21', 'clubName': 'FC Nantes', 'clubID': '995', 'value': '€1.00m'}, {'date': 'Jun 1, 2012', 'age': '22', 'clubName': 'FC Nantes', 'clubID': '995', 'value': '€1.00m'}, {'date': 'Jul 25, 2012', 'age': '22', 'clubName': 'Stade Reims', 'clubID': '1421', 'value': '€1.50m'}, {'date': 'Jan 7, 2013', 'age': '22', 'clubName': 'Stade Reims', 'clubID': '1421', 'value': '€2.00m'}, {'date': 'May 30, 2013', 'age': '23', 'clubName': 'Stade Reims', 'clubID': '1421', 'value': '€2.50m'}, {'date': 'Jun 12, 2013', 'age': '23', 'clubName': 'Stade Reims', 'clubID': '1421', 'value': '€3.00m'}, {'date': 'Jan 14, 2014', 'age': '23', 'clubName': 'Stade Reims', 'clubID': '1421', 'value': '€4.00m'}, {'date': 'Jul 22, 2014', 'age': '24', 'clubName': 'Stade Reims', 'clubID': '1421', 'value': '€5.00m'}, {'date': 'Oct 12, 2014', 'age': '24', 'clubName': 'Sevilla FC', 'clubID': '368', 'value': '€6.00m'}, {'date': 'Jan 23, 2015', 'age': '24', 'clubName': 'Sevilla FC', 'clubID': '368', 'value': '€12.00m'}, {'date': 'Jul 1, 2015', 'age': '25', 'clubName': 'Sevilla FC', 'clubID': '368', 'value': '€20.00m'}, {'date': 'Nov 23, 2015', 'age': '25', 'clubName': 'Sevilla FC', 'clubID': '368', 'value': '€25.00m'}, {'date': 'Feb 22, 2016', 'age': '26', 'clubName': 'Sevilla FC', 'clubID': '368', 'value': '€25.00m'}, {'date': 'Jun 1, 2016', 'age': '26', 'clubName': 'Sevilla FC', 'clubID': '368', 'value': '€30.00m'}, {'date': 'Jul 13, 2016', 'age': '26', 'clubName': 'Paris Saint-Germain', 'clubID': '583', 'value': '€30.00m'}, {'date': 'Jan 16, 2017', 'age': '26', 'clubName': 'Paris Saint-Germain', 'clubID': '583', 'value': '€28.00m'}, {'date': 'Jun 1, 2017', 'age': '27', 'clubName': 'Paris Saint-Germain', 'clubID': '583', 'value': '€25.00m'}, {'date': 'Jan 2, 2018', 'age': '27', 'clubName': 'West Bromwich Albion', 'clubID': '984', 'value': '€20.00m'}, {'date': 'May 28, 2018', 'age': '28', 'clubName': 'West Bromwich Albion', 'clubID': '984', 'value': '€18.00m'}, {'date': 'Dec 20, 2018', 'age': '28', 'clubName': 'Lokomotiv Moscow', 'clubID': '932', 'value': '€18.00m'}, {'date': 'Jun 14, 2019', 'age': '29', 'clubName': 'Lokomotiv Moscow', 'clubID': '932', 'value': '€18.00m'}, {'date': 'Dec 23, 2019', 'age': '29', 'clubName': 'Lokomotiv Moscow', 'clubID': '932', 'value': '€20.00m'}, {'date': 'Apr 8, 2020', 'age': '30', 'clubName': 'Lokomotiv Moscow', 'clubID': '932', 'value': '€16.00m'}, {'date': 'Jul 29, 2020', 'age': '30', 'clubName': 'Lokomotiv Moscow', 'clubID': '932', 'value': '€16.00m'}, {'date': 'Dec 29, 2020', 'age': '30', 'clubName': 'Lokomotiv Moscow', 'clubID': '932', 'value': '€13.00m'}, {'date': 'May 31, 2021', 'age': '31', 'clubName': 'Lokomotiv Moscow', 'clubID': '932', 'value': '€15.00m'}, {'date': 'Sep 15, 2021', 'age': '31', 'clubName': 'FC Krasnodar', 'clubID': '16704', 'value': '€13.00m'}, {'date': 'Dec 29, 2021', 'age': '31', 'clubName': 'FC Krasnodar', 'clubID': '16704', 'value': '€11.00m'}, {'date': 'Jun 9, 2022', 'age': '32', 'clubName': 'AEK Athens', 'clubID': '2441', 'value': '€8.00m'}, {'date': 'Nov 14, 2022', 'age': '32', 'clubName': 'Al-Shabab FC', 'clubID': '9840', 'value': '€6.00m'}, {'date': 'Jun 12, 2023', 'age': '33', 'clubName': 'Al-Shabab FC', 'clubID': '9840', 'value': '€5.00m'}, {'date': 'Dec 15, 2023', 'age': '33', 'clubName': 'Abha Club', 'clubID': '40039', 'value': '€4.50m'}, {'date': 'Jun 4, 2024', 'age': '34', 'clubName': 'Abha Club', 'clubID': '40039', 'value': '€4.00m'}, {'date': 'Dec 9, 2024', 'age': '34', 'clubName': 'Anorthosis Famagusta', 'clubID': '3899', 'value': '€2.50m'}, {'date': 'May 29, 2025', 'age': '35', 'clubName': 'Anorthosis Famagusta', 'clubID': '3899', 'value': '€1.20m'}, {'date': 'Oct 27, 2025', 'age': '35', 'clubName': 'RKS Mazur Radzymin', 'clubID': '99859', 'value': '-'}]}</t>
  </si>
  <si>
    <t>1990-01-29</t>
  </si>
  <si>
    <t>Angelino</t>
  </si>
  <si>
    <t>{'marketValueHistory': [{'date': '24/01/2017', 'age': '20', 'clubName': 'Girona FC', 'clubID': '12321', 'value': '€300k'}, {'date': '29/06/2017', 'age': '20', 'clubName': 'RCD Mallorca', 'clubID': '237', 'value': '€500k'}, {'date': '17/01/2018', 'age': '21', 'clubName': 'NAC Breda', 'clubID': '132', 'value': '€800k'}, {'date': '27/03/2018', 'age': '21', 'clubName': 'NAC Breda', 'clubID': '132', 'value': '€1.25m'}, {'date': '12/06/2018', 'age': '21', 'clubName': 'NAC Breda', 'clubID': '132', 'value': '€3.00m'}, {'date': '04/10/2018', 'age': '21', 'clubName': 'PSV Eindhoven', 'clubID': '383', 'value': '€7.00m'}, {'date': '28/12/2018', 'age': '21', 'clubName': 'PSV Eindhoven', 'clubID': '383', 'value': '€12.00m'}, {'date': '12/06/2019', 'age': '22', 'clubName': 'PSV Eindhoven', 'clubID': '383', 'value': '€16.00m'}, {'date': '10/12/2019', 'age': '22', 'clubName': 'Manchester City', 'clubID': '281', 'value': '€16.00m'}, {'date': '11/03/2020', 'age': '23', 'clubName': 'RB Leipzig', 'clubID': '23826', 'value': '€22.00m'}, {'date': '08/04/2020', 'age': '23', 'clubName': 'RB Leipzig', 'clubID': '23826', 'value': '€17.50m'}, {'date': '08/07/2020', 'age': '23', 'clubName': 'RB Leipzig', 'clubID': '23826', 'value': '€20.00m'}, {'date': '26/11/2020', 'age': '23', 'clubName': 'RB Leipzig', 'clubID': '23826', 'value': '€25.00m'}, {'date': '10/02/2021', 'age': '24', 'clubName': 'RB Leipzig', 'clubID': '23826', 'value': '€35.00m'}, {'date': '09/06/2021', 'age': '24', 'clubName': 'RB Leipzig', 'clubID': '23826', 'value': '€35.00m'}, {'date': '22/12/2021', 'age': '24', 'clubName': 'RB Leipzig', 'clubID': '23826', 'value': '€30.00m'}, {'date': '09/06/2022', 'age': '25', 'clubName': 'RB Leipzig', 'clubID': '23826', 'value': '€30.00m'}, {'date': '21/09/2022', 'age': '25', 'clubName': 'TSG 1899 Hoffenheim', 'clubID': '533', 'value': '€20.00m'}, {'date': '09/11/2022', 'age': '25', 'clubName': 'TSG 1899 Hoffenheim', 'clubID': '533', 'value': '€20.00m'}, {'date': '29/03/2023', 'age': '26', 'clubName': 'TSG 1899 Hoffenheim', 'clubID': '533', 'value': '€14.00m'}, {'date': '22/06/2023', 'age': '26', 'clubName': 'TSG 1899 Hoffenheim', 'clubID': '533', 'value': '€12.00m'}, {'date': '27/09/2023', 'age': '26', 'clubName': 'Galatasaray', 'clubID': '141', 'value': '€11.00m'}, {'date': '21/12/2023', 'age': '26', 'clubName': 'Galatasaray', 'clubID': '141', 'value': '€8.00m'}, {'date': '05/06/2024', 'age': '27', 'clubName': 'AS Roma', 'clubID': '12', 'value': '€8.00m'}, {'date': '18/12/2024', 'age': '27', 'clubName': 'AS Roma', 'clubID': '12', 'value': '€8.00m'}, {'date': '25/03/2025', 'age': '28', 'clubName': 'AS Roma', 'clubID': '12', 'value': '€15.00m'}, {'date': '17/06/2025', 'age': '28', 'clubName': 'AS Roma', 'clubID': '12', 'value': '€20.00m'}, {'date': '23/12/2025', 'age': '28', 'clubName': 'AS Roma', 'clubID': '12', 'value': '€17.00m'}, {'date': '24/03/2026', 'age': '29', 'clubName': 'AS Roma', 'clubID': '12', 'value': '€10.00m'}]}</t>
  </si>
  <si>
    <t>1997-01-04</t>
  </si>
  <si>
    <t>Tielemans</t>
  </si>
  <si>
    <t>Monaco</t>
  </si>
  <si>
    <t>{'marketValueHistory': [{'date': 'Aug 12, 2013', 'age': '16', 'clubName': 'RSC Anderlecht', 'clubID': '58', 'value': '€1.00m'}, {'date': 'Oct 8, 2013', 'age': '16', 'clubName': 'RSC Anderlecht', 'clubID': '58', 'value': '€3.00m'}, {'date': 'Feb 10, 2014', 'age': '16', 'clubName': 'RSC Anderlecht', 'clubID': '58', 'value': '€7.00m'}, {'date': 'Jun 28, 2014', 'age': '17', 'clubName': 'RSC Anderlecht', 'clubID': '58', 'value': '€12.00m'}, {'date': 'Jan 7, 2015', 'age': '17', 'clubName': 'RSC Anderlecht', 'clubID': '58', 'value': '€12.00m'}, {'date': 'Feb 7, 2016', 'age': '18', 'clubName': 'RSC Anderlecht', 'clubID': '58', 'value': '€12.00m'}, {'date': 'Jul 15, 2016', 'age': '19', 'clubName': 'RSC Anderlecht', 'clubID': '58', 'value': '€14.00m'}, {'date': 'Jan 21, 2017', 'age': '19', 'clubName': 'RSC Anderlecht', 'clubID': '58', 'value': '€17.00m'}, {'date': 'Mar 30, 2017', 'age': '19', 'clubName': 'RSC Anderlecht', 'clubID': '58', 'value': '€20.00m'}, {'date': 'Jun 6, 2017', 'age': '20', 'clubName': 'RSC Anderlecht', 'clubID': '58', 'value': '€22.00m'}, {'date': 'Jan 24, 2018', 'age': '20', 'clubName': 'AS Monaco', 'clubID': '162', 'value': '€25.00m'}, {'date': 'Jun 4, 2018', 'age': '21', 'clubName': 'AS Monaco', 'clubID': '162', 'value': '€20.00m'}, {'date': 'Dec 17, 2018', 'age': '21', 'clubName': 'AS Monaco', 'clubID': '162', 'value': '€18.00m'}, {'date': 'Mar 5, 2019', 'age': '21', 'clubName': 'Leicester City', 'clubID': '1003', 'value': '€22.00m'}, {'date': 'Jun 13, 2019', 'age': '22', 'clubName': 'Leicester City', 'clubID': '1003', 'value': '€38.00m'}, {'date': 'Sep 12, 2019', 'age': '22', 'clubName': 'Leicester City', 'clubID': '1003', 'value': '€45.00m'}, {'date': 'Dec 10, 2019', 'age': '22', 'clubName': 'Leicester City', 'clubID': '1003', 'value': '€55.00m'}, {'date': 'Apr 8, 2020', 'age': '22', 'clubName': 'Leicester City', 'clubID': '1003', 'value': '€44.00m'}, {'date': 'Oct 13, 2020', 'age': '23', 'clubName': 'Leicester City', 'clubID': '1003', 'value': '€45.00m'}, {'date': 'Dec 17, 2020', 'age': '23', 'clubName': 'Leicester City', 'clubID': '1003', 'value': '€50.00m'}, {'date': 'Mar 18, 2021', 'age': '23', 'clubName': 'Leicester City', 'clubID': '1003', 'value': '€55.00m'}, {'date': 'May 26, 2021', 'age': '24', 'clubName': 'Leicester City', 'clubID': '1003', 'value': '€55.00m'}, {'date': 'Dec 23, 2021', 'age': '24', 'clubName': 'Leicester City', 'clubID': '1003', 'value': '€55.00m'}, {'date': 'Jun 15, 2022', 'age': '25', 'clubName': 'Leicester City', 'clubID': '1003', 'value': '€55.00m'}, {'date': 'Sep 15, 2022', 'age': '25', 'clubName': 'Leicester City', 'clubID': '1003', 'value': '€45.00m'}, {'date': 'Nov 3, 2022', 'age': '25', 'clubName': 'Leicester City', 'clubID': '1003', 'value': '€40.00m'}, {'date': 'Mar 16, 2023', 'age': '25', 'clubName': 'Leicester City', 'clubID': '1003', 'value': '€30.00m'}, {'date': 'Jun 20, 2023', 'age': '26', 'clubName': 'Leicester City', 'clubID': '1003', 'value': '€25.00m'}, {'date': 'Oct 9, 2023', 'age': '26', 'clubName': 'Aston Villa', 'clubID': '405', 'value': '€20.00m'}, {'date': 'Dec 19, 2023', 'age': '26', 'clubName': 'Aston Villa', 'clubID': '405', 'value': '€20.00m'}, {'date': 'Mar 14, 2024', 'age': '26', 'clubName': 'Aston Villa', 'clubID': '405', 'value': '€25.00m'}, {'date': 'May 27, 2024', 'age': '27', 'clubName': 'Aston Villa', 'clubID': '405', 'value': '€25.00m'}, {'date': 'Oct 1, 2024', 'age': '27', 'clubName': 'Aston Villa', 'clubID': '405', 'value': '€30.00m'}, {'date': 'Dec 16, 2024', 'age': '27', 'clubName': 'Aston Villa', 'clubID': '405', 'value': '€30.00m'}, {'date': 'Mar 18, 2025', 'age': '27', 'clubName': 'Aston Villa', 'clubID': '405', 'value': '€35.00m'}, {'date': 'May 30, 2025', 'age': '28', 'clubName': 'Aston Villa', 'clubID': '405', 'value': '€38.00m'}, {'date': 'Dec 9, 2025', 'age': '28', 'clubName': 'Aston Villa', 'clubID': '405', 'value': '€35.00m'}]}</t>
  </si>
  <si>
    <t>1997-05-07</t>
  </si>
  <si>
    <t>Matic</t>
  </si>
  <si>
    <t>{'marketValueHistory': [{'date': '21/10/2008', 'age': '20', 'clubName': 'MFK Kosice', 'clubID': '779', 'value': '€350k'}, {'date': '22/02/2009', 'age': '20', 'clubName': 'MFK Kosice', 'clubID': '779', 'value': '€1.50m'}, {'date': '25/01/2010', 'age': '21', 'clubName': 'Chelsea FC', 'clubID': '631', 'value': '€2.00m'}, {'date': '17/01/2011', 'age': '22', 'clubName': 'Vitesse Arnhem', 'clubID': '499', 'value': '€2.25m'}, {'date': '28/06/2011', 'age': '22', 'clubName': 'Vitesse Arnhem', 'clubID': '499', 'value': '€3.00m'}, {'date': '02/02/2012', 'age': '23', 'clubName': 'SL Benfica', 'clubID': '294', 'value': '€4.00m'}, {'date': '07/07/2012', 'age': '23', 'clubName': 'SL Benfica', 'clubID': '294', 'value': '€6.00m'}, {'date': '27/03/2013', 'age': '24', 'clubName': 'SL Benfica', 'clubID': '294', 'value': '€14.00m'}, {'date': '02/07/2013', 'age': '24', 'clubName': 'SL Benfica', 'clubID': '294', 'value': '€22.00m'}, {'date': '08/10/2013', 'age': '25', 'clubName': 'SL Benfica', 'clubID': '294', 'value': '€27.00m'}, {'date': '05/02/2014', 'age': '25', 'clubName': 'Chelsea FC', 'clubID': '631', 'value': '€25.00m'}, {'date': '12/08/2014', 'age': '26', 'clubName': 'Chelsea FC', 'clubID': '631', 'value': '€26.00m'}, {'date': '12/02/2015', 'age': '26', 'clubName': 'Chelsea FC', 'clubID': '631', 'value': '€34.00m'}, {'date': '01/07/2015', 'age': '26', 'clubName': 'Chelsea FC', 'clubID': '631', 'value': '€40.00m'}, {'date': '09/02/2016', 'age': '27', 'clubName': 'Chelsea FC', 'clubID': '631', 'value': '€38.00m'}, {'date': '01/08/2016', 'age': '28', 'clubName': 'Chelsea FC', 'clubID': '631', 'value': '€32.00m'}, {'date': '20/02/2017', 'age': '28', 'clubName': 'Chelsea FC', 'clubID': '631', 'value': '€35.00m'}, {'date': '28/06/2017', 'age': '28', 'clubName': 'Chelsea FC', 'clubID': '631', 'value': '€35.00m'}, {'date': '02/01/2018', 'age': '29', 'clubName': 'Manchester United', 'clubID': '985', 'value': '€40.00m'}, {'date': '28/05/2018', 'age': '29', 'clubName': 'Manchester United', 'clubID': '985', 'value': '€40.00m'}, {'date': '19/12/2018', 'age': '30', 'clubName': 'Manchester United', 'clubID': '985', 'value': '€35.00m'}, {'date': '13/06/2019', 'age': '30', 'clubName': 'Manchester United', 'clubID': '985', 'value': '€30.00m'}, {'date': '12/09/2019', 'age': '31', 'clubName': 'Manchester United', 'clubID': '985', 'value': '€25.00m'}, {'date': '10/12/2019', 'age': '31', 'clubName': 'Manchester United', 'clubID': '985', 'value': '€20.00m'}, {'date': '08/04/2020', 'age': '31', 'clubName': 'Manchester United', 'clubID': '985', 'value': '€16.00m'}, {'date': '13/10/2020', 'age': '32', 'clubName': 'Manchester United', 'clubID': '985', 'value': '€16.00m'}, {'date': '17/12/2020', 'age': '32', 'clubName': 'Manchester United', 'clubID': '985', 'value': '€12.00m'}, {'date': '18/03/2021', 'age': '32', 'clubName': 'Manchester United', 'clubID': '985', 'value': '€10.00m'}, {'date': '08/06/2021', 'age': '32', 'clubName': 'Manchester United', 'clubID': '985', 'value': '€8.00m'}, {'date': '23/12/2021', 'age': '33', 'clubName': 'Manchester United', 'clubID': '985', 'value': '€6.00m'}, {'date': '15/06/2022', 'age': '33', 'clubName': 'Manchester United', 'clubID': '985', 'value': '€5.00m'}, {'date': '11/11/2022', 'age': '34', 'clubName': 'AS Roma', 'clubID': '12', 'value': '€4.00m'}, {'date': '15/06/2023', 'age': '34', 'clubName': 'AS Roma', 'clubID': '12', 'value': '€4.00m'}, {'date': '18/12/2023', 'age': '35', 'clubName': 'Stade Rennais FC', 'clubID': '273', 'value': '€3.50m'}, {'date': '03/06/2024', 'age': '35', 'clubName': 'Olympique Lyon', 'clubID': '1041', 'value': '€3.00m'}, {'date': '10/12/2024', 'age': '36', 'clubName': 'Olympique Lyon', 'clubID': '1041', 'value': '€2.50m'}, {'date': '03/06/2025', 'age': '36', 'clubName': 'Olympique Lyon', 'clubID': '1041', 'value': '€2.00m'}, {'date': '23/12/2025', 'age': '37', 'clubName': 'US Sassuolo', 'clubID': '6574', 'value': '€1.80m'}]}</t>
  </si>
  <si>
    <t>1988-08-01</t>
  </si>
  <si>
    <t>Benito</t>
  </si>
  <si>
    <t>Young Boys</t>
  </si>
  <si>
    <t>{'marketValueHistory': [{'date': 'Dec 28, 2010', 'age': '16', 'clubName': 'KAA Gent U17', 'clubID': '157', 'value': '€250k'}, {'date': 'Jan 5, 2012', 'age': '17', 'clubName': 'KAA Gent', 'clubID': '157', 'value': '€350k'}, {'date': 'Apr 3, 2012', 'age': '17', 'clubName': 'KAA Gent', 'clubID': '157', 'value': '€500k'}, {'date': 'Jun 25, 2013', 'age': '18', 'clubName': 'Beerschot AC (-2013)', 'clubID': '566', 'value': '€1.00m'}, {'date': 'Feb 13, 2014', 'age': '19', 'clubName': 'KV Kortrijk', 'clubID': '601', 'value': '€1.00m'}, {'date': 'Jun 28, 2014', 'age': '19', 'clubName': 'KV Kortrijk', 'clubID': '601', 'value': '€1.00m'}, {'date': 'Oct 5, 2014', 'age': '19', 'clubName': 'KAA Gent', 'clubID': '157', 'value': '€1.50m'}, {'date': 'Jan 7, 2015', 'age': '20', 'clubName': 'KAA Gent', 'clubID': '157', 'value': '€2.50m'}, {'date': 'Jun 24, 2015', 'age': '20', 'clubName': 'KAA Gent', 'clubID': '157', 'value': '€3.00m'}, {'date': 'Feb 7, 2016', 'age': '21', 'clubName': 'Sint-Truidense VV', 'clubID': '475', 'value': '€2.00m'}, {'date': 'Jul 15, 2016', 'age': '21', 'clubName': 'KAA Gent', 'clubID': '157', 'value': '€1.50m'}, {'date': 'Jan 21, 2017', 'age': '22', 'clubName': 'Standard Liège', 'clubID': '3057', 'value': '€2.20m'}, {'date': 'Jun 6, 2017', 'age': '22', 'clubName': 'Standard Liège', 'clubID': '3057', 'value': '€2.00m'}, {'date': 'Jan 22, 2018', 'age': '23', 'clubName': 'Fortuna Düsseldorf', 'clubID': '38', 'value': '€2.00m'}, {'date': 'Jun 19, 2018', 'age': '23', 'clubName': 'Fortuna Düsseldorf', 'clubID': '38', 'value': '€2.50m'}, {'date': 'Dec 18, 2018', 'age': '24', 'clubName': 'Fortuna Düsseldorf', 'clubID': '38', 'value': '€3.00m'}, {'date': 'Mar 6, 2019', 'age': '24', 'clubName': 'Fortuna Düsseldorf', 'clubID': '38', 'value': '€4.50m'}, {'date': 'Jun 5, 2019', 'age': '24', 'clubName': 'Fortuna Düsseldorf', 'clubID': '38', 'value': '€12.00m'}, {'date': 'Oct 2, 2019', 'age': '24', 'clubName': 'FC Schalke 04', 'clubID': '33', 'value': '€10.00m'}, {'date': 'Dec 17, 2019', 'age': '25', 'clubName': 'FC Schalke 04', 'clubID': '33', 'value': '€10.00m'}, {'date': 'Apr 8, 2020', 'age': '25', 'clubName': 'FC Schalke 04', 'clubID': '33', 'value': '€8.00m'}, {'date': 'Nov 26, 2020', 'age': '26', 'clubName': 'FC Schalke 04', 'clubID': '33', 'value': '€6.00m'}, {'date': 'Feb 10, 2021', 'age': '26', 'clubName': 'FC Schalke 04', 'clubID': '33', 'value': '€4.50m'}, {'date': 'Jun 9, 2021', 'age': '26', 'clubName': 'FC Schalke 04', 'clubID': '33', 'value': '€3.00m'}, {'date': 'Jan 6, 2022', 'age': '27', 'clubName': 'RSC Anderlecht', 'clubID': '58', 'value': '€3.50m'}, {'date': 'Apr 12, 2022', 'age': '27', 'clubName': 'RSC Anderlecht', 'clubID': '58', 'value': '€3.00m'}, {'date': 'Nov 4, 2022', 'age': '27', 'clubName': 'RSC Anderlecht', 'clubID': '58', 'value': '€2.20m'}, {'date': 'Jun 9, 2023', 'age': '28', 'clubName': 'RSC Anderlecht', 'clubID': '58', 'value': '€2.00m'}, {'date': 'Oct 23, 2023', 'age': '28', 'clubName': 'RSC Anderlecht', 'clubID': '58', 'value': '€1.50m'}, {'date': 'Dec 19, 2023', 'age': '29', 'clubName': 'RSC Anderlecht', 'clubID': '58', 'value': '€1.50m'}, {'date': 'Mar 15, 2024', 'age': '29', 'clubName': 'Samsunspor', 'clubID': '152', 'value': '€1.40m'}, {'date': 'May 31, 2024', 'age': '29', 'clubName': 'Samsunspor', 'clubID': '152', 'value': '€1.30m'}, {'date': 'Dec 11, 2024', 'age': '30', 'clubName': 'KV Mechelen', 'clubID': '354', 'value': '€1.30m'}, {'date': 'Mar 26, 2025', 'age': '30', 'clubName': 'KV Mechelen', 'clubID': '354', 'value': '€1.60m'}, {'date': 'Jun 12, 2025', 'age': '30', 'clubName': 'KV Mechelen', 'clubID': '354', 'value': '€2.00m'}, {'date': 'Dec 10, 2025', 'age': '31', 'clubName': 'KV Mechelen', 'clubID': '354', 'value': '€1.50m'}, {'date': 'Mar 13, 2026', 'age': '31', 'clubName': 'KV Mechelen', 'clubID': '354', 'value': '€1.00m'}]}</t>
  </si>
  <si>
    <t>1994-11-07</t>
  </si>
  <si>
    <t>Dumfries</t>
  </si>
  <si>
    <t>{'marketValueHistory': [{'date': '30/10/2014', 'age': '18', 'clubName': 'Sparta Rotterdam U21', 'clubID': '8621', 'value': '€25k'}, {'date': '21/02/2015', 'age': '18', 'clubName': 'Sparta Rotterdam U21', 'clubID': '8621', 'value': '€50k'}, {'date': '01/07/2015', 'age': '19', 'clubName': 'Sparta Rotterdam', 'clubID': '468', 'value': '€50k'}, {'date': '05/02/2016', 'age': '19', 'clubName': 'Sparta Rotterdam', 'clubID': '468', 'value': '€150k'}, {'date': '15/07/2016', 'age': '20', 'clubName': 'Sparta Rotterdam', 'clubID': '468', 'value': '€250k'}, {'date': '17/10/2016', 'age': '20', 'clubName': 'Sparta Rotterdam', 'clubID': '468', 'value': '€600k'}, {'date': '18/01/2017', 'age': '20', 'clubName': 'Sparta Rotterdam', 'clubID': '468', 'value': '€800k'}, {'date': '07/06/2017', 'age': '21', 'clubName': 'Sparta Rotterdam', 'clubID': '468', 'value': '€1.00m'}, {'date': '26/10/2017', 'age': '21', 'clubName': 'SC Heerenveen', 'clubID': '306', 'value': '€1.50m'}, {'date': '17/01/2018', 'age': '21', 'clubName': 'SC Heerenveen', 'clubID': '306', 'value': '€2.50m'}, {'date': '12/06/2018', 'age': '22', 'clubName': 'SC Heerenveen', 'clubID': '306', 'value': '€4.00m'}, {'date': '04/10/2018', 'age': '22', 'clubName': 'PSV Eindhoven', 'clubID': '383', 'value': '€6.00m'}, {'date': '28/12/2018', 'age': '22', 'clubName': 'PSV Eindhoven', 'clubID': '383', 'value': '€12.00m'}, {'date': '12/06/2019', 'age': '23', 'clubName': 'PSV Eindhoven', 'clubID': '383', 'value': '€15.00m'}, {'date': '18/12/2019', 'age': '23', 'clubName': 'PSV Eindhoven', 'clubID': '383', 'value': '€13.50m'}, {'date': '12/03/2020', 'age': '23', 'clubName': 'PSV Eindhoven', 'clubID': '383', 'value': '€15.00m'}, {'date': '08/04/2020', 'age': '23', 'clubName': 'PSV Eindhoven', 'clubID': '383', 'value': '€12.00m'}, {'date': '14/10/2020', 'age': '24', 'clubName': 'PSV Eindhoven', 'clubID': '383', 'value': '€15.00m'}, {'date': '06/01/2021', 'age': '24', 'clubName': 'PSV Eindhoven', 'clubID': '383', 'value': '€18.00m'}, {'date': '27/05/2021', 'age': '25', 'clubName': 'PSV Eindhoven', 'clubID': '383', 'value': '€16.00m'}, {'date': '28/12/2021', 'age': '25', 'clubName': 'Inter Milan', 'clubID': '46', 'value': '€16.00m'}, {'date': '15/03/2022', 'age': '25', 'clubName': 'Inter Milan', 'clubID': '46', 'value': '€20.00m'}, {'date': '07/06/2022', 'age': '26', 'clubName': 'Inter Milan', 'clubID': '46', 'value': '€25.00m'}, {'date': '11/11/2022', 'age': '26', 'clubName': 'Inter Milan', 'clubID': '46', 'value': '€28.00m'}, {'date': '15/06/2023', 'age': '27', 'clubName': 'Inter Milan', 'clubID': '46', 'value': '€28.00m'}, {'date': '20/12/2023', 'age': '27', 'clubName': 'Inter Milan', 'clubID': '46', 'value': '€30.00m'}, {'date': '12/03/2024', 'age': '27', 'clubName': 'Inter Milan', 'clubID': '46', 'value': '€27.00m'}, {'date': '05/06/2024', 'age': '28', 'clubName': 'Inter Milan', 'clubID': '46', 'value': '€24.00m'}, {'date': '18/10/2024', 'age': '28', 'clubName': 'Inter Milan', 'clubID': '46', 'value': '€20.00m'}, {'date': '18/12/2024', 'age': '28', 'clubName': 'Inter Milan', 'clubID': '46', 'value': '€20.00m'}, {'date': '25/03/2025', 'age': '28', 'clubName': 'Inter Milan', 'clubID': '46', 'value': '€28.00m'}, {'date': '17/06/2025', 'age': '29', 'clubName': 'Inter Milan', 'clubID': '46', 'value': '€35.00m'}, {'date': '23/12/2025', 'age': '29', 'clubName': 'Inter Milan', 'clubID': '46', 'value': '€25.00m'}]}</t>
  </si>
  <si>
    <t>1996-04-18</t>
  </si>
  <si>
    <t>Poulain</t>
  </si>
  <si>
    <t>{'marketValueHistory': [{'date': 'Jul 22, 2008', 'age': '20', 'clubName': 'Nîmes Olympique', 'clubID': '1160', 'value': '€50k'}, {'date': 'Dec 13, 2008', 'age': '21', 'clubName': 'Nîmes Olympique', 'clubID': '1160', 'value': '€300k'}, {'date': 'Jun 3, 2009', 'age': '21', 'clubName': 'Nîmes Olympique', 'clubID': '1160', 'value': '€400k'}, {'date': 'Dec 13, 2009', 'age': '22', 'clubName': 'Nîmes Olympique', 'clubID': '1160', 'value': '€600k'}, {'date': 'May 30, 2011', 'age': '23', 'clubName': 'Nîmes Olympique', 'clubID': '1160', 'value': '€500k'}, {'date': 'Sep 14, 2011', 'age': '24', 'clubName': 'Nîmes Olympique', 'clubID': '1160', 'value': '-'}, {'date': 'Jul 30, 2012', 'age': '25', 'clubName': 'Nîmes Olympique', 'clubID': '1160', 'value': '€250k'}, {'date': 'Jan 4, 2013', 'age': '25', 'clubName': 'Nîmes Olympique', 'clubID': '1160', 'value': '€400k'}, {'date': 'May 30, 2013', 'age': '25', 'clubName': 'Nîmes Olympique', 'clubID': '1160', 'value': '€400k'}, {'date': 'Jan 8, 2015', 'age': '27', 'clubName': 'KV Kortrijk', 'clubID': '601', 'value': '€700k'}, {'date': 'Mar 24, 2015', 'age': '27', 'clubName': 'KV Kortrijk', 'clubID': '601', 'value': '€1.00m'}, {'date': 'Jun 24, 2015', 'age': '27', 'clubName': 'KV Kortrijk', 'clubID': '601', 'value': '€1.20m'}, {'date': 'Oct 22, 2015', 'age': '28', 'clubName': 'KV Kortrijk', 'clubID': '601', 'value': '€1.50m'}, {'date': 'Feb 7, 2016', 'age': '28', 'clubName': 'Club Brugge KV', 'clubID': '2282', 'value': '€2.00m'}, {'date': 'Jul 15, 2016', 'age': '28', 'clubName': 'Club Brugge KV', 'clubID': '2282', 'value': '€2.00m'}, {'date': 'Jan 21, 2017', 'age': '29', 'clubName': 'Club Brugge KV', 'clubID': '2282', 'value': '€2.00m'}, {'date': 'Jun 6, 2017', 'age': '29', 'clubName': 'Club Brugge KV', 'clubID': '2282', 'value': '€2.00m'}, {'date': 'Oct 20, 2017', 'age': '30', 'clubName': 'Club Brugge KV', 'clubID': '2282', 'value': '€2.50m'}, {'date': 'Jan 9, 2018', 'age': '30', 'clubName': 'Club Brugge KV', 'clubID': '2282', 'value': '€2.50m'}, {'date': 'Jun 3, 2018', 'age': '30', 'clubName': 'Club Brugge KV', 'clubID': '2282', 'value': '€2.50m'}, {'date': 'Dec 27, 2018', 'age': '31', 'clubName': 'Club Brugge KV', 'clubID': '2282', 'value': '€2.50m'}, {'date': 'Jun 10, 2019', 'age': '31', 'clubName': 'Club Brugge KV', 'clubID': '2282', 'value': '€2.00m'}, {'date': 'Oct 4, 2019', 'age': '32', 'clubName': 'Kayserispor', 'clubID': '3205', 'value': '€1.60m'}, {'date': 'Jan 3, 2020', 'age': '32', 'clubName': 'Kayserispor', 'clubID': '3205', 'value': '€1.00m'}, {'date': 'Apr 8, 2020', 'age': '32', 'clubName': 'Without Club', 'clubID': '515', 'value': '€800k'}, {'date': 'Aug 6, 2020', 'age': '33', 'clubName': 'KAS Eupen', 'clubID': '1245', 'value': '€650k'}, {'date': 'Oct 16, 2020', 'age': '33', 'clubName': 'KAS Eupen', 'clubID': '1245', 'value': '€500k'}, {'date': 'Jun 7, 2021', 'age': '33', 'clubName': 'KAS Eupen', 'clubID': '1245', 'value': '€400k'}, {'date': 'Jan 6, 2022', 'age': '34', 'clubName': 'KAS Eupen', 'clubID': '1245', 'value': '€225k'}, {'date': 'Apr 12, 2022', 'age': '34', 'clubName': 'KAS Eupen', 'clubID': '1245', 'value': '€150k'}, {'date': 'Oct 28, 2022', 'age': '35', 'clubName': 'Nîmes Olympique', 'clubID': '1160', 'value': '€150k'}, {'date': 'Jun 16, 2023', 'age': '35', 'clubName': 'Nîmes Olympique', 'clubID': '1160', 'value': '€150k'}, {'date': 'Mar 29, 2024', 'age': '36', 'clubName': 'Without Club', 'clubID': '515', 'value': '€75k'}, {'date': 'Oct 16, 2024', 'age': '37', 'clubName': 'Without Club', 'clubID': '515', 'value': '€25k'}, {'date': 'Mar 14, 2025', 'age': '37', 'clubName': 'Without Club', 'clubID': '515', 'value': '-'}]}</t>
  </si>
  <si>
    <t>1987-05-27</t>
  </si>
  <si>
    <t>Andre Almeida</t>
  </si>
  <si>
    <t>{'marketValueHistory': [{'date': '30/09/2016', 'age': '16', 'clubName': 'Vitória Guimarães SC B', 'clubID': '15136', 'value': '€50k'}, {'date': '30/06/2017', 'age': '17', 'clubName': 'Vitória Guimarães SC B', 'clubID': '15136', 'value': '€100k'}, {'date': '08/09/2017', 'age': '17', 'clubName': 'Vitória Guimarães SC B', 'clubID': '15136', 'value': '€100k'}, {'date': '23/02/2018', 'age': '17', 'clubName': 'Vitória Guimarães SC B', 'clubID': '15136', 'value': '€75k'}, {'date': '29/06/2018', 'age': '18', 'clubName': 'Vitória Guimarães SC B', 'clubID': '15136', 'value': '€100k'}, {'date': '12/02/2019', 'age': '18', 'clubName': 'Vitória Guimarães SC B', 'clubID': '15136', 'value': '€300k'}, {'date': '29/06/2019', 'age': '19', 'clubName': 'Vitória Guimarães SC B', 'clubID': '15136', 'value': '€300k'}, {'date': '30/12/2019', 'age': '19', 'clubName': 'Vitória Guimarães SC', 'clubID': '2420', 'value': '€800k'}, {'date': '08/04/2020', 'age': '19', 'clubName': 'Vitória Guimarães SC', 'clubID': '2420', 'value': '€725k'}, {'date': '17/08/2020', 'age': '20', 'clubName': 'Vitória Guimarães SC', 'clubID': '2420', 'value': '€800k'}, {'date': '28/01/2021', 'age': '20', 'clubName': 'Vitória Guimarães SC', 'clubID': '2420', 'value': '€2.00m'}, {'date': '21/05/2021', 'age': '20', 'clubName': 'Vitória Guimarães SC', 'clubID': '2420', 'value': '€3.00m'}, {'date': '27/12/2021', 'age': '21', 'clubName': 'Vitória Guimarães SC', 'clubID': '2420', 'value': '€4.00m'}, {'date': '31/05/2022', 'age': '22', 'clubName': 'Vitória Guimarães SC', 'clubID': '2420', 'value': '€5.00m'}, {'date': '23/09/2022', 'age': '22', 'clubName': 'Valencia CF', 'clubID': '1049', 'value': '€8.00m'}, {'date': '07/11/2022', 'age': '22', 'clubName': 'Valencia CF', 'clubID': '1049', 'value': '€14.00m'}, {'date': '23/03/2023', 'age': '22', 'clubName': 'Valencia CF', 'clubID': '1049', 'value': '€15.00m'}, {'date': '13/06/2023', 'age': '23', 'clubName': 'Valencia CF', 'clubID': '1049', 'value': '€20.00m'}, {'date': '22/12/2023', 'age': '23', 'clubName': 'Valencia CF', 'clubID': '1049', 'value': '€20.00m'}, {'date': '21/03/2024', 'age': '23', 'clubName': 'Valencia CF', 'clubID': '1049', 'value': '€15.00m'}, {'date': '07/06/2024', 'age': '24', 'clubName': 'Valencia CF', 'clubID': '1049', 'value': '€15.00m'}, {'date': '27/12/2024', 'age': '24', 'clubName': 'Valencia CF', 'clubID': '1049', 'value': '€9.00m'}, {'date': '21/03/2025', 'age': '24', 'clubName': 'Valencia CF', 'clubID': '1049', 'value': '€8.00m'}, {'date': '09/06/2025', 'age': '25', 'clubName': 'Valencia CF', 'clubID': '1049', 'value': '€10.00m'}, {'date': '12/12/2025', 'age': '25', 'clubName': 'Valencia CF', 'clubID': '1049', 'value': '€9.00m'}, {'date': '16/03/2026', 'age': '25', 'clubName': 'Valencia CF', 'clubID': '1049', 'value': '€7.50m'}]}</t>
  </si>
  <si>
    <t>2000-05-30</t>
  </si>
  <si>
    <t>Nababkin</t>
  </si>
  <si>
    <t>{'marketValueHistory': [{'date': 'Apr 6, 2007', 'age': '20', 'clubName': 'FC Moscow', 'clubID': '5268', 'value': '€525k'}, {'date': 'Sep 6, 2007', 'age': '20', 'clubName': 'FC Moscow', 'clubID': '5268', 'value': '€1.00m'}, {'date': 'Mar 23, 2008', 'age': '21', 'clubName': 'FC Moscow', 'clubID': '5268', 'value': '€1.15m'}, {'date': 'Sep 5, 2008', 'age': '21', 'clubName': 'FC Moscow', 'clubID': '5268', 'value': '€800k'}, {'date': 'Mar 29, 2009', 'age': '22', 'clubName': 'FC Moscow', 'clubID': '5268', 'value': '€900k'}, {'date': 'Sep 4, 2009', 'age': '22', 'clubName': 'FC Moscow', 'clubID': '5268', 'value': '€2.30m'}, {'date': 'Nov 23, 2009', 'age': '23', 'clubName': 'FC Moscow', 'clubID': '5268', 'value': '€2.00m'}, {'date': 'Jun 22, 2010', 'age': '23', 'clubName': 'CSKA Moscow', 'clubID': '2410', 'value': '€2.50m'}, {'date': 'Nov 27, 2010', 'age': '24', 'clubName': 'CSKA Moscow', 'clubID': '2410', 'value': '€3.00m'}, {'date': 'Jul 15, 2011', 'age': '24', 'clubName': 'CSKA Moscow', 'clubID': '2410', 'value': '€3.50m'}, {'date': 'Dec 15, 2011', 'age': '25', 'clubName': 'CSKA Moscow', 'clubID': '2410', 'value': '€3.50m'}, {'date': 'Jul 2, 2012', 'age': '25', 'clubName': 'CSKA Moscow', 'clubID': '2410', 'value': '€3.20m'}, {'date': 'Jan 13, 2013', 'age': '26', 'clubName': 'CSKA Moscow', 'clubID': '2410', 'value': '€3.20m'}, {'date': 'Jun 19, 2013', 'age': '26', 'clubName': 'CSKA Moscow', 'clubID': '2410', 'value': '€3.50m'}, {'date': 'Mar 3, 2014', 'age': '27', 'clubName': 'CSKA Moscow', 'clubID': '2410', 'value': '€3.20m'}, {'date': 'Jul 31, 2014', 'age': '27', 'clubName': 'CSKA Moscow', 'clubID': '2410', 'value': '€2.50m'}, {'date': 'Feb 23, 2015', 'age': '28', 'clubName': 'CSKA Moscow', 'clubID': '2410', 'value': '€2.00m'}, {'date': 'Jun 18, 2015', 'age': '28', 'clubName': 'CSKA Moscow', 'clubID': '2410', 'value': '€2.00m'}, {'date': 'Jan 6, 2016', 'age': '29', 'clubName': 'CSKA Moscow', 'clubID': '2410', 'value': '€2.00m'}, {'date': 'May 25, 2016', 'age': '29', 'clubName': 'CSKA Moscow', 'clubID': '2410', 'value': '€1.50m'}, {'date': 'Dec 27, 2016', 'age': '30', 'clubName': 'CSKA Moscow', 'clubID': '2410', 'value': '€1.00m'}, {'date': 'Jun 1, 2017', 'age': '30', 'clubName': 'CSKA Moscow', 'clubID': '2410', 'value': '€700k'}, {'date': 'Dec 23, 2017', 'age': '31', 'clubName': 'CSKA Moscow', 'clubID': '2410', 'value': '€700k'}, {'date': 'Jun 6, 2018', 'age': '31', 'clubName': 'CSKA Moscow', 'clubID': '2410', 'value': '€800k'}, {'date': 'Dec 20, 2018', 'age': '32', 'clubName': 'CSKA Moscow', 'clubID': '2410', 'value': '€1.20m'}, {'date': 'Jun 14, 2019', 'age': '32', 'clubName': 'CSKA Moscow', 'clubID': '2410', 'value': '€1.00m'}, {'date': 'Dec 23, 2019', 'age': '33', 'clubName': 'CSKA Moscow', 'clubID': '2410', 'value': '€700k'}, {'date': 'Apr 8, 2020', 'age': '33', 'clubName': 'CSKA Moscow', 'clubID': '2410', 'value': '€550k'}, {'date': 'Jul 29, 2020', 'age': '33', 'clubName': 'CSKA Moscow', 'clubID': '2410', 'value': '€500k'}, {'date': 'Dec 29, 2020', 'age': '34', 'clubName': 'CSKA Moscow', 'clubID': '2410', 'value': '€400k'}, {'date': 'Jun 2, 2021', 'age': '34', 'clubName': 'CSKA Moscow', 'clubID': '2410', 'value': '€300k'}, {'date': 'Dec 29, 2021', 'age': '35', 'clubName': 'CSKA Moscow', 'clubID': '2410', 'value': '€200k'}, {'date': 'Jun 2, 2022', 'age': '35', 'clubName': 'CSKA Moscow', 'clubID': '2410', 'value': '€100k'}, {'date': 'Nov 21, 2022', 'age': '36', 'clubName': 'CSKA Moscow', 'clubID': '2410', 'value': '€100k'}, {'date': 'Jun 14, 2023', 'age': '36', 'clubName': 'CSKA Moscow', 'clubID': '2410', 'value': '€100k'}, {'date': 'Dec 13, 2023', 'age': '37', 'clubName': 'CSKA Moscow', 'clubID': '2410', 'value': '€100k'}, {'date': 'Jun 4, 2024', 'age': '37', 'clubName': 'CSKA Moscow', 'clubID': '2410', 'value': '€100k'}, {'date': 'Aug 10, 2024', 'age': '37', 'clubName': 'SKA Rostov-na-Donu', 'clubID': '6673', 'value': '-'}]}</t>
  </si>
  <si>
    <t>Russia</t>
  </si>
  <si>
    <t>1986-09-08</t>
  </si>
  <si>
    <t>Chiellini</t>
  </si>
  <si>
    <t>{'marketValueHistory': [{'date': '03/02/2005', 'age': '20', 'clubName': 'ACF Fiorentina', 'clubID': '430', 'value': '€50k'}, {'date': '12/02/2005', 'age': '20', 'clubName': 'ACF Fiorentina', 'clubID': '430', 'value': '€9.00m'}, {'date': '23/07/2005', 'age': '20', 'clubName': 'Juventus FC', 'clubID': '506', 'value': '€12.00m'}, {'date': '28/07/2005', 'age': '20', 'clubName': 'Juventus FC', 'clubID': '506', 'value': '€11.00m'}, {'date': '29/07/2005', 'age': '20', 'clubName': 'Juventus FC', 'clubID': '506', 'value': '€8.50m'}, {'date': '27/02/2006', 'age': '21', 'clubName': 'Juventus FC', 'clubID': '506', 'value': '€8.25m'}, {'date': '09/04/2006', 'age': '21', 'clubName': 'Juventus FC', 'clubID': '506', 'value': '€7.50m'}, {'date': '24/08/2007', 'age': '23', 'clubName': 'Juventus FC', 'clubID': '506', 'value': '€10.00m'}, {'date': '15/02/2008', 'age': '23', 'clubName': 'Juventus FC', 'clubID': '506', 'value': '€15.00m'}, {'date': '03/07/2008', 'age': '23', 'clubName': 'Juventus FC', 'clubID': '506', 'value': '€18.50m'}, {'date': '06/02/2009', 'age': '24', 'clubName': 'Juventus FC', 'clubID': '506', 'value': '€20.00m'}, {'date': '06/08/2009', 'age': '24', 'clubName': 'Juventus FC', 'clubID': '506', 'value': '€20.50m'}, {'date': '27/01/2010', 'age': '25', 'clubName': 'Juventus FC', 'clubID': '506', 'value': '€23.00m'}, {'date': '02/08/2010', 'age': '25', 'clubName': 'Juventus FC', 'clubID': '506', 'value': '€25.00m'}, {'date': '20/01/2011', 'age': '26', 'clubName': 'Juventus FC', 'clubID': '506', 'value': '€28.00m'}, {'date': '21/06/2011', 'age': '26', 'clubName': 'Juventus FC', 'clubID': '506', 'value': '€26.00m'}, {'date': '11/01/2012', 'age': '27', 'clubName': 'Juventus FC', 'clubID': '506', 'value': '€24.00m'}, {'date': '03/07/2012', 'age': '27', 'clubName': 'Juventus FC', 'clubID': '506', 'value': '€28.50m'}, {'date': '15/01/2013', 'age': '28', 'clubName': 'Juventus FC', 'clubID': '506', 'value': '€28.50m'}, {'date': '19/06/2013', 'age': '28', 'clubName': 'Juventus FC', 'clubID': '506', 'value': '€28.50m'}, {'date': '07/01/2014', 'age': '29', 'clubName': 'Juventus FC', 'clubID': '506', 'value': '€24.00m'}, {'date': '11/07/2014', 'age': '29', 'clubName': 'Juventus FC', 'clubID': '506', 'value': '€19.00m'}, {'date': '07/01/2015', 'age': '30', 'clubName': 'Juventus FC', 'clubID': '506', 'value': '€16.50m'}, {'date': '01/07/2015', 'age': '30', 'clubName': 'Juventus FC', 'clubID': '506', 'value': '€16.50m'}, {'date': '06/11/2015', 'age': '31', 'clubName': 'Juventus FC', 'clubID': '506', 'value': '€15.00m'}, {'date': '04/01/2016', 'age': '31', 'clubName': 'Juventus FC', 'clubID': '506', 'value': '€15.00m'}, {'date': '01/06/2016', 'age': '31', 'clubName': 'Juventus FC', 'clubID': '506', 'value': '€13.00m'}, {'date': '15/07/2016', 'age': '31', 'clubName': 'Juventus FC', 'clubID': '506', 'value': '€13.00m'}, {'date': '14/10/2016', 'age': '32', 'clubName': 'Juventus FC', 'clubID': '506', 'value': '€12.00m'}, {'date': '02/01/2017', 'age': '32', 'clubName': 'Juventus FC', 'clubID': '506', 'value': '€12.00m'}, {'date': '28/03/2017', 'age': '32', 'clubName': 'Juventus FC', 'clubID': '506', 'value': '€10.00m'}, {'date': '08/06/2017', 'age': '32', 'clubName': 'Juventus FC', 'clubID': '506', 'value': '€10.00m'}, {'date': '29/12/2017', 'age': '33', 'clubName': 'Juventus FC', 'clubID': '506', 'value': '€10.00m'}, {'date': '07/06/2018', 'age': '33', 'clubName': 'Juventus FC', 'clubID': '506', 'value': '€10.00m'}, {'date': '20/12/2018', 'age': '34', 'clubName': 'Juventus FC', 'clubID': '506', 'value': '€10.00m'}, {'date': '06/06/2019', 'age': '34', 'clubName': 'Juventus FC', 'clubID': '506', 'value': '€7.50m'}, {'date': '12/12/2019', 'age': '35', 'clubName': 'Juventus FC', 'clubID': '506', 'value': '€5.00m'}, {'date': '08/04/2020', 'age': '35', 'clubName': 'Juventus FC', 'clubID': '506', 'value': '€4.00m'}, {'date': '25/08/2020', 'age': '36', 'clubName': 'Juventus FC', 'clubID': '506', 'value': '€3.00m'}, {'date': '29/12/2020', 'age': '36', 'clubName': 'Juventus FC', 'clubID': '506', 'value': '€2.00m'}, {'date': '25/05/2021', 'age': '36', 'clubName': 'Juventus FC', 'clubID': '506', 'value': '€1.50m'}, {'date': '28/12/2021', 'age': '37', 'clubName': 'Juventus FC', 'clubID': '506', 'value': '€1.50m'}, {'date': '07/06/2022', 'age': '37', 'clubName': 'Juventus FC', 'clubID': '506', 'value': '€1.50m'}, {'date': '08/11/2022', 'age': '38', 'clubName': 'Los Angeles FC', 'clubID': '51828', 'value': '€1.00m'}, {'date': '22/08/2023', 'age': '39', 'clubName': 'Los Angeles FC', 'clubID': '51828', 'value': '€1.00m'}, {'date': '18/12/2023', 'age': '39', 'clubName': 'Los Angeles FC', 'clubID': '51828', 'value': '€1.00m'}, {'date': '01/01/2024', 'age': '39', 'clubName': 'Retired', 'clubID': '123', 'value': '-'}]}</t>
  </si>
  <si>
    <t>1984-08-14</t>
  </si>
  <si>
    <t>Fazio</t>
  </si>
  <si>
    <t>{'marketValueHistory': [{'date': 'Feb 22, 2007', 'age': '19', 'clubName': 'Sevilla FC', 'clubID': '368', 'value': '€1.50m'}, {'date': 'Feb 28, 2007', 'age': '19', 'clubName': 'Sevilla FC', 'clubID': '368', 'value': '€800k'}, {'date': 'Feb 4, 2008', 'age': '20', 'clubName': 'Sevilla FC', 'clubID': '368', 'value': '€3.60m'}, {'date': 'Mar 19, 2008', 'age': '21', 'clubName': 'Sevilla FC', 'clubID': '368', 'value': '€4.00m'}, {'date': 'Jul 14, 2008', 'age': '21', 'clubName': 'Sevilla FC', 'clubID': '368', 'value': '€5.00m'}, {'date': 'Jan 25, 2009', 'age': '21', 'clubName': 'Sevilla FC', 'clubID': '368', 'value': '€6.00m'}, {'date': 'Jul 22, 2009', 'age': '22', 'clubName': 'Sevilla FC', 'clubID': '368', 'value': '€6.00m'}, {'date': 'Dec 3, 2009', 'age': '22', 'clubName': 'Sevilla FC', 'clubID': '368', 'value': '€6.00m'}, {'date': 'Apr 12, 2010', 'age': '23', 'clubName': 'Sevilla FC', 'clubID': '368', 'value': '€6.00m'}, {'date': 'Aug 27, 2010', 'age': '23', 'clubName': 'Sevilla FC', 'clubID': '368', 'value': '€5.00m'}, {'date': 'Dec 10, 2010', 'age': '23', 'clubName': 'Sevilla FC', 'clubID': '368', 'value': '€3.00m'}, {'date': 'Feb 4, 2011', 'age': '23', 'clubName': 'Sevilla FC', 'clubID': '368', 'value': '€3.00m'}, {'date': 'Jul 29, 2011', 'age': '24', 'clubName': 'Sevilla FC', 'clubID': '368', 'value': '€3.00m'}, {'date': 'Feb 3, 2012', 'age': '24', 'clubName': 'Sevilla FC', 'clubID': '368', 'value': '€3.50m'}, {'date': 'Apr 14, 2012', 'age': '25', 'clubName': 'Sevilla FC', 'clubID': '368', 'value': '€4.00m'}, {'date': 'Aug 7, 2012', 'age': '25', 'clubName': 'Sevilla FC', 'clubID': '368', 'value': '€6.00m'}, {'date': 'Jan 11, 2013', 'age': '25', 'clubName': 'Sevilla FC', 'clubID': '368', 'value': '€6.00m'}, {'date': 'Jun 12, 2013', 'age': '26', 'clubName': 'Sevilla FC', 'clubID': '368', 'value': '€6.00m'}, {'date': 'Jan 23, 2014', 'age': '26', 'clubName': 'Sevilla FC', 'clubID': '368', 'value': '€6.00m'}, {'date': 'Jul 20, 2014', 'age': '27', 'clubName': 'Sevilla FC', 'clubID': '368', 'value': '€8.00m'}, {'date': 'Feb 12, 2015', 'age': '27', 'clubName': 'Tottenham Hotspur', 'clubID': '148', 'value': '€8.00m'}, {'date': 'Jul 1, 2015', 'age': '28', 'clubName': 'Tottenham Hotspur', 'clubID': '148', 'value': '€8.00m'}, {'date': 'Feb 22, 2016', 'age': '28', 'clubName': 'Sevilla FC', 'clubID': '368', 'value': '€8.00m'}, {'date': 'Aug 1, 2016', 'age': '29', 'clubName': 'Tottenham Hotspur', 'clubID': '148', 'value': '€5.00m'}, {'date': 'Jan 2, 2017', 'age': '29', 'clubName': 'AS Roma', 'clubID': '12', 'value': '€7.00m'}, {'date': 'Mar 28, 2017', 'age': '30', 'clubName': 'AS Roma', 'clubID': '12', 'value': '€9.00m'}, {'date': 'Jun 8, 2017', 'age': '30', 'clubName': 'AS Roma', 'clubID': '12', 'value': '€9.00m'}, {'date': 'Dec 29, 2017', 'age': '30', 'clubName': 'AS Roma', 'clubID': '12', 'value': '€10.00m'}, {'date': 'Jun 7, 2018', 'age': '31', 'clubName': 'AS Roma', 'clubID': '12', 'value': '€13.00m'}, {'date': 'Dec 20, 2018', 'age': '31', 'clubName': 'AS Roma', 'clubID': '12', 'value': '€10.00m'}, {'date': 'Jun 6, 2019', 'age': '32', 'clubName': 'AS Roma', 'clubID': '12', 'value': '€6.00m'}, {'date': 'Dec 12, 2019', 'age': '32', 'clubName': 'AS Roma', 'clubID': '12', 'value': '€4.00m'}, {'date': 'Apr 8, 2020', 'age': '33', 'clubName': 'AS Roma', 'clubID': '12', 'value': '€3.20m'}, {'date': 'Aug 25, 2020', 'age': '33', 'clubName': 'AS Roma', 'clubID': '12', 'value': '€2.00m'}, {'date': 'Dec 29, 2020', 'age': '33', 'clubName': 'AS Roma', 'clubID': '12', 'value': '€1.00m'}, {'date': 'Jun 3, 2021', 'age': '34', 'clubName': 'AS Roma', 'clubID': '12', 'value': '€800k'}, {'date': 'Dec 28, 2021', 'age': '34', 'clubName': 'AS Roma', 'clubID': '12', 'value': '€500k'}, {'date': 'Jun 7, 2022', 'age': '35', 'clubName': 'US Salernitana 1919', 'clubID': '380', 'value': '€600k'}, {'date': 'Nov 11, 2022', 'age': '35', 'clubName': 'US Salernitana 1919', 'clubID': '380', 'value': '€600k'}, {'date': 'Jun 15, 2023', 'age': '36', 'clubName': 'US Salernitana 1919', 'clubID': '380', 'value': '€400k'}, {'date': 'Dec 20, 2023', 'age': '36', 'clubName': 'US Salernitana 1919', 'clubID': '380', 'value': '€400k'}, {'date': 'Jun 5, 2024', 'age': '37', 'clubName': 'US Salernitana 1919', 'clubID': '380', 'value': '€400k'}, {'date': 'Jul 1, 2024', 'age': '37', 'clubName': 'Retired', 'clubID': '123', 'value': '-'}]}</t>
  </si>
  <si>
    <t>1987-03-17</t>
  </si>
  <si>
    <t>Denswil</t>
  </si>
  <si>
    <t>{'marketValueHistory': [{'date': '30/06/2012', 'age': '19', 'clubName': 'Ajax Amsterdam U19', 'clubID': '41580', 'value': '€50k'}, {'date': '09/01/2013', 'age': '19', 'clubName': 'Ajax Amsterdam', 'clubID': '610', 'value': '€300k'}, {'date': '28/05/2013', 'age': '20', 'clubName': 'Ajax Amsterdam', 'clubID': '610', 'value': '€400k'}, {'date': '26/09/2013', 'age': '20', 'clubName': 'Ajax Amsterdam', 'clubID': '610', 'value': '€600k'}, {'date': '11/02/2014', 'age': '20', 'clubName': 'Ajax Amsterdam', 'clubID': '610', 'value': '€2.50m'}, {'date': '11/08/2014', 'age': '21', 'clubName': 'Ajax Amsterdam', 'clubID': '610', 'value': '€3.00m'}, {'date': '24/06/2015', 'age': '22', 'clubName': 'Club Brugge KV', 'clubID': '2282', 'value': '€2.50m'}, {'date': '07/02/2016', 'age': '22', 'clubName': 'Club Brugge KV', 'clubID': '2282', 'value': '€3.00m'}, {'date': '15/07/2016', 'age': '23', 'clubName': 'Club Brugge KV', 'clubID': '2282', 'value': '€4.00m'}, {'date': '20/10/2016', 'age': '23', 'clubName': 'Club Brugge KV', 'clubID': '2282', 'value': '€5.00m'}, {'date': '21/01/2017', 'age': '23', 'clubName': 'Club Brugge KV', 'clubID': '2282', 'value': '€5.00m'}, {'date': '06/06/2017', 'age': '24', 'clubName': 'Club Brugge KV', 'clubID': '2282', 'value': '€5.00m'}, {'date': '09/01/2018', 'age': '24', 'clubName': 'Club Brugge KV', 'clubID': '2282', 'value': '€5.00m'}, {'date': '03/06/2018', 'age': '25', 'clubName': 'Club Brugge KV', 'clubID': '2282', 'value': '€5.00m'}, {'date': '27/12/2018', 'age': '25', 'clubName': 'Club Brugge KV', 'clubID': '2282', 'value': '€5.00m'}, {'date': '10/06/2019', 'age': '26', 'clubName': 'Club Brugge KV', 'clubID': '2282', 'value': '€6.00m'}, {'date': '12/12/2019', 'age': '26', 'clubName': 'Bologna FC 1909', 'clubID': '1025', 'value': '€6.00m'}, {'date': '08/04/2020', 'age': '26', 'clubName': 'Bologna FC 1909', 'clubID': '1025', 'value': '€4.80m'}, {'date': '25/08/2020', 'age': '27', 'clubName': 'Bologna FC 1909', 'clubID': '1025', 'value': '€5.00m'}, {'date': '29/12/2020', 'age': '27', 'clubName': 'Bologna FC 1909', 'clubID': '1025', 'value': '€4.00m'}, {'date': '07/06/2021', 'age': '28', 'clubName': 'Club Brugge KV', 'clubID': '2282', 'value': '€3.50m'}, {'date': '12/10/2021', 'age': '28', 'clubName': 'Trabzonspor', 'clubID': '449', 'value': '€3.00m'}, {'date': '04/01/2022', 'age': '28', 'clubName': 'Trabzonspor', 'clubID': '449', 'value': '€3.40m'}, {'date': '31/03/2022', 'age': '28', 'clubName': 'Trabzonspor', 'clubID': '449', 'value': '€4.00m'}, {'date': '01/06/2022', 'age': '29', 'clubName': 'Trabzonspor', 'clubID': '449', 'value': '€4.20m'}, {'date': '27/10/2022', 'age': '29', 'clubName': 'Trabzonspor', 'clubID': '449', 'value': '€4.40m'}, {'date': '14/03/2023', 'age': '29', 'clubName': 'Trabzonspor', 'clubID': '449', 'value': '€4.20m'}, {'date': '08/06/2023', 'age': '30', 'clubName': 'Trabzonspor', 'clubID': '449', 'value': '€3.70m'}, {'date': '27/09/2023', 'age': '30', 'clubName': 'Trabzonspor', 'clubID': '449', 'value': '€3.00m'}, {'date': '21/12/2023', 'age': '30', 'clubName': 'Trabzonspor', 'clubID': '449', 'value': '€3.20m'}, {'date': '15/03/2024', 'age': '30', 'clubName': 'Trabzonspor', 'clubID': '449', 'value': '€3.00m'}, {'date': '31/05/2024', 'age': '31', 'clubName': 'Trabzonspor', 'clubID': '449', 'value': '€2.80m'}, {'date': '04/10/2024', 'age': '31', 'clubName': 'Trabzonspor', 'clubID': '449', 'value': '€2.60m'}, {'date': '23/12/2024', 'age': '31', 'clubName': 'Trabzonspor', 'clubID': '449', 'value': '€2.10m'}, {'date': '04/04/2025', 'age': '31', 'clubName': 'Without Club', 'clubID': '515', 'value': '€1.50m'}, {'date': '01/10/2025', 'age': '32', 'clubName': 'Kayserispor', 'clubID': '3205', 'value': '€1.00m'}, {'date': '17/12/2025', 'age': '32', 'clubName': 'Kayserispor', 'clubID': '3205', 'value': '€800k'}]}</t>
  </si>
  <si>
    <t>1993-05-07</t>
  </si>
  <si>
    <t>Degenek</t>
  </si>
  <si>
    <t>Crvena zvezda</t>
  </si>
  <si>
    <t>{'marketValueHistory': [{'date': 'Jul 5, 2012', 'age': '18', 'clubName': 'VfB Stuttgart U19', 'clubID': '2517', 'value': '€50k'}, {'date': 'Jan 13, 2013', 'age': '18', 'clubName': 'VfB Stuttgart U19', 'clubID': '2517', 'value': '€200k'}, {'date': 'Jan 24, 2014', 'age': '19', 'clubName': 'VfB Stuttgart II', 'clubID': '102', 'value': '€175k'}, {'date': 'Jun 30, 2014', 'age': '20', 'clubName': 'VfB Stuttgart II', 'clubID': '102', 'value': '€125k'}, {'date': 'Nov 6, 2014', 'age': '20', 'clubName': 'VfB Stuttgart II', 'clubID': '102', 'value': '€125k'}, {'date': 'Mar 7, 2015', 'age': '20', 'clubName': 'VfB Stuttgart II', 'clubID': '102', 'value': '€75k'}, {'date': 'Jul 1, 2015', 'age': '21', 'clubName': 'TSV 1860 Munich', 'clubID': '72', 'value': '€100k'}, {'date': 'Oct 22, 2015', 'age': '21', 'clubName': 'TSV 1860 Munich', 'clubID': '72', 'value': '€600k'}, {'date': 'Feb 11, 2016', 'age': '21', 'clubName': 'TSV 1860 Munich', 'clubID': '72', 'value': '€600k'}, {'date': 'Jul 22, 2016', 'age': '22', 'clubName': 'TSV 1860 Munich', 'clubID': '72', 'value': '€600k'}, {'date': 'Jan 23, 2017', 'age': '22', 'clubName': 'TSV 1860 Munich', 'clubID': '72', 'value': '€600k'}, {'date': 'Jan 5, 2018', 'age': '23', 'clubName': 'Yokohama F. Marinos', 'clubID': '3828', 'value': '€800k'}, {'date': 'Jan 12, 2019', 'age': '24', 'clubName': 'Red Star Belgrade', 'clubID': '159', 'value': '€3.25m'}, {'date': 'Jun 1, 2019', 'age': '25', 'clubName': 'Al-Hilal SFC', 'clubID': '1114', 'value': '€3.25m'}, {'date': 'Oct 28, 2019', 'age': '25', 'clubName': 'Red Star Belgrade', 'clubID': '159', 'value': '€4.00m'}, {'date': 'Apr 8, 2020', 'age': '25', 'clubName': 'Red Star Belgrade', 'clubID': '159', 'value': '€3.20m'}, {'date': 'Jun 28, 2020', 'age': '26', 'clubName': 'Red Star Belgrade', 'clubID': '159', 'value': '€3.00m'}, {'date': 'Dec 22, 2020', 'age': '26', 'clubName': 'Red Star Belgrade', 'clubID': '159', 'value': '€2.80m'}, {'date': 'Jun 12, 2021', 'age': '27', 'clubName': 'Red Star Belgrade', 'clubID': '159', 'value': '€3.00m'}, {'date': 'Dec 25, 2021', 'age': '27', 'clubName': 'Red Star Belgrade', 'clubID': '159', 'value': '€2.50m'}, {'date': 'Aug 18, 2022', 'age': '28', 'clubName': 'Columbus Crew', 'clubID': '813', 'value': '€2.50m'}, {'date': 'Nov 8, 2022', 'age': '28', 'clubName': 'Columbus Crew', 'clubID': '813', 'value': '€2.00m'}, {'date': 'Dec 27, 2023', 'age': '29', 'clubName': 'Red Star Belgrade', 'clubID': '159', 'value': '€1.50m'}, {'date': 'Mar 15, 2024', 'age': '29', 'clubName': 'Red Star Belgrade', 'clubID': '159', 'value': '€800k'}, {'date': 'Jun 10, 2024', 'age': '30', 'clubName': 'Red Star Belgrade', 'clubID': '159', 'value': '€500k'}, {'date': 'Dec 27, 2024', 'age': '30', 'clubName': 'Red Star Belgrade', 'clubID': '159', 'value': '€400k'}, {'date': 'Mar 25, 2025', 'age': '30', 'clubName': 'FK TSC Backa Topola', 'clubID': '3137', 'value': '€500k'}, {'date': 'Jun 12, 2025', 'age': '31', 'clubName': 'FK TSC Backa Topola', 'clubID': '3137', 'value': '€500k'}, {'date': 'Dec 11, 2025', 'age': '31', 'clubName': 'FK TSC Backa Topola', 'clubID': '3137', 'value': '€500k'}]}</t>
  </si>
  <si>
    <t>Australia</t>
  </si>
  <si>
    <t>1994-04-28</t>
  </si>
  <si>
    <t>Skriniar</t>
  </si>
  <si>
    <t>{'marketValueHistory': [{'date': '17/06/2012', 'age': '17', 'clubName': 'MSK Zilina', 'clubID': '1443', 'value': '€50k'}, {'date': '07/12/2012', 'age': '17', 'clubName': 'MSK Zilina', 'clubID': '1443', 'value': '€100k'}, {'date': '11/06/2013', 'age': '18', 'clubName': 'FC ViOn Zlate Moravce-Vrable', 'clubID': '12005', 'value': '€100k'}, {'date': '02/01/2014', 'age': '18', 'clubName': 'MSK Zilina', 'clubID': '1443', 'value': '€75k'}, {'date': '22/06/2014', 'age': '19', 'clubName': 'MSK Zilina', 'clubID': '1443', 'value': '€125k'}, {'date': '25/12/2014', 'age': '19', 'clubName': 'MSK Zilina', 'clubID': '1443', 'value': '€325k'}, {'date': '09/06/2015', 'age': '20', 'clubName': 'MSK Zilina', 'clubID': '1443', 'value': '€550k'}, {'date': '14/12/2015', 'age': '20', 'clubName': 'MSK Zilina', 'clubID': '1443', 'value': '€600k'}, {'date': '01/06/2016', 'age': '21', 'clubName': 'UC Sampdoria', 'clubID': '1038', 'value': '€600k'}, {'date': '15/07/2016', 'age': '21', 'clubName': 'UC Sampdoria', 'clubID': '1038', 'value': '€800k'}, {'date': '14/10/2016', 'age': '21', 'clubName': 'UC Sampdoria', 'clubID': '1038', 'value': '€1.00m'}, {'date': '02/01/2017', 'age': '21', 'clubName': 'UC Sampdoria', 'clubID': '1038', 'value': '€2.00m'}, {'date': '28/03/2017', 'age': '22', 'clubName': 'UC Sampdoria', 'clubID': '1038', 'value': '€4.00m'}, {'date': '08/06/2017', 'age': '22', 'clubName': 'UC Sampdoria', 'clubID': '1038', 'value': '€7.00m'}, {'date': '13/10/2017', 'age': '22', 'clubName': 'Inter Milan', 'clubID': '46', 'value': '€15.00m'}, {'date': '29/12/2017', 'age': '22', 'clubName': 'Inter Milan', 'clubID': '46', 'value': '€30.00m'}, {'date': '24/03/2018', 'age': '23', 'clubName': 'Inter Milan', 'clubID': '46', 'value': '€40.00m'}, {'date': '07/06/2018', 'age': '23', 'clubName': 'Inter Milan', 'clubID': '46', 'value': '€45.00m'}, {'date': '12/10/2018', 'age': '23', 'clubName': 'Inter Milan', 'clubID': '46', 'value': '€50.00m'}, {'date': '20/12/2018', 'age': '23', 'clubName': 'Inter Milan', 'clubID': '46', 'value': '€60.00m'}, {'date': '06/06/2019', 'age': '24', 'clubName': 'Inter Milan', 'clubID': '46', 'value': '€60.00m'}, {'date': '12/12/2019', 'age': '24', 'clubName': 'Inter Milan', 'clubID': '46', 'value': '€60.00m'}, {'date': '08/04/2020', 'age': '25', 'clubName': 'Inter Milan', 'clubID': '46', 'value': '€48.00m'}, {'date': '25/08/2020', 'age': '25', 'clubName': 'Inter Milan', 'clubID': '46', 'value': '€50.00m'}, {'date': '29/12/2020', 'age': '25', 'clubName': 'Inter Milan', 'clubID': '46', 'value': '€50.00m'}, {'date': '23/03/2021', 'age': '26', 'clubName': 'Inter Milan', 'clubID': '46', 'value': '€55.00m'}, {'date': '31/05/2021', 'age': '26', 'clubName': 'Inter Milan', 'clubID': '46', 'value': '€60.00m'}, {'date': '28/12/2021', 'age': '26', 'clubName': 'Inter Milan', 'clubID': '46', 'value': '€65.00m'}, {'date': '07/06/2022', 'age': '27', 'clubName': 'Inter Milan', 'clubID': '46', 'value': '€65.00m'}, {'date': '11/11/2022', 'age': '27', 'clubName': 'Inter Milan', 'clubID': '46', 'value': '€60.00m'}, {'date': '15/06/2023', 'age': '28', 'clubName': 'Inter Milan', 'clubID': '46', 'value': '€50.00m'}, {'date': '18/12/2023', 'age': '28', 'clubName': 'Paris Saint-Germain', 'clubID': '583', 'value': '€45.00m'}, {'date': '19/03/2024', 'age': '29', 'clubName': 'Paris Saint-Germain', 'clubID': '583', 'value': '€40.00m'}, {'date': '03/06/2024', 'age': '29', 'clubName': 'Paris Saint-Germain', 'clubID': '583', 'value': '€30.00m'}, {'date': '07/10/2024', 'age': '29', 'clubName': 'Paris Saint-Germain', 'clubID': '583', 'value': '€20.00m'}, {'date': '10/12/2024', 'age': '29', 'clubName': 'Paris Saint-Germain', 'clubID': '583', 'value': '€15.00m'}, {'date': '20/03/2025', 'age': '30', 'clubName': 'Fenerbahce', 'clubID': '36', 'value': '€15.00m'}, {'date': '18/06/2025', 'age': '30', 'clubName': 'Fenerbahce', 'clubID': '36', 'value': '€15.00m'}, {'date': '01/10/2025', 'age': '30', 'clubName': 'Fenerbahce', 'clubID': '36', 'value': '€12.00m'}, {'date': '17/12/2025', 'age': '30', 'clubName': 'Fenerbahce', 'clubID': '36', 'value': '€11.00m'}]}</t>
  </si>
  <si>
    <t>1995-02-11</t>
  </si>
  <si>
    <t>Koulibaly</t>
  </si>
  <si>
    <t>Napoli</t>
  </si>
  <si>
    <t>{'marketValueHistory': [{'date': 'Aug 1, 2010', 'age': '19', 'clubName': 'FC Metz', 'clubID': '347', 'value': '€50k'}, {'date': 'Oct 24, 2010', 'age': '19', 'clubName': 'FC Metz', 'clubID': '347', 'value': '€150k'}, {'date': 'May 30, 2011', 'age': '19', 'clubName': 'FC Metz', 'clubID': '347', 'value': '€400k'}, {'date': 'Jul 22, 2011', 'age': '20', 'clubName': 'FC Metz', 'clubID': '347', 'value': '€750k'}, {'date': 'Dec 25, 2011', 'age': '20', 'clubName': 'FC Metz', 'clubID': '347', 'value': '€750k'}, {'date': 'Jun 1, 2012', 'age': '20', 'clubName': 'FC Metz', 'clubID': '347', 'value': '€700k'}, {'date': 'Sep 18, 2012', 'age': '21', 'clubName': 'KRC Genk', 'clubID': '1184', 'value': '€1.20m'}, {'date': 'Oct 16, 2012', 'age': '21', 'clubName': 'KRC Genk', 'clubID': '1184', 'value': '€2.20m'}, {'date': 'Jan 9, 2013', 'age': '21', 'clubName': 'KRC Genk', 'clubID': '1184', 'value': '€3.00m'}, {'date': 'Jun 25, 2013', 'age': '22', 'clubName': 'KRC Genk', 'clubID': '1184', 'value': '€3.00m'}, {'date': 'Feb 10, 2014', 'age': '22', 'clubName': 'KRC Genk', 'clubID': '1184', 'value': '€3.20m'}, {'date': 'Jun 28, 2014', 'age': '23', 'clubName': 'KRC Genk', 'clubID': '1184', 'value': '€6.50m'}, {'date': 'Jan 7, 2015', 'age': '23', 'clubName': 'SSC Napoli', 'clubID': '6195', 'value': '€9.00m'}, {'date': 'Jul 1, 2015', 'age': '24', 'clubName': 'SSC Napoli', 'clubID': '6195', 'value': '€9.00m'}, {'date': 'Nov 5, 2015', 'age': '24', 'clubName': 'SSC Napoli', 'clubID': '6195', 'value': '€12.00m'}, {'date': 'Jan 4, 2016', 'age': '24', 'clubName': 'SSC Napoli', 'clubID': '6195', 'value': '€16.00m'}, {'date': 'Apr 1, 2016', 'age': '24', 'clubName': 'SSC Napoli', 'clubID': '6195', 'value': '€20.00m'}, {'date': 'Jul 15, 2016', 'age': '25', 'clubName': 'SSC Napoli', 'clubID': '6195', 'value': '€23.00m'}, {'date': 'Oct 14, 2016', 'age': '25', 'clubName': 'SSC Napoli', 'clubID': '6195', 'value': '€28.00m'}, {'date': 'Jan 2, 2017', 'age': '25', 'clubName': 'SSC Napoli', 'clubID': '6195', 'value': '€30.00m'}, {'date': 'Jun 8, 2017', 'age': '25', 'clubName': 'SSC Napoli', 'clubID': '6195', 'value': '€30.00m'}, {'date': 'Dec 29, 2017', 'age': '26', 'clubName': 'SSC Napoli', 'clubID': '6195', 'value': '€40.00m'}, {'date': 'Mar 24, 2018', 'age': '26', 'clubName': 'SSC Napoli', 'clubID': '6195', 'value': '€50.00m'}, {'date': 'Jun 7, 2018', 'age': '26', 'clubName': 'SSC Napoli', 'clubID': '6195', 'value': '€60.00m'}, {'date': 'Dec 20, 2018', 'age': '27', 'clubName': 'SSC Napoli', 'clubID': '6195', 'value': '€70.00m'}, {'date': 'Jun 6, 2019', 'age': '27', 'clubName': 'SSC Napoli', 'clubID': '6195', 'value': '€75.00m'}, {'date': 'Dec 12, 2019', 'age': '28', 'clubName': 'SSC Napoli', 'clubID': '6195', 'value': '€75.00m'}, {'date': 'Mar 3, 2020', 'age': '28', 'clubName': 'SSC Napoli', 'clubID': '6195', 'value': '€70.00m'}, {'date': 'Apr 8, 2020', 'age': '28', 'clubName': 'SSC Napoli', 'clubID': '6195', 'value': '€56.00m'}, {'date': 'Aug 25, 2020', 'age': '29', 'clubName': 'SSC Napoli', 'clubID': '6195', 'value': '€65.00m'}, {'date': 'Dec 29, 2020', 'age': '29', 'clubName': 'SSC Napoli', 'clubID': '6195', 'value': '€60.00m'}, {'date': 'Mar 23, 2021', 'age': '29', 'clubName': 'SSC Napoli', 'clubID': '6195', 'value': '€50.00m'}, {'date': 'Jun 3, 2021', 'age': '29', 'clubName': 'SSC Napoli', 'clubID': '6195', 'value': '€48.00m'}, {'date': 'Dec 28, 2021', 'age': '30', 'clubName': 'SSC Napoli', 'clubID': '6195', 'value': '€45.00m'}, {'date': 'Jun 7, 2022', 'age': '30', 'clubName': 'SSC Napoli', 'clubID': '6195', 'value': '€35.00m'}, {'date': 'Nov 3, 2022', 'age': '31', 'clubName': 'Chelsea FC', 'clubID': '631', 'value': '€35.00m'}, {'date': 'Mar 16, 2023', 'age': '31', 'clubName': 'Chelsea FC', 'clubID': '631', 'value': '€25.00m'}, {'date': 'Jun 20, 2023', 'age': '32', 'clubName': 'Chelsea FC', 'clubID': '631', 'value': '€15.00m'}, {'date': 'Oct 24, 2023', 'age': '32', 'clubName': 'Al-Hilal SFC', 'clubID': '1114', 'value': '€12.00m'}, {'date': 'Dec 15, 2023', 'age': '32', 'clubName': 'Al-Hilal SFC', 'clubID': '1114', 'value': '€11.00m'}, {'date': 'Jun 4, 2024', 'age': '32', 'clubName': 'Al-Hilal SFC', 'clubID': '1114', 'value': '€9.00m'}, {'date': 'Dec 13, 2024', 'age': '33', 'clubName': 'Al-Hilal SFC', 'clubID': '1114', 'value': '€8.00m'}, {'date': 'May 27, 2025', 'age': '33', 'clubName': 'Al-Hilal SFC', 'clubID': '1114', 'value': '€6.00m'}, {'date': 'Dec 18, 2025', 'age': '34', 'clubName': 'Al-Hilal SFC', 'clubID': '1114', 'value': '€5.00m'}]}</t>
  </si>
  <si>
    <t>1991-06-20</t>
  </si>
  <si>
    <t>Hubnik</t>
  </si>
  <si>
    <t>{'marketValueHistory': [{'date': '06/04/2007', 'age': '22', 'clubName': 'FC Moscow', 'clubID': '5268', 'value': '€1.25m'}, {'date': '06/09/2007', 'age': '23', 'clubName': 'FC Moscow', 'clubID': '5268', 'value': '€1.40m'}, {'date': '23/03/2008', 'age': '23', 'clubName': 'FC Moscow', 'clubID': '5268', 'value': '€1.25m'}, {'date': '17/03/2009', 'age': '24', 'clubName': 'AC Sparta Prague', 'clubID': '197', 'value': '€1.50m'}, {'date': '28/08/2010', 'age': '26', 'clubName': 'Hertha BSC', 'clubID': '44', 'value': '€1.50m'}, {'date': '12/01/2011', 'age': '26', 'clubName': 'Hertha BSC', 'clubID': '44', 'value': '€1.75m'}, {'date': '18/03/2011', 'age': '26', 'clubName': 'Hertha BSC', 'clubID': '44', 'value': '€2.00m'}, {'date': '29/06/2011', 'age': '27', 'clubName': 'Hertha BSC', 'clubID': '44', 'value': '€2.50m'}, {'date': '18/10/2011', 'age': '27', 'clubName': 'Hertha BSC', 'clubID': '44', 'value': '€3.50m'}, {'date': '23/01/2012', 'age': '27', 'clubName': 'Hertha BSC', 'clubID': '44', 'value': '€3.50m'}, {'date': '29/06/2012', 'age': '28', 'clubName': 'Hertha BSC', 'clubID': '44', 'value': '€2.50m'}, {'date': '23/10/2012', 'age': '28', 'clubName': 'Hertha BSC', 'clubID': '44', 'value': '€1.75m'}, {'date': '04/01/2013', 'age': '28', 'clubName': 'Hertha BSC', 'clubID': '44', 'value': '€1.00m'}, {'date': '29/06/2013', 'age': '29', 'clubName': 'Hertha BSC', 'clubID': '44', 'value': '€800k'}, {'date': '17/04/2014', 'age': '29', 'clubName': 'FC Viktoria Plzen', 'clubID': '941', 'value': '€600k'}, {'date': '07/08/2014', 'age': '30', 'clubName': 'FC Viktoria Plzen', 'clubID': '941', 'value': '€500k'}, {'date': '17/01/2015', 'age': '30', 'clubName': 'FC Viktoria Plzen', 'clubID': '941', 'value': '€400k'}, {'date': '14/10/2015', 'age': '31', 'clubName': 'SK Sigma Olomouc', 'clubID': '2311', 'value': '€400k'}, {'date': '01/06/2016', 'age': '31', 'clubName': 'FC Viktoria Plzen', 'clubID': '941', 'value': '€400k'}, {'date': '03/08/2016', 'age': '32', 'clubName': 'FC Viktoria Plzen', 'clubID': '941', 'value': '€400k'}, {'date': '16/10/2016', 'age': '32', 'clubName': 'FC Viktoria Plzen', 'clubID': '941', 'value': '€500k'}, {'date': '19/12/2016', 'age': '32', 'clubName': 'FC Viktoria Plzen', 'clubID': '941', 'value': '€500k'}, {'date': '10/06/2017', 'age': '33', 'clubName': 'FC Viktoria Plzen', 'clubID': '941', 'value': '€500k'}, {'date': '21/12/2017', 'age': '33', 'clubName': 'FC Viktoria Plzen', 'clubID': '941', 'value': '€500k'}, {'date': '14/07/2018', 'age': '34', 'clubName': 'FC Viktoria Plzen', 'clubID': '941', 'value': '€500k'}, {'date': '30/12/2018', 'age': '34', 'clubName': 'FC Viktoria Plzen', 'clubID': '941', 'value': '€500k'}, {'date': '25/06/2019', 'age': '35', 'clubName': 'FC Viktoria Plzen', 'clubID': '941', 'value': '€500k'}, {'date': '07/12/2019', 'age': '35', 'clubName': 'FC Viktoria Plzen', 'clubID': '941', 'value': '€400k'}, {'date': '08/04/2020', 'age': '35', 'clubName': 'FC Viktoria Plzen', 'clubID': '941', 'value': '€325k'}, {'date': '10/07/2020', 'age': '36', 'clubName': 'FC Viktoria Plzen', 'clubID': '941', 'value': '€250k'}, {'date': '27/12/2020', 'age': '36', 'clubName': 'SK Sigma Olomouc', 'clubID': '2311', 'value': '€250k'}, {'date': '25/06/2021', 'age': '37', 'clubName': 'SK Sigma Olomouc', 'clubID': '2311', 'value': '€200k'}, {'date': '26/12/2021', 'age': '37', 'clubName': 'SK Sigma Olomouc', 'clubID': '2311', 'value': '€150k'}, {'date': '22/06/2022', 'age': '38', 'clubName': 'SK Sigma Olomouc', 'clubID': '2311', 'value': '-'}]}</t>
  </si>
  <si>
    <t>1984-06-06</t>
  </si>
  <si>
    <t>Rodrigo Becao</t>
  </si>
  <si>
    <t>{'marketValueHistory': [{'date': 'Dec 15, 2015', 'age': '19', 'clubName': 'Unknown', 'clubID': '75', 'value': '€50k'}, {'date': 'Jul 23, 2016', 'age': '20', 'clubName': 'Unknown', 'clubID': '75', 'value': '€50k'}, {'date': 'Dec 7, 2017', 'age': '21', 'clubName': 'Esporte Clube Bahia', 'clubID': '10010', 'value': '€200k'}, {'date': 'May 23, 2018', 'age': '22', 'clubName': 'Esporte Clube Bahia', 'clubID': '10010', 'value': '€400k'}, {'date': 'Aug 31, 2018', 'age': '22', 'clubName': 'CSKA Moscow', 'clubID': '2410', 'value': '€1.00m'}, {'date': 'Oct 15, 2018', 'age': '22', 'clubName': 'CSKA Moscow', 'clubID': '2410', 'value': '€2.50m'}, {'date': 'Dec 20, 2018', 'age': '22', 'clubName': 'CSKA Moscow', 'clubID': '2410', 'value': '€6.50m'}, {'date': 'Jun 14, 2019', 'age': '23', 'clubName': 'CSKA Moscow', 'clubID': '2410', 'value': '€7.00m'}, {'date': 'Dec 12, 2019', 'age': '23', 'clubName': 'Udinese Calcio', 'clubID': '410', 'value': '€7.00m'}, {'date': 'Mar 3, 2020', 'age': '24', 'clubName': 'Udinese Calcio', 'clubID': '410', 'value': '€6.00m'}, {'date': 'Apr 8, 2020', 'age': '24', 'clubName': 'Udinese Calcio', 'clubID': '410', 'value': '€4.80m'}, {'date': 'Aug 25, 2020', 'age': '24', 'clubName': 'Udinese Calcio', 'clubID': '410', 'value': '€4.50m'}, {'date': 'Dec 29, 2020', 'age': '24', 'clubName': 'Udinese Calcio', 'clubID': '410', 'value': '€5.00m'}, {'date': 'Jun 3, 2021', 'age': '25', 'clubName': 'Udinese Calcio', 'clubID': '410', 'value': '€5.00m'}, {'date': 'Dec 28, 2021', 'age': '25', 'clubName': 'Udinese Calcio', 'clubID': '410', 'value': '€5.00m'}, {'date': 'Jun 7, 2022', 'age': '26', 'clubName': 'Udinese Calcio', 'clubID': '410', 'value': '€6.00m'}, {'date': 'Nov 11, 2022', 'age': '26', 'clubName': 'Udinese Calcio', 'clubID': '410', 'value': '€10.00m'}, {'date': 'Jun 15, 2023', 'age': '27', 'clubName': 'Udinese Calcio', 'clubID': '410', 'value': '€10.00m'}, {'date': 'Sep 27, 2023', 'age': '27', 'clubName': 'Fenerbahce', 'clubID': '36', 'value': '€11.00m'}, {'date': 'Dec 21, 2023', 'age': '27', 'clubName': 'Fenerbahce', 'clubID': '36', 'value': '€10.00m'}, {'date': 'Mar 15, 2024', 'age': '28', 'clubName': 'Fenerbahce', 'clubID': '36', 'value': '€9.00m'}, {'date': 'May 31, 2024', 'age': '28', 'clubName': 'Fenerbahce', 'clubID': '36', 'value': '€8.00m'}, {'date': 'Oct 4, 2024', 'age': '28', 'clubName': 'Fenerbahce', 'clubID': '36', 'value': '€8.00m'}, {'date': 'Dec 23, 2024', 'age': '28', 'clubName': 'Fenerbahce', 'clubID': '36', 'value': '€8.00m'}, {'date': 'Mar 20, 2025', 'age': '29', 'clubName': 'Fenerbahce', 'clubID': '36', 'value': '€6.50m'}, {'date': 'Jun 18, 2025', 'age': '29', 'clubName': 'Fenerbahce', 'clubID': '36', 'value': '€5.50m'}, {'date': 'Oct 1, 2025', 'age': '29', 'clubName': 'Fenerbahce', 'clubID': '36', 'value': '€4.50m'}, {'date': 'Dec 17, 2025', 'age': '29', 'clubName': 'Fenerbahce', 'clubID': '36', 'value': '€3.00m'}, {'date': 'Mar 5, 2026', 'age': '30', 'clubName': 'Kasimpasa', 'clubID': '10484', 'value': '€2.50m'}]}</t>
  </si>
  <si>
    <t>1996-01-19</t>
  </si>
  <si>
    <t>Nastasic</t>
  </si>
  <si>
    <t>Schalke</t>
  </si>
  <si>
    <t>{'marketValueHistory': [{'date': '29/06/2010', 'age': '17', 'clubName': 'FK Partizan Belgrade', 'clubID': '669', 'value': '€200k'}, {'date': '01/09/2010', 'age': '17', 'clubName': 'FK Partizan Belgrade', 'clubID': '669', 'value': '€400k'}, {'date': '03/07/2011', 'age': '18', 'clubName': 'FK Partizan Belgrade', 'clubID': '669', 'value': '€1.00m'}, {'date': '21/09/2011', 'age': '18', 'clubName': 'ACF Fiorentina', 'clubID': '430', 'value': '€2.50m'}, {'date': '11/01/2012', 'age': '18', 'clubName': 'ACF Fiorentina', 'clubID': '430', 'value': '€2.50m'}, {'date': '15/03/2012', 'age': '18', 'clubName': 'ACF Fiorentina', 'clubID': '430', 'value': '€4.00m'}, {'date': '08/06/2012', 'age': '19', 'clubName': 'ACF Fiorentina', 'clubID': '430', 'value': '€5.50m'}, {'date': '09/09/2012', 'age': '19', 'clubName': 'Manchester City', 'clubID': '281', 'value': '€15.00m'}, {'date': '28/01/2013', 'age': '19', 'clubName': 'Manchester City', 'clubID': '281', 'value': '€17.00m'}, {'date': '02/07/2013', 'age': '20', 'clubName': 'Manchester City', 'clubID': '281', 'value': '€21.00m'}, {'date': '15/01/2014', 'age': '20', 'clubName': 'Manchester City', 'clubID': '281', 'value': '€21.00m'}, {'date': '12/08/2014', 'age': '21', 'clubName': 'Manchester City', 'clubID': '281', 'value': '€21.00m'}, {'date': '04/02/2015', 'age': '21', 'clubName': 'FC Schalke 04', 'clubID': '33', 'value': '€13.00m'}, {'date': '01/07/2015', 'age': '22', 'clubName': 'FC Schalke 04', 'clubID': '33', 'value': '€14.00m'}, {'date': '15/02/2016', 'age': '22', 'clubName': 'FC Schalke 04', 'clubID': '33', 'value': '€14.00m'}, {'date': '22/07/2016', 'age': '23', 'clubName': 'FC Schalke 04', 'clubID': '33', 'value': '€12.00m'}, {'date': '07/02/2017', 'age': '23', 'clubName': 'FC Schalke 04', 'clubID': '33', 'value': '€14.00m'}, {'date': '19/06/2017', 'age': '24', 'clubName': 'FC Schalke 04', 'clubID': '33', 'value': '€12.00m'}, {'date': '28/12/2017', 'age': '24', 'clubName': 'FC Schalke 04', 'clubID': '33', 'value': '€12.00m'}, {'date': '04/04/2018', 'age': '25', 'clubName': 'FC Schalke 04', 'clubID': '33', 'value': '€17.00m'}, {'date': '05/06/2018', 'age': '25', 'clubName': 'FC Schalke 04', 'clubID': '33', 'value': '€17.00m'}, {'date': '22/10/2018', 'age': '25', 'clubName': 'FC Schalke 04', 'clubID': '33', 'value': '€22.00m'}, {'date': '18/12/2018', 'age': '25', 'clubName': 'FC Schalke 04', 'clubID': '33', 'value': '€22.00m'}, {'date': '05/06/2019', 'age': '26', 'clubName': 'FC Schalke 04', 'clubID': '33', 'value': '€18.00m'}, {'date': '17/12/2019', 'age': '26', 'clubName': 'FC Schalke 04', 'clubID': '33', 'value': '€16.00m'}, {'date': '08/04/2020', 'age': '27', 'clubName': 'FC Schalke 04', 'clubID': '33', 'value': '€13.00m'}, {'date': '16/09/2020', 'age': '27', 'clubName': 'FC Schalke 04', 'clubID': '33', 'value': '€10.00m'}, {'date': '10/02/2021', 'age': '27', 'clubName': 'FC Schalke 04', 'clubID': '33', 'value': '€7.00m'}, {'date': '09/06/2021', 'age': '28', 'clubName': 'FC Schalke 04', 'clubID': '33', 'value': '€5.00m'}, {'date': '28/12/2021', 'age': '28', 'clubName': 'ACF Fiorentina', 'clubID': '430', 'value': '€2.80m'}, {'date': '15/03/2022', 'age': '28', 'clubName': 'ACF Fiorentina', 'clubID': '430', 'value': '€2.00m'}, {'date': '07/06/2022', 'age': '29', 'clubName': 'ACF Fiorentina', 'clubID': '430', 'value': '€1.50m'}, {'date': '07/11/2022', 'age': '29', 'clubName': 'RCD Mallorca', 'clubID': '237', 'value': '€1.50m'}, {'date': '13/06/2023', 'age': '30', 'clubName': 'RCD Mallorca', 'clubID': '237', 'value': '€1.50m'}, {'date': '22/12/2023', 'age': '30', 'clubName': 'RCD Mallorca', 'clubID': '237', 'value': '€1.50m'}, {'date': '07/06/2024', 'age': '31', 'clubName': 'RCD Mallorca', 'clubID': '237', 'value': '€1.50m'}, {'date': '27/12/2024', 'age': '31', 'clubName': 'CD Leganés', 'clubID': '1244', 'value': '€1.30m'}, {'date': '21/03/2025', 'age': '31', 'clubName': 'CD Leganés', 'clubID': '1244', 'value': '€1.00m'}, {'date': '09/06/2025', 'age': '32', 'clubName': 'CD Leganés', 'clubID': '1244', 'value': '€800k'}, {'date': '18/12/2025', 'age': '32', 'clubName': 'Al-Ula FC', 'clubID': '107818', 'value': '€700k'}]}</t>
  </si>
  <si>
    <t>1993-03-28</t>
  </si>
  <si>
    <t>Sane</t>
  </si>
  <si>
    <t>{'marketValueHistory': [{'date': 'Apr 22, 2014', 'age': '18', 'clubName': 'FC Schalke 04 U19', 'clubID': '1463', 'value': '€300k'}, {'date': 'Jul 10, 2014', 'age': '18', 'clubName': 'FC Schalke 04 U19', 'clubID': '1463', 'value': '€500k'}, {'date': 'Feb 4, 2015', 'age': '19', 'clubName': 'FC Schalke 04 U19', 'clubID': '1463', 'value': '€1.00m'}, {'date': 'Mar 29, 2015', 'age': '19', 'clubName': 'FC Schalke 04 U19', 'clubID': '1463', 'value': '€1.50m'}, {'date': 'Jul 1, 2015', 'age': '19', 'clubName': 'FC Schalke 04', 'clubID': '33', 'value': '€4.00m'}, {'date': 'Oct 16, 2015', 'age': '19', 'clubName': 'FC Schalke 04', 'clubID': '33', 'value': '€8.00m'}, {'date': 'Feb 15, 2016', 'age': '20', 'clubName': 'FC Schalke 04', 'clubID': '33', 'value': '€18.00m'}, {'date': 'Jun 1, 2016', 'age': '20', 'clubName': 'FC Schalke 04', 'clubID': '33', 'value': '€18.00m'}, {'date': 'Jul 22, 2016', 'age': '20', 'clubName': 'FC Schalke 04', 'clubID': '33', 'value': '€30.00m'}, {'date': 'Feb 20, 2017', 'age': '21', 'clubName': 'Manchester City', 'clubID': '281', 'value': '€30.00m'}, {'date': 'Jun 28, 2017', 'age': '21', 'clubName': 'Manchester City', 'clubID': '281', 'value': '€35.00m'}, {'date': 'Oct 23, 2017', 'age': '21', 'clubName': 'Manchester City', 'clubID': '281', 'value': '€45.00m'}, {'date': 'Jan 2, 2018', 'age': '21', 'clubName': 'Manchester City', 'clubID': '281', 'value': '€75.00m'}, {'date': 'May 28, 2018', 'age': '22', 'clubName': 'Manchester City', 'clubID': '281', 'value': '€90.00m'}, {'date': 'Dec 19, 2018', 'age': '22', 'clubName': 'Manchester City', 'clubID': '281', 'value': '€100.00m'}, {'date': 'Jun 13, 2019', 'age': '23', 'clubName': 'Manchester City', 'clubID': '281', 'value': '€100.00m'}, {'date': 'Dec 10, 2019', 'age': '23', 'clubName': 'Manchester City', 'clubID': '281', 'value': '€100.00m'}, {'date': 'Apr 8, 2020', 'age': '24', 'clubName': 'Manchester City', 'clubID': '281', 'value': '€80.00m'}, {'date': 'Sep 16, 2020', 'age': '24', 'clubName': 'Bayern Munich', 'clubID': '27', 'value': '€70.00m'}, {'date': 'Feb 10, 2021', 'age': '25', 'clubName': 'Bayern Munich', 'clubID': '27', 'value': '€60.00m'}, {'date': 'Mar 31, 2021', 'age': '25', 'clubName': 'Bayern Munich', 'clubID': '27', 'value': '€70.00m'}, {'date': 'Jun 1, 2021', 'age': '25', 'clubName': 'Bayern Munich', 'clubID': '27', 'value': '€60.00m'}, {'date': 'Dec 22, 2021', 'age': '25', 'clubName': 'Bayern Munich', 'clubID': '27', 'value': '€70.00m'}, {'date': 'Jun 9, 2022', 'age': '26', 'clubName': 'Bayern Munich', 'clubID': '27', 'value': '€60.00m'}, {'date': 'Nov 9, 2022', 'age': '26', 'clubName': 'Bayern Munich', 'clubID': '27', 'value': '€70.00m'}, {'date': 'Jun 22, 2023', 'age': '27', 'clubName': 'Bayern Munich', 'clubID': '27', 'value': '€65.00m'}, {'date': 'Oct 18, 2023', 'age': '27', 'clubName': 'Bayern Munich', 'clubID': '27', 'value': '€75.00m'}, {'date': 'Dec 14, 2023', 'age': '27', 'clubName': 'Bayern Munich', 'clubID': '27', 'value': '€80.00m'}, {'date': 'Mar 27, 2024', 'age': '28', 'clubName': 'Bayern Munich', 'clubID': '27', 'value': '€70.00m'}, {'date': 'May 29, 2024', 'age': '28', 'clubName': 'Bayern Munich', 'clubID': '27', 'value': '€70.00m'}, {'date': 'Oct 9, 2024', 'age': '28', 'clubName': 'Bayern Munich', 'clubID': '27', 'value': '€60.00m'}, {'date': 'Dec 20, 2024', 'age': '28', 'clubName': 'Bayern Munich', 'clubID': '27', 'value': '€45.00m'}, {'date': 'Mar 27, 2025', 'age': '29', 'clubName': 'Bayern Munich', 'clubID': '27', 'value': '€38.00m'}, {'date': 'Jun 5, 2025', 'age': '29', 'clubName': 'Bayern Munich', 'clubID': '27', 'value': '€32.00m'}, {'date': 'Oct 1, 2025', 'age': '29', 'clubName': 'Galatasaray', 'clubID': '141', 'value': '€25.00m'}, {'date': 'Dec 17, 2025', 'age': '29', 'clubName': 'Galatasaray', 'clubID': '141', 'value': '€23.00m'}, {'date': 'Mar 5, 2026', 'age': '30', 'clubName': 'Galatasaray', 'clubID': '141', 'value': '€22.00m'}]}</t>
  </si>
  <si>
    <t>1996-01-11</t>
  </si>
  <si>
    <t>Baumann</t>
  </si>
  <si>
    <t>{'marketValueHistory': [{'date': '19/08/2008', 'age': '18', 'clubName': 'SC Freiburg U19', 'clubID': '4042', 'value': '€50k'}, {'date': '18/06/2009', 'age': '19', 'clubName': 'SC Freiburg U19', 'clubID': '4042', 'value': '€100k'}, {'date': '09/11/2009', 'age': '19', 'clubName': 'SC Freiburg', 'clubID': '60', 'value': '€200k'}, {'date': '13/06/2010', 'age': '20', 'clubName': 'SC Freiburg', 'clubID': '60', 'value': '€400k'}, {'date': '28/09/2010', 'age': '20', 'clubName': 'SC Freiburg', 'clubID': '60', 'value': '€750k'}, {'date': '23/11/2010', 'age': '20', 'clubName': 'SC Freiburg', 'clubID': '60', 'value': '€1.00m'}, {'date': '12/01/2011', 'age': '20', 'clubName': 'SC Freiburg', 'clubID': '60', 'value': '€2.00m'}, {'date': '18/03/2011', 'age': '20', 'clubName': 'SC Freiburg', 'clubID': '60', 'value': '€3.00m'}, {'date': '29/06/2011', 'age': '21', 'clubName': 'SC Freiburg', 'clubID': '60', 'value': '€4.00m'}, {'date': '23/01/2012', 'age': '21', 'clubName': 'SC Freiburg', 'clubID': '60', 'value': '€4.00m'}, {'date': '29/06/2012', 'age': '22', 'clubName': 'SC Freiburg', 'clubID': '60', 'value': '€5.00m'}, {'date': '13/01/2013', 'age': '22', 'clubName': 'SC Freiburg', 'clubID': '60', 'value': '€5.00m'}, {'date': '30/06/2013', 'age': '23', 'clubName': 'SC Freiburg', 'clubID': '60', 'value': '€7.00m'}, {'date': '10/07/2014', 'age': '24', 'clubName': 'TSG 1899 Hoffenheim', 'clubID': '533', 'value': '€8.00m'}, {'date': '04/02/2015', 'age': '24', 'clubName': 'TSG 1899 Hoffenheim', 'clubID': '533', 'value': '€8.00m'}, {'date': '01/07/2015', 'age': '25', 'clubName': 'TSG 1899 Hoffenheim', 'clubID': '533', 'value': '€5.50m'}, {'date': '15/02/2016', 'age': '25', 'clubName': 'TSG 1899 Hoffenheim', 'clubID': '533', 'value': '€5.50m'}, {'date': '22/07/2016', 'age': '26', 'clubName': 'TSG 1899 Hoffenheim', 'clubID': '533', 'value': '€5.50m'}, {'date': '07/02/2017', 'age': '26', 'clubName': 'TSG 1899 Hoffenheim', 'clubID': '533', 'value': '€5.50m'}, {'date': '19/06/2017', 'age': '27', 'clubName': 'TSG 1899 Hoffenheim', 'clubID': '533', 'value': '€7.00m'}, {'date': '28/12/2017', 'age': '27', 'clubName': 'TSG 1899 Hoffenheim', 'clubID': '533', 'value': '€8.00m'}, {'date': '05/06/2018', 'age': '28', 'clubName': 'TSG 1899 Hoffenheim', 'clubID': '533', 'value': '€10.00m'}, {'date': '18/12/2018', 'age': '28', 'clubName': 'TSG 1899 Hoffenheim', 'clubID': '533', 'value': '€10.00m'}, {'date': '05/06/2019', 'age': '29', 'clubName': 'TSG 1899 Hoffenheim', 'clubID': '533', 'value': '€8.00m'}, {'date': '17/12/2019', 'age': '29', 'clubName': 'TSG 1899 Hoffenheim', 'clubID': '533', 'value': '€7.00m'}, {'date': '08/04/2020', 'age': '29', 'clubName': 'TSG 1899 Hoffenheim', 'clubID': '533', 'value': '€5.50m'}, {'date': '10/02/2021', 'age': '30', 'clubName': 'TSG 1899 Hoffenheim', 'clubID': '533', 'value': '€5.50m'}, {'date': '09/06/2021', 'age': '31', 'clubName': 'TSG 1899 Hoffenheim', 'clubID': '533', 'value': '€5.00m'}, {'date': '22/12/2021', 'age': '31', 'clubName': 'TSG 1899 Hoffenheim', 'clubID': '533', 'value': '€5.00m'}, {'date': '09/06/2022', 'age': '32', 'clubName': 'TSG 1899 Hoffenheim', 'clubID': '533', 'value': '€4.50m'}, {'date': '09/11/2022', 'age': '32', 'clubName': 'TSG 1899 Hoffenheim', 'clubID': '533', 'value': '€4.50m'}, {'date': '22/06/2023', 'age': '33', 'clubName': 'TSG 1899 Hoffenheim', 'clubID': '533', 'value': '€4.00m'}, {'date': '14/12/2023', 'age': '33', 'clubName': 'TSG 1899 Hoffenheim', 'clubID': '533', 'value': '€4.00m'}, {'date': '29/05/2024', 'age': '33', 'clubName': 'TSG 1899 Hoffenheim', 'clubID': '533', 'value': '€3.00m'}, {'date': '20/12/2024', 'age': '34', 'clubName': 'TSG 1899 Hoffenheim', 'clubID': '533', 'value': '€3.00m'}, {'date': '05/06/2025', 'age': '35', 'clubName': 'TSG 1899 Hoffenheim', 'clubID': '533', 'value': '€3.00m'}, {'date': '19/12/2025', 'age': '35', 'clubName': 'TSG 1899 Hoffenheim', 'clubID': '533', 'value': '€3.00m'}]}</t>
  </si>
  <si>
    <t>1990-06-02</t>
  </si>
  <si>
    <t>Vlachodimos</t>
  </si>
  <si>
    <t>{'marketValueHistory': [{'date': 'Jun 9, 2012', 'age': '18', 'clubName': 'VfB Stuttgart U19', 'clubID': '2517', 'value': '€400k'}, {'date': 'Jun 28, 2013', 'age': '19', 'clubName': 'VfB Stuttgart II', 'clubID': '102', 'value': '€400k'}, {'date': 'Jan 24, 2014', 'age': '19', 'clubName': 'VfB Stuttgart II', 'clubID': '102', 'value': '€400k'}, {'date': 'Jun 30, 2014', 'age': '20', 'clubName': 'VfB Stuttgart II', 'clubID': '102', 'value': '€500k'}, {'date': 'Nov 6, 2014', 'age': '20', 'clubName': 'VfB Stuttgart', 'clubID': '79', 'value': '€500k'}, {'date': 'Feb 4, 2015', 'age': '20', 'clubName': 'VfB Stuttgart', 'clubID': '79', 'value': '€500k'}, {'date': 'Mar 7, 2015', 'age': '20', 'clubName': 'VfB Stuttgart', 'clubID': '79', 'value': '€450k'}, {'date': 'Jul 1, 2015', 'age': '21', 'clubName': 'VfB Stuttgart', 'clubID': '79', 'value': '€450k'}, {'date': 'Feb 21, 2016', 'age': '21', 'clubName': 'Panathinaikos', 'clubID': '265', 'value': '€450k'}, {'date': 'Jun 21, 2016', 'age': '22', 'clubName': 'Panathinaikos', 'clubID': '265', 'value': '€450k'}, {'date': 'Dec 21, 2016', 'age': '22', 'clubName': 'Panathinaikos', 'clubID': '265', 'value': '€500k'}, {'date': 'May 11, 2017', 'age': '23', 'clubName': 'Panathinaikos', 'clubID': '265', 'value': '€800k'}, {'date': 'Dec 18, 2017', 'age': '23', 'clubName': 'Panathinaikos', 'clubID': '265', 'value': '€1.75m'}, {'date': 'May 22, 2018', 'age': '24', 'clubName': 'Panathinaikos', 'clubID': '265', 'value': '€2.50m'}, {'date': 'Nov 1, 2018', 'age': '24', 'clubName': 'SL Benfica', 'clubID': '294', 'value': '€6.00m'}, {'date': 'Jan 11, 2019', 'age': '24', 'clubName': 'SL Benfica', 'clubID': '294', 'value': '€10.00m'}, {'date': 'Jun 7, 2019', 'age': '25', 'clubName': 'SL Benfica', 'clubID': '294', 'value': '€10.00m'}, {'date': 'Dec 30, 2019', 'age': '25', 'clubName': 'SL Benfica', 'clubID': '294', 'value': '€15.00m'}, {'date': 'Apr 8, 2020', 'age': '25', 'clubName': 'SL Benfica', 'clubID': '294', 'value': '€12.00m'}, {'date': 'Aug 17, 2020', 'age': '26', 'clubName': 'SL Benfica', 'clubID': '294', 'value': '€16.00m'}, {'date': 'Jan 28, 2021', 'age': '26', 'clubName': 'SL Benfica', 'clubID': '294', 'value': '€18.00m'}, {'date': 'Mar 25, 2021', 'age': '26', 'clubName': 'SL Benfica', 'clubID': '294', 'value': '€15.00m'}, {'date': 'May 21, 2021', 'age': '27', 'clubName': 'SL Benfica', 'clubID': '294', 'value': '€12.00m'}, {'date': 'Dec 27, 2021', 'age': '27', 'clubName': 'SL Benfica', 'clubID': '294', 'value': '€15.00m'}, {'date': 'May 31, 2022', 'age': '28', 'clubName': 'SL Benfica', 'clubID': '294', 'value': '€15.00m'}, {'date': 'Nov 1, 2022', 'age': '28', 'clubName': 'SL Benfica', 'clubID': '294', 'value': '€16.00m'}, {'date': 'Jun 16, 2023', 'age': '29', 'clubName': 'SL Benfica', 'clubID': '294', 'value': '€16.00m'}, {'date': 'Oct 9, 2023', 'age': '29', 'clubName': 'Nottingham Forest', 'clubID': '703', 'value': '€10.00m'}, {'date': 'Dec 19, 2023', 'age': '29', 'clubName': 'Nottingham Forest', 'clubID': '703', 'value': '€10.00m'}, {'date': 'Mar 14, 2024', 'age': '29', 'clubName': 'Nottingham Forest', 'clubID': '703', 'value': '€9.00m'}, {'date': 'May 27, 2024', 'age': '30', 'clubName': 'Nottingham Forest', 'clubID': '703', 'value': '€7.00m'}, {'date': 'Dec 16, 2024', 'age': '30', 'clubName': 'Newcastle United', 'clubID': '762', 'value': '€7.00m'}, {'date': 'May 30, 2025', 'age': '31', 'clubName': 'Newcastle United', 'clubID': '762', 'value': '€5.00m'}, {'date': 'Dec 12, 2025', 'age': '31', 'clubName': 'Sevilla FC', 'clubID': '368', 'value': '€4.00m'}]}</t>
  </si>
  <si>
    <t>1994-04-26</t>
  </si>
  <si>
    <t>Fahrmann</t>
  </si>
  <si>
    <t>{'marketValueHistory': [{'date': '06/10/2006', 'age': '18', 'clubName': 'FC Schalke 04 U19', 'clubID': '1463', 'value': '€50k'}, {'date': '15/01/2007', 'age': '18', 'clubName': 'FC Schalke 04', 'clubID': '33', 'value': '€100k'}, {'date': '20/01/2007', 'age': '18', 'clubName': 'FC Schalke 04', 'clubID': '33', 'value': '€300k'}, {'date': '01/01/2008', 'age': '19', 'clubName': 'FC Schalke 04', 'clubID': '33', 'value': '€200k'}, {'date': '09/10/2008', 'age': '20', 'clubName': 'FC Schalke 04', 'clubID': '33', 'value': '€350k'}, {'date': '21/01/2009', 'age': '20', 'clubName': 'FC Schalke 04', 'clubID': '33', 'value': '€600k'}, {'date': '27/08/2010', 'age': '21', 'clubName': 'Eintracht Frankfurt', 'clubID': '24', 'value': '€600k'}, {'date': '12/01/2011', 'age': '22', 'clubName': 'Eintracht Frankfurt', 'clubID': '24', 'value': '€750k'}, {'date': '29/06/2011', 'age': '22', 'clubName': 'Eintracht Frankfurt', 'clubID': '24', 'value': '€1.50m'}, {'date': '26/08/2011', 'age': '22', 'clubName': 'FC Schalke 04', 'clubID': '33', 'value': '€2.00m'}, {'date': '23/01/2012', 'age': '23', 'clubName': 'FC Schalke 04', 'clubID': '33', 'value': '€2.00m'}, {'date': '29/06/2012', 'age': '23', 'clubName': 'FC Schalke 04', 'clubID': '33', 'value': '€1.50m'}, {'date': '23/10/2012', 'age': '24', 'clubName': 'FC Schalke 04', 'clubID': '33', 'value': '€1.25m'}, {'date': '13/01/2013', 'age': '24', 'clubName': 'FC Schalke 04', 'clubID': '33', 'value': '€800k'}, {'date': '30/06/2013', 'age': '24', 'clubName': 'FC Schalke 04', 'clubID': '33', 'value': '€800k'}, {'date': '12/02/2014', 'age': '25', 'clubName': 'FC Schalke 04', 'clubID': '33', 'value': '€1.50m'}, {'date': '10/07/2014', 'age': '25', 'clubName': 'FC Schalke 04', 'clubID': '33', 'value': '€4.50m'}, {'date': '04/02/2015', 'age': '26', 'clubName': 'FC Schalke 04', 'clubID': '33', 'value': '€6.00m'}, {'date': '01/07/2015', 'age': '26', 'clubName': 'FC Schalke 04', 'clubID': '33', 'value': '€6.00m'}, {'date': '15/02/2016', 'age': '27', 'clubName': 'FC Schalke 04', 'clubID': '33', 'value': '€9.00m'}, {'date': '22/07/2016', 'age': '27', 'clubName': 'FC Schalke 04', 'clubID': '33', 'value': '€9.00m'}, {'date': '07/02/2017', 'age': '28', 'clubName': 'FC Schalke 04', 'clubID': '33', 'value': '€9.00m'}, {'date': '19/06/2017', 'age': '28', 'clubName': 'FC Schalke 04', 'clubID': '33', 'value': '€9.00m'}, {'date': '28/12/2017', 'age': '29', 'clubName': 'FC Schalke 04', 'clubID': '33', 'value': '€9.00m'}, {'date': '04/04/2018', 'age': '29', 'clubName': 'FC Schalke 04', 'clubID': '33', 'value': '€12.00m'}, {'date': '05/06/2018', 'age': '29', 'clubName': 'FC Schalke 04', 'clubID': '33', 'value': '€13.00m'}, {'date': '18/12/2018', 'age': '30', 'clubName': 'FC Schalke 04', 'clubID': '33', 'value': '€10.00m'}, {'date': '06/03/2019', 'age': '30', 'clubName': 'FC Schalke 04', 'clubID': '33', 'value': '€6.50m'}, {'date': '05/06/2019', 'age': '30', 'clubName': 'FC Schalke 04', 'clubID': '33', 'value': '€5.00m'}, {'date': '12/09/2019', 'age': '30', 'clubName': 'Norwich City', 'clubID': '1123', 'value': '€4.00m'}, {'date': '10/12/2019', 'age': '31', 'clubName': 'Norwich City', 'clubID': '1123', 'value': '€3.00m'}, {'date': '09/03/2020', 'age': '31', 'clubName': 'FC Schalke 04', 'clubID': '33', 'value': '€2.00m'}, {'date': '08/04/2020', 'age': '31', 'clubName': 'SK Brann', 'clubID': '1100', 'value': '€1.60m'}, {'date': '10/02/2021', 'age': '32', 'clubName': 'FC Schalke 04', 'clubID': '33', 'value': '€1.60m'}, {'date': '09/06/2021', 'age': '32', 'clubName': 'FC Schalke 04', 'clubID': '33', 'value': '€1.00m'}, {'date': '13/10/2021', 'age': '33', 'clubName': 'FC Schalke 04', 'clubID': '33', 'value': '€600k'}, {'date': '15/12/2021', 'age': '33', 'clubName': 'FC Schalke 04', 'clubID': '33', 'value': '€500k'}, {'date': '16/06/2022', 'age': '33', 'clubName': 'FC Schalke 04', 'clubID': '33', 'value': '€400k'}, {'date': '09/11/2022', 'age': '34', 'clubName': 'FC Schalke 04', 'clubID': '33', 'value': '€400k'}, {'date': '22/06/2023', 'age': '34', 'clubName': 'FC Schalke 04', 'clubID': '33', 'value': '€400k'}, {'date': '15/12/2023', 'age': '35', 'clubName': 'FC Schalke 04', 'clubID': '33', 'value': '€300k'}, {'date': '06/06/2024', 'age': '35', 'clubName': 'FC Schalke 04', 'clubID': '33', 'value': '€200k'}, {'date': '19/12/2024', 'age': '36', 'clubName': 'FC Schalke 04', 'clubID': '33', 'value': '€200k'}, {'date': '19/06/2025', 'age': '36', 'clubName': 'FC Schalke 04', 'clubID': '33', 'value': '€200k'}, {'date': '21/10/2025', 'age': '37', 'clubName': 'Without Club', 'clubID': '515', 'value': '€150k'}, {'date': '01/04/2026', 'age': '37', 'clubName': 'Retired', 'clubID': '123', 'value': '-'}]}</t>
  </si>
  <si>
    <t>1988-09-27</t>
  </si>
  <si>
    <t>Zoet</t>
  </si>
  <si>
    <t>{'marketValueHistory': [{'date': 'Jul 18, 2008', 'age': '17', 'clubName': 'PSV Eindhoven U21', 'clubID': '32801', 'value': '€50k'}, {'date': 'May 25, 2009', 'age': '18', 'clubName': 'PSV Eindhoven', 'clubID': '383', 'value': '€100k'}, {'date': 'Aug 1, 2010', 'age': '19', 'clubName': 'PSV Eindhoven', 'clubID': '383', 'value': '€250k'}, {'date': 'Oct 21, 2011', 'age': '20', 'clubName': 'RKC Waalwijk', 'clubID': '235', 'value': '€500k'}, {'date': 'Jan 20, 2012', 'age': '21', 'clubName': 'RKC Waalwijk', 'clubID': '235', 'value': '€900k'}, {'date': 'Jul 13, 2012', 'age': '21', 'clubName': 'RKC Waalwijk', 'clubID': '235', 'value': '€1.50m'}, {'date': 'Jan 14, 2013', 'age': '22', 'clubName': 'RKC Waalwijk', 'clubID': '235', 'value': '€2.00m'}, {'date': 'Jun 17, 2013', 'age': '22', 'clubName': 'RKC Waalwijk', 'clubID': '235', 'value': '€2.00m'}, {'date': 'Sep 26, 2013', 'age': '22', 'clubName': 'PSV Eindhoven', 'clubID': '383', 'value': '€4.00m'}, {'date': 'Feb 11, 2014', 'age': '23', 'clubName': 'PSV Eindhoven', 'clubID': '383', 'value': '€5.00m'}, {'date': 'Aug 11, 2014', 'age': '23', 'clubName': 'PSV Eindhoven', 'clubID': '383', 'value': '€5.00m'}, {'date': 'Feb 16, 2015', 'age': '24', 'clubName': 'PSV Eindhoven', 'clubID': '383', 'value': '€5.00m'}, {'date': 'Jul 1, 2015', 'age': '24', 'clubName': 'PSV Eindhoven', 'clubID': '383', 'value': '€5.00m'}, {'date': 'Nov 11, 2015', 'age': '24', 'clubName': 'PSV Eindhoven', 'clubID': '383', 'value': '€5.50m'}, {'date': 'Feb 5, 2016', 'age': '25', 'clubName': 'PSV Eindhoven', 'clubID': '383', 'value': '€6.00m'}, {'date': 'Apr 8, 2016', 'age': '25', 'clubName': 'PSV Eindhoven', 'clubID': '383', 'value': '€7.50m'}, {'date': 'Jul 15, 2016', 'age': '25', 'clubName': 'PSV Eindhoven', 'clubID': '383', 'value': '€8.50m'}, {'date': 'Jan 18, 2017', 'age': '26', 'clubName': 'PSV Eindhoven', 'clubID': '383', 'value': '€9.00m'}, {'date': 'Jun 7, 2017', 'age': '26', 'clubName': 'PSV Eindhoven', 'clubID': '383', 'value': '€8.50m'}, {'date': 'Jan 17, 2018', 'age': '27', 'clubName': 'PSV Eindhoven', 'clubID': '383', 'value': '€9.50m'}, {'date': 'Jun 12, 2018', 'age': '27', 'clubName': 'PSV Eindhoven', 'clubID': '383', 'value': '€10.00m'}, {'date': 'Dec 28, 2018', 'age': '27', 'clubName': 'PSV Eindhoven', 'clubID': '383', 'value': '€12.50m'}, {'date': 'Jun 12, 2019', 'age': '28', 'clubName': 'PSV Eindhoven', 'clubID': '383', 'value': '€12.00m'}, {'date': 'Dec 18, 2019', 'age': '28', 'clubName': 'PSV Eindhoven', 'clubID': '383', 'value': '€8.00m'}, {'date': 'Mar 12, 2020', 'age': '29', 'clubName': 'FC Utrecht', 'clubID': '200', 'value': '€7.00m'}, {'date': 'Apr 8, 2020', 'age': '29', 'clubName': 'FC Utrecht', 'clubID': '200', 'value': '€5.50m'}, {'date': 'Oct 29, 2020', 'age': '29', 'clubName': 'Spezia Calcio', 'clubID': '3522', 'value': '€5.00m'}, {'date': 'Dec 29, 2020', 'age': '29', 'clubName': 'Spezia Calcio', 'clubID': '3522', 'value': '€3.50m'}, {'date': 'Mar 23, 2021', 'age': '30', 'clubName': 'Spezia Calcio', 'clubID': '3522', 'value': '€2.50m'}, {'date': 'Jun 3, 2021', 'age': '30', 'clubName': 'Spezia Calcio', 'clubID': '3522', 'value': '€2.00m'}, {'date': 'Dec 28, 2021', 'age': '30', 'clubName': 'Spezia Calcio', 'clubID': '3522', 'value': '€1.20m'}, {'date': 'Jun 7, 2022', 'age': '31', 'clubName': 'Spezia Calcio', 'clubID': '3522', 'value': '€850k'}, {'date': 'Nov 11, 2022', 'age': '31', 'clubName': 'Spezia Calcio', 'clubID': '3522', 'value': '€500k'}, {'date': 'Jun 15, 2023', 'age': '32', 'clubName': 'Spezia Calcio', 'clubID': '3522', 'value': '€400k'}, {'date': 'Dec 27, 2023', 'age': '32', 'clubName': 'Spezia Calcio', 'clubID': '3522', 'value': '€400k'}, {'date': 'Jun 3, 2024', 'age': '33', 'clubName': 'Spezia Calcio', 'clubID': '3522', 'value': '€400k'}, {'date': 'Dec 17, 2024', 'age': '33', 'clubName': 'AZ Alkmaar', 'clubID': '1090', 'value': '€400k'}, {'date': 'May 28, 2025', 'age': '34', 'clubName': 'AZ Alkmaar', 'clubID': '1090', 'value': '€300k'}, {'date': 'Dec 2, 2025', 'age': '34', 'clubName': 'AZ Alkmaar', 'clubID': '1090', 'value': '€300k'}]}</t>
  </si>
  <si>
    <t>1991-01-06</t>
  </si>
  <si>
    <t>Pyatov</t>
  </si>
  <si>
    <t>{'marketValueHistory': [{'date': '21/05/2006', 'age': '21', 'clubName': 'Vorskla Poltava', 'clubID': '2740', 'value': '€600k'}, {'date': '24/08/2007', 'age': '23', 'clubName': 'Shakhtar Donetsk', 'clubID': '660', 'value': '€1.00m'}, {'date': '07/10/2007', 'age': '23', 'clubName': 'Shakhtar Donetsk', 'clubID': '660', 'value': '€3.25m'}, {'date': '12/03/2008', 'age': '23', 'clubName': 'Shakhtar Donetsk', 'clubID': '660', 'value': '€3.50m'}, {'date': '13/09/2008', 'age': '24', 'clubName': 'Shakhtar Donetsk', 'clubID': '660', 'value': '€3.25m'}, {'date': '28/09/2008', 'age': '24', 'clubName': 'Shakhtar Donetsk', 'clubID': '660', 'value': '€4.00m'}, {'date': '13/12/2008', 'age': '24', 'clubName': 'Shakhtar Donetsk', 'clubID': '660', 'value': '€5.00m'}, {'date': '04/02/2009', 'age': '24', 'clubName': 'Shakhtar Donetsk', 'clubID': '660', 'value': '€5.40m'}, {'date': '25/05/2009', 'age': '24', 'clubName': 'Shakhtar Donetsk', 'clubID': '660', 'value': '€6.50m'}, {'date': '23/09/2009', 'age': '25', 'clubName': 'Shakhtar Donetsk', 'clubID': '660', 'value': '€6.50m'}, {'date': '16/02/2010', 'age': '25', 'clubName': 'Shakhtar Donetsk', 'clubID': '660', 'value': '€6.50m'}, {'date': '28/08/2010', 'age': '26', 'clubName': 'Shakhtar Donetsk', 'clubID': '660', 'value': '€7.00m'}, {'date': '02/01/2011', 'age': '26', 'clubName': 'Shakhtar Donetsk', 'clubID': '660', 'value': '€8.00m'}, {'date': '11/03/2011', 'age': '26', 'clubName': 'Shakhtar Donetsk', 'clubID': '660', 'value': '€10.00m'}, {'date': '05/01/2012', 'age': '27', 'clubName': 'Shakhtar Donetsk', 'clubID': '660', 'value': '€6.00m'}, {'date': '02/07/2012', 'age': '28', 'clubName': 'Shakhtar Donetsk', 'clubID': '660', 'value': '€8.00m'}, {'date': '13/09/2013', 'age': '29', 'clubName': 'Shakhtar Donetsk', 'clubID': '660', 'value': '€6.00m'}, {'date': '30/06/2014', 'age': '30', 'clubName': 'Shakhtar Donetsk', 'clubID': '660', 'value': '€6.00m'}, {'date': '25/12/2014', 'age': '30', 'clubName': 'Shakhtar Donetsk', 'clubID': '660', 'value': '€6.00m'}, {'date': '07/06/2015', 'age': '30', 'clubName': 'Shakhtar Donetsk', 'clubID': '660', 'value': '€6.00m'}, {'date': '18/12/2015', 'age': '31', 'clubName': 'Shakhtar Donetsk', 'clubID': '660', 'value': '€5.00m'}, {'date': '01/06/2016', 'age': '31', 'clubName': 'Shakhtar Donetsk', 'clubID': '660', 'value': '€4.00m'}, {'date': '21/07/2016', 'age': '32', 'clubName': 'Shakhtar Donetsk', 'clubID': '660', 'value': '€4.00m'}, {'date': '03/01/2017', 'age': '32', 'clubName': 'Shakhtar Donetsk', 'clubID': '660', 'value': '€4.00m'}, {'date': '26/06/2017', 'age': '32', 'clubName': 'Shakhtar Donetsk', 'clubID': '660', 'value': '€4.00m'}, {'date': '12/01/2018', 'age': '33', 'clubName': 'Shakhtar Donetsk', 'clubID': '660', 'value': '€3.00m'}, {'date': '06/08/2018', 'age': '34', 'clubName': 'Shakhtar Donetsk', 'clubID': '660', 'value': '€2.50m'}, {'date': '10/12/2018', 'age': '34', 'clubName': 'Shakhtar Donetsk', 'clubID': '660', 'value': '€2.50m'}, {'date': '20/06/2019', 'age': '34', 'clubName': 'Shakhtar Donetsk', 'clubID': '660', 'value': '€2.50m'}, {'date': '08/01/2020', 'age': '35', 'clubName': 'Shakhtar Donetsk', 'clubID': '660', 'value': '€2.00m'}, {'date': '08/04/2020', 'age': '35', 'clubName': 'Shakhtar Donetsk', 'clubID': '660', 'value': '€1.60m'}, {'date': '04/09/2020', 'age': '36', 'clubName': 'Shakhtar Donetsk', 'clubID': '660', 'value': '€1.00m'}, {'date': '14/01/2021', 'age': '36', 'clubName': 'Shakhtar Donetsk', 'clubID': '660', 'value': '€1.00m'}, {'date': '27/05/2021', 'age': '36', 'clubName': 'Shakhtar Donetsk', 'clubID': '660', 'value': '€1.00m'}, {'date': '20/12/2021', 'age': '37', 'clubName': 'Shakhtar Donetsk', 'clubID': '660', 'value': '€800k'}, {'date': '18/05/2022', 'age': '37', 'clubName': 'Shakhtar Donetsk', 'clubID': '660', 'value': '€800k'}, {'date': '06/09/2022', 'age': '38', 'clubName': 'Shakhtar Donetsk', 'clubID': '660', 'value': '€700k'}, {'date': '06/12/2022', 'age': '38', 'clubName': 'Shakhtar Donetsk', 'clubID': '660', 'value': '€500k'}, {'date': '21/06/2023', 'age': '38', 'clubName': 'Shakhtar Donetsk', 'clubID': '660', 'value': '€500k'}, {'date': '01/07/2023', 'age': '39', 'clubName': 'Retired', 'clubID': '123', 'value': '-'}]}</t>
  </si>
  <si>
    <t>Ukraine</t>
  </si>
  <si>
    <t>1984-06-28</t>
  </si>
  <si>
    <t>Guilherme</t>
  </si>
  <si>
    <t>1946-03-14</t>
  </si>
  <si>
    <t>Borjan</t>
  </si>
  <si>
    <t>{'marketValueHistory': [{'date': 'May 18, 2009', 'age': '21', 'clubName': 'FK Rad', 'clubID': '902', 'value': '€100k'}, {'date': 'Oct 23, 2009', 'age': '22', 'clubName': 'FK Rad', 'clubID': '902', 'value': '€300k'}, {'date': 'Apr 28, 2010', 'age': '22', 'clubName': 'FK Rad', 'clubID': '902', 'value': '€500k'}, {'date': 'Nov 5, 2010', 'age': '23', 'clubName': 'FK Rad', 'clubID': '902', 'value': '€750k'}, {'date': 'May 1, 2011', 'age': '23', 'clubName': 'FK Rad', 'clubID': '902', 'value': '€800k'}, {'date': 'Jan 9, 2012', 'age': '24', 'clubName': 'Sivasspor', 'clubID': '2381', 'value': '€1.10m'}, {'date': 'Apr 1, 2012', 'age': '24', 'clubName': 'FC Vaslui', 'clubID': '8174', 'value': '€1.50m'}, {'date': 'Jan 6, 2013', 'age': '25', 'clubName': 'Sivasspor', 'clubID': '2381', 'value': '€1.50m'}, {'date': 'Jun 13, 2013', 'age': '25', 'clubName': 'Sivasspor', 'clubID': '2381', 'value': '€1.80m'}, {'date': 'Jan 27, 2014', 'age': '26', 'clubName': 'Sivasspor', 'clubID': '2381', 'value': '€1.40m'}, {'date': 'Sep 23, 2014', 'age': '26', 'clubName': 'Ludogorets Razgrad', 'clubID': '31614', 'value': '€1.50m'}, {'date': 'Dec 14, 2014', 'age': '27', 'clubName': 'Ludogorets Razgrad', 'clubID': '31614', 'value': '€1.60m'}, {'date': 'Jun 15, 2015', 'age': '27', 'clubName': 'FK Radnicki Nis', 'clubID': '7567', 'value': '€1.25m'}, {'date': 'Jul 27, 2015', 'age': '27', 'clubName': 'Ludogorets Razgrad', 'clubID': '31614', 'value': '€1.60m'}, {'date': 'Dec 17, 2015', 'age': '28', 'clubName': 'Ludogorets Razgrad', 'clubID': '31614', 'value': '€1.80m'}, {'date': 'Aug 1, 2016', 'age': '28', 'clubName': 'Ludogorets Razgrad', 'clubID': '31614', 'value': '€1.80m'}, {'date': 'Jan 28, 2017', 'age': '29', 'clubName': 'Ludogorets Razgrad', 'clubID': '31614', 'value': '€1.80m'}, {'date': 'Jan 10, 2018', 'age': '30', 'clubName': 'Red Star Belgrade', 'clubID': '159', 'value': '€2.00m'}, {'date': 'Jul 2, 2018', 'age': '30', 'clubName': 'Red Star Belgrade', 'clubID': '159', 'value': '€2.20m'}, {'date': 'Jan 14, 2019', 'age': '31', 'clubName': 'Red Star Belgrade', 'clubID': '159', 'value': '€3.00m'}, {'date': 'Jun 9, 2019', 'age': '31', 'clubName': 'Red Star Belgrade', 'clubID': '159', 'value': '€3.00m'}, {'date': 'Oct 28, 2019', 'age': '32', 'clubName': 'Red Star Belgrade', 'clubID': '159', 'value': '€3.50m'}, {'date': 'Apr 8, 2020', 'age': '32', 'clubName': 'Red Star Belgrade', 'clubID': '159', 'value': '€2.80m'}, {'date': 'Jun 28, 2020', 'age': '32', 'clubName': 'Red Star Belgrade', 'clubID': '159', 'value': '€2.60m'}, {'date': 'Dec 22, 2020', 'age': '33', 'clubName': 'Red Star Belgrade', 'clubID': '159', 'value': '€2.00m'}, {'date': 'Jun 12, 2021', 'age': '33', 'clubName': 'Red Star Belgrade', 'clubID': '159', 'value': '€2.00m'}, {'date': 'Dec 25, 2021', 'age': '34', 'clubName': 'Red Star Belgrade', 'clubID': '159', 'value': '€1.50m'}, {'date': 'Jun 26, 2022', 'age': '34', 'clubName': 'Red Star Belgrade', 'clubID': '159', 'value': '€1.50m'}, {'date': 'Nov 14, 2022', 'age': '35', 'clubName': 'Red Star Belgrade', 'clubID': '159', 'value': '€1.20m'}, {'date': 'Jun 22, 2023', 'age': '35', 'clubName': 'Red Star Belgrade', 'clubID': '159', 'value': '€1.00m'}, {'date': 'Dec 27, 2023', 'age': '36', 'clubName': 'Slovan Bratislava', 'clubID': '540', 'value': '€800k'}, {'date': 'Jun 7, 2024', 'age': '36', 'clubName': 'Slovan Bratislava', 'clubID': '540', 'value': '€400k'}, {'date': 'Dec 13, 2024', 'age': '37', 'clubName': 'Al-Riyadh SC', 'clubID': '31008', 'value': '€350k'}, {'date': 'May 27, 2025', 'age': '37', 'clubName': 'Al-Riyadh SC', 'clubID': '31008', 'value': '€300k'}, {'date': 'Dec 18, 2025', 'age': '38', 'clubName': 'Al-Riyadh SC', 'clubID': '31008', 'value': '€275k'}]}</t>
  </si>
  <si>
    <t>1987-10-23</t>
  </si>
  <si>
    <t>Barkas</t>
  </si>
  <si>
    <t>{'marketValueHistory': [{'date': '01/02/2013', 'age': '18', 'clubName': 'Atromitos Athens', 'clubID': '3060', 'value': '€100k'}, {'date': '28/03/2014', 'age': '19', 'clubName': 'Atromitos Athens', 'clubID': '3060', 'value': '€100k'}, {'date': '11/11/2014', 'age': '20', 'clubName': 'Atromitos Athens', 'clubID': '3060', 'value': '€150k'}, {'date': '10/05/2015', 'age': '20', 'clubName': 'Atromitos Athens', 'clubID': '3060', 'value': '€150k'}, {'date': '27/09/2015', 'age': '21', 'clubName': 'Atromitos Athens', 'clubID': '3060', 'value': '€250k'}, {'date': '21/06/2016', 'age': '22', 'clubName': 'Atromitos Athens', 'clubID': '3060', 'value': '€600k'}, {'date': '21/12/2016', 'age': '22', 'clubName': 'AEK Athens', 'clubID': '2441', 'value': '€600k'}, {'date': '11/05/2017', 'age': '22', 'clubName': 'AEK Athens', 'clubID': '2441', 'value': '€800k'}, {'date': '18/12/2017', 'age': '23', 'clubName': 'AEK Athens', 'clubID': '2441', 'value': '€800k'}, {'date': '22/05/2018', 'age': '23', 'clubName': 'AEK Athens', 'clubID': '2441', 'value': '€1.00m'}, {'date': '07/12/2018', 'age': '24', 'clubName': 'AEK Athens', 'clubID': '2441', 'value': '€1.75m'}, {'date': '21/05/2019', 'age': '24', 'clubName': 'AEK Athens', 'clubID': '2441', 'value': '€2.50m'}, {'date': '23/09/2019', 'age': '25', 'clubName': 'AEK Athens', 'clubID': '2441', 'value': '€3.00m'}, {'date': '18/12/2019', 'age': '25', 'clubName': 'AEK Athens', 'clubID': '2441', 'value': '€3.00m'}, {'date': '08/04/2020', 'age': '25', 'clubName': 'AEK Athens', 'clubID': '2441', 'value': '€2.40m'}, {'date': '04/08/2020', 'age': '26', 'clubName': 'Celtic FC', 'clubID': '371', 'value': '€5.00m'}, {'date': '18/01/2021', 'age': '26', 'clubName': 'Celtic FC', 'clubID': '371', 'value': '€4.00m'}, {'date': '28/06/2021', 'age': '27', 'clubName': 'Celtic FC', 'clubID': '371', 'value': '€2.80m'}, {'date': '31/12/2021', 'age': '27', 'clubName': 'Celtic FC', 'clubID': '371', 'value': '€1.50m'}, {'date': '27/06/2022', 'age': '28', 'clubName': 'Celtic FC', 'clubID': '371', 'value': '€1.00m'}, {'date': '11/11/2022', 'age': '28', 'clubName': 'FC Utrecht', 'clubID': '200', 'value': '€2.00m'}, {'date': '17/03/2023', 'age': '28', 'clubName': 'FC Utrecht', 'clubID': '200', 'value': '€3.00m'}, {'date': '23/06/2023', 'age': '29', 'clubName': 'FC Utrecht', 'clubID': '200', 'value': '€3.00m'}, {'date': '17/10/2023', 'age': '29', 'clubName': 'FC Utrecht', 'clubID': '200', 'value': '€2.00m'}, {'date': '15/12/2023', 'age': '29', 'clubName': 'FC Utrecht', 'clubID': '200', 'value': '€2.50m'}, {'date': '31/05/2024', 'age': '30', 'clubName': 'FC Utrecht', 'clubID': '200', 'value': '€3.00m'}, {'date': '17/12/2024', 'age': '30', 'clubName': 'FC Utrecht', 'clubID': '200', 'value': '€3.00m'}, {'date': '28/05/2025', 'age': '30', 'clubName': 'FC Utrecht', 'clubID': '200', 'value': '€3.50m'}, {'date': '02/12/2025', 'age': '31', 'clubName': 'FC Utrecht', 'clubID': '200', 'value': '€3.50m'}]}</t>
  </si>
  <si>
    <t>1994-05-30</t>
  </si>
  <si>
    <t>Muslera</t>
  </si>
  <si>
    <t>Galatasaray</t>
  </si>
  <si>
    <t>{'marketValueHistory': [{'date': 'Sep 6, 2007', 'age': '21', 'clubName': 'SS Lazio', 'clubID': '398', 'value': '€1.50m'}, {'date': 'Feb 9, 2008', 'age': '21', 'clubName': 'SS Lazio', 'clubID': '398', 'value': '€1.00m'}, {'date': 'Jul 3, 2008', 'age': '22', 'clubName': 'SS Lazio', 'clubID': '398', 'value': '€800k'}, {'date': 'Aug 6, 2009', 'age': '23', 'clubName': 'SS Lazio', 'clubID': '398', 'value': '€1.80m'}, {'date': 'Sep 1, 2009', 'age': '23', 'clubName': 'SS Lazio', 'clubID': '398', 'value': '€3.20m'}, {'date': 'Jan 27, 2010', 'age': '23', 'clubName': 'SS Lazio', 'clubID': '398', 'value': '€4.00m'}, {'date': 'May 9, 2010', 'age': '23', 'clubName': 'SS Lazio', 'clubID': '398', 'value': '€7.50m'}, {'date': 'Aug 1, 2010', 'age': '24', 'clubName': 'SS Lazio', 'clubID': '398', 'value': '€8.50m'}, {'date': 'Jun 21, 2011', 'age': '25', 'clubName': 'SS Lazio', 'clubID': '398', 'value': '€8.50m'}, {'date': 'Aug 8, 2011', 'age': '25', 'clubName': 'SS Lazio', 'clubID': '398', 'value': '€12.00m'}, {'date': 'Jan 9, 2012', 'age': '25', 'clubName': 'Galatasaray', 'clubID': '141', 'value': '€12.00m'}, {'date': 'Jun 19, 2012', 'age': '26', 'clubName': 'Galatasaray', 'clubID': '141', 'value': '€13.00m'}, {'date': 'Jan 6, 2013', 'age': '26', 'clubName': 'Galatasaray', 'clubID': '141', 'value': '€13.00m'}, {'date': 'Jun 15, 2013', 'age': '26', 'clubName': 'Galatasaray', 'clubID': '141', 'value': '€16.00m'}, {'date': 'Jan 27, 2014', 'age': '27', 'clubName': 'Galatasaray', 'clubID': '141', 'value': '€16.00m'}, {'date': 'Aug 11, 2014', 'age': '28', 'clubName': 'Galatasaray', 'clubID': '141', 'value': '€18.00m'}, {'date': 'Jan 26, 2015', 'age': '28', 'clubName': 'Galatasaray', 'clubID': '141', 'value': '€17.00m'}, {'date': 'Jun 25, 2015', 'age': '29', 'clubName': 'Galatasaray', 'clubID': '141', 'value': '€17.00m'}, {'date': 'Jan 18, 2016', 'age': '29', 'clubName': 'Galatasaray', 'clubID': '141', 'value': '€15.00m'}, {'date': 'Jul 15, 2016', 'age': '30', 'clubName': 'Galatasaray', 'clubID': '141', 'value': '€14.00m'}, {'date': 'Jan 10, 2017', 'age': '30', 'clubName': 'Galatasaray', 'clubID': '141', 'value': '€14.00m'}, {'date': 'Jun 9, 2017', 'age': '30', 'clubName': 'Galatasaray', 'clubID': '141', 'value': '€11.00m'}, {'date': 'Feb 12, 2018', 'age': '31', 'clubName': 'Galatasaray', 'clubID': '141', 'value': '€8.00m'}, {'date': 'May 29, 2018', 'age': '31', 'clubName': 'Galatasaray', 'clubID': '141', 'value': '€6.00m'}, {'date': 'Jan 4, 2019', 'age': '32', 'clubName': 'Galatasaray', 'clubID': '141', 'value': '€5.00m'}, {'date': 'Jun 4, 2019', 'age': '32', 'clubName': 'Galatasaray', 'clubID': '141', 'value': '€4.00m'}, {'date': 'Oct 4, 2019', 'age': '33', 'clubName': 'Galatasaray', 'clubID': '141', 'value': '€5.00m'}, {'date': 'Jan 3, 2020', 'age': '33', 'clubName': 'Galatasaray', 'clubID': '141', 'value': '€5.00m'}, {'date': 'Apr 8, 2020', 'age': '33', 'clubName': 'Galatasaray', 'clubID': '141', 'value': '€4.00m'}, {'date': 'Aug 4, 2020', 'age': '34', 'clubName': 'Galatasaray', 'clubID': '141', 'value': '€4.00m'}, {'date': 'Dec 23, 2020', 'age': '34', 'clubName': 'Galatasaray', 'clubID': '141', 'value': '€3.50m'}, {'date': 'Mar 16, 2021', 'age': '34', 'clubName': 'Galatasaray', 'clubID': '141', 'value': '€4.00m'}, {'date': 'May 21, 2021', 'age': '34', 'clubName': 'Galatasaray', 'clubID': '141', 'value': '€4.00m'}, {'date': 'Oct 12, 2021', 'age': '35', 'clubName': 'Galatasaray', 'clubID': '141', 'value': '€3.00m'}, {'date': 'Jan 4, 2022', 'age': '35', 'clubName': 'Galatasaray', 'clubID': '141', 'value': '€2.80m'}, {'date': 'Mar 31, 2022', 'age': '35', 'clubName': 'Galatasaray', 'clubID': '141', 'value': '€2.10m'}, {'date': 'Jun 1, 2022', 'age': '35', 'clubName': 'Galatasaray', 'clubID': '141', 'value': '€1.80m'}, {'date': 'Oct 27, 2022', 'age': '36', 'clubName': 'Galatasaray', 'clubID': '141', 'value': '€1.70m'}, {'date': 'Mar 14, 2023', 'age': '36', 'clubName': 'Galatasaray', 'clubID': '141', 'value': '€1.70m'}, {'date': 'Jun 8, 2023', 'age': '36', 'clubName': 'Galatasaray', 'clubID': '141', 'value': '€1.60m'}, {'date': 'Sep 27, 2023', 'age': '37', 'clubName': 'Galatasaray', 'clubID': '141', 'value': '€1.50m'}, {'date': 'Dec 21, 2023', 'age': '37', 'clubName': 'Galatasaray', 'clubID': '141', 'value': '€1.50m'}, {'date': 'Mar 15, 2024', 'age': '37', 'clubName': 'Galatasaray', 'clubID': '141', 'value': '€1.50m'}, {'date': 'May 31, 2024', 'age': '37', 'clubName': 'Galatasaray', 'clubID': '141', 'value': '€1.40m'}, {'date': 'Oct 4, 2024', 'age': '38', 'clubName': 'Galatasaray', 'clubID': '141', 'value': '€1.10m'}, {'date': 'Dec 23, 2024', 'age': '38', 'clubName': 'Galatasaray', 'clubID': '141', 'value': '€1.00m'}, {'date': 'Mar 20, 2025', 'age': '38', 'clubName': 'Galatasaray', 'clubID': '141', 'value': '€1.00m'}, {'date': 'Jun 18, 2025', 'age': '39', 'clubName': 'Galatasaray', 'clubID': '141', 'value': '€800k'}, {'date': 'Dec 17, 2025', 'age': '39', 'clubName': 'Club Estudiantes de La Plata', 'clubID': '288', 'value': '€750k'}]}</t>
  </si>
  <si>
    <t>1986-06-16</t>
  </si>
  <si>
    <t>Ospina</t>
  </si>
  <si>
    <t>Colombia</t>
  </si>
  <si>
    <t>1976-03-04</t>
  </si>
  <si>
    <t>Handanovic</t>
  </si>
  <si>
    <t>{'marketValueHistory': [{'date': '16/01/2005', 'age': '20', 'clubName': 'Udinese Calcio', 'clubID': '410', 'value': '€100k'}, {'date': '10/02/2005', 'age': '20', 'clubName': 'Udinese Calcio', 'clubID': '410', 'value': '€400k'}, {'date': '23/06/2007', 'age': '22', 'clubName': 'Rimini FC', 'clubID': '4111', 'value': '€750k'}, {'date': '17/01/2008', 'age': '23', 'clubName': 'Udinese Calcio', 'clubID': '410', 'value': '€3.00m'}, {'date': '09/02/2008', 'age': '23', 'clubName': 'Udinese Calcio', 'clubID': '410', 'value': '€5.50m'}, {'date': '03/07/2008', 'age': '23', 'clubName': 'Udinese Calcio', 'clubID': '410', 'value': '€7.00m'}, {'date': '27/01/2010', 'age': '25', 'clubName': 'Udinese Calcio', 'clubID': '410', 'value': '€9.50m'}, {'date': '01/08/2010', 'age': '26', 'clubName': 'Udinese Calcio', 'clubID': '410', 'value': '€10.00m'}, {'date': '21/06/2011', 'age': '26', 'clubName': 'Udinese Calcio', 'clubID': '410', 'value': '€11.00m'}, {'date': '11/01/2012', 'age': '27', 'clubName': 'Udinese Calcio', 'clubID': '410', 'value': '€12.00m'}, {'date': '08/06/2012', 'age': '27', 'clubName': 'Udinese Calcio', 'clubID': '410', 'value': '€15.00m'}, {'date': '15/01/2013', 'age': '28', 'clubName': 'Inter Milan', 'clubID': '46', 'value': '€17.00m'}, {'date': '19/06/2013', 'age': '28', 'clubName': 'Inter Milan', 'clubID': '46', 'value': '€24.00m'}, {'date': '07/01/2014', 'age': '29', 'clubName': 'Inter Milan', 'clubID': '46', 'value': '€24.00m'}, {'date': '01/07/2014', 'age': '29', 'clubName': 'Inter Milan', 'clubID': '46', 'value': '€22.00m'}, {'date': '07/01/2015', 'age': '30', 'clubName': 'Inter Milan', 'clubID': '46', 'value': '€18.50m'}, {'date': '01/07/2015', 'age': '30', 'clubName': 'Inter Milan', 'clubID': '46', 'value': '€15.00m'}, {'date': '04/01/2016', 'age': '31', 'clubName': 'Inter Milan', 'clubID': '46', 'value': '€15.00m'}, {'date': '15/07/2016', 'age': '32', 'clubName': 'Inter Milan', 'clubID': '46', 'value': '€15.00m'}, {'date': '02/01/2017', 'age': '32', 'clubName': 'Inter Milan', 'clubID': '46', 'value': '€12.50m'}, {'date': '08/06/2017', 'age': '32', 'clubName': 'Inter Milan', 'clubID': '46', 'value': '€10.00m'}, {'date': '29/12/2017', 'age': '33', 'clubName': 'Inter Milan', 'clubID': '46', 'value': '€10.00m'}, {'date': '07/06/2018', 'age': '33', 'clubName': 'Inter Milan', 'clubID': '46', 'value': '€8.50m'}, {'date': '12/10/2018', 'age': '34', 'clubName': 'Inter Milan', 'clubID': '46', 'value': '€6.00m'}, {'date': '20/12/2018', 'age': '34', 'clubName': 'Inter Milan', 'clubID': '46', 'value': '€6.00m'}, {'date': '06/06/2019', 'age': '34', 'clubName': 'Inter Milan', 'clubID': '46', 'value': '€6.00m'}, {'date': '12/12/2019', 'age': '35', 'clubName': 'Inter Milan', 'clubID': '46', 'value': '€6.00m'}, {'date': '08/04/2020', 'age': '35', 'clubName': 'Inter Milan', 'clubID': '46', 'value': '€4.80m'}, {'date': '25/08/2020', 'age': '36', 'clubName': 'Inter Milan', 'clubID': '46', 'value': '€4.00m'}, {'date': '29/12/2020', 'age': '36', 'clubName': 'Inter Milan', 'clubID': '46', 'value': '€2.50m'}, {'date': '03/06/2021', 'age': '36', 'clubName': 'Inter Milan', 'clubID': '46', 'value': '€2.50m'}, {'date': '28/12/2021', 'age': '37', 'clubName': 'Inter Milan', 'clubID': '46', 'value': '€2.50m'}, {'date': '07/06/2022', 'age': '37', 'clubName': 'Inter Milan', 'clubID': '46', 'value': '€2.00m'}, {'date': '11/11/2022', 'age': '38', 'clubName': 'Inter Milan', 'clubID': '46', 'value': '€1.00m'}, {'date': '15/06/2023', 'age': '38', 'clubName': 'Inter Milan', 'clubID': '46', 'value': '€500k'}, {'date': '01/07/2023', 'age': '38', 'clubName': 'Retired', 'clubID': '123', 'value': '-'}]}</t>
  </si>
  <si>
    <t>1984-07-14</t>
  </si>
  <si>
    <t>Brozovic</t>
  </si>
  <si>
    <t>{'marketValueHistory': [{'date': 'Oct 18, 2010', 'age': '17', 'clubName': 'NK Hrvatski Dragovoljac', 'clubID': '485', 'value': '€150k'}, {'date': 'Feb 21, 2011', 'age': '18', 'clubName': 'NK Hrvatski Dragovoljac', 'clubID': '485', 'value': '€350k'}, {'date': 'Aug 29, 2011', 'age': '18', 'clubName': 'NK Lokomotiva Zagreb', 'clubID': '11194', 'value': '€500k'}, {'date': 'Feb 29, 2012', 'age': '19', 'clubName': 'NK Lokomotiva Zagreb', 'clubID': '11194', 'value': '€600k'}, {'date': 'Sep 30, 2012', 'age': '19', 'clubName': 'GNK Dinamo Zagreb', 'clubID': '419', 'value': '€1.00m'}, {'date': 'Mar 3, 2013', 'age': '20', 'clubName': 'GNK Dinamo Zagreb', 'clubID': '419', 'value': '€750k'}, {'date': 'Oct 8, 2013', 'age': '20', 'clubName': 'GNK Dinamo Zagreb', 'clubID': '419', 'value': '€1.50m'}, {'date': 'Mar 11, 2014', 'age': '21', 'clubName': 'GNK Dinamo Zagreb', 'clubID': '419', 'value': '€3.00m'}, {'date': 'Oct 1, 2014', 'age': '21', 'clubName': 'GNK Dinamo Zagreb', 'clubID': '419', 'value': '€5.50m'}, {'date': 'Feb 12, 2015', 'age': '22', 'clubName': 'Inter Milan', 'clubID': '46', 'value': '€8.00m'}, {'date': 'Jul 1, 2015', 'age': '22', 'clubName': 'Inter Milan', 'clubID': '46', 'value': '€8.00m'}, {'date': 'Jan 4, 2016', 'age': '23', 'clubName': 'Inter Milan', 'clubID': '46', 'value': '€11.50m'}, {'date': 'Apr 1, 2016', 'age': '23', 'clubName': 'Inter Milan', 'clubID': '46', 'value': '€15.00m'}, {'date': 'Jun 1, 2016', 'age': '23', 'clubName': 'Inter Milan', 'clubID': '46', 'value': '€18.00m'}, {'date': 'Jul 15, 2016', 'age': '23', 'clubName': 'Inter Milan', 'clubID': '46', 'value': '€20.00m'}, {'date': 'Jan 2, 2017', 'age': '24', 'clubName': 'Inter Milan', 'clubID': '46', 'value': '€22.00m'}, {'date': 'Jun 8, 2017', 'age': '24', 'clubName': 'Inter Milan', 'clubID': '46', 'value': '€20.00m'}, {'date': 'Dec 29, 2017', 'age': '25', 'clubName': 'Inter Milan', 'clubID': '46', 'value': '€19.00m'}, {'date': 'Jun 7, 2018', 'age': '25', 'clubName': 'Inter Milan', 'clubID': '46', 'value': '€27.00m'}, {'date': 'Jul 16, 2018', 'age': '25', 'clubName': 'Inter Milan', 'clubID': '46', 'value': '€35.00m'}, {'date': 'Oct 12, 2018', 'age': '25', 'clubName': 'Inter Milan', 'clubID': '46', 'value': '€40.00m'}, {'date': 'Dec 20, 2018', 'age': '26', 'clubName': 'Inter Milan', 'clubID': '46', 'value': '€45.00m'}, {'date': 'Jun 6, 2019', 'age': '26', 'clubName': 'Inter Milan', 'clubID': '46', 'value': '€50.00m'}, {'date': 'Dec 12, 2019', 'age': '27', 'clubName': 'Inter Milan', 'clubID': '46', 'value': '€60.00m'}, {'date': 'Apr 8, 2020', 'age': '27', 'clubName': 'Inter Milan', 'clubID': '46', 'value': '€48.00m'}, {'date': 'Aug 25, 2020', 'age': '27', 'clubName': 'Inter Milan', 'clubID': '46', 'value': '€50.00m'}, {'date': 'Oct 29, 2020', 'age': '27', 'clubName': 'Inter Milan', 'clubID': '46', 'value': '€40.00m'}, {'date': 'Dec 29, 2020', 'age': '28', 'clubName': 'Inter Milan', 'clubID': '46', 'value': '€36.00m'}, {'date': 'Mar 23, 2021', 'age': '28', 'clubName': 'Inter Milan', 'clubID': '46', 'value': '€40.00m'}, {'date': 'May 28, 2021', 'age': '28', 'clubName': 'Inter Milan', 'clubID': '46', 'value': '€40.00m'}, {'date': 'Dec 28, 2021', 'age': '29', 'clubName': 'Inter Milan', 'clubID': '46', 'value': '€40.00m'}, {'date': 'Jun 7, 2022', 'age': '29', 'clubName': 'Inter Milan', 'clubID': '46', 'value': '€40.00m'}, {'date': 'Nov 11, 2022', 'age': '29', 'clubName': 'Inter Milan', 'clubID': '46', 'value': '€35.00m'}, {'date': 'Mar 21, 2023', 'age': '30', 'clubName': 'Inter Milan', 'clubID': '46', 'value': '€28.00m'}, {'date': 'Jun 15, 2023', 'age': '30', 'clubName': 'Inter Milan', 'clubID': '46', 'value': '€25.00m'}, {'date': 'Oct 24, 2023', 'age': '30', 'clubName': 'Al-Nassr FC', 'clubID': '18544', 'value': '€20.00m'}, {'date': 'Dec 15, 2023', 'age': '31', 'clubName': 'Al-Nassr FC', 'clubID': '18544', 'value': '€18.00m'}, {'date': 'Jun 4, 2024', 'age': '31', 'clubName': 'Al-Nassr FC', 'clubID': '18544', 'value': '€16.00m'}, {'date': 'Dec 13, 2024', 'age': '32', 'clubName': 'Al-Nassr FC', 'clubID': '18544', 'value': '€12.00m'}, {'date': 'May 27, 2025', 'age': '32', 'clubName': 'Al-Nassr FC', 'clubID': '18544', 'value': '€10.00m'}, {'date': 'Dec 18, 2025', 'age': '33', 'clubName': 'Al-Nassr FC', 'clubID': '18544', 'value': '€9.00m'}]}</t>
  </si>
  <si>
    <t>1992-11-16</t>
  </si>
  <si>
    <t>Neymar</t>
  </si>
  <si>
    <t>{'marketValueHistory': [{'date': '22/02/2009', 'age': '17', 'clubName': 'Santos FC', 'clubID': '221', 'value': '€1.00m'}, {'date': '05/06/2009', 'age': '17', 'clubName': 'Santos FC', 'clubID': '221', 'value': '€1.50m'}, {'date': '06/09/2009', 'age': '17', 'clubName': 'Santos FC', 'clubID': '221', 'value': '€2.50m'}, {'date': '08/12/2009', 'age': '17', 'clubName': 'Santos FC', 'clubID': '221', 'value': '€6.00m'}, {'date': '15/04/2010', 'age': '18', 'clubName': 'Santos FC', 'clubID': '221', 'value': '€10.00m'}, {'date': '06/09/2010', 'age': '18', 'clubName': 'Santos FC', 'clubID': '221', 'value': '€14.00m'}, {'date': '10/12/2010', 'age': '18', 'clubName': 'Santos FC', 'clubID': '221', 'value': '€18.00m'}, {'date': '30/05/2011', 'age': '19', 'clubName': 'Santos FC', 'clubID': '221', 'value': '€25.00m'}, {'date': '12/08/2011', 'age': '19', 'clubName': 'Santos FC', 'clubID': '221', 'value': '€30.00m'}, {'date': '08/12/2011', 'age': '19', 'clubName': 'Santos FC', 'clubID': '221', 'value': '€30.00m'}, {'date': '24/05/2012', 'age': '20', 'clubName': 'Santos FC', 'clubID': '221', 'value': '€30.00m'}, {'date': '08/08/2012', 'age': '20', 'clubName': 'Santos FC', 'clubID': '221', 'value': '€40.00m'}, {'date': '05/12/2012', 'age': '20', 'clubName': 'Santos FC', 'clubID': '221', 'value': '€40.00m'}, {'date': '26/02/2013', 'age': '21', 'clubName': 'Santos FC', 'clubID': '221', 'value': '€50.00m'}, {'date': '30/07/2013', 'age': '21', 'clubName': 'FC Barcelona', 'clubID': '131', 'value': '€50.00m'}, {'date': '23/01/2014', 'age': '21', 'clubName': 'FC Barcelona', 'clubID': '131', 'value': '€60.00m'}, {'date': '20/07/2014', 'age': '22', 'clubName': 'FC Barcelona', 'clubID': '131', 'value': '€70.00m'}, {'date': '23/01/2015', 'age': '22', 'clubName': 'FC Barcelona', 'clubID': '131', 'value': '€80.00m'}, {'date': '01/07/2015', 'age': '23', 'clubName': 'FC Barcelona', 'clubID': '131', 'value': '€80.00m'}, {'date': '22/11/2015', 'age': '23', 'clubName': 'FC Barcelona', 'clubID': '131', 'value': '€100.00m'}, {'date': '22/02/2016', 'age': '24', 'clubName': 'FC Barcelona', 'clubID': '131', 'value': '€100.00m'}, {'date': '15/07/2016', 'age': '24', 'clubName': 'FC Barcelona', 'clubID': '131', 'value': '€100.00m'}, {'date': '24/01/2017', 'age': '24', 'clubName': 'FC Barcelona', 'clubID': '131', 'value': '€100.00m'}, {'date': '05/06/2017', 'age': '25', 'clubName': 'FC Barcelona', 'clubID': '131', 'value': '€100.00m'}, {'date': '12/10/2017', 'age': '25', 'clubName': 'Paris Saint-Germain', 'clubID': '583', 'value': '€150.00m'}, {'date': '24/01/2018', 'age': '25', 'clubName': 'Paris Saint-Germain', 'clubID': '583', 'value': '€180.00m'}, {'date': '04/06/2018', 'age': '26', 'clubName': 'Paris Saint-Germain', 'clubID': '583', 'value': '€180.00m'}, {'date': '17/12/2018', 'age': '26', 'clubName': 'Paris Saint-Germain', 'clubID': '583', 'value': '€180.00m'}, {'date': '03/06/2019', 'age': '27', 'clubName': 'Paris Saint-Germain', 'clubID': '583', 'value': '€180.00m'}, {'date': '19/12/2019', 'age': '27', 'clubName': 'Paris Saint-Germain', 'clubID': '583', 'value': '€160.00m'}, {'date': '08/04/2020', 'age': '28', 'clubName': 'Paris Saint-Germain', 'clubID': '583', 'value': '€128.00m'}, {'date': '15/10/2020', 'age': '28', 'clubName': 'Paris Saint-Germain', 'clubID': '583', 'value': '€128.00m'}, {'date': '09/04/2021', 'age': '29', 'clubName': 'Paris Saint-Germain', 'clubID': '583', 'value': '€110.00m'}, {'date': '04/06/2021', 'age': '29', 'clubName': 'Paris Saint-Germain', 'clubID': '583', 'value': '€100.00m'}, {'date': '16/12/2021', 'age': '29', 'clubName': 'Paris Saint-Germain', 'clubID': '583', 'value': '€90.00m'}, {'date': '30/05/2022', 'age': '30', 'clubName': 'Paris Saint-Germain', 'clubID': '583', 'value': '€75.00m'}, {'date': '02/11/2022', 'age': '30', 'clubName': 'Paris Saint-Germain', 'clubID': '583', 'value': '€75.00m'}, {'date': '27/03/2023', 'age': '31', 'clubName': 'Paris Saint-Germain', 'clubID': '583', 'value': '€70.00m'}, {'date': '27/06/2023', 'age': '31', 'clubName': 'Paris Saint-Germain', 'clubID': '583', 'value': '€60.00m'}, {'date': '24/10/2023', 'age': '31', 'clubName': 'Al-Hilal SFC', 'clubID': '1114', 'value': '€50.00m'}, {'date': '15/12/2023', 'age': '31', 'clubName': 'Al-Hilal SFC', 'clubID': '1114', 'value': '€45.00m'}, {'date': '04/06/2024', 'age': '32', 'clubName': 'Al-Hilal SFC', 'clubID': '1114', 'value': '€30.00m'}, {'date': '13/12/2024', 'age': '32', 'clubName': 'Al-Hilal SFC', 'clubID': '1114', 'value': '€15.00m'}, {'date': '06/06/2025', 'age': '33', 'clubName': 'Santos FC', 'clubID': '221', 'value': '€12.00m'}, {'date': '05/09/2025', 'age': '33', 'clubName': 'Santos FC', 'clubID': '221', 'value': '€11.00m'}, {'date': '10/12/2025', 'age': '33', 'clubName': 'Santos FC', 'clubID': '221', 'value': '€10.00m'}]}</t>
  </si>
  <si>
    <t>1992-02-05</t>
  </si>
  <si>
    <t>Rosario</t>
  </si>
  <si>
    <t>{'marketValueHistory': [{'date': 'Aug 21, 2023', 'age': '20', 'clubName': 'Real Madrid Castilla', 'clubID': '6767', 'value': '€100k'}, {'date': 'Dec 20, 2023', 'age': '20', 'clubName': 'Real Madrid Castilla', 'clubID': '6767', 'value': '€200k'}, {'date': 'Jun 24, 2024', 'age': '21', 'clubName': 'Real Madrid Castilla', 'clubID': '6767', 'value': '€300k'}, {'date': 'Dec 27, 2024', 'age': '21', 'clubName': 'Real Madrid', 'clubID': '418', 'value': '€7.50m'}, {'date': 'Mar 21, 2025', 'age': '22', 'clubName': 'Real Madrid', 'clubID': '418', 'value': '€30.00m'}, {'date': 'Jun 9, 2025', 'age': '22', 'clubName': 'Real Madrid', 'clubID': '418', 'value': '€40.00m'}, {'date': 'Oct 2, 2025', 'age': '22', 'clubName': 'Real Madrid', 'clubID': '418', 'value': '€30.00m'}, {'date': 'Dec 12, 2025', 'age': '22', 'clubName': 'Real Madrid', 'clubID': '418', 'value': '€30.00m'}, {'date': 'Mar 16, 2026', 'age': '23', 'clubName': 'Real Madrid', 'clubID': '418', 'value': '€25.00m'}]}</t>
  </si>
  <si>
    <t>2003-02-13</t>
  </si>
  <si>
    <t>L. de Jong</t>
  </si>
  <si>
    <t>{'marketValueHistory': [{'date': '08/08/2008', 'age': '17', 'clubName': 'De Graafschap Doetinchem', 'clubID': '642', 'value': '€150k'}, {'date': '22/06/2009', 'age': '18', 'clubName': 'De Graafschap Doetinchem', 'clubID': '642', 'value': '€650k'}, {'date': '02/01/2010', 'age': '19', 'clubName': 'FC Twente Enschede', 'clubID': '317', 'value': '€850k'}, {'date': '01/08/2010', 'age': '19', 'clubName': 'FC Twente Enschede', 'clubID': '317', 'value': '€1.25m'}, {'date': '17/01/2011', 'age': '20', 'clubName': 'FC Twente Enschede', 'clubID': '317', 'value': '€2.50m'}, {'date': '15/06/2011', 'age': '20', 'clubName': 'FC Twente Enschede', 'clubID': '317', 'value': '€5.50m'}, {'date': '21/10/2011', 'age': '21', 'clubName': 'FC Twente Enschede', 'clubID': '317', 'value': '€6.50m'}, {'date': '05/01/2012', 'age': '21', 'clubName': 'FC Twente Enschede', 'clubID': '317', 'value': '€8.00m'}, {'date': '06/07/2012', 'age': '21', 'clubName': 'FC Twente Enschede', 'clubID': '317', 'value': '€12.00m'}, {'date': '20/07/2012', 'age': '21', 'clubName': 'Borussia Mönchengladbach', 'clubID': '18', 'value': '€13.00m'}, {'date': '13/01/2013', 'age': '22', 'clubName': 'Borussia Mönchengladbach', 'clubID': '18', 'value': '€11.00m'}, {'date': '30/06/2013', 'age': '22', 'clubName': 'Borussia Mönchengladbach', 'clubID': '18', 'value': '€10.00m'}, {'date': '05/11/2013', 'age': '23', 'clubName': 'Borussia Mönchengladbach', 'clubID': '18', 'value': '€7.50m'}, {'date': '10/07/2014', 'age': '23', 'clubName': 'Borussia Mönchengladbach', 'clubID': '18', 'value': '€5.00m'}, {'date': '16/02/2015', 'age': '24', 'clubName': 'PSV Eindhoven', 'clubID': '383', 'value': '€6.00m'}, {'date': '01/07/2015', 'age': '24', 'clubName': 'PSV Eindhoven', 'clubID': '383', 'value': '€8.00m'}, {'date': '05/02/2016', 'age': '25', 'clubName': 'PSV Eindhoven', 'clubID': '383', 'value': '€10.00m'}, {'date': '15/07/2016', 'age': '25', 'clubName': 'PSV Eindhoven', 'clubID': '383', 'value': '€10.00m'}, {'date': '18/01/2017', 'age': '26', 'clubName': 'PSV Eindhoven', 'clubID': '383', 'value': '€9.00m'}, {'date': '07/06/2017', 'age': '26', 'clubName': 'PSV Eindhoven', 'clubID': '383', 'value': '€7.00m'}, {'date': '17/01/2018', 'age': '27', 'clubName': 'PSV Eindhoven', 'clubID': '383', 'value': '€7.00m'}, {'date': '12/06/2018', 'age': '27', 'clubName': 'PSV Eindhoven', 'clubID': '383', 'value': '€8.00m'}, {'date': '28/12/2018', 'age': '28', 'clubName': 'PSV Eindhoven', 'clubID': '383', 'value': '€10.00m'}, {'date': '12/06/2019', 'age': '28', 'clubName': 'PSV Eindhoven', 'clubID': '383', 'value': '€12.00m'}, {'date': '20/12/2019', 'age': '29', 'clubName': 'Sevilla FC', 'clubID': '368', 'value': '€12.00m'}, {'date': '08/04/2020', 'age': '29', 'clubName': 'Sevilla FC', 'clubID': '368', 'value': '€9.50m'}, {'date': '08/10/2020', 'age': '30', 'clubName': 'Sevilla FC', 'clubID': '368', 'value': '€12.00m'}, {'date': '05/01/2021', 'age': '30', 'clubName': 'Sevilla FC', 'clubID': '368', 'value': '€12.00m'}, {'date': '27/05/2021', 'age': '30', 'clubName': 'Sevilla FC', 'clubID': '368', 'value': '€10.00m'}, {'date': '13/10/2021', 'age': '31', 'clubName': 'FC Barcelona', 'clubID': '131', 'value': '€7.50m'}, {'date': '30/12/2021', 'age': '31', 'clubName': 'FC Barcelona', 'clubID': '131', 'value': '€4.00m'}, {'date': '03/06/2022', 'age': '31', 'clubName': 'FC Barcelona', 'clubID': '131', 'value': '€4.00m'}, {'date': '11/11/2022', 'age': '32', 'clubName': 'PSV Eindhoven', 'clubID': '383', 'value': '€4.00m'}, {'date': '23/06/2023', 'age': '32', 'clubName': 'PSV Eindhoven', 'clubID': '383', 'value': '€4.00m'}, {'date': '15/12/2023', 'age': '33', 'clubName': 'PSV Eindhoven', 'clubID': '383', 'value': '€3.50m'}, {'date': '31/05/2024', 'age': '33', 'clubName': 'PSV Eindhoven', 'clubID': '383', 'value': '€3.50m'}, {'date': '17/12/2024', 'age': '34', 'clubName': 'PSV Eindhoven', 'clubID': '383', 'value': '€3.00m'}, {'date': '28/05/2025', 'age': '34', 'clubName': 'PSV Eindhoven', 'clubID': '383', 'value': '€2.50m'}, {'date': '18/12/2025', 'age': '35', 'clubName': 'FC Porto', 'clubID': '720', 'value': '€1.50m'}, {'date': '19/03/2026', 'age': '35', 'clubName': 'FC Porto', 'clubID': '720', 'value': '€1.00m'}]}</t>
  </si>
  <si>
    <t>1990-08-27</t>
  </si>
  <si>
    <t>Rose</t>
  </si>
  <si>
    <t>1902-02-24</t>
  </si>
  <si>
    <t>Stepanenko</t>
  </si>
  <si>
    <t>{'marketValueHistory': [{'date': '11/12/2007', 'age': '18', 'clubName': 'Metalurg Zaporizhya', 'clubID': '6994', 'value': '€800k'}, {'date': '09/10/2008', 'age': '19', 'clubName': 'Metalurg Zaporizhya', 'clubID': '6994', 'value': '€1.00m'}, {'date': '02/12/2008', 'age': '19', 'clubName': 'Metalurg Zaporizhya', 'clubID': '6994', 'value': '€2.00m'}, {'date': '18/03/2009', 'age': '19', 'clubName': 'Metalurg Zaporizhya', 'clubID': '6994', 'value': '€2.00m'}, {'date': '21/09/2009', 'age': '20', 'clubName': 'Metalurg Zaporizhya', 'clubID': '6994', 'value': '€2.00m'}, {'date': '17/02/2010', 'age': '20', 'clubName': 'Metalurg Zaporizhya', 'clubID': '6994', 'value': '€1.60m'}, {'date': '28/08/2010', 'age': '21', 'clubName': 'Shakhtar Donetsk', 'clubID': '660', 'value': '€2.50m'}, {'date': '02/01/2011', 'age': '21', 'clubName': 'Shakhtar Donetsk', 'clubID': '660', 'value': '€3.50m'}, {'date': '05/01/2012', 'age': '22', 'clubName': 'Shakhtar Donetsk', 'clubID': '660', 'value': '€3.00m'}, {'date': '02/01/2014', 'age': '24', 'clubName': 'Shakhtar Donetsk', 'clubID': '660', 'value': '€4.50m'}, {'date': '30/06/2014', 'age': '24', 'clubName': 'Shakhtar Donetsk', 'clubID': '660', 'value': '€4.50m'}, {'date': '25/12/2014', 'age': '25', 'clubName': 'Shakhtar Donetsk', 'clubID': '660', 'value': '€5.50m'}, {'date': '07/06/2015', 'age': '25', 'clubName': 'Shakhtar Donetsk', 'clubID': '660', 'value': '€8.00m'}, {'date': '18/12/2015', 'age': '26', 'clubName': 'Shakhtar Donetsk', 'clubID': '660', 'value': '€8.00m'}, {'date': '01/06/2016', 'age': '26', 'clubName': 'Shakhtar Donetsk', 'clubID': '660', 'value': '€8.00m'}, {'date': '21/07/2016', 'age': '26', 'clubName': 'Shakhtar Donetsk', 'clubID': '660', 'value': '€8.00m'}, {'date': '03/01/2017', 'age': '27', 'clubName': 'Shakhtar Donetsk', 'clubID': '660', 'value': '€8.00m'}, {'date': '26/06/2017', 'age': '27', 'clubName': 'Shakhtar Donetsk', 'clubID': '660', 'value': '€8.50m'}, {'date': '12/01/2018', 'age': '28', 'clubName': 'Shakhtar Donetsk', 'clubID': '660', 'value': '€9.00m'}, {'date': '06/08/2018', 'age': '28', 'clubName': 'Shakhtar Donetsk', 'clubID': '660', 'value': '€10.00m'}, {'date': '10/12/2018', 'age': '29', 'clubName': 'Shakhtar Donetsk', 'clubID': '660', 'value': '€10.00m'}, {'date': '20/06/2019', 'age': '29', 'clubName': 'Shakhtar Donetsk', 'clubID': '660', 'value': '€10.00m'}, {'date': '08/01/2020', 'age': '30', 'clubName': 'Shakhtar Donetsk', 'clubID': '660', 'value': '€10.00m'}, {'date': '08/04/2020', 'age': '30', 'clubName': 'Shakhtar Donetsk', 'clubID': '660', 'value': '€8.00m'}, {'date': '04/09/2020', 'age': '31', 'clubName': 'Shakhtar Donetsk', 'clubID': '660', 'value': '€8.00m'}, {'date': '14/01/2021', 'age': '31', 'clubName': 'Shakhtar Donetsk', 'clubID': '660', 'value': '€8.00m'}, {'date': '27/05/2021', 'age': '31', 'clubName': 'Shakhtar Donetsk', 'clubID': '660', 'value': '€7.50m'}, {'date': '20/12/2021', 'age': '32', 'clubName': 'Shakhtar Donetsk', 'clubID': '660', 'value': '€6.00m'}, {'date': '18/05/2022', 'age': '32', 'clubName': 'Shakhtar Donetsk', 'clubID': '660', 'value': '€6.00m'}, {'date': '06/12/2022', 'age': '33', 'clubName': 'Shakhtar Donetsk', 'clubID': '660', 'value': '€5.00m'}, {'date': '21/06/2023', 'age': '33', 'clubName': 'Shakhtar Donetsk', 'clubID': '660', 'value': '€4.00m'}, {'date': '11/12/2023', 'age': '34', 'clubName': 'Shakhtar Donetsk', 'clubID': '660', 'value': '€3.00m'}, {'date': '06/06/2024', 'age': '34', 'clubName': 'Shakhtar Donetsk', 'clubID': '660', 'value': '€2.50m'}, {'date': '17/12/2024', 'age': '35', 'clubName': 'Shakhtar Donetsk', 'clubID': '660', 'value': '€1.50m'}, {'date': '20/03/2025', 'age': '35', 'clubName': 'Eyüpspor', 'clubID': '7160', 'value': '€1.10m'}, {'date': '18/06/2025', 'age': '35', 'clubName': 'Eyüpspor', 'clubID': '7160', 'value': '€850k'}, {'date': '01/10/2025', 'age': '36', 'clubName': 'Eyüpspor', 'clubID': '7160', 'value': '€700k'}, {'date': '17/12/2025', 'age': '36', 'clubName': 'Eyüpspor', 'clubID': '7160', 'value': '€500k'}]}</t>
  </si>
  <si>
    <t>1989-08-08</t>
  </si>
  <si>
    <t>Gomez</t>
  </si>
  <si>
    <t>{'marketValueHistory': [{'date': 'Apr 8, 2007', 'age': '20', 'clubName': 'US Palermo', 'clubID': '458', 'value': '€4.85m'}, {'date': 'Feb 9, 2008', 'age': '20', 'clubName': 'US Palermo', 'clubID': '458', 'value': '€5.00m'}, {'date': 'Feb 3, 2009', 'age': '21', 'clubName': 'US Palermo', 'clubID': '458', 'value': '€8.00m'}, {'date': 'Aug 6, 2009', 'age': '22', 'clubName': 'US Palermo', 'clubID': '458', 'value': '€10.50m'}, {'date': 'Jan 27, 2010', 'age': '22', 'clubName': 'US Palermo', 'clubID': '458', 'value': '€11.00m'}, {'date': 'Aug 1, 2010', 'age': '23', 'clubName': 'SSC Napoli', 'clubID': '6195', 'value': '€15.50m'}, {'date': 'Jan 10, 2011', 'age': '23', 'clubName': 'SSC Napoli', 'clubID': '6195', 'value': '€19.00m'}, {'date': 'Jun 21, 2011', 'age': '24', 'clubName': 'SSC Napoli', 'clubID': '6195', 'value': '€24.50m'}, {'date': 'Jan 11, 2012', 'age': '24', 'clubName': 'SSC Napoli', 'clubID': '6195', 'value': '€28.00m'}, {'date': 'Jun 28, 2012', 'age': '25', 'clubName': 'SSC Napoli', 'clubID': '6195', 'value': '€35.00m'}, {'date': 'Jan 14, 2013', 'age': '25', 'clubName': 'SSC Napoli', 'clubID': '6195', 'value': '€45.00m'}, {'date': 'Apr 9, 2013', 'age': '26', 'clubName': 'SSC Napoli', 'clubID': '6195', 'value': '€55.00m'}, {'date': 'Jun 19, 2013', 'age': '26', 'clubName': 'SSC Napoli', 'clubID': '6195', 'value': '€55.00m'}, {'date': 'Jul 22, 2013', 'age': '26', 'clubName': 'Paris Saint-Germain', 'clubID': '583', 'value': '€60.00m'}, {'date': 'Jan 14, 2014', 'age': '26', 'clubName': 'Paris Saint-Germain', 'clubID': '583', 'value': '€60.00m'}, {'date': 'Aug 1, 2014', 'age': '27', 'clubName': 'Paris Saint-Germain', 'clubID': '583', 'value': '€57.00m'}, {'date': 'Jan 14, 2015', 'age': '27', 'clubName': 'Paris Saint-Germain', 'clubID': '583', 'value': '€50.00m'}, {'date': 'Jun 6, 2015', 'age': '28', 'clubName': 'Paris Saint-Germain', 'clubID': '583', 'value': '€42.00m'}, {'date': 'Feb 4, 2016', 'age': '28', 'clubName': 'Paris Saint-Germain', 'clubID': '583', 'value': '€40.00m'}, {'date': 'Jul 13, 2016', 'age': '29', 'clubName': 'Paris Saint-Germain', 'clubID': '583', 'value': '€37.00m'}, {'date': 'Nov 1, 2016', 'age': '29', 'clubName': 'Paris Saint-Germain', 'clubID': '583', 'value': '€40.00m'}, {'date': 'Jan 16, 2017', 'age': '29', 'clubName': 'Paris Saint-Germain', 'clubID': '583', 'value': '€45.00m'}, {'date': 'Jun 1, 2017', 'age': '30', 'clubName': 'Paris Saint-Germain', 'clubID': '583', 'value': '€45.00m'}, {'date': 'Jan 24, 2018', 'age': '30', 'clubName': 'Paris Saint-Germain', 'clubID': '583', 'value': '€60.00m'}, {'date': 'Jun 4, 2018', 'age': '31', 'clubName': 'Paris Saint-Germain', 'clubID': '583', 'value': '€60.00m'}, {'date': 'Dec 17, 2018', 'age': '31', 'clubName': 'Paris Saint-Germain', 'clubID': '583', 'value': '€55.00m'}, {'date': 'Mar 7, 2019', 'age': '32', 'clubName': 'Paris Saint-Germain', 'clubID': '583', 'value': '€50.00m'}, {'date': 'Jun 3, 2019', 'age': '32', 'clubName': 'Paris Saint-Germain', 'clubID': '583', 'value': '€40.00m'}, {'date': 'Dec 19, 2019', 'age': '32', 'clubName': 'Paris Saint-Germain', 'clubID': '583', 'value': '€25.00m'}, {'date': 'Apr 8, 2020', 'age': '33', 'clubName': 'Paris Saint-Germain', 'clubID': '583', 'value': '€20.00m'}, {'date': 'Oct 13, 2020', 'age': '33', 'clubName': 'Manchester United', 'clubID': '985', 'value': '€12.00m'}, {'date': 'Mar 18, 2021', 'age': '34', 'clubName': 'Manchester United', 'clubID': '985', 'value': '€7.00m'}, {'date': 'Jun 8, 2021', 'age': '34', 'clubName': 'Manchester United', 'clubID': '985', 'value': '€6.00m'}, {'date': 'Dec 23, 2021', 'age': '34', 'clubName': 'Manchester United', 'clubID': '985', 'value': '€4.00m'}, {'date': 'Jun 15, 2022', 'age': '35', 'clubName': 'Manchester United', 'clubID': '985', 'value': '€4.00m'}, {'date': 'Nov 7, 2022', 'age': '35', 'clubName': 'Valencia CF', 'clubID': '1049', 'value': '€5.00m'}, {'date': 'Mar 23, 2023', 'age': '36', 'clubName': 'Valencia CF', 'clubID': '1049', 'value': '€4.00m'}, {'date': 'Jun 13, 2023', 'age': '36', 'clubName': 'Valencia CF', 'clubID': '1049', 'value': '€3.00m'}, {'date': 'Oct 4, 2023', 'age': '36', 'clubName': 'CA Boca Juniors', 'clubID': '189', 'value': '€2.50m'}, {'date': 'Dec 19, 2023', 'age': '36', 'clubName': 'CA Boca Juniors', 'clubID': '189', 'value': '€2.00m'}, {'date': 'Mar 11, 2024', 'age': '37', 'clubName': 'CA Boca Juniors', 'clubID': '189', 'value': '€1.00m'}, {'date': 'Jun 12, 2024', 'age': '37', 'clubName': 'CA Boca Juniors', 'clubID': '189', 'value': '€1.00m'}, {'date': 'Dec 13, 2024', 'age': '37', 'clubName': 'CA Boca Juniors', 'clubID': '189', 'value': '€1.00m'}, {'date': 'Jun 2, 2025', 'age': '38', 'clubName': 'CA Boca Juniors', 'clubID': '189', 'value': '€1.00m'}, {'date': 'Sep 24, 2025', 'age': '38', 'clubName': 'CA Boca Juniors', 'clubID': '189', 'value': '€500k'}, {'date': 'Dec 17, 2025', 'age': '38', 'clubName': 'CA Boca Juniors', 'clubID': '189', 'value': '€500k'}]}</t>
  </si>
  <si>
    <t>1987-02-14</t>
  </si>
  <si>
    <t>Reus</t>
  </si>
  <si>
    <t>{'marketValueHistory': [{'date': '04/10/2004', 'age': '24', 'clubName': 'FC Barcelona', 'clubID': '131', 'value': '€8.50m'}, {'date': '20/12/2004', 'age': '24', 'clubName': 'FC Barcelona', 'clubID': '131', 'value': '€21.00m'}, {'date': '20/01/2006', 'age': '25', 'clubName': 'FC Barcelona', 'clubID': '131', 'value': '€28.00m'}, {'date': '25/06/2007', 'age': '27', 'clubName': 'FC Barcelona', 'clubID': '131', 'value': '€31.00m'}, {'date': '04/02/2008', 'age': '28', 'clubName': 'FC Barcelona', 'clubID': '131', 'value': '€28.00m'}, {'date': '22/07/2008', 'age': '28', 'clubName': 'FC Barcelona', 'clubID': '131', 'value': '€38.00m'}, {'date': '26/01/2009', 'age': '29', 'clubName': 'FC Barcelona', 'clubID': '131', 'value': '€40.00m'}, {'date': '28/04/2009', 'age': '29', 'clubName': 'FC Barcelona', 'clubID': '131', 'value': '€44.00m'}, {'date': '22/07/2009', 'age': '29', 'clubName': 'FC Barcelona', 'clubID': '131', 'value': '€50.00m'}, {'date': '03/12/2009', 'age': '29', 'clubName': 'FC Barcelona', 'clubID': '131', 'value': '€50.00m'}, {'date': '07/01/2010', 'age': '29', 'clubName': 'FC Barcelona', 'clubID': '131', 'value': '€65.00m'}, {'date': '12/04/2010', 'age': '30', 'clubName': 'FC Barcelona', 'clubID': '131', 'value': '€65.00m'}, {'date': '27/08/2010', 'age': '30', 'clubName': 'FC Barcelona', 'clubID': '131', 'value': '€50.00m'}, {'date': '04/02/2011', 'age': '31', 'clubName': 'FC Barcelona', 'clubID': '131', 'value': '€50.00m'}, {'date': '29/07/2011', 'age': '31', 'clubName': 'FC Barcelona', 'clubID': '131', 'value': '€45.00m'}, {'date': '03/02/2012', 'age': '32', 'clubName': 'FC Barcelona', 'clubID': '131', 'value': '€35.00m'}, {'date': '07/08/2012', 'age': '32', 'clubName': 'FC Barcelona', 'clubID': '131', 'value': '€30.00m'}, {'date': '10/01/2013', 'age': '32', 'clubName': 'FC Barcelona', 'clubID': '131', 'value': '€25.00m'}, {'date': '07/03/2013', 'age': '33', 'clubName': 'FC Barcelona', 'clubID': '131', 'value': '€20.00m'}, {'date': '12/06/2013', 'age': '33', 'clubName': 'FC Barcelona', 'clubID': '131', 'value': '€15.00m'}, {'date': '21/10/2013', 'age': '33', 'clubName': 'FC Barcelona', 'clubID': '131', 'value': '€10.00m'}, {'date': '23/01/2014', 'age': '33', 'clubName': 'FC Barcelona', 'clubID': '131', 'value': '€10.00m'}, {'date': '20/07/2014', 'age': '34', 'clubName': 'FC Barcelona', 'clubID': '131', 'value': '€5.00m'}, {'date': '23/01/2015', 'age': '34', 'clubName': 'FC Barcelona', 'clubID': '131', 'value': '€5.00m'}, {'date': '01/07/2015', 'age': '35', 'clubName': 'Al-Sadd SC', 'clubID': '656', 'value': '€5.00m'}, {'date': '07/02/2016', 'age': '36', 'clubName': 'Al-Sadd SC', 'clubID': '656', 'value': '€4.00m'}, {'date': '21/12/2016', 'age': '36', 'clubName': 'Al-Sadd SC', 'clubID': '656', 'value': '€3.00m'}, {'date': '05/05/2017', 'age': '37', 'clubName': 'Al-Sadd SC', 'clubID': '656', 'value': '€2.00m'}, {'date': '09/05/2018', 'age': '38', 'clubName': 'Al-Sadd SC', 'clubID': '656', 'value': '€2.00m'}, {'date': '03/05/2019', 'age': '39', 'clubName': 'Al-Sadd SC', 'clubID': '656', 'value': '€2.00m'}, {'date': '01/07/2019', 'age': '39', 'clubName': 'Retired', 'clubID': '123', 'value': '-'}]}</t>
  </si>
  <si>
    <t>1980-01-25</t>
  </si>
  <si>
    <t>Wesley</t>
  </si>
  <si>
    <t>{'marketValueHistory': [{'date': 'Dec 19, 2019', 'age': '19', 'clubName': 'AS Saint-Étienne', 'clubID': '618', 'value': '€4.00m'}, {'date': 'Mar 13, 2020', 'age': '19', 'clubName': 'AS Saint-Étienne', 'clubID': '618', 'value': '€6.00m'}, {'date': 'Apr 8, 2020', 'age': '19', 'clubName': 'AS Saint-Étienne', 'clubID': '618', 'value': '€5.40m'}, {'date': 'Aug 3, 2020', 'age': '19', 'clubName': 'AS Saint-Étienne', 'clubID': '618', 'value': '€10.00m'}, {'date': 'Oct 13, 2020', 'age': '19', 'clubName': 'Leicester City', 'clubID': '1003', 'value': '€22.50m'}, {'date': 'Dec 17, 2020', 'age': '20', 'clubName': 'Leicester City', 'clubID': '1003', 'value': '€27.00m'}, {'date': 'Mar 18, 2021', 'age': '20', 'clubName': 'Leicester City', 'clubID': '1003', 'value': '€30.00m'}, {'date': 'Jun 8, 2021', 'age': '20', 'clubName': 'Leicester City', 'clubID': '1003', 'value': '€40.00m'}, {'date': 'Dec 23, 2021', 'age': '21', 'clubName': 'Leicester City', 'clubID': '1003', 'value': '€40.00m'}, {'date': 'Jun 15, 2022', 'age': '21', 'clubName': 'Leicester City', 'clubID': '1003', 'value': '€40.00m'}, {'date': 'Sep 15, 2022', 'age': '21', 'clubName': 'Chelsea FC', 'clubID': '631', 'value': '€65.00m'}, {'date': 'Nov 3, 2022', 'age': '21', 'clubName': 'Chelsea FC', 'clubID': '631', 'value': '€65.00m'}, {'date': 'Jun 20, 2023', 'age': '22', 'clubName': 'Chelsea FC', 'clubID': '631', 'value': '€55.00m'}, {'date': 'Oct 9, 2023', 'age': '22', 'clubName': 'Chelsea FC', 'clubID': '631', 'value': '€40.00m'}, {'date': 'Dec 19, 2023', 'age': '23', 'clubName': 'Chelsea FC', 'clubID': '631', 'value': '€32.00m'}, {'date': 'May 27, 2024', 'age': '23', 'clubName': 'Chelsea FC', 'clubID': '631', 'value': '€25.00m'}, {'date': 'Dec 16, 2024', 'age': '23', 'clubName': 'Chelsea FC', 'clubID': '631', 'value': '€30.00m'}, {'date': 'Mar 18, 2025', 'age': '24', 'clubName': 'Chelsea FC', 'clubID': '631', 'value': '€27.00m'}, {'date': 'May 30, 2025', 'age': '24', 'clubName': 'Chelsea FC', 'clubID': '631', 'value': '€25.00m'}, {'date': 'Dec 9, 2025', 'age': '24', 'clubName': 'Chelsea FC', 'clubID': '631', 'value': '€28.00m'}]}</t>
  </si>
  <si>
    <t>2000-12-17</t>
  </si>
  <si>
    <t>Hendrix</t>
  </si>
  <si>
    <t>{'marketValueHistory': [{'date': '07/08/2013', 'age': '18', 'clubName': 'PSV Eindhoven', 'clubID': '383', 'value': '€100k'}, {'date': '11/02/2014', 'age': '19', 'clubName': 'PSV Eindhoven', 'clubID': '383', 'value': '€1.00m'}, {'date': '11/08/2014', 'age': '19', 'clubName': 'PSV Eindhoven', 'clubID': '383', 'value': '€1.50m'}, {'date': '16/02/2015', 'age': '20', 'clubName': 'PSV Eindhoven', 'clubID': '383', 'value': '€2.00m'}, {'date': '01/07/2015', 'age': '20', 'clubName': 'PSV Eindhoven', 'clubID': '383', 'value': '€2.00m'}, {'date': '11/11/2015', 'age': '20', 'clubName': 'PSV Eindhoven', 'clubID': '383', 'value': '€3.00m'}, {'date': '05/02/2016', 'age': '20', 'clubName': 'PSV Eindhoven', 'clubID': '383', 'value': '€5.00m'}, {'date': '01/07/2016', 'age': '21', 'clubName': 'PSV Eindhoven', 'clubID': '383', 'value': '€5.00m'}, {'date': '18/01/2017', 'age': '21', 'clubName': 'PSV Eindhoven', 'clubID': '383', 'value': '€5.00m'}, {'date': '07/06/2017', 'age': '22', 'clubName': 'PSV Eindhoven', 'clubID': '383', 'value': '€5.00m'}, {'date': '17/01/2018', 'age': '22', 'clubName': 'PSV Eindhoven', 'clubID': '383', 'value': '€6.00m'}, {'date': '12/06/2018', 'age': '23', 'clubName': 'PSV Eindhoven', 'clubID': '383', 'value': '€8.00m'}, {'date': '04/10/2018', 'age': '23', 'clubName': 'PSV Eindhoven', 'clubID': '383', 'value': '€10.00m'}, {'date': '28/12/2018', 'age': '23', 'clubName': 'PSV Eindhoven', 'clubID': '383', 'value': '€10.00m'}, {'date': '12/06/2019', 'age': '24', 'clubName': 'PSV Eindhoven', 'clubID': '383', 'value': '€7.50m'}, {'date': '19/09/2019', 'age': '24', 'clubName': 'PSV Eindhoven', 'clubID': '383', 'value': '€6.00m'}, {'date': '18/12/2019', 'age': '24', 'clubName': 'PSV Eindhoven', 'clubID': '383', 'value': '€6.00m'}, {'date': '08/04/2020', 'age': '25', 'clubName': 'PSV Eindhoven', 'clubID': '383', 'value': '€4.80m'}, {'date': '14/10/2020', 'age': '25', 'clubName': 'PSV Eindhoven', 'clubID': '383', 'value': '€4.00m'}, {'date': '02/06/2021', 'age': '26', 'clubName': 'Spartak Moscow', 'clubID': '232', 'value': '€3.00m'}, {'date': '15/09/2021', 'age': '26', 'clubName': 'Spartak Moscow', 'clubID': '232', 'value': '€2.50m'}, {'date': '29/12/2021', 'age': '26', 'clubName': 'Spartak Moscow', 'clubID': '232', 'value': '€1.80m'}, {'date': '08/06/2022', 'age': '27', 'clubName': 'Feyenoord Rotterdam', 'clubID': '234', 'value': '€1.80m'}, {'date': '28/09/2022', 'age': '27', 'clubName': 'Fortuna Düsseldorf', 'clubID': '38', 'value': '€1.50m'}, {'date': '30/11/2022', 'age': '27', 'clubName': 'Fortuna Düsseldorf', 'clubID': '38', 'value': '€1.50m'}, {'date': '28/06/2023', 'age': '28', 'clubName': 'Fortuna Düsseldorf', 'clubID': '38', 'value': '€1.20m'}, {'date': '08/01/2024', 'age': '28', 'clubName': 'Western Sydney Wanderers', 'clubID': '36100', 'value': '€1.00m'}, {'date': '28/05/2024', 'age': '29', 'clubName': 'Western Sydney Wanderers', 'clubID': '36100', 'value': '€1.00m'}, {'date': '25/09/2024', 'age': '29', 'clubName': 'Preußen Münster', 'clubID': '91', 'value': '€800k'}, {'date': '19/12/2024', 'age': '29', 'clubName': 'Preußen Münster', 'clubID': '91', 'value': '€800k'}, {'date': '19/06/2025', 'age': '30', 'clubName': 'Preußen Münster', 'clubID': '91', 'value': '€900k'}, {'date': '16/12/2025', 'age': '30', 'clubName': 'Preußen Münster', 'clubID': '91', 'value': '€800k'}]}</t>
  </si>
  <si>
    <t>1995-02-06</t>
  </si>
  <si>
    <t>Javi Martinez</t>
  </si>
  <si>
    <t>{'marketValueHistory': [{'date': 'Jan 24, 2007', 'age': '18', 'clubName': 'Athletic Bilbao', 'clubID': '621', 'value': '€2.00m'}, {'date': 'Jun 9, 2007', 'age': '18', 'clubName': 'Athletic Bilbao', 'clubID': '621', 'value': '€5.00m'}, {'date': 'Jul 25, 2007', 'age': '18', 'clubName': 'Athletic Bilbao', 'clubID': '621', 'value': '€5.00m'}, {'date': 'Aug 24, 2007', 'age': '18', 'clubName': 'Athletic Bilbao', 'clubID': '621', 'value': '€7.00m'}, {'date': 'Feb 4, 2008', 'age': '19', 'clubName': 'Athletic Bilbao', 'clubID': '621', 'value': '€5.00m'}, {'date': 'Jul 20, 2008', 'age': '19', 'clubName': 'Athletic Bilbao', 'clubID': '621', 'value': '€6.00m'}, {'date': 'Jan 21, 2009', 'age': '20', 'clubName': 'Athletic Bilbao', 'clubID': '621', 'value': '€6.00m'}, {'date': 'Jul 22, 2009', 'age': '20', 'clubName': 'Athletic Bilbao', 'clubID': '621', 'value': '€10.00m'}, {'date': 'Dec 3, 2009', 'age': '21', 'clubName': 'Athletic Bilbao', 'clubID': '621', 'value': '€13.00m'}, {'date': 'Apr 11, 2010', 'age': '21', 'clubName': 'Athletic Bilbao', 'clubID': '621', 'value': '€15.00m'}, {'date': 'Aug 15, 2010', 'age': '21', 'clubName': 'Athletic Bilbao', 'clubID': '621', 'value': '€20.00m'}, {'date': 'Feb 4, 2011', 'age': '22', 'clubName': 'Athletic Bilbao', 'clubID': '621', 'value': '€20.00m'}, {'date': 'Jul 29, 2011', 'age': '22', 'clubName': 'Athletic Bilbao', 'clubID': '621', 'value': '€20.00m'}, {'date': 'Feb 3, 2012', 'age': '23', 'clubName': 'Athletic Bilbao', 'clubID': '621', 'value': '€20.00m'}, {'date': 'Apr 4, 2012', 'age': '23', 'clubName': 'Athletic Bilbao', 'clubID': '621', 'value': '€22.00m'}, {'date': 'Aug 7, 2012', 'age': '23', 'clubName': 'Athletic Bilbao', 'clubID': '621', 'value': '€30.00m'}, {'date': 'Jan 13, 2013', 'age': '24', 'clubName': 'Bayern Munich', 'clubID': '27', 'value': '€30.00m'}, {'date': 'Jun 30, 2013', 'age': '24', 'clubName': 'Bayern Munich', 'clubID': '27', 'value': '€37.00m'}, {'date': 'Jul 10, 2014', 'age': '25', 'clubName': 'Bayern Munich', 'clubID': '27', 'value': '€32.00m'}, {'date': 'Feb 4, 2015', 'age': '26', 'clubName': 'Bayern Munich', 'clubID': '27', 'value': '€30.00m'}, {'date': 'Jul 1, 2015', 'age': '26', 'clubName': 'Bayern Munich', 'clubID': '27', 'value': '€28.00m'}, {'date': 'Feb 15, 2016', 'age': '27', 'clubName': 'Bayern Munich', 'clubID': '27', 'value': '€25.00m'}, {'date': 'Jul 22, 2016', 'age': '27', 'clubName': 'Bayern Munich', 'clubID': '27', 'value': '€25.00m'}, {'date': 'Feb 7, 2017', 'age': '28', 'clubName': 'Bayern Munich', 'clubID': '27', 'value': '€25.00m'}, {'date': 'Jun 19, 2017', 'age': '28', 'clubName': 'Bayern Munich', 'clubID': '27', 'value': '€30.00m'}, {'date': 'Dec 28, 2017', 'age': '29', 'clubName': 'Bayern Munich', 'clubID': '27', 'value': '€32.00m'}, {'date': 'Apr 4, 2018', 'age': '29', 'clubName': 'Bayern Munich', 'clubID': '27', 'value': '€40.00m'}, {'date': 'Jun 5, 2018', 'age': '29', 'clubName': 'Bayern Munich', 'clubID': '27', 'value': '€40.00m'}, {'date': 'Dec 18, 2018', 'age': '30', 'clubName': 'Bayern Munich', 'clubID': '27', 'value': '€30.00m'}, {'date': 'Jun 5, 2019', 'age': '30', 'clubName': 'Bayern Munich', 'clubID': '27', 'value': '€27.00m'}, {'date': 'Dec 17, 2019', 'age': '31', 'clubName': 'Bayern Munich', 'clubID': '27', 'value': '€20.00m'}, {'date': 'Mar 11, 2020', 'age': '31', 'clubName': 'Bayern Munich', 'clubID': '27', 'value': '€16.00m'}, {'date': 'Apr 8, 2020', 'age': '31', 'clubName': 'Bayern Munich', 'clubID': '27', 'value': '€13.00m'}, {'date': 'Sep 16, 2020', 'age': '32', 'clubName': 'Bayern Munich', 'clubID': '27', 'value': '€10.00m'}, {'date': 'Feb 10, 2021', 'age': '32', 'clubName': 'Bayern Munich', 'clubID': '27', 'value': '€6.50m'}, {'date': 'Jun 9, 2021', 'age': '32', 'clubName': 'Bayern Munich', 'clubID': '27', 'value': '€5.00m'}, {'date': 'Aug 13, 2021', 'age': '32', 'clubName': 'Qatar SC', 'clubID': '965', 'value': '€4.50m'}, {'date': 'Jan 10, 2022', 'age': '33', 'clubName': 'Qatar SC', 'clubID': '965', 'value': '€4.00m'}, {'date': 'May 25, 2022', 'age': '33', 'clubName': 'Qatar SC', 'clubID': '965', 'value': '€3.50m'}, {'date': 'Nov 10, 2022', 'age': '34', 'clubName': 'Qatar SC', 'clubID': '965', 'value': '€2.00m'}, {'date': 'May 30, 2023', 'age': '34', 'clubName': 'Qatar SC', 'clubID': '965', 'value': '€1.80m'}, {'date': 'Nov 27, 2023', 'age': '35', 'clubName': 'Qatar SC', 'clubID': '965', 'value': '€1.50m'}, {'date': 'May 2, 2024', 'age': '35', 'clubName': 'Qatar SC', 'clubID': '965', 'value': '€1.20m'}, {'date': 'Dec 10, 2024', 'age': '36', 'clubName': 'Qatar SC', 'clubID': '965', 'value': '€1.00m'}, {'date': 'May 28, 2025', 'age': '36', 'clubName': 'Qatar SC', 'clubID': '965', 'value': '€800k'}, {'date': 'Dec 30, 2025', 'age': '37', 'clubName': 'Al-Bidda SC', 'clubID': '69892', 'value': '€700k'}]}</t>
  </si>
  <si>
    <t>1988-09-02</t>
  </si>
  <si>
    <t>Bakakis</t>
  </si>
  <si>
    <t>{'marketValueHistory': [{'date': '26/12/2009', 'age': '18', 'clubName': 'Panetolikos', 'clubID': '6418', 'value': '€150k'}, {'date': '28/09/2010', 'age': '19', 'clubName': 'Panetolikos', 'clubID': '6418', 'value': '€200k'}, {'date': '16/11/2010', 'age': '19', 'clubName': 'Panetolikos', 'clubID': '6418', 'value': '€150k'}, {'date': '22/02/2011', 'age': '19', 'clubName': 'Panetolikos', 'clubID': '6418', 'value': '€100k'}, {'date': '21/11/2012', 'age': '21', 'clubName': 'Panetolikos', 'clubID': '6418', 'value': '€200k'}, {'date': '28/03/2013', 'age': '22', 'clubName': 'Panetolikos', 'clubID': '6418', 'value': '€250k'}, {'date': '02/12/2013', 'age': '22', 'clubName': 'Panetolikos', 'clubID': '6418', 'value': '€400k'}, {'date': '28/03/2014', 'age': '23', 'clubName': 'Panetolikos', 'clubID': '6418', 'value': '€500k'}, {'date': '21/12/2014', 'age': '23', 'clubName': 'AEK Athens', 'clubID': '2441', 'value': '€600k'}, {'date': '07/06/2015', 'age': '24', 'clubName': 'AEK Athens', 'clubID': '2441', 'value': '€800k'}, {'date': '27/09/2015', 'age': '24', 'clubName': 'AEK Athens', 'clubID': '2441', 'value': '€800k'}, {'date': '21/06/2016', 'age': '25', 'clubName': 'AEK Athens', 'clubID': '2441', 'value': '€700k'}, {'date': '21/12/2016', 'age': '25', 'clubName': 'AEK Athens', 'clubID': '2441', 'value': '€500k'}, {'date': '11/05/2017', 'age': '26', 'clubName': 'AEK Athens', 'clubID': '2441', 'value': '€500k'}, {'date': '18/12/2017', 'age': '26', 'clubName': 'AEK Athens', 'clubID': '2441', 'value': '€800k'}, {'date': '22/05/2018', 'age': '27', 'clubName': 'AEK Athens', 'clubID': '2441', 'value': '€1.50m'}, {'date': '07/12/2018', 'age': '27', 'clubName': 'AEK Athens', 'clubID': '2441', 'value': '€2.00m'}, {'date': '21/05/2019', 'age': '28', 'clubName': 'AEK Athens', 'clubID': '2441', 'value': '€1.50m'}, {'date': '18/12/2019', 'age': '28', 'clubName': 'AEK Athens', 'clubID': '2441', 'value': '€1.25m'}, {'date': '08/04/2020', 'age': '29', 'clubName': 'AEK Athens', 'clubID': '2441', 'value': '€1.00m'}, {'date': '04/08/2020', 'age': '29', 'clubName': 'AEK Athens', 'clubID': '2441', 'value': '€1.00m'}, {'date': '12/02/2021', 'age': '29', 'clubName': 'AEK Athens', 'clubID': '2441', 'value': '€900k'}, {'date': '01/11/2021', 'age': '30', 'clubName': 'AEK Athens', 'clubID': '2441', 'value': '€800k'}, {'date': '09/06/2022', 'age': '31', 'clubName': 'AEK Athens', 'clubID': '2441', 'value': '€400k'}, {'date': '07/11/2022', 'age': '31', 'clubName': 'Panetolikos', 'clubID': '6418', 'value': '€350k'}, {'date': '22/05/2023', 'age': '32', 'clubName': 'Panetolikos', 'clubID': '6418', 'value': '€300k'}, {'date': '20/12/2023', 'age': '32', 'clubName': 'Panetolikos', 'clubID': '6418', 'value': '€200k'}, {'date': '30/05/2024', 'age': '33', 'clubName': 'Panetolikos', 'clubID': '6418', 'value': '€175k'}, {'date': '18/12/2024', 'age': '33', 'clubName': 'Panetolikos', 'clubID': '6418', 'value': '€150k'}, {'date': '23/05/2025', 'age': '34', 'clubName': 'Panetolikos', 'clubID': '6418', 'value': '€150k'}, {'date': '21/10/2025', 'age': '34', 'clubName': 'Without Club', 'clubID': '515', 'value': '€100k'}, {'date': '12/02/2026', 'age': '34', 'clubName': 'Retired', 'clubID': '123', 'value': '-'}]}</t>
  </si>
  <si>
    <t>1991-03-18</t>
  </si>
  <si>
    <t>Mario Rui</t>
  </si>
  <si>
    <t>{'marketValueHistory': [{'date': 'Jul 19, 2010', 'age': '19', 'clubName': 'SL Benfica', 'clubID': '294', 'value': '€150k'}, {'date': 'Jun 30, 2011', 'age': '20', 'clubName': 'SL Benfica', 'clubID': '294', 'value': '€250k'}, {'date': 'Dec 29, 2011', 'age': '20', 'clubName': 'AS Gubbio 1910', 'clubID': '4326', 'value': '€250k'}, {'date': 'May 26, 2012', 'age': '20', 'clubName': 'AS Gubbio 1910', 'clubID': '4326', 'value': '€1.00m'}, {'date': 'Dec 25, 2012', 'age': '21', 'clubName': 'Spezia Calcio', 'clubID': '3522', 'value': '€800k'}, {'date': 'Jul 5, 2013', 'age': '22', 'clubName': 'FC Empoli', 'clubID': '749', 'value': '€1.00m'}, {'date': 'Jan 29, 2014', 'age': '22', 'clubName': 'FC Empoli', 'clubID': '749', 'value': '€900k'}, {'date': 'Jul 15, 2014', 'age': '23', 'clubName': 'FC Empoli', 'clubID': '749', 'value': '€900k'}, {'date': 'Jan 7, 2015', 'age': '23', 'clubName': 'FC Empoli', 'clubID': '749', 'value': '€1.90m'}, {'date': 'Jul 1, 2015', 'age': '24', 'clubName': 'FC Empoli', 'clubID': '749', 'value': '€2.50m'}, {'date': 'Jan 4, 2016', 'age': '24', 'clubName': 'FC Empoli', 'clubID': '749', 'value': '€4.50m'}, {'date': 'Apr 1, 2016', 'age': '24', 'clubName': 'FC Empoli', 'clubID': '749', 'value': '€6.00m'}, {'date': 'Jul 15, 2016', 'age': '25', 'clubName': 'AS Roma', 'clubID': '12', 'value': '€8.00m'}, {'date': 'Jan 2, 2017', 'age': '25', 'clubName': 'AS Roma', 'clubID': '12', 'value': '€8.00m'}, {'date': 'Jun 8, 2017', 'age': '26', 'clubName': 'AS Roma', 'clubID': '12', 'value': '€7.00m'}, {'date': 'Dec 29, 2017', 'age': '26', 'clubName': 'SSC Napoli', 'clubID': '6195', 'value': '€8.00m'}, {'date': 'Mar 24, 2018', 'age': '26', 'clubName': 'SSC Napoli', 'clubID': '6195', 'value': '€12.00m'}, {'date': 'Jun 7, 2018', 'age': '27', 'clubName': 'SSC Napoli', 'clubID': '6195', 'value': '€14.00m'}, {'date': 'Dec 20, 2018', 'age': '27', 'clubName': 'SSC Napoli', 'clubID': '6195', 'value': '€15.00m'}, {'date': 'Jun 6, 2019', 'age': '28', 'clubName': 'SSC Napoli', 'clubID': '6195', 'value': '€12.00m'}, {'date': 'Oct 8, 2019', 'age': '28', 'clubName': 'SSC Napoli', 'clubID': '6195', 'value': '€15.00m'}, {'date': 'Dec 12, 2019', 'age': '28', 'clubName': 'SSC Napoli', 'clubID': '6195', 'value': '€15.00m'}, {'date': 'Apr 8, 2020', 'age': '28', 'clubName': 'SSC Napoli', 'clubID': '6195', 'value': '€12.00m'}, {'date': 'Aug 25, 2020', 'age': '29', 'clubName': 'SSC Napoli', 'clubID': '6195', 'value': '€14.00m'}, {'date': 'Dec 29, 2020', 'age': '29', 'clubName': 'SSC Napoli', 'clubID': '6195', 'value': '€14.00m'}, {'date': 'Mar 23, 2021', 'age': '29', 'clubName': 'SSC Napoli', 'clubID': '6195', 'value': '€10.00m'}, {'date': 'Jun 3, 2021', 'age': '30', 'clubName': 'SSC Napoli', 'clubID': '6195', 'value': '€8.00m'}, {'date': 'Dec 28, 2021', 'age': '30', 'clubName': 'SSC Napoli', 'clubID': '6195', 'value': '€8.00m'}, {'date': 'Jun 7, 2022', 'age': '31', 'clubName': 'SSC Napoli', 'clubID': '6195', 'value': '€8.00m'}, {'date': 'Nov 11, 2022', 'age': '31', 'clubName': 'SSC Napoli', 'clubID': '6195', 'value': '€8.00m'}, {'date': 'Jun 15, 2023', 'age': '32', 'clubName': 'SSC Napoli', 'clubID': '6195', 'value': '€8.00m'}, {'date': 'Dec 20, 2023', 'age': '32', 'clubName': 'SSC Napoli', 'clubID': '6195', 'value': '€5.00m'}, {'date': 'Mar 12, 2024', 'age': '32', 'clubName': 'SSC Napoli', 'clubID': '6195', 'value': '€4.00m'}, {'date': 'Jun 5, 2024', 'age': '33', 'clubName': 'SSC Napoli', 'clubID': '6195', 'value': '€3.50m'}, {'date': 'Oct 18, 2024', 'age': '33', 'clubName': 'SSC Napoli', 'clubID': '6195', 'value': '€1.50m'}, {'date': 'Dec 18, 2024', 'age': '33', 'clubName': 'SSC Napoli', 'clubID': '6195', 'value': '€1.00m'}, {'date': 'Apr 4, 2025', 'age': '33', 'clubName': 'Without Club', 'clubID': '515', 'value': '€800k'}, {'date': 'Oct 21, 2025', 'age': '34', 'clubName': 'Without Club', 'clubID': '515', 'value': '€400k'}, {'date': 'Feb 26, 2026', 'age': '34', 'clubName': 'Forte Virtus', 'clubID': '90721', 'value': '-'}]}</t>
  </si>
  <si>
    <t>1991-05-27</t>
  </si>
  <si>
    <t>Ignatyev</t>
  </si>
  <si>
    <t>{'marketValueHistory': [{'date': '25/08/2015', 'age': '16', 'clubName': 'FC Krasnodar II', 'clubID': '22881', 'value': '€200k'}, {'date': '02/12/2016', 'age': '17', 'clubName': 'FC Krasnodar II', 'clubID': '22881', 'value': '€250k'}, {'date': '01/06/2017', 'age': '18', 'clubName': 'FC Krasnodar II', 'clubID': '22881', 'value': '€275k'}, {'date': '02/10/2017', 'age': '18', 'clubName': 'FC Krasnodar', 'clubID': '16704', 'value': '€400k'}, {'date': '23/12/2017', 'age': '18', 'clubName': 'FC Krasnodar', 'clubID': '16704', 'value': '€700k'}, {'date': '06/06/2018', 'age': '19', 'clubName': 'FC Krasnodar', 'clubID': '16704', 'value': '€900k'}, {'date': '15/10/2018', 'age': '19', 'clubName': 'FC Krasnodar', 'clubID': '16704', 'value': '€1.50m'}, {'date': '20/12/2018', 'age': '19', 'clubName': 'FC Krasnodar', 'clubID': '16704', 'value': '€4.00m'}, {'date': '14/06/2019', 'age': '20', 'clubName': 'FC Krasnodar', 'clubID': '16704', 'value': '€6.00m'}, {'date': '23/12/2019', 'age': '20', 'clubName': 'FC Krasnodar', 'clubID': '16704', 'value': '€7.50m'}, {'date': '08/04/2020', 'age': '21', 'clubName': 'Rubin Kazan', 'clubID': '2698', 'value': '€6.70m'}, {'date': '29/07/2020', 'age': '21', 'clubName': 'Rubin Kazan', 'clubID': '2698', 'value': '€6.00m'}, {'date': '29/12/2020', 'age': '21', 'clubName': 'Rubin Kazan', 'clubID': '2698', 'value': '€4.00m'}, {'date': '13/04/2021', 'age': '22', 'clubName': 'Rubin Kazan', 'clubID': '2698', 'value': '€3.50m'}, {'date': '02/06/2021', 'age': '22', 'clubName': 'Rubin Kazan', 'clubID': '2698', 'value': '€2.80m'}, {'date': '15/09/2021', 'age': '22', 'clubName': 'Rubin Kazan', 'clubID': '2698', 'value': '€2.50m'}, {'date': '29/12/2021', 'age': '22', 'clubName': 'Rubin Kazan', 'clubID': '2698', 'value': '€2.00m'}, {'date': '02/06/2022', 'age': '23', 'clubName': 'Krylya Sovetov Samara', 'clubID': '2696', 'value': '€1.50m'}, {'date': '21/11/2022', 'age': '23', 'clubName': 'Lokomotiv Moscow', 'clubID': '932', 'value': '€1.50m'}, {'date': '14/06/2023', 'age': '24', 'clubName': 'Lokomotiv Moscow', 'clubID': '932', 'value': '€1.20m'}, {'date': '05/10/2023', 'age': '24', 'clubName': 'FC Sochi', 'clubID': '41231', 'value': '€1.00m'}, {'date': '13/12/2023', 'age': '24', 'clubName': 'FC Sochi', 'clubID': '41231', 'value': '€800k'}, {'date': '04/06/2024', 'age': '25', 'clubName': 'Without Club', 'clubID': '515', 'value': '€600k'}, {'date': '05/12/2024', 'age': '25', 'clubName': 'FC Urartu Yerevan', 'clubID': '11411', 'value': '€700k'}, {'date': '26/06/2025', 'age': '26', 'clubName': 'JS Kabylie', 'clubID': '13366', 'value': '€900k'}, {'date': '16/12/2025', 'age': '26', 'clubName': 'FC Orenburg', 'clubID': '14589', 'value': '€800k'}, {'date': '25/03/2026', 'age': '27', 'clubName': 'Arsenal Tula', 'clubID': '3729', 'value': '€700k'}]}</t>
  </si>
  <si>
    <t>1999-01-06</t>
  </si>
  <si>
    <t>Asamoah</t>
  </si>
  <si>
    <t>{'marketValueHistory': [{'date': 'Jan 7, 2008', 'age': '19', 'clubName': 'Torino FC', 'clubID': '416', 'value': '€300k'}, {'date': 'Feb 4, 2009', 'age': '20', 'clubName': 'Udinese Calcio', 'clubID': '410', 'value': '€1.00m'}, {'date': 'Aug 6, 2009', 'age': '20', 'clubName': 'Udinese Calcio', 'clubID': '410', 'value': '€4.00m'}, {'date': 'Jan 27, 2010', 'age': '21', 'clubName': 'Udinese Calcio', 'clubID': '410', 'value': '€5.50m'}, {'date': 'Aug 1, 2010', 'age': '21', 'clubName': 'Udinese Calcio', 'clubID': '410', 'value': '€7.00m'}, {'date': 'Jan 10, 2011', 'age': '22', 'clubName': 'Udinese Calcio', 'clubID': '410', 'value': '€7.50m'}, {'date': 'Jun 21, 2011', 'age': '22', 'clubName': 'Udinese Calcio', 'clubID': '410', 'value': '€9.50m'}, {'date': 'Jan 11, 2012', 'age': '23', 'clubName': 'Udinese Calcio', 'clubID': '410', 'value': '€10.50m'}, {'date': 'Jun 8, 2012', 'age': '23', 'clubName': 'Udinese Calcio', 'clubID': '410', 'value': '€15.00m'}, {'date': 'Jan 15, 2013', 'age': '24', 'clubName': 'Juventus FC', 'clubID': '506', 'value': '€19.00m'}, {'date': 'Jun 19, 2013', 'age': '24', 'clubName': 'Juventus FC', 'clubID': '506', 'value': '€19.00m'}, {'date': 'Jan 7, 2014', 'age': '25', 'clubName': 'Juventus FC', 'clubID': '506', 'value': '€20.00m'}, {'date': 'Jul 11, 2014', 'age': '25', 'clubName': 'Juventus FC', 'clubID': '506', 'value': '€22.00m'}, {'date': 'Jan 7, 2015', 'age': '26', 'clubName': 'Juventus FC', 'clubID': '506', 'value': '€20.50m'}, {'date': 'Jul 1, 2015', 'age': '26', 'clubName': 'Juventus FC', 'clubID': '506', 'value': '€19.00m'}, {'date': 'Nov 5, 2015', 'age': '26', 'clubName': 'Juventus FC', 'clubID': '506', 'value': '€15.00m'}, {'date': 'Jan 4, 2016', 'age': '27', 'clubName': 'Juventus FC', 'clubID': '506', 'value': '€14.00m'}, {'date': 'Jul 15, 2016', 'age': '27', 'clubName': 'Juventus FC', 'clubID': '506', 'value': '€13.00m'}, {'date': 'Jan 2, 2017', 'age': '28', 'clubName': 'Juventus FC', 'clubID': '506', 'value': '€11.00m'}, {'date': 'Jun 8, 2017', 'age': '28', 'clubName': 'Juventus FC', 'clubID': '506', 'value': '€11.00m'}, {'date': 'Dec 29, 2017', 'age': '29', 'clubName': 'Juventus FC', 'clubID': '506', 'value': '€12.50m'}, {'date': 'Jun 7, 2018', 'age': '29', 'clubName': 'Juventus FC', 'clubID': '506', 'value': '€14.00m'}, {'date': 'Dec 20, 2018', 'age': '30', 'clubName': 'Inter Milan', 'clubID': '46', 'value': '€14.00m'}, {'date': 'Jun 6, 2019', 'age': '30', 'clubName': 'Inter Milan', 'clubID': '46', 'value': '€13.00m'}, {'date': 'Dec 12, 2019', 'age': '31', 'clubName': 'Inter Milan', 'clubID': '46', 'value': '€12.00m'}, {'date': 'Mar 3, 2020', 'age': '31', 'clubName': 'Inter Milan', 'clubID': '46', 'value': '€8.00m'}, {'date': 'Apr 8, 2020', 'age': '31', 'clubName': 'Inter Milan', 'clubID': '46', 'value': '€6.50m'}, {'date': 'Aug 25, 2020', 'age': '31', 'clubName': 'Inter Milan', 'clubID': '46', 'value': '€4.00m'}, {'date': 'Dec 29, 2020', 'age': '32', 'clubName': 'Without Club', 'clubID': '515', 'value': '€2.00m'}, {'date': 'Jun 3, 2021', 'age': '32', 'clubName': 'Cagliari Calcio', 'clubID': '1390', 'value': '€1.00m'}, {'date': 'Oct 28, 2021', 'age': '32', 'clubName': 'Without Club', 'clubID': '515', 'value': '€700k'}, {'date': 'Apr 21, 2022', 'age': '33', 'clubName': 'Without Club', 'clubID': '515', 'value': '€350k'}, {'date': 'Oct 4, 2022', 'age': '33', 'clubName': 'Retired', 'clubID': '123', 'value': '-'}]}</t>
  </si>
  <si>
    <t>1988-12-09</t>
  </si>
  <si>
    <t>Dybala</t>
  </si>
  <si>
    <t>{'marketValueHistory': [{'date': '23/12/2011', 'age': '18', 'clubName': 'Instituto ACC', 'clubID': '1829', 'value': '€2.00m'}, {'date': '29/07/2012', 'age': '18', 'clubName': 'US Palermo', 'clubID': '458', 'value': '€7.00m'}, {'date': '14/01/2013', 'age': '19', 'clubName': 'US Palermo', 'clubID': '458', 'value': '€8.00m'}, {'date': '19/06/2013', 'age': '19', 'clubName': 'US Palermo', 'clubID': '458', 'value': '€7.50m'}, {'date': '29/01/2014', 'age': '20', 'clubName': 'US Palermo', 'clubID': '458', 'value': '€5.00m'}, {'date': '15/07/2014', 'age': '20', 'clubName': 'US Palermo', 'clubID': '458', 'value': '€5.00m'}, {'date': '08/11/2014', 'age': '20', 'clubName': 'US Palermo', 'clubID': '458', 'value': '€6.50m'}, {'date': '07/01/2015', 'age': '21', 'clubName': 'US Palermo', 'clubID': '458', 'value': '€15.00m'}, {'date': '20/03/2015', 'age': '21', 'clubName': 'US Palermo', 'clubID': '458', 'value': '€23.00m'}, {'date': '01/07/2015', 'age': '21', 'clubName': 'Juventus FC', 'clubID': '506', 'value': '€28.00m'}, {'date': '04/01/2016', 'age': '22', 'clubName': 'Juventus FC', 'clubID': '506', 'value': '€36.00m'}, {'date': '01/04/2016', 'age': '22', 'clubName': 'Juventus FC', 'clubID': '506', 'value': '€40.00m'}, {'date': '15/07/2016', 'age': '22', 'clubName': 'Juventus FC', 'clubID': '506', 'value': '€45.00m'}, {'date': '02/01/2017', 'age': '23', 'clubName': 'Juventus FC', 'clubID': '506', 'value': '€45.00m'}, {'date': '28/03/2017', 'age': '23', 'clubName': 'Juventus FC', 'clubID': '506', 'value': '€50.00m'}, {'date': '08/06/2017', 'age': '23', 'clubName': 'Juventus FC', 'clubID': '506', 'value': '€65.00m'}, {'date': '13/10/2017', 'age': '23', 'clubName': 'Juventus FC', 'clubID': '506', 'value': '€70.00m'}, {'date': '29/12/2017', 'age': '24', 'clubName': 'Juventus FC', 'clubID': '506', 'value': '€85.00m'}, {'date': '24/03/2018', 'age': '24', 'clubName': 'Juventus FC', 'clubID': '506', 'value': '€100.00m'}, {'date': '07/06/2018', 'age': '24', 'clubName': 'Juventus FC', 'clubID': '506', 'value': '€110.00m'}, {'date': '20/12/2018', 'age': '25', 'clubName': 'Juventus FC', 'clubID': '506', 'value': '€110.00m'}, {'date': '01/03/2019', 'age': '25', 'clubName': 'Juventus FC', 'clubID': '506', 'value': '€100.00m'}, {'date': '06/06/2019', 'age': '25', 'clubName': 'Juventus FC', 'clubID': '506', 'value': '€85.00m'}, {'date': '08/10/2019', 'age': '25', 'clubName': 'Juventus FC', 'clubID': '506', 'value': '€75.00m'}, {'date': '12/12/2019', 'age': '26', 'clubName': 'Juventus FC', 'clubID': '506', 'value': '€85.00m'}, {'date': '03/03/2020', 'age': '26', 'clubName': 'Juventus FC', 'clubID': '506', 'value': '€90.00m'}, {'date': '08/04/2020', 'age': '26', 'clubName': 'Juventus FC', 'clubID': '506', 'value': '€72.00m'}, {'date': '25/08/2020', 'age': '26', 'clubName': 'Juventus FC', 'clubID': '506', 'value': '€80.00m'}, {'date': '29/12/2020', 'age': '27', 'clubName': 'Juventus FC', 'clubID': '506', 'value': '€70.00m'}, {'date': '23/03/2021', 'age': '27', 'clubName': 'Juventus FC', 'clubID': '506', 'value': '€60.00m'}, {'date': '03/06/2021', 'age': '27', 'clubName': 'Juventus FC', 'clubID': '506', 'value': '€50.00m'}, {'date': '28/12/2021', 'age': '28', 'clubName': 'Juventus FC', 'clubID': '506', 'value': '€50.00m'}, {'date': '15/03/2022', 'age': '28', 'clubName': 'Juventus FC', 'clubID': '506', 'value': '€40.00m'}, {'date': '07/06/2022', 'age': '28', 'clubName': 'Juventus FC', 'clubID': '506', 'value': '€35.00m'}, {'date': '11/11/2022', 'age': '28', 'clubName': 'AS Roma', 'clubID': '12', 'value': '€30.00m'}, {'date': '15/06/2023', 'age': '29', 'clubName': 'AS Roma', 'clubID': '12', 'value': '€30.00m'}, {'date': '20/12/2023', 'age': '30', 'clubName': 'AS Roma', 'clubID': '12', 'value': '€25.00m'}, {'date': '05/06/2024', 'age': '30', 'clubName': 'AS Roma', 'clubID': '12', 'value': '€20.00m'}, {'date': '18/10/2024', 'age': '30', 'clubName': 'AS Roma', 'clubID': '12', 'value': '€12.00m'}, {'date': '18/12/2024', 'age': '31', 'clubName': 'AS Roma', 'clubID': '12', 'value': '€8.00m'}, {'date': '17/06/2025', 'age': '31', 'clubName': 'AS Roma', 'clubID': '12', 'value': '€8.00m'}, {'date': '23/12/2025', 'age': '32', 'clubName': 'AS Roma', 'clubID': '12', 'value': '€5.00m'}]}</t>
  </si>
  <si>
    <t>1993-11-15</t>
  </si>
  <si>
    <t>Callejon</t>
  </si>
  <si>
    <t>{'marketValueHistory': [{'date': 'Nov 20, 2007', 'age': '20', 'clubName': 'Real Madrid Castilla', 'clubID': '6767', 'value': '€100k'}, {'date': 'Jul 20, 2008', 'age': '21', 'clubName': 'RCD Espanyol Barcelona', 'clubID': '714', 'value': '€1.00m'}, {'date': 'Jan 24, 2009', 'age': '21', 'clubName': 'RCD Espanyol Barcelona', 'clubID': '714', 'value': '€800k'}, {'date': 'Jul 22, 2009', 'age': '22', 'clubName': 'RCD Espanyol Barcelona', 'clubID': '714', 'value': '€1.60m'}, {'date': 'Dec 2, 2009', 'age': '22', 'clubName': 'RCD Espanyol Barcelona', 'clubID': '714', 'value': '€2.00m'}, {'date': 'Apr 6, 2010', 'age': '23', 'clubName': 'RCD Espanyol Barcelona', 'clubID': '714', 'value': '€3.00m'}, {'date': 'Aug 20, 2010', 'age': '23', 'clubName': 'RCD Espanyol Barcelona', 'clubID': '714', 'value': '€5.00m'}, {'date': 'Feb 4, 2011', 'age': '23', 'clubName': 'RCD Espanyol Barcelona', 'clubID': '714', 'value': '€6.50m'}, {'date': 'Jul 29, 2011', 'age': '24', 'clubName': 'Real Madrid', 'clubID': '418', 'value': '€7.00m'}, {'date': 'Feb 3, 2012', 'age': '24', 'clubName': 'Real Madrid', 'clubID': '418', 'value': '€8.00m'}, {'date': 'Aug 7, 2012', 'age': '25', 'clubName': 'Real Madrid', 'clubID': '418', 'value': '€8.00m'}, {'date': 'Jan 10, 2013', 'age': '25', 'clubName': 'Real Madrid', 'clubID': '418', 'value': '€10.00m'}, {'date': 'Jun 12, 2013', 'age': '26', 'clubName': 'Real Madrid', 'clubID': '418', 'value': '€10.00m'}, {'date': 'Nov 11, 2013', 'age': '26', 'clubName': 'SSC Napoli', 'clubID': '6195', 'value': '€14.00m'}, {'date': 'Jan 7, 2014', 'age': '26', 'clubName': 'SSC Napoli', 'clubID': '6195', 'value': '€16.00m'}, {'date': 'Jul 1, 2014', 'age': '27', 'clubName': 'SSC Napoli', 'clubID': '6195', 'value': '€20.00m'}, {'date': 'Nov 8, 2014', 'age': '27', 'clubName': 'SSC Napoli', 'clubID': '6195', 'value': '€25.00m'}, {'date': 'Jan 7, 2015', 'age': '27', 'clubName': 'SSC Napoli', 'clubID': '6195', 'value': '€25.00m'}, {'date': 'Jul 1, 2015', 'age': '28', 'clubName': 'SSC Napoli', 'clubID': '6195', 'value': '€22.00m'}, {'date': 'Nov 5, 2015', 'age': '28', 'clubName': 'SSC Napoli', 'clubID': '6195', 'value': '€20.00m'}, {'date': 'Jan 4, 2016', 'age': '28', 'clubName': 'SSC Napoli', 'clubID': '6195', 'value': '€18.50m'}, {'date': 'Apr 1, 2016', 'age': '29', 'clubName': 'SSC Napoli', 'clubID': '6195', 'value': '€20.00m'}, {'date': 'Jul 15, 2016', 'age': '29', 'clubName': 'SSC Napoli', 'clubID': '6195', 'value': '€20.00m'}, {'date': 'Oct 14, 2016', 'age': '29', 'clubName': 'SSC Napoli', 'clubID': '6195', 'value': '€23.00m'}, {'date': 'Jan 2, 2017', 'age': '29', 'clubName': 'SSC Napoli', 'clubID': '6195', 'value': '€23.00m'}, {'date': 'Jun 8, 2017', 'age': '30', 'clubName': 'SSC Napoli', 'clubID': '6195', 'value': '€25.00m'}, {'date': 'Dec 29, 2017', 'age': '30', 'clubName': 'SSC Napoli', 'clubID': '6195', 'value': '€25.00m'}, {'date': 'Jun 7, 2018', 'age': '31', 'clubName': 'SSC Napoli', 'clubID': '6195', 'value': '€24.00m'}, {'date': 'Dec 20, 2018', 'age': '31', 'clubName': 'SSC Napoli', 'clubID': '6195', 'value': '€20.00m'}, {'date': 'Jun 6, 2019', 'age': '32', 'clubName': 'SSC Napoli', 'clubID': '6195', 'value': '€20.00m'}, {'date': 'Dec 12, 2019', 'age': '32', 'clubName': 'SSC Napoli', 'clubID': '6195', 'value': '€18.00m'}, {'date': 'Mar 3, 2020', 'age': '33', 'clubName': 'SSC Napoli', 'clubID': '6195', 'value': '€12.00m'}, {'date': 'Apr 8, 2020', 'age': '33', 'clubName': 'SSC Napoli', 'clubID': '6195', 'value': '€9.50m'}, {'date': 'Aug 25, 2020', 'age': '33', 'clubName': 'SSC Napoli', 'clubID': '6195', 'value': '€7.50m'}, {'date': 'Dec 29, 2020', 'age': '33', 'clubName': 'ACF Fiorentina', 'clubID': '430', 'value': '€4.00m'}, {'date': 'Mar 23, 2021', 'age': '34', 'clubName': 'ACF Fiorentina', 'clubID': '430', 'value': '€2.50m'}, {'date': 'Jun 3, 2021', 'age': '34', 'clubName': 'ACF Fiorentina', 'clubID': '430', 'value': '€1.50m'}, {'date': 'Dec 28, 2021', 'age': '34', 'clubName': 'ACF Fiorentina', 'clubID': '430', 'value': '€1.50m'}, {'date': 'Jun 7, 2022', 'age': '35', 'clubName': 'ACF Fiorentina', 'clubID': '430', 'value': '€1.00m'}, {'date': 'Dec 29, 2022', 'age': '35', 'clubName': 'Granada CF', 'clubID': '16795', 'value': '€1.20m'}, {'date': 'Jun 14, 2023', 'age': '36', 'clubName': 'Granada CF', 'clubID': '16795', 'value': '€1.20m'}, {'date': 'Dec 22, 2023', 'age': '36', 'clubName': 'Granada CF', 'clubID': '16795', 'value': '€1.00m'}, {'date': 'Mar 21, 2024', 'age': '37', 'clubName': 'Granada CF', 'clubID': '16795', 'value': '€900k'}, {'date': 'Jun 7, 2024', 'age': '37', 'clubName': 'Granada CF', 'clubID': '16795', 'value': '€800k'}, {'date': 'Oct 14, 2024', 'age': '37', 'clubName': 'Marbella FC', 'clubID': '12361', 'value': '€400k'}, {'date': 'Dec 18, 2024', 'age': '37', 'clubName': 'Marbella FC', 'clubID': '12361', 'value': '€300k'}, {'date': 'Jun 25, 2025', 'age': '38', 'clubName': 'Marbella FC', 'clubID': '12361', 'value': '€300k'}, {'date': 'Jul 1, 2025', 'age': '38', 'clubName': 'Retired', 'clubID': '123', 'value': '-'}]}</t>
  </si>
  <si>
    <t>1987-02-11</t>
  </si>
  <si>
    <t>Otavio</t>
  </si>
  <si>
    <t>{'marketValueHistory': [{'date': '29/07/2012', 'age': '17', 'clubName': 'Sport Club Internacional', 'clubID': '6600', 'value': '€150k'}, {'date': '05/12/2012', 'age': '17', 'clubName': 'Sport Club Internacional', 'clubID': '6600', 'value': '€400k'}, {'date': '07/08/2014', 'age': '19', 'clubName': 'Sport Club Internacional', 'clubID': '6600', 'value': '€2.00m'}, {'date': '30/09/2014', 'age': '19', 'clubName': 'FC Porto', 'clubID': '720', 'value': '€4.50m'}, {'date': '17/02/2015', 'age': '20', 'clubName': 'Vitória Guimarães SC', 'clubID': '2420', 'value': '€3.50m'}, {'date': '01/07/2015', 'age': '20', 'clubName': 'Vitória Guimarães SC', 'clubID': '2420', 'value': '€3.00m'}, {'date': '24/02/2016', 'age': '21', 'clubName': 'Vitória Guimarães SC', 'clubID': '2420', 'value': '€3.25m'}, {'date': '29/07/2016', 'age': '21', 'clubName': 'FC Porto', 'clubID': '720', 'value': '€4.00m'}, {'date': '31/10/2016', 'age': '21', 'clubName': 'FC Porto', 'clubID': '720', 'value': '€7.00m'}, {'date': '22/02/2017', 'age': '22', 'clubName': 'FC Porto', 'clubID': '720', 'value': '€7.00m'}, {'date': '26/06/2017', 'age': '22', 'clubName': 'FC Porto', 'clubID': '720', 'value': '€7.00m'}, {'date': '07/02/2018', 'age': '22', 'clubName': 'FC Porto', 'clubID': '720', 'value': '€5.00m'}, {'date': '13/06/2018', 'age': '23', 'clubName': 'FC Porto', 'clubID': '720', 'value': '€6.00m'}, {'date': '01/11/2018', 'age': '23', 'clubName': 'FC Porto', 'clubID': '720', 'value': '€10.00m'}, {'date': '11/01/2019', 'age': '23', 'clubName': 'FC Porto', 'clubID': '720', 'value': '€13.00m'}, {'date': '07/06/2019', 'age': '24', 'clubName': 'FC Porto', 'clubID': '720', 'value': '€17.00m'}, {'date': '30/12/2019', 'age': '24', 'clubName': 'FC Porto', 'clubID': '720', 'value': '€17.00m'}, {'date': '08/04/2020', 'age': '25', 'clubName': 'FC Porto', 'clubID': '720', 'value': '€13.50m'}, {'date': '17/08/2020', 'age': '25', 'clubName': 'FC Porto', 'clubID': '720', 'value': '€18.00m'}, {'date': '28/01/2021', 'age': '25', 'clubName': 'FC Porto', 'clubID': '720', 'value': '€21.00m'}, {'date': '21/05/2021', 'age': '26', 'clubName': 'FC Porto', 'clubID': '720', 'value': '€24.00m'}, {'date': '27/12/2021', 'age': '26', 'clubName': 'FC Porto', 'clubID': '720', 'value': '€25.00m'}, {'date': '31/05/2022', 'age': '27', 'clubName': 'FC Porto', 'clubID': '720', 'value': '€30.00m'}, {'date': '01/11/2022', 'age': '27', 'clubName': 'FC Porto', 'clubID': '720', 'value': '€30.00m'}, {'date': '16/06/2023', 'age': '28', 'clubName': 'FC Porto', 'clubID': '720', 'value': '€35.00m'}, {'date': '15/12/2023', 'age': '28', 'clubName': 'Al-Nassr FC', 'clubID': '18544', 'value': '€30.00m'}, {'date': '04/06/2024', 'age': '29', 'clubName': 'Al-Nassr FC', 'clubID': '18544', 'value': '€25.00m'}, {'date': '13/12/2024', 'age': '29', 'clubName': 'Al-Nassr FC', 'clubID': '18544', 'value': '€18.00m'}, {'date': '27/05/2025', 'age': '30', 'clubName': 'Al-Nassr FC', 'clubID': '18544', 'value': '€15.00m'}, {'date': '18/12/2025', 'age': '30', 'clubName': 'Al-Qadsiah FC', 'clubID': '26069', 'value': '€12.00m'}]}</t>
  </si>
  <si>
    <t>1995-02-09</t>
  </si>
  <si>
    <t>Al. Miranchuk</t>
  </si>
  <si>
    <t>{'marketValueHistory': [{'date': 'Apr 28, 2013', 'age': '17', 'clubName': 'Lokomotiv Moskau', 'clubID': '932', 'value': '€100k'}, {'date': 'Jun 19, 2013', 'age': '17', 'clubName': 'Lokomotiv Moskau', 'clubID': '932', 'value': '€500k'}, {'date': 'Mar 3, 2014', 'age': '18', 'clubName': 'Lokomotiv Moskau', 'clubID': '932', 'value': '€700k'}, {'date': 'Jul 31, 2014', 'age': '18', 'clubName': 'Lokomotiv Moskau', 'clubID': '932', 'value': '€700k'}, {'date': 'Feb 23, 2015', 'age': '19', 'clubName': 'Lokomotiv Moskau', 'clubID': '932', 'value': '€1.20m'}, {'date': 'Jun 18, 2015', 'age': '19', 'clubName': 'Lokomotiv Moskau', 'clubID': '932', 'value': '€2.00m'}, {'date': 'Jan 6, 2016', 'age': '20', 'clubName': 'Lokomotiv Moskau', 'clubID': '932', 'value': '€3.50m'}, {'date': 'May 25, 2016', 'age': '20', 'clubName': 'Lokomotiv Moskau', 'clubID': '932', 'value': '€4.00m'}, {'date': 'Dec 27, 2016', 'age': '21', 'clubName': 'Lokomotiv Moskau', 'clubID': '932', 'value': '€4.50m'}, {'date': 'Jun 1, 2017', 'age': '21', 'clubName': 'Lokomotiv Moskau', 'clubID': '932', 'value': '€6.50m'}, {'date': 'Oct 2, 2017', 'age': '21', 'clubName': 'Lokomotiv Moscow', 'clubID': '932', 'value': '€7.50m'}, {'date': 'Dec 23, 2017', 'age': '22', 'clubName': 'Lokomotiv Moscow', 'clubID': '932', 'value': '€10.00m'}, {'date': 'Jun 6, 2018', 'age': '22', 'clubName': 'Lokomotiv Moscow', 'clubID': '932', 'value': '€14.00m'}, {'date': 'Dec 20, 2018', 'age': '23', 'clubName': 'Lokomotiv Moscow', 'clubID': '932', 'value': '€14.00m'}, {'date': 'Jun 14, 2019', 'age': '23', 'clubName': 'Lokomotiv Moscow', 'clubID': '932', 'value': '€15.00m'}, {'date': 'Sep 10, 2019', 'age': '23', 'clubName': 'Lokomotiv Moscow', 'clubID': '932', 'value': '€16.00m'}, {'date': 'Dec 23, 2019', 'age': '24', 'clubName': 'Lokomotiv Moscow', 'clubID': '932', 'value': '€18.00m'}, {'date': 'Apr 8, 2020', 'age': '24', 'clubName': 'Lokomotiv Moscow', 'clubID': '932', 'value': '€14.50m'}, {'date': 'Jul 29, 2020', 'age': '24', 'clubName': 'Lokomotiv Moscow', 'clubID': '932', 'value': '€18.00m'}, {'date': 'Dec 29, 2020', 'age': '25', 'clubName': 'Atalanta BC', 'clubID': '800', 'value': '€18.00m'}, {'date': 'Mar 23, 2021', 'age': '25', 'clubName': 'Atalanta BC', 'clubID': '800', 'value': '€17.00m'}, {'date': 'May 26, 2021', 'age': '25', 'clubName': 'Atalanta BC', 'clubID': '800', 'value': '€15.00m'}, {'date': 'Oct 14, 2021', 'age': '25', 'clubName': 'Atalanta BC', 'clubID': '800', 'value': '€13.50m'}, {'date': 'Dec 28, 2021', 'age': '26', 'clubName': 'Atalanta BC', 'clubID': '800', 'value': '€11.00m'}, {'date': 'Jun 7, 2022', 'age': '26', 'clubName': 'Atalanta BC', 'clubID': '800', 'value': '€10.00m'}, {'date': 'Nov 11, 2022', 'age': '27', 'clubName': 'Torino FC', 'clubID': '416', 'value': '€10.00m'}, {'date': 'Mar 21, 2023', 'age': '27', 'clubName': 'Torino FC', 'clubID': '416', 'value': '€12.00m'}, {'date': 'Jun 15, 2023', 'age': '27', 'clubName': 'Torino FC', 'clubID': '416', 'value': '€12.00m'}, {'date': 'Oct 11, 2023', 'age': '27', 'clubName': 'Atalanta BC', 'clubID': '800', 'value': '€9.00m'}, {'date': 'Dec 20, 2023', 'age': '28', 'clubName': 'Atalanta BC', 'clubID': '800', 'value': '€7.50m'}, {'date': 'Mar 12, 2024', 'age': '28', 'clubName': 'Atalanta BC', 'clubID': '800', 'value': '€9.00m'}, {'date': 'Jun 5, 2024', 'age': '28', 'clubName': 'Atalanta BC', 'clubID': '800', 'value': '€10.00m'}, {'date': 'Dec 12, 2024', 'age': '29', 'clubName': 'Atlanta United FC', 'clubID': '51663', 'value': '€10.00m'}, {'date': 'Jun 5, 2025', 'age': '29', 'clubName': 'Atlanta United FC', 'clubID': '51663', 'value': '€9.00m'}, {'date': 'Dec 11, 2025', 'age': '30', 'clubName': 'Atlanta United FC', 'clubID': '51663', 'value': '€8.00m'}]}</t>
  </si>
  <si>
    <t>1995-10-17</t>
  </si>
  <si>
    <t>Viergever</t>
  </si>
  <si>
    <t>{'marketValueHistory': [{'date': '12/05/2009', 'age': '19', 'clubName': 'Sparta Rotterdam U21', 'clubID': '8621', 'value': '€50k'}, {'date': '18/01/2010', 'age': '20', 'clubName': 'Sparta Rotterdam', 'clubID': '468', 'value': '€300k'}, {'date': '04/08/2010', 'age': '21', 'clubName': 'AZ Alkmaar', 'clubID': '1090', 'value': '€900k'}, {'date': '16/06/2011', 'age': '21', 'clubName': 'AZ Alkmaar', 'clubID': '1090', 'value': '€1.25m'}, {'date': '21/10/2011', 'age': '22', 'clubName': 'AZ Alkmaar', 'clubID': '1090', 'value': '€2.00m'}, {'date': '05/01/2012', 'age': '22', 'clubName': 'AZ Alkmaar', 'clubID': '1090', 'value': '€2.50m'}, {'date': '06/07/2012', 'age': '22', 'clubName': 'AZ Alkmaar', 'clubID': '1090', 'value': '€4.00m'}, {'date': '12/06/2013', 'age': '23', 'clubName': 'AZ Alkmaar', 'clubID': '1090', 'value': '€4.00m'}, {'date': '11/02/2014', 'age': '24', 'clubName': 'AZ Alkmaar', 'clubID': '1090', 'value': '€4.00m'}, {'date': '11/08/2014', 'age': '25', 'clubName': 'Ajax Amsterdam', 'clubID': '610', 'value': '€4.00m'}, {'date': '16/02/2015', 'age': '25', 'clubName': 'Ajax Amsterdam', 'clubID': '610', 'value': '€3.00m'}, {'date': '01/07/2015', 'age': '25', 'clubName': 'Ajax Amsterdam', 'clubID': '610', 'value': '€3.00m'}, {'date': '11/11/2015', 'age': '26', 'clubName': 'Ajax Amsterdam', 'clubID': '610', 'value': '€2.50m'}, {'date': '05/02/2016', 'age': '26', 'clubName': 'Ajax Amsterdam', 'clubID': '610', 'value': '€1.75m'}, {'date': '15/07/2016', 'age': '26', 'clubName': 'Ajax Amsterdam', 'clubID': '610', 'value': '€2.25m'}, {'date': '18/01/2017', 'age': '27', 'clubName': 'Ajax Amsterdam', 'clubID': '610', 'value': '€3.00m'}, {'date': '07/06/2017', 'age': '27', 'clubName': 'Ajax Amsterdam', 'clubID': '610', 'value': '€4.00m'}, {'date': '17/01/2018', 'age': '28', 'clubName': 'Ajax Amsterdam', 'clubID': '610', 'value': '€4.00m'}, {'date': '12/06/2018', 'age': '28', 'clubName': 'Ajax Amsterdam', 'clubID': '610', 'value': '€3.00m'}, {'date': '28/12/2018', 'age': '29', 'clubName': 'PSV Eindhoven', 'clubID': '383', 'value': '€4.00m'}, {'date': '12/06/2019', 'age': '29', 'clubName': 'PSV Eindhoven', 'clubID': '383', 'value': '€4.00m'}, {'date': '18/12/2019', 'age': '30', 'clubName': 'PSV Eindhoven', 'clubID': '383', 'value': '€4.00m'}, {'date': '08/04/2020', 'age': '30', 'clubName': 'PSV Eindhoven', 'clubID': '383', 'value': '€3.20m'}, {'date': '14/10/2020', 'age': '31', 'clubName': 'PSV Eindhoven', 'clubID': '383', 'value': '€3.00m'}, {'date': '06/01/2021', 'age': '31', 'clubName': 'PSV Eindhoven', 'clubID': '383', 'value': '€2.50m'}, {'date': '09/03/2021', 'age': '31', 'clubName': 'PSV Eindhoven', 'clubID': '383', 'value': '€2.00m'}, {'date': '19/05/2021', 'age': '31', 'clubName': 'PSV Eindhoven', 'clubID': '383', 'value': '€2.00m'}, {'date': '07/10/2021', 'age': '32', 'clubName': 'SpVgg Greuther Fürth', 'clubID': '65', 'value': '€1.20m'}, {'date': '22/12/2021', 'age': '32', 'clubName': 'SpVgg Greuther Fürth', 'clubID': '65', 'value': '€1.00m'}, {'date': '09/06/2022', 'age': '32', 'clubName': 'SpVgg Greuther Fürth', 'clubID': '65', 'value': '€800k'}, {'date': '11/11/2022', 'age': '33', 'clubName': 'FC Utrecht', 'clubID': '200', 'value': '€800k'}, {'date': '23/06/2023', 'age': '33', 'clubName': 'FC Utrecht', 'clubID': '200', 'value': '€650k'}, {'date': '15/12/2023', 'age': '34', 'clubName': 'FC Utrecht', 'clubID': '200', 'value': '€500k'}, {'date': '31/05/2024', 'age': '34', 'clubName': 'FC Utrecht', 'clubID': '200', 'value': '€450k'}, {'date': '17/12/2024', 'age': '35', 'clubName': 'FC Utrecht', 'clubID': '200', 'value': '€400k'}, {'date': '28/05/2025', 'age': '35', 'clubName': 'FC Utrecht', 'clubID': '200', 'value': '€400k'}, {'date': '02/12/2025', 'age': '36', 'clubName': 'FC Utrecht', 'clubID': '200', 'value': '€350k'}]}</t>
  </si>
  <si>
    <t>1989-08-03</t>
  </si>
  <si>
    <t>Cristante</t>
  </si>
  <si>
    <t>{'marketValueHistory': [{'date': 'Nov 14, 2011', 'age': '16', 'clubName': 'Milan Primavera', 'clubID': '10958', 'value': '€100k'}, {'date': 'Mar 6, 2012', 'age': '17', 'clubName': 'Milan Primavera', 'clubID': '10958', 'value': '€350k'}, {'date': 'Jun 8, 2012', 'age': '17', 'clubName': 'Milan Primavera', 'clubID': '10958', 'value': '€500k'}, {'date': 'Jun 7, 2013', 'age': '18', 'clubName': 'Milan Primavera', 'clubID': '10958', 'value': '€1.00m'}, {'date': 'Jan 7, 2014', 'age': '18', 'clubName': 'AC Milan', 'clubID': '5', 'value': '€3.00m'}, {'date': 'Jul 1, 2014', 'age': '19', 'clubName': 'AC Milan', 'clubID': '5', 'value': '€3.00m'}, {'date': 'Sep 30, 2014', 'age': '19', 'clubName': 'SL Benfica', 'clubID': '294', 'value': '€4.50m'}, {'date': 'Feb 17, 2015', 'age': '19', 'clubName': 'SL Benfica', 'clubID': '294', 'value': '€4.50m'}, {'date': 'Jul 1, 2015', 'age': '20', 'clubName': 'SL Benfica', 'clubID': '294', 'value': '€4.00m'}, {'date': 'Feb 24, 2016', 'age': '20', 'clubName': 'US Palermo', 'clubID': '458', 'value': '€3.50m'}, {'date': 'Apr 1, 2016', 'age': '21', 'clubName': 'US Palermo', 'clubID': '458', 'value': '€3.00m'}, {'date': 'Jul 15, 2016', 'age': '21', 'clubName': 'Delfino Pescara 1936', 'clubID': '2921', 'value': '€2.50m'}, {'date': 'Jan 2, 2017', 'age': '21', 'clubName': 'Delfino Pescara 1936', 'clubID': '2921', 'value': '€2.00m'}, {'date': 'Jun 8, 2017', 'age': '22', 'clubName': 'Atalanta BC', 'clubID': '800', 'value': '€3.00m'}, {'date': 'Oct 13, 2017', 'age': '22', 'clubName': 'Atalanta BC', 'clubID': '800', 'value': '€5.00m'}, {'date': 'Dec 29, 2017', 'age': '22', 'clubName': 'Atalanta BC', 'clubID': '800', 'value': '€15.00m'}, {'date': 'Mar 24, 2018', 'age': '23', 'clubName': 'Atalanta BC', 'clubID': '800', 'value': '€20.00m'}, {'date': 'Jun 7, 2018', 'age': '23', 'clubName': 'Atalanta BC', 'clubID': '800', 'value': '€25.00m'}, {'date': 'Dec 20, 2018', 'age': '23', 'clubName': 'AS Roma', 'clubID': '12', 'value': '€25.00m'}, {'date': 'Jun 6, 2019', 'age': '24', 'clubName': 'AS Roma', 'clubID': '12', 'value': '€25.00m'}, {'date': 'Dec 12, 2019', 'age': '24', 'clubName': 'AS Roma', 'clubID': '12', 'value': '€25.00m'}, {'date': 'Apr 8, 2020', 'age': '25', 'clubName': 'AS Roma', 'clubID': '12', 'value': '€20.00m'}, {'date': 'Aug 25, 2020', 'age': '25', 'clubName': 'AS Roma', 'clubID': '12', 'value': '€18.00m'}, {'date': 'Dec 29, 2020', 'age': '25', 'clubName': 'AS Roma', 'clubID': '12', 'value': '€18.00m'}, {'date': 'May 25, 2021', 'age': '26', 'clubName': 'AS Roma', 'clubID': '12', 'value': '€18.00m'}, {'date': 'Oct 14, 2021', 'age': '26', 'clubName': 'AS Roma', 'clubID': '12', 'value': '€20.00m'}, {'date': 'Dec 28, 2021', 'age': '26', 'clubName': 'AS Roma', 'clubID': '12', 'value': '€20.00m'}, {'date': 'Jun 7, 2022', 'age': '27', 'clubName': 'AS Roma', 'clubID': '12', 'value': '€20.00m'}, {'date': 'Nov 11, 2022', 'age': '27', 'clubName': 'AS Roma', 'clubID': '12', 'value': '€20.00m'}, {'date': 'Jun 15, 2023', 'age': '28', 'clubName': 'AS Roma', 'clubID': '12', 'value': '€20.00m'}, {'date': 'Dec 20, 2023', 'age': '28', 'clubName': 'AS Roma', 'clubID': '12', 'value': '€20.00m'}, {'date': 'Jun 5, 2024', 'age': '29', 'clubName': 'AS Roma', 'clubID': '12', 'value': '€20.00m'}, {'date': 'Dec 18, 2024', 'age': '29', 'clubName': 'AS Roma', 'clubID': '12', 'value': '€12.00m'}, {'date': 'Mar 25, 2025', 'age': '30', 'clubName': 'AS Roma', 'clubID': '12', 'value': '€7.00m'}, {'date': 'Jun 17, 2025', 'age': '30', 'clubName': 'AS Roma', 'clubID': '12', 'value': '€7.00m'}, {'date': 'Dec 23, 2025', 'age': '30', 'clubName': 'AS Roma', 'clubID': '12', 'value': '€7.00m'}]}</t>
  </si>
  <si>
    <t>1995-03-03</t>
  </si>
  <si>
    <t>Rodrigues</t>
  </si>
  <si>
    <t>1965-06-19</t>
  </si>
  <si>
    <t>Ben Nabouhane</t>
  </si>
  <si>
    <t>{'marketValueHistory': [{'date': 'Jul 17, 2008', 'age': '19', 'clubName': 'Le Havre AC', 'clubID': '738', 'value': '€50k'}, {'date': 'Sep 4, 2009', 'age': '20', 'clubName': 'Le Havre AC', 'clubID': '738', 'value': '€300k'}, {'date': 'May 17, 2010', 'age': '20', 'clubName': 'Le Havre AC', 'clubID': '738', 'value': '€100k'}, {'date': 'Aug 1, 2010', 'age': '21', 'clubName': 'Vannes OC', 'clubID': '1377', 'value': '€400k'}, {'date': 'Feb 8, 2011', 'age': '21', 'clubName': 'Vannes OC', 'clubID': '1377', 'value': '€300k'}, {'date': 'May 30, 2011', 'age': '21', 'clubName': 'Vannes OC', 'clubID': '1377', 'value': '€300k'}, {'date': 'Sep 14, 2011', 'age': '22', 'clubName': 'Vannes OC', 'clubID': '1377', 'value': '-'}, {'date': 'Dec 2, 2013', 'age': '24', 'clubName': 'PAE Veria', 'clubID': '2079', 'value': '€400k'}, {'date': 'Mar 28, 2014', 'age': '24', 'clubName': 'PAE Veria', 'clubID': '2079', 'value': '€800k'}, {'date': 'Nov 11, 2014', 'age': '25', 'clubName': 'PAE Veria', 'clubID': '2079', 'value': '€800k'}, {'date': 'May 10, 2015', 'age': '25', 'clubName': 'PAE Veria', 'clubID': '2079', 'value': '€1.00m'}, {'date': 'Sep 27, 2015', 'age': '26', 'clubName': 'Olympiacos Piraeus', 'clubID': '683', 'value': '€1.00m'}, {'date': 'Jun 21, 2016', 'age': '27', 'clubName': 'Levadiakos', 'clubID': '2672', 'value': '€800k'}, {'date': 'Dec 21, 2016', 'age': '27', 'clubName': 'Panionios FC', 'clubID': '169', 'value': '€800k'}, {'date': 'May 11, 2017', 'age': '27', 'clubName': 'Panionios FC', 'clubID': '169', 'value': '€800k'}, {'date': 'Aug 21, 2017', 'age': '28', 'clubName': 'Olympiacos Piraeus', 'clubID': '683', 'value': '€1.00m'}, {'date': 'Dec 18, 2017', 'age': '28', 'clubName': 'Olympiacos Piraeus', 'clubID': '683', 'value': '€1.25m'}, {'date': 'Jul 2, 2018', 'age': '29', 'clubName': 'Red Star Belgrade', 'clubID': '159', 'value': '€1.75m'}, {'date': 'Jan 14, 2019', 'age': '29', 'clubName': 'Red Star Belgrade', 'clubID': '159', 'value': '€3.00m'}, {'date': 'Jun 9, 2019', 'age': '29', 'clubName': 'Red Star Belgrade', 'clubID': '159', 'value': '€4.00m'}, {'date': 'Oct 28, 2019', 'age': '30', 'clubName': 'Red Star Belgrade', 'clubID': '159', 'value': '€3.00m'}, {'date': 'Apr 8, 2020', 'age': '30', 'clubName': 'Red Star Belgrade', 'clubID': '159', 'value': '€2.40m'}, {'date': 'Jun 28, 2020', 'age': '31', 'clubName': 'Red Star Belgrade', 'clubID': '159', 'value': '€3.00m'}, {'date': 'Dec 22, 2020', 'age': '31', 'clubName': 'Red Star Belgrade', 'clubID': '159', 'value': '€2.50m'}, {'date': 'Jun 12, 2021', 'age': '32', 'clubName': 'Red Star Belgrade', 'clubID': '159', 'value': '€2.50m'}, {'date': 'Dec 25, 2021', 'age': '32', 'clubName': 'Red Star Belgrade', 'clubID': '159', 'value': '€1.80m'}, {'date': 'Jun 26, 2022', 'age': '33', 'clubName': 'Red Star Belgrade', 'clubID': '159', 'value': '€1.50m'}, {'date': 'Sep 12, 2022', 'age': '33', 'clubName': 'Red Star Belgrade', 'clubID': '159', 'value': '€1.30m'}, {'date': 'Nov 18, 2022', 'age': '33', 'clubName': 'Red Star Belgrade', 'clubID': '159', 'value': '€1.20m'}, {'date': 'May 31, 2023', 'age': '33', 'clubName': 'APOEL Nicosia', 'clubID': '2784', 'value': '€700k'}, {'date': 'Dec 28, 2023', 'age': '34', 'clubName': 'APOEL Nicosia', 'clubID': '2784', 'value': '€500k'}, {'date': 'Mar 26, 2024', 'age': '34', 'clubName': 'APOEL Nicosia', 'clubID': '2784', 'value': '€300k'}, {'date': 'May 17, 2024', 'age': '34', 'clubName': 'APOEL Nicosia', 'clubID': '2784', 'value': '€150k'}, {'date': 'Dec 27, 2024', 'age': '35', 'clubName': 'FK Zeleznicar Pancevo', 'clubID': '59358', 'value': '€100k'}, {'date': 'Jun 12, 2025', 'age': '36', 'clubName': 'FK Zeleznicar Pancevo', 'clubID': '59358', 'value': '€50k'}, {'date': 'Dec 11, 2025', 'age': '36', 'clubName': 'FK Zemun', 'clubID': '3521', 'value': '€50k'}]}</t>
  </si>
  <si>
    <t>1989-06-10</t>
  </si>
  <si>
    <t>Caligiuri</t>
  </si>
  <si>
    <t>{'marketValueHistory': [{'date': '19/08/2008', 'age': '20', 'clubName': 'SC Freiburg II', 'clubID': '245', 'value': '€50k'}, {'date': '18/06/2009', 'age': '21', 'clubName': 'SC Freiburg II', 'clubID': '245', 'value': '€75k'}, {'date': '09/11/2009', 'age': '21', 'clubName': 'SC Freiburg II', 'clubID': '245', 'value': '€125k'}, {'date': '15/11/2009', 'age': '21', 'clubName': 'SC Freiburg II', 'clubID': '245', 'value': '€200k'}, {'date': '08/12/2009', 'age': '21', 'clubName': 'SC Freiburg II', 'clubID': '245', 'value': '€300k'}, {'date': '23/12/2009', 'age': '21', 'clubName': 'SC Freiburg II', 'clubID': '245', 'value': '€450k'}, {'date': '17/01/2010', 'age': '22', 'clubName': 'SC Freiburg', 'clubID': '60', 'value': '€600k'}, {'date': '05/03/2010', 'age': '22', 'clubName': 'SC Freiburg', 'clubID': '60', 'value': '€750k'}, {'date': '29/08/2010', 'age': '22', 'clubName': 'SC Freiburg', 'clubID': '60', 'value': '€750k'}, {'date': '12/01/2011', 'age': '22', 'clubName': 'SC Freiburg', 'clubID': '60', 'value': '€1.00m'}, {'date': '29/06/2011', 'age': '23', 'clubName': 'SC Freiburg', 'clubID': '60', 'value': '€1.25m'}, {'date': '23/01/2012', 'age': '24', 'clubName': 'SC Freiburg', 'clubID': '60', 'value': '€1.00m'}, {'date': '05/03/2012', 'age': '24', 'clubName': 'SC Freiburg', 'clubID': '60', 'value': '€1.25m'}, {'date': '29/06/2012', 'age': '24', 'clubName': 'SC Freiburg', 'clubID': '60', 'value': '€2.50m'}, {'date': '13/01/2013', 'age': '24', 'clubName': 'SC Freiburg', 'clubID': '60', 'value': '€3.50m'}, {'date': '30/06/2013', 'age': '25', 'clubName': 'SC Freiburg', 'clubID': '60', 'value': '€4.50m'}, {'date': '10/07/2014', 'age': '26', 'clubName': 'VfL Wolfsburg', 'clubID': '82', 'value': '€4.00m'}, {'date': '04/02/2015', 'age': '27', 'clubName': 'VfL Wolfsburg', 'clubID': '82', 'value': '€4.00m'}, {'date': '29/03/2015', 'age': '27', 'clubName': 'VfL Wolfsburg', 'clubID': '82', 'value': '€5.00m'}, {'date': '01/07/2015', 'age': '27', 'clubName': 'VfL Wolfsburg', 'clubID': '82', 'value': '€7.50m'}, {'date': '15/02/2016', 'age': '28', 'clubName': 'VfL Wolfsburg', 'clubID': '82', 'value': '€7.50m'}, {'date': '22/07/2016', 'age': '28', 'clubName': 'VfL Wolfsburg', 'clubID': '82', 'value': '€6.50m'}, {'date': '07/02/2017', 'age': '29', 'clubName': 'FC Schalke 04', 'clubID': '33', 'value': '€5.00m'}, {'date': '19/06/2017', 'age': '29', 'clubName': 'FC Schalke 04', 'clubID': '33', 'value': '€5.00m'}, {'date': '28/12/2017', 'age': '29', 'clubName': 'FC Schalke 04', 'clubID': '33', 'value': '€5.00m'}, {'date': '05/06/2018', 'age': '30', 'clubName': 'FC Schalke 04', 'clubID': '33', 'value': '€7.50m'}, {'date': '18/12/2018', 'age': '30', 'clubName': 'FC Schalke 04', 'clubID': '33', 'value': '€7.50m'}, {'date': '05/06/2019', 'age': '31', 'clubName': 'FC Schalke 04', 'clubID': '33', 'value': '€6.50m'}, {'date': '17/12/2019', 'age': '31', 'clubName': 'FC Schalke 04', 'clubID': '33', 'value': '€5.00m'}, {'date': '08/04/2020', 'age': '32', 'clubName': 'FC Schalke 04', 'clubID': '33', 'value': '€4.00m'}, {'date': '16/09/2020', 'age': '32', 'clubName': 'FC Augsburg', 'clubID': '167', 'value': '€3.00m'}, {'date': '10/02/2021', 'age': '33', 'clubName': 'FC Augsburg', 'clubID': '167', 'value': '€3.00m'}, {'date': '31/05/2021', 'age': '33', 'clubName': 'FC Augsburg', 'clubID': '167', 'value': '€2.00m'}, {'date': '22/12/2021', 'age': '33', 'clubName': 'FC Augsburg', 'clubID': '167', 'value': '€1.50m'}, {'date': '09/06/2022', 'age': '34', 'clubName': 'FC Augsburg', 'clubID': '167', 'value': '€800k'}, {'date': '09/11/2022', 'age': '34', 'clubName': 'FC Augsburg', 'clubID': '167', 'value': '€600k'}, {'date': '22/06/2023', 'age': '35', 'clubName': 'FC Augsburg', 'clubID': '167', 'value': '€600k'}, {'date': '25/10/2023', 'age': '35', 'clubName': 'Without Club', 'clubID': '515', 'value': '€400k'}, {'date': '01/02/2024', 'age': '36', 'clubName': 'FC 08 Villingen', 'clubID': '951', 'value': '-'}]}</t>
  </si>
  <si>
    <t>1988-01-15</t>
  </si>
  <si>
    <t>Allan</t>
  </si>
  <si>
    <t>{'marketValueHistory': [{'date': 'Dec 18, 2016', 'age': '16', 'clubName': 'Bryne FK', 'clubID': '1057', 'value': '€200k'}, {'date': 'Dec 23, 2017', 'age': '17', 'clubName': 'Molde FK', 'clubID': '687', 'value': '€300k'}, {'date': 'Sep 10, 2018', 'age': '18', 'clubName': 'Molde FK', 'clubID': '687', 'value': '€2.00m'}, {'date': 'Dec 30, 2018', 'age': '18', 'clubName': 'Molde FK', 'clubID': '687', 'value': '€5.00m'}, {'date': 'Jun 3, 2019', 'age': '18', 'clubName': 'Red Bull Salzburg', 'clubID': '409', 'value': '€5.00m'}, {'date': 'Sep 3, 2019', 'age': '19', 'clubName': 'Red Bull Salzburg', 'clubID': '409', 'value': '€12.00m'}, {'date': 'Nov 7, 2019', 'age': '19', 'clubName': 'Red Bull Salzburg', 'clubID': '409', 'value': '€30.00m'}, {'date': 'Dec 16, 2019', 'age': '19', 'clubName': 'Red Bull Salzburg', 'clubID': '409', 'value': '€45.00m'}, {'date': 'Feb 11, 2020', 'age': '19', 'clubName': 'Borussia Dortmund', 'clubID': '16', 'value': '€60.00m'}, {'date': 'Mar 11, 2020', 'age': '19', 'clubName': 'Borussia Dortmund', 'clubID': '16', 'value': '€80.00m'}, {'date': 'Apr 8, 2020', 'age': '19', 'clubName': 'Borussia Dortmund', 'clubID': '16', 'value': '€72.00m'}, {'date': 'Sep 16, 2020', 'age': '20', 'clubName': 'Borussia Dortmund', 'clubID': '16', 'value': '€80.00m'}, {'date': 'Nov 26, 2020', 'age': '20', 'clubName': 'Borussia Dortmund', 'clubID': '16', 'value': '€100.00m'}, {'date': 'Feb 10, 2021', 'age': '20', 'clubName': 'Borussia Dortmund', 'clubID': '16', 'value': '€110.00m'}, {'date': 'Jun 9, 2021', 'age': '20', 'clubName': 'Borussia Dortmund', 'clubID': '16', 'value': '€130.00m'}, {'date': 'Oct 7, 2021', 'age': '21', 'clubName': 'Borussia Dortmund', 'clubID': '16', 'value': '€150.00m'}, {'date': 'Dec 22, 2021', 'age': '21', 'clubName': 'Borussia Dortmund', 'clubID': '16', 'value': '€150.00m'}, {'date': 'Jun 9, 2022', 'age': '21', 'clubName': 'Borussia Dortmund', 'clubID': '16', 'value': '€150.00m'}, {'date': 'Nov 3, 2022', 'age': '22', 'clubName': 'Manchester City', 'clubID': '281', 'value': '€170.00m'}, {'date': 'Jun 20, 2023', 'age': '22', 'clubName': 'Manchester City', 'clubID': '281', 'value': '€180.00m'}, {'date': 'Dec 19, 2023', 'age': '23', 'clubName': 'Manchester City', 'clubID': '281', 'value': '€180.00m'}, {'date': 'May 27, 2024', 'age': '23', 'clubName': 'Manchester City', 'clubID': '281', 'value': '€180.00m'}, {'date': 'Oct 1, 2024', 'age': '24', 'clubName': 'Manchester City', 'clubID': '281', 'value': '€200.00m'}, {'date': 'Dec 16, 2024', 'age': '24', 'clubName': 'Manchester City', 'clubID': '281', 'value': '€200.00m'}, {'date': 'May 30, 2025', 'age': '24', 'clubName': 'Manchester City', 'clubID': '281', 'value': '€180.00m'}, {'date': 'Dec 9, 2025', 'age': '25', 'clubName': 'Manchester City', 'clubID': '281', 'value': '€200.00m'}]}</t>
  </si>
  <si>
    <t>Norway</t>
  </si>
  <si>
    <t>2000-07-21</t>
  </si>
  <si>
    <t>Aguero</t>
  </si>
  <si>
    <t>{'marketValueHistory': [{'date': '30/12/2005', 'age': '17', 'clubName': 'CA Independiente', 'clubID': '1234', 'value': '€1.25m'}, {'date': '05/02/2006', 'age': '17', 'clubName': 'CA Independiente', 'clubID': '1234', 'value': '€5.00m'}, {'date': '06/08/2006', 'age': '18', 'clubName': 'Atlético de Madrid', 'clubID': '13', 'value': '€23.00m'}, {'date': '21/06/2007', 'age': '19', 'clubName': 'Atlético de Madrid', 'clubID': '13', 'value': '€20.00m'}, {'date': '04/02/2008', 'age': '19', 'clubName': 'Atlético de Madrid', 'clubID': '13', 'value': '€28.00m'}, {'date': '11/07/2008', 'age': '20', 'clubName': 'Atlético de Madrid', 'clubID': '13', 'value': '€28.00m'}, {'date': '26/01/2009', 'age': '20', 'clubName': 'Atlético de Madrid', 'clubID': '13', 'value': '€30.00m'}, {'date': '22/07/2009', 'age': '21', 'clubName': 'Atlético de Madrid', 'clubID': '13', 'value': '€36.00m'}, {'date': '03/12/2009', 'age': '21', 'clubName': 'Atlético de Madrid', 'clubID': '13', 'value': '€36.00m'}, {'date': '12/04/2010', 'age': '21', 'clubName': 'Atlético de Madrid', 'clubID': '13', 'value': '€36.00m'}, {'date': '27/08/2010', 'age': '22', 'clubName': 'Atlético de Madrid', 'clubID': '13', 'value': '€36.00m'}, {'date': '04/02/2011', 'age': '22', 'clubName': 'Atlético de Madrid', 'clubID': '13', 'value': '€36.00m'}, {'date': '29/07/2011', 'age': '23', 'clubName': 'Manchester City', 'clubID': '281', 'value': '€40.00m'}, {'date': '06/02/2012', 'age': '23', 'clubName': 'Manchester City', 'clubID': '281', 'value': '€47.00m'}, {'date': '24/06/2012', 'age': '24', 'clubName': 'Manchester City', 'clubID': '281', 'value': '€51.00m'}, {'date': '28/01/2013', 'age': '24', 'clubName': 'Manchester City', 'clubID': '281', 'value': '€45.00m'}, {'date': '02/07/2013', 'age': '25', 'clubName': 'Manchester City', 'clubID': '281', 'value': '€40.00m'}, {'date': '15/01/2014', 'age': '25', 'clubName': 'Manchester City', 'clubID': '281', 'value': '€45.00m'}, {'date': '12/08/2014', 'age': '26', 'clubName': 'Manchester City', 'clubID': '281', 'value': '€45.00m'}, {'date': '12/02/2015', 'age': '26', 'clubName': 'Manchester City', 'clubID': '281', 'value': '€50.00m'}, {'date': '01/07/2015', 'age': '27', 'clubName': 'Manchester City', 'clubID': '281', 'value': '€60.00m'}, {'date': '09/02/2016', 'age': '27', 'clubName': 'Manchester City', 'clubID': '281', 'value': '€60.00m'}, {'date': '01/08/2016', 'age': '28', 'clubName': 'Manchester City', 'clubID': '281', 'value': '€60.00m'}, {'date': '20/02/2017', 'age': '28', 'clubName': 'Manchester City', 'clubID': '281', 'value': '€65.00m'}, {'date': '28/06/2017', 'age': '29', 'clubName': 'Manchester City', 'clubID': '281', 'value': '€65.00m'}, {'date': '02/01/2018', 'age': '29', 'clubName': 'Manchester City', 'clubID': '281', 'value': '€75.00m'}, {'date': '28/05/2018', 'age': '29', 'clubName': 'Manchester City', 'clubID': '281', 'value': '€80.00m'}, {'date': '19/12/2018', 'age': '30', 'clubName': 'Manchester City', 'clubID': '281', 'value': '€75.00m'}, {'date': '13/06/2019', 'age': '31', 'clubName': 'Manchester City', 'clubID': '281', 'value': '€65.00m'}, {'date': '10/12/2019', 'age': '31', 'clubName': 'Manchester City', 'clubID': '281', 'value': '€65.00m'}, {'date': '08/04/2020', 'age': '31', 'clubName': 'Manchester City', 'clubID': '281', 'value': '€52.00m'}, {'date': '13/10/2020', 'age': '32', 'clubName': 'Manchester City', 'clubID': '281', 'value': '€42.00m'}, {'date': '17/12/2020', 'age': '32', 'clubName': 'Manchester City', 'clubID': '281', 'value': '€35.00m'}, {'date': '18/03/2021', 'age': '32', 'clubName': 'Manchester City', 'clubID': '281', 'value': '€25.00m'}, {'date': '08/06/2021', 'age': '33', 'clubName': 'Manchester City', 'clubID': '281', 'value': '€18.00m'}, {'date': '13/10/2021', 'age': '33', 'clubName': 'FC Barcelona', 'clubID': '131', 'value': '€15.00m'}, {'date': '15/12/2021', 'age': '33', 'clubName': 'Retired', 'clubID': '123', 'value': '-'}]}</t>
  </si>
  <si>
    <t>1988-06-02</t>
  </si>
  <si>
    <t>Sow</t>
  </si>
  <si>
    <t>{'marketValueHistory': [{'date': 'Sep 12, 2014', 'age': '17', 'clubName': 'FC Zürich U21', 'clubID': '5501', 'value': '€50k'}, {'date': 'Dec 15, 2014', 'age': '17', 'clubName': 'FC Zürich U21', 'clubID': '5501', 'value': '€350k'}, {'date': 'Jul 1, 2015', 'age': '18', 'clubName': 'Borussia Mönchengladbach II', 'clubID': '1006', 'value': '€1.25m'}, {'date': 'Jan 15, 2016', 'age': '18', 'clubName': 'Borussia Mönchengladbach II', 'clubID': '1006', 'value': '€1.00m'}, {'date': 'Jul 22, 2016', 'age': '19', 'clubName': 'Borussia Mönchengladbach', 'clubID': '18', 'value': '€1.00m'}, {'date': 'Feb 7, 2017', 'age': '20', 'clubName': 'Borussia Mönchengladbach', 'clubID': '18', 'value': '€1.00m'}, {'date': 'Jun 19, 2017', 'age': '20', 'clubName': 'Borussia Mönchengladbach', 'clubID': '18', 'value': '€1.00m'}, {'date': 'Jul 12, 2017', 'age': '20', 'clubName': 'BSC Young Boys', 'clubID': '452', 'value': '€1.00m'}, {'date': 'Jan 8, 2018', 'age': '20', 'clubName': 'BSC Young Boys', 'clubID': '452', 'value': '€1.50m'}, {'date': 'Apr 24, 2018', 'age': '21', 'clubName': 'BSC Young Boys', 'clubID': '452', 'value': '€3.00m'}, {'date': 'Jul 12, 2018', 'age': '21', 'clubName': 'BSC Young Boys', 'clubID': '452', 'value': '€6.50m'}, {'date': 'Jan 21, 2019', 'age': '21', 'clubName': 'BSC Young Boys', 'clubID': '452', 'value': '€9.00m'}, {'date': 'Apr 15, 2019', 'age': '22', 'clubName': 'BSC Young Boys', 'clubID': '452', 'value': '€9.00m'}, {'date': 'Jun 4, 2019', 'age': '22', 'clubName': 'BSC Young Boys', 'clubID': '452', 'value': '€9.00m'}, {'date': 'Dec 17, 2019', 'age': '22', 'clubName': 'Eintracht Frankfurt', 'clubID': '24', 'value': '€12.00m'}, {'date': 'Apr 8, 2020', 'age': '23', 'clubName': 'Eintracht Frankfurt', 'clubID': '24', 'value': '€9.50m'}, {'date': 'Nov 26, 2020', 'age': '23', 'clubName': 'Eintracht Frankfurt', 'clubID': '24', 'value': '€7.00m'}, {'date': 'Feb 10, 2021', 'age': '24', 'clubName': 'Eintracht Frankfurt', 'clubID': '24', 'value': '€10.00m'}, {'date': 'Mar 31, 2021', 'age': '24', 'clubName': 'Eintracht Frankfurt', 'clubID': '24', 'value': '€15.00m'}, {'date': 'May 25, 2021', 'age': '24', 'clubName': 'Eintracht Frankfurt', 'clubID': '24', 'value': '€15.00m'}, {'date': 'Dec 22, 2021', 'age': '24', 'clubName': 'Eintracht Frankfurt', 'clubID': '24', 'value': '€17.50m'}, {'date': 'Jun 9, 2022', 'age': '25', 'clubName': 'Eintracht Frankfurt', 'clubID': '24', 'value': '€22.00m'}, {'date': 'Nov 9, 2022', 'age': '25', 'clubName': 'Eintracht Frankfurt', 'clubID': '24', 'value': '€22.00m'}, {'date': 'Jun 22, 2023', 'age': '26', 'clubName': 'Eintracht Frankfurt', 'clubID': '24', 'value': '€22.00m'}, {'date': 'Dec 22, 2023', 'age': '26', 'clubName': 'Sevilla FC', 'clubID': '368', 'value': '€18.00m'}, {'date': 'Mar 21, 2024', 'age': '27', 'clubName': 'Sevilla FC', 'clubID': '368', 'value': '€12.00m'}, {'date': 'Jun 7, 2024', 'age': '27', 'clubName': 'Sevilla FC', 'clubID': '368', 'value': '€9.00m'}, {'date': 'Oct 11, 2024', 'age': '27', 'clubName': 'Sevilla FC', 'clubID': '368', 'value': '€7.50m'}, {'date': 'Dec 27, 2024', 'age': '27', 'clubName': 'Sevilla FC', 'clubID': '368', 'value': '€7.50m'}, {'date': 'Jun 9, 2025', 'age': '28', 'clubName': 'Sevilla FC', 'clubID': '368', 'value': '€7.50m'}, {'date': 'Dec 12, 2025', 'age': '28', 'clubName': 'Sevilla FC', 'clubID': '368', 'value': '€7.50m'}]}</t>
  </si>
  <si>
    <t>1997-02-06</t>
  </si>
  <si>
    <t>Martial</t>
  </si>
  <si>
    <t>{'marketValueHistory': [{'date': '02/07/2013', 'age': '17', 'clubName': 'AS Monaco', 'clubID': '162', 'value': '€4.00m'}, {'date': '14/01/2014', 'age': '18', 'clubName': 'AS Monaco', 'clubID': '162', 'value': '€4.75m'}, {'date': '05/02/2014', 'age': '18', 'clubName': 'AS Monaco', 'clubID': '162', 'value': '€5.00m'}, {'date': '07/08/2014', 'age': '18', 'clubName': 'AS Monaco', 'clubID': '162', 'value': '€5.00m'}, {'date': '14/01/2015', 'age': '19', 'clubName': 'AS Monaco', 'clubID': '162', 'value': '€5.00m'}, {'date': '06/06/2015', 'age': '19', 'clubName': 'AS Monaco', 'clubID': '162', 'value': '€8.00m'}, {'date': '14/10/2015', 'age': '19', 'clubName': 'Manchester United', 'clubID': '985', 'value': '€25.00m'}, {'date': '09/02/2016', 'age': '20', 'clubName': 'Manchester United', 'clubID': '985', 'value': '€30.00m'}, {'date': '01/06/2016', 'age': '20', 'clubName': 'Manchester United', 'clubID': '985', 'value': '€32.00m'}, {'date': '01/08/2016', 'age': '20', 'clubName': 'Manchester United', 'clubID': '985', 'value': '€32.00m'}, {'date': '20/02/2017', 'age': '21', 'clubName': 'Manchester United', 'clubID': '985', 'value': '€30.00m'}, {'date': '28/06/2017', 'age': '21', 'clubName': 'Manchester United', 'clubID': '985', 'value': '€30.00m'}, {'date': '23/10/2017', 'age': '21', 'clubName': 'Manchester United', 'clubID': '985', 'value': '€35.00m'}, {'date': '02/01/2018', 'age': '22', 'clubName': 'Manchester United', 'clubID': '985', 'value': '€65.00m'}, {'date': '28/05/2018', 'age': '22', 'clubName': 'Manchester United', 'clubID': '985', 'value': '€65.00m'}, {'date': '17/10/2018', 'age': '22', 'clubName': 'Manchester United', 'clubID': '985', 'value': '€60.00m'}, {'date': '19/12/2018', 'age': '23', 'clubName': 'Manchester United', 'clubID': '985', 'value': '€60.00m'}, {'date': '13/06/2019', 'age': '23', 'clubName': 'Manchester United', 'clubID': '985', 'value': '€60.00m'}, {'date': '10/12/2019', 'age': '24', 'clubName': 'Manchester United', 'clubID': '985', 'value': '€60.00m'}, {'date': '08/04/2020', 'age': '24', 'clubName': 'Manchester United', 'clubID': '985', 'value': '€48.00m'}, {'date': '30/07/2020', 'age': '24', 'clubName': 'Manchester United', 'clubID': '985', 'value': '€58.00m'}, {'date': '13/10/2020', 'age': '24', 'clubName': 'Manchester United', 'clubID': '985', 'value': '€60.00m'}, {'date': '17/12/2020', 'age': '25', 'clubName': 'Manchester United', 'clubID': '985', 'value': '€55.00m'}, {'date': '18/03/2021', 'age': '25', 'clubName': 'Manchester United', 'clubID': '985', 'value': '€50.00m'}, {'date': '08/06/2021', 'age': '25', 'clubName': 'Manchester United', 'clubID': '985', 'value': '€45.00m'}, {'date': '05/10/2021', 'age': '25', 'clubName': 'Manchester United', 'clubID': '985', 'value': '€35.00m'}, {'date': '23/12/2021', 'age': '26', 'clubName': 'Manchester United', 'clubID': '985', 'value': '€32.00m'}, {'date': '21/03/2022', 'age': '26', 'clubName': 'Sevilla FC', 'clubID': '368', 'value': '€28.00m'}, {'date': '03/06/2022', 'age': '26', 'clubName': 'Sevilla FC', 'clubID': '368', 'value': '€16.00m'}, {'date': '03/11/2022', 'age': '26', 'clubName': 'Manchester United', 'clubID': '985', 'value': '€15.00m'}, {'date': '20/06/2023', 'age': '27', 'clubName': 'Manchester United', 'clubID': '985', 'value': '€15.00m'}, {'date': '19/12/2023', 'age': '28', 'clubName': 'Manchester United', 'clubID': '985', 'value': '€15.00m'}, {'date': '14/03/2024', 'age': '28', 'clubName': 'Manchester United', 'clubID': '985', 'value': '€10.00m'}, {'date': '27/05/2024', 'age': '28', 'clubName': 'Manchester United', 'clubID': '985', 'value': '€10.00m'}, {'date': '26/09/2024', 'age': '28', 'clubName': 'AEK Athens', 'clubID': '2441', 'value': '€9.00m'}, {'date': '18/12/2024', 'age': '29', 'clubName': 'AEK Athens', 'clubID': '2441', 'value': '€9.00m'}, {'date': '23/05/2025', 'age': '29', 'clubName': 'AEK Athens', 'clubID': '2441', 'value': '€7.50m'}, {'date': '29/12/2025', 'age': '30', 'clubName': 'CF Monterrey', 'clubID': '2407', 'value': '€6.00m'}, {'date': '26/03/2026', 'age': '30', 'clubName': 'CF Monterrey', 'clubID': '2407', 'value': '€5.00m'}]}</t>
  </si>
  <si>
    <t>1995-12-05</t>
  </si>
  <si>
    <t>Fekir</t>
  </si>
  <si>
    <t>{'marketValueHistory': [{'date': 'Jul 2, 2013', 'age': '19', 'clubName': 'Olympique Lyon', 'clubID': '1041', 'value': '€150k'}, {'date': 'Sep 13, 2013', 'age': '20', 'clubName': 'Olympique Lyon', 'clubID': '1041', 'value': '€500k'}, {'date': 'Jan 14, 2014', 'age': '20', 'clubName': 'Olympique Lyon', 'clubID': '1041', 'value': '€750k'}, {'date': 'Aug 7, 2014', 'age': '21', 'clubName': 'Olympique Lyon', 'clubID': '1041', 'value': '€2.00m'}, {'date': 'Nov 20, 2014', 'age': '21', 'clubName': 'Olympique Lyon', 'clubID': '1041', 'value': '€4.50m'}, {'date': 'Jan 14, 2015', 'age': '21', 'clubName': 'Olympique Lyon', 'clubID': '1041', 'value': '€6.50m'}, {'date': 'Jun 6, 2015', 'age': '21', 'clubName': 'Olympique Lyon', 'clubID': '1041', 'value': '€12.00m'}, {'date': 'Sep 6, 2015', 'age': '22', 'clubName': 'Olympique Lyon', 'clubID': '1041', 'value': '€14.00m'}, {'date': 'Feb 4, 2016', 'age': '22', 'clubName': 'Olympique Lyon', 'clubID': '1041', 'value': '€12.00m'}, {'date': 'Jul 13, 2016', 'age': '22', 'clubName': 'Olympique Lyon', 'clubID': '1041', 'value': '€11.00m'}, {'date': 'Jan 16, 2017', 'age': '23', 'clubName': 'Olympique Lyon', 'clubID': '1041', 'value': '€12.00m'}, {'date': 'Jun 1, 2017', 'age': '23', 'clubName': 'Olympique Lyon', 'clubID': '1041', 'value': '€14.00m'}, {'date': 'Oct 12, 2017', 'age': '24', 'clubName': 'Olympique Lyon', 'clubID': '1041', 'value': '€20.00m'}, {'date': 'Jan 24, 2018', 'age': '24', 'clubName': 'Olympique Lyon', 'clubID': '1041', 'value': '€50.00m'}, {'date': 'Jun 4, 2018', 'age': '24', 'clubName': 'Olympique Lyon', 'clubID': '1041', 'value': '€60.00m'}, {'date': 'Oct 24, 2018', 'age': '25', 'clubName': 'Olympique Lyon', 'clubID': '1041', 'value': '€65.00m'}, {'date': 'Dec 17, 2018', 'age': '25', 'clubName': 'Olympique Lyon', 'clubID': '1041', 'value': '€70.00m'}, {'date': 'Jun 3, 2019', 'age': '25', 'clubName': 'Olympique Lyon', 'clubID': '1041', 'value': '€60.00m'}, {'date': 'Dec 20, 2019', 'age': '26', 'clubName': 'Real Betis Balompié', 'clubID': '150', 'value': '€40.00m'}, {'date': 'Apr 8, 2020', 'age': '26', 'clubName': 'Real Betis Balompié', 'clubID': '150', 'value': '€32.00m'}, {'date': 'Oct 8, 2020', 'age': '27', 'clubName': 'Real Betis Balompié', 'clubID': '150', 'value': '€32.00m'}, {'date': 'Jan 5, 2021', 'age': '27', 'clubName': 'Real Betis Balompié', 'clubID': '150', 'value': '€25.00m'}, {'date': 'Jun 10, 2021', 'age': '27', 'clubName': 'Real Betis Balompié', 'clubID': '150', 'value': '€25.00m'}, {'date': 'Dec 30, 2021', 'age': '28', 'clubName': 'Real Betis Balompié', 'clubID': '150', 'value': '€30.00m'}, {'date': 'Mar 21, 2022', 'age': '28', 'clubName': 'Real Betis Balompié', 'clubID': '150', 'value': '€35.00m'}, {'date': 'Jun 3, 2022', 'age': '28', 'clubName': 'Real Betis Balompié', 'clubID': '150', 'value': '€40.00m'}, {'date': 'Nov 7, 2022', 'age': '29', 'clubName': 'Real Betis Balompié', 'clubID': '150', 'value': '€40.00m'}, {'date': 'Mar 23, 2023', 'age': '29', 'clubName': 'Real Betis Balompié', 'clubID': '150', 'value': '€30.00m'}, {'date': 'Jun 13, 2023', 'age': '29', 'clubName': 'Real Betis Balompié', 'clubID': '150', 'value': '€20.00m'}, {'date': 'Oct 13, 2023', 'age': '30', 'clubName': 'Real Betis Balompié', 'clubID': '150', 'value': '€15.00m'}, {'date': 'Dec 22, 2023', 'age': '30', 'clubName': 'Real Betis Balompié', 'clubID': '150', 'value': '€12.00m'}, {'date': 'Jun 7, 2024', 'age': '30', 'clubName': 'Real Betis Balompié', 'clubID': '150', 'value': '€10.00m'}, {'date': 'Nov 18, 2024', 'age': '31', 'clubName': 'Al-Jazira Club', 'clubID': '2524', 'value': '€9.00m'}, {'date': 'May 29, 2025', 'age': '31', 'clubName': 'Al-Jazira Club', 'clubID': '2524', 'value': '€7.00m'}, {'date': 'Nov 28, 2025', 'age': '32', 'clubName': 'Al-Jazira Club', 'clubID': '2524', 'value': '€5.50m'}]}</t>
  </si>
  <si>
    <t>1993-07-18</t>
  </si>
  <si>
    <t>Junior Moraes</t>
  </si>
  <si>
    <t>{'marketValueHistory': [{'date': '05/02/2008', 'age': '20', 'clubName': 'Santos FC', 'clubID': '221', 'value': '€750k'}, {'date': '21/03/2009', 'age': '21', 'clubName': 'EC Santo André', 'clubID': '7478', 'value': '€300k'}, {'date': '06/09/2009', 'age': '22', 'clubName': 'EC Santo André', 'clubID': '7478', 'value': '€200k'}, {'date': '08/12/2009', 'age': '22', 'clubName': 'EC Santo André', 'clubID': '7478', 'value': '€100k'}, {'date': '27/07/2010', 'age': '23', 'clubName': 'CF Gloria Bistrita (- 2015)', 'clubID': '4688', 'value': '€1.40m'}, {'date': '01/01/2011', 'age': '23', 'clubName': 'CF Gloria Bistrita (- 2015)', 'clubID': '4688', 'value': '€1.80m'}, {'date': '08/11/2011', 'age': '24', 'clubName': 'CSKA Sofia', 'clubID': '208', 'value': '€2.50m'}, {'date': '26/03/2012', 'age': '24', 'clubName': 'CSKA Sofia', 'clubID': '208', 'value': '€2.75m'}, {'date': '08/05/2012', 'age': '25', 'clubName': 'CSKA Sofia', 'clubID': '208', 'value': '€3.00m'}, {'date': '19/11/2012', 'age': '25', 'clubName': 'Metalurg Donetsk', 'clubID': '2783', 'value': '€2.00m'}, {'date': '17/06/2013', 'age': '26', 'clubName': 'Metalurg Donetsk', 'clubID': '2783', 'value': '€2.50m'}, {'date': '02/01/2014', 'age': '26', 'clubName': 'Metalurg Donetsk', 'clubID': '2783', 'value': '€3.00m'}, {'date': '30/06/2014', 'age': '27', 'clubName': 'Metalurg Donetsk', 'clubID': '2783', 'value': '€3.00m'}, {'date': '25/12/2014', 'age': '27', 'clubName': 'Metalurg Donetsk', 'clubID': '2783', 'value': '€2.50m'}, {'date': '07/06/2015', 'age': '28', 'clubName': 'Metalurg Donetsk', 'clubID': '2783', 'value': '€2.50m'}, {'date': '18/12/2015', 'age': '28', 'clubName': 'Dynamo Kyiv', 'clubID': '338', 'value': '€3.50m'}, {'date': '21/07/2016', 'age': '29', 'clubName': 'Dynamo Kyiv', 'clubID': '338', 'value': '€3.50m'}, {'date': '03/01/2017', 'age': '29', 'clubName': 'Dynamo Kyiv', 'clubID': '338', 'value': '€3.50m'}, {'date': '05/03/2017', 'age': '29', 'clubName': 'Tianjin Quanjian', 'clubID': '33714', 'value': '€3.50m'}, {'date': '19/06/2017', 'age': '30', 'clubName': 'Tianjin Quanjian', 'clubID': '33714', 'value': '€2.00m'}, {'date': '12/01/2018', 'age': '30', 'clubName': 'Dynamo Kyiv', 'clubID': '338', 'value': '€2.50m'}, {'date': '06/08/2018', 'age': '31', 'clubName': 'Shakhtar Donetsk', 'clubID': '660', 'value': '€2.50m'}, {'date': '10/12/2018', 'age': '31', 'clubName': 'Shakhtar Donetsk', 'clubID': '660', 'value': '€3.00m'}, {'date': '22/03/2019', 'age': '31', 'clubName': 'Shakhtar Donetsk', 'clubID': '660', 'value': '€4.00m'}, {'date': '20/06/2019', 'age': '32', 'clubName': 'Shakhtar Donetsk', 'clubID': '660', 'value': '€5.00m'}, {'date': '08/01/2020', 'age': '32', 'clubName': 'Shakhtar Donetsk', 'clubID': '660', 'value': '€5.00m'}, {'date': '08/04/2020', 'age': '33', 'clubName': 'Shakhtar Donetsk', 'clubID': '660', 'value': '€4.00m'}, {'date': '04/09/2020', 'age': '33', 'clubName': 'Shakhtar Donetsk', 'clubID': '660', 'value': '€4.00m'}, {'date': '14/01/2021', 'age': '33', 'clubName': 'Shakhtar Donetsk', 'clubID': '660', 'value': '€3.00m'}, {'date': '07/06/2021', 'age': '34', 'clubName': 'Shakhtar Donetsk', 'clubID': '660', 'value': '€2.00m'}, {'date': '20/12/2021', 'age': '34', 'clubName': 'Shakhtar Donetsk', 'clubID': '660', 'value': '€1.50m'}, {'date': '06/04/2022', 'age': '35', 'clubName': 'Sport Club Corinthians Paulista', 'clubID': '199', 'value': '€1.50m'}, {'date': '19/08/2022', 'age': '35', 'clubName': 'Sport Club Corinthians Paulista', 'clubID': '199', 'value': '€800k'}, {'date': '14/11/2022', 'age': '35', 'clubName': 'Sport Club Corinthians Paulista', 'clubID': '199', 'value': '€600k'}, {'date': '07/04/2023', 'age': '36', 'clubName': 'Sport Club Corinthians Paulista', 'clubID': '199', 'value': '€400k'}, {'date': '25/07/2023', 'age': '36', 'clubName': 'Without Club', 'clubID': '515', 'value': '€300k'}, {'date': '25/10/2023', 'age': '36', 'clubName': 'Without Club', 'clubID': '515', 'value': '€200k'}, {'date': '29/03/2024', 'age': '36', 'clubName': 'Without Club', 'clubID': '515', 'value': '€100k'}, {'date': '01/05/2024', 'age': '37', 'clubName': 'Retired', 'clubID': '123', 'value': '-'}]}</t>
  </si>
  <si>
    <t>1987-04-04</t>
  </si>
  <si>
    <t>Casemiro</t>
  </si>
  <si>
    <t>{'marketValueHistory': [{'date': 'Sep 6, 2010', 'age': '18', 'clubName': 'São Paulo Futebol Clube', 'clubID': '585', 'value': '€750k'}, {'date': 'Dec 10, 2010', 'age': '18', 'clubName': 'São Paulo Futebol Clube', 'clubID': '585', 'value': '€1.00m'}, {'date': 'Feb 21, 2011', 'age': '18', 'clubName': 'São Paulo Futebol Clube', 'clubID': '585', 'value': '€4.00m'}, {'date': 'May 30, 2011', 'age': '19', 'clubName': 'São Paulo Futebol Clube', 'clubID': '585', 'value': '€6.00m'}, {'date': 'Jul 20, 2011', 'age': '19', 'clubName': 'São Paulo Futebol Clube', 'clubID': '585', 'value': '€8.00m'}, {'date': 'Dec 8, 2011', 'age': '19', 'clubName': 'São Paulo Futebol Clube', 'clubID': '585', 'value': '€7.50m'}, {'date': 'Feb 2, 2012', 'age': '19', 'clubName': 'São Paulo Futebol Clube', 'clubID': '585', 'value': '€6.50m'}, {'date': 'May 24, 2012', 'age': '20', 'clubName': 'São Paulo Futebol Clube', 'clubID': '585', 'value': '€6.50m'}, {'date': 'Dec 5, 2012', 'age': '20', 'clubName': 'São Paulo Futebol Clube', 'clubID': '585', 'value': '€4.50m'}, {'date': 'Feb 5, 2013', 'age': '20', 'clubName': 'Real Madrid Castilla', 'clubID': '6767', 'value': '€4.50m'}, {'date': 'May 9, 2013', 'age': '21', 'clubName': 'Real Madrid Castilla', 'clubID': '6767', 'value': '€5.00m'}, {'date': 'Jun 22, 2013', 'age': '21', 'clubName': 'Real Madrid Castilla', 'clubID': '6767', 'value': '€6.00m'}, {'date': 'Jan 23, 2014', 'age': '21', 'clubName': 'Real Madrid', 'clubID': '418', 'value': '€6.00m'}, {'date': 'Jul 20, 2014', 'age': '22', 'clubName': 'FC Porto', 'clubID': '720', 'value': '€6.00m'}, {'date': 'Feb 17, 2015', 'age': '22', 'clubName': 'FC Porto', 'clubID': '720', 'value': '€7.00m'}, {'date': 'Jul 1, 2015', 'age': '23', 'clubName': 'FC Porto', 'clubID': '720', 'value': '€10.00m'}, {'date': 'Nov 22, 2015', 'age': '23', 'clubName': 'Real Madrid', 'clubID': '418', 'value': '€15.00m'}, {'date': 'Feb 22, 2016', 'age': '23', 'clubName': 'Real Madrid', 'clubID': '418', 'value': '€15.00m'}, {'date': 'Apr 7, 2016', 'age': '24', 'clubName': 'Real Madrid', 'clubID': '418', 'value': '€16.00m'}, {'date': 'Jul 15, 2016', 'age': '24', 'clubName': 'Real Madrid', 'clubID': '418', 'value': '€20.00m'}, {'date': 'Jan 24, 2017', 'age': '24', 'clubName': 'Real Madrid', 'clubID': '418', 'value': '€25.00m'}, {'date': 'Jun 5, 2017', 'age': '25', 'clubName': 'Real Madrid', 'clubID': '418', 'value': '€30.00m'}, {'date': 'Jan 1, 2018', 'age': '25', 'clubName': 'Real Madrid', 'clubID': '418', 'value': '€40.00m'}, {'date': 'Mar 22, 2018', 'age': '26', 'clubName': 'Real Madrid', 'clubID': '418', 'value': '€60.00m'}, {'date': 'May 30, 2018', 'age': '26', 'clubName': 'Real Madrid', 'clubID': '418', 'value': '€60.00m'}, {'date': 'Oct 31, 2018', 'age': '26', 'clubName': 'Real Madrid', 'clubID': '418', 'value': '€70.00m'}, {'date': 'Dec 21, 2018', 'age': '26', 'clubName': 'Real Madrid', 'clubID': '418', 'value': '€70.00m'}, {'date': 'Jun 11, 2019', 'age': '27', 'clubName': 'Real Madrid', 'clubID': '418', 'value': '€60.00m'}, {'date': 'Dec 20, 2019', 'age': '27', 'clubName': 'Real Madrid', 'clubID': '418', 'value': '€70.00m'}, {'date': 'Mar 5, 2020', 'age': '28', 'clubName': 'Real Madrid', 'clubID': '418', 'value': '€80.00m'}, {'date': 'Apr 8, 2020', 'age': '28', 'clubName': 'Real Madrid', 'clubID': '418', 'value': '€64.00m'}, {'date': 'Oct 8, 2020', 'age': '28', 'clubName': 'Real Madrid', 'clubID': '418', 'value': '€65.00m'}, {'date': 'Jan 5, 2021', 'age': '28', 'clubName': 'Real Madrid', 'clubID': '418', 'value': '€70.00m'}, {'date': 'Jun 10, 2021', 'age': '29', 'clubName': 'Real Madrid', 'clubID': '418', 'value': '€70.00m'}, {'date': 'Dec 30, 2021', 'age': '29', 'clubName': 'Real Madrid', 'clubID': '418', 'value': '€60.00m'}, {'date': 'Mar 21, 2022', 'age': '30', 'clubName': 'Real Madrid', 'clubID': '418', 'value': '€50.00m'}, {'date': 'Jun 3, 2022', 'age': '30', 'clubName': 'Real Madrid', 'clubID': '418', 'value': '€40.00m'}, {'date': 'Sep 15, 2022', 'age': '30', 'clubName': 'Manchester United', 'clubID': '985', 'value': '€50.00m'}, {'date': 'Nov 3, 2022', 'age': '30', 'clubName': 'Manchester United', 'clubID': '985', 'value': '€50.00m'}, {'date': 'Jun 20, 2023', 'age': '31', 'clubName': 'Manchester United', 'clubID': '985', 'value': '€40.00m'}, {'date': 'Dec 19, 2023', 'age': '31', 'clubName': 'Manchester United', 'clubID': '985', 'value': '€30.00m'}, {'date': 'May 27, 2024', 'age': '32', 'clubName': 'Manchester United', 'clubID': '985', 'value': '€20.00m'}, {'date': 'Oct 1, 2024', 'age': '32', 'clubName': 'Manchester United', 'clubID': '985', 'value': '€15.00m'}, {'date': 'Dec 16, 2024', 'age': '32', 'clubName': 'Manchester United', 'clubID': '985', 'value': '€12.00m'}, {'date': 'May 30, 2025', 'age': '33', 'clubName': 'Manchester United', 'clubID': '985', 'value': '€10.00m'}, {'date': 'Dec 9, 2025', 'age': '33', 'clubName': 'Manchester United', 'clubID': '985', 'value': '€8.00m'}]}</t>
  </si>
  <si>
    <t>1992-02-23</t>
  </si>
  <si>
    <t>Serdar</t>
  </si>
  <si>
    <t>{'marketValueHistory': [{'date': '13/03/2011', 'age': '16', 'clubName': 'Sepahan FC U17', 'clubID': '45424', 'value': '€75k'}, {'date': '30/07/2013', 'age': '18', 'clubName': 'Rubin Kazan', 'clubID': '2698', 'value': '€150k'}, {'date': '03/03/2014', 'age': '19', 'clubName': 'Rubin Kazan', 'clubID': '2698', 'value': '€500k'}, {'date': '31/07/2014', 'age': '19', 'clubName': 'Rubin Kazan', 'clubID': '2698', 'value': '€1.00m'}, {'date': '23/02/2015', 'age': '20', 'clubName': 'Rubin Kazan', 'clubID': '2698', 'value': '€2.50m'}, {'date': '18/06/2015', 'age': '20', 'clubName': 'FC Rostov', 'clubID': '1083', 'value': '€2.50m'}, {'date': '06/01/2016', 'age': '21', 'clubName': 'FC Rostov', 'clubID': '1083', 'value': '€2.50m'}, {'date': '25/05/2016', 'age': '21', 'clubName': 'FC Rostov', 'clubID': '1083', 'value': '€7.00m'}, {'date': '27/12/2016', 'age': '21', 'clubName': 'FC Rostov', 'clubID': '1083', 'value': '€13.00m'}, {'date': '01/06/2017', 'age': '22', 'clubName': 'FC Rostov', 'clubID': '1083', 'value': '€11.00m'}, {'date': '23/12/2017', 'age': '22', 'clubName': 'Rubin Kazan', 'clubID': '2698', 'value': '€9.00m'}, {'date': '06/06/2018', 'age': '23', 'clubName': 'Rubin Kazan', 'clubID': '2698', 'value': '€9.00m'}, {'date': '20/12/2018', 'age': '23', 'clubName': 'Rubin Kazan', 'clubID': '2698', 'value': '€9.50m'}, {'date': '12/02/2019', 'age': '24', 'clubName': 'Zenit St. Petersburg', 'clubID': '964', 'value': '€11.00m'}, {'date': '24/04/2019', 'age': '24', 'clubName': 'Zenit St. Petersburg', 'clubID': '964', 'value': '€13.00m'}, {'date': '14/06/2019', 'age': '24', 'clubName': 'Zenit St. Petersburg', 'clubID': '964', 'value': '€17.00m'}, {'date': '23/12/2019', 'age': '24', 'clubName': 'Zenit St. Petersburg', 'clubID': '964', 'value': '€18.00m'}, {'date': '08/04/2020', 'age': '25', 'clubName': 'Zenit St. Petersburg', 'clubID': '964', 'value': '€14.50m'}, {'date': '29/07/2020', 'age': '25', 'clubName': 'Zenit St. Petersburg', 'clubID': '964', 'value': '€18.00m'}, {'date': '19/10/2020', 'age': '25', 'clubName': 'Zenit St. Petersburg', 'clubID': '964', 'value': '€20.00m'}, {'date': '29/12/2020', 'age': '25', 'clubName': 'Zenit St. Petersburg', 'clubID': '964', 'value': '€23.00m'}, {'date': '02/06/2021', 'age': '26', 'clubName': 'Zenit St. Petersburg', 'clubID': '964', 'value': '€25.00m'}, {'date': '29/12/2021', 'age': '26', 'clubName': 'Zenit St. Petersburg', 'clubID': '964', 'value': '€25.00m'}, {'date': '09/06/2022', 'age': '27', 'clubName': 'Bayer 04 Leverkusen', 'clubID': '15', 'value': '€22.00m'}, {'date': '21/09/2022', 'age': '27', 'clubName': 'Bayer 04 Leverkusen', 'clubID': '15', 'value': '€18.00m'}, {'date': '09/11/2022', 'age': '27', 'clubName': 'Bayer 04 Leverkusen', 'clubID': '15', 'value': '€12.00m'}, {'date': '22/06/2023', 'age': '28', 'clubName': 'Bayer 04 Leverkusen', 'clubID': '15', 'value': '€12.00m'}, {'date': '20/12/2023', 'age': '28', 'clubName': 'AS Roma', 'clubID': '12', 'value': '€10.00m'}, {'date': '05/06/2024', 'age': '29', 'clubName': 'AS Roma', 'clubID': '12', 'value': '€8.00m'}, {'date': '18/11/2024', 'age': '29', 'clubName': 'Shabab Al-Ahli Club', 'clubID': '60529', 'value': '€7.50m'}, {'date': '29/05/2025', 'age': '30', 'clubName': 'Shabab Al-Ahli Club', 'clubID': '60529', 'value': '€8.00m'}, {'date': '28/11/2025', 'age': '30', 'clubName': 'Shabab Al-Ahli Club', 'clubID': '60529', 'value': '€7.00m'}]}</t>
  </si>
  <si>
    <t>Iran</t>
  </si>
  <si>
    <t>1995-01-01</t>
  </si>
  <si>
    <t>Chalov</t>
  </si>
  <si>
    <t>{'marketValueHistory': [{'date': 'Aug 25, 2015', 'age': '17', 'clubName': 'CSKA Moscow II', 'clubID': '11755', 'value': '€150k'}, {'date': 'Dec 2, 2016', 'age': '18', 'clubName': 'CSKA Moscow II', 'clubID': '11755', 'value': '€400k'}, {'date': 'Jun 1, 2017', 'age': '19', 'clubName': 'CSKA Moscow', 'clubID': '2410', 'value': '€1.20m'}, {'date': 'Dec 23, 2017', 'age': '19', 'clubName': 'CSKA Moscow', 'clubID': '2410', 'value': '€1.00m'}, {'date': 'Jun 6, 2018', 'age': '20', 'clubName': 'CSKA Moscow', 'clubID': '2410', 'value': '€2.00m'}, {'date': 'Sep 3, 2018', 'age': '20', 'clubName': 'CSKA Moscow', 'clubID': '2410', 'value': '€3.00m'}, {'date': 'Oct 15, 2018', 'age': '20', 'clubName': 'CSKA Moscow', 'clubID': '2410', 'value': '€5.00m'}, {'date': 'Dec 20, 2018', 'age': '20', 'clubName': 'CSKA Moscow', 'clubID': '2410', 'value': '€10.00m'}, {'date': 'Jun 14, 2019', 'age': '21', 'clubName': 'CSKA Moscow', 'clubID': '2410', 'value': '€16.00m'}, {'date': 'Dec 23, 2019', 'age': '21', 'clubName': 'CSKA Moscow', 'clubID': '2410', 'value': '€16.00m'}, {'date': 'Apr 8, 2020', 'age': '21', 'clubName': 'CSKA Moscow', 'clubID': '2410', 'value': '€14.50m'}, {'date': 'Jul 29, 2020', 'age': '22', 'clubName': 'CSKA Moscow', 'clubID': '2410', 'value': '€14.00m'}, {'date': 'Oct 19, 2020', 'age': '22', 'clubName': 'CSKA Moscow', 'clubID': '2410', 'value': '€13.00m'}, {'date': 'Dec 29, 2020', 'age': '22', 'clubName': 'CSKA Moscow', 'clubID': '2410', 'value': '€12.00m'}, {'date': 'Apr 13, 2021', 'age': '23', 'clubName': 'CSKA Moscow', 'clubID': '2410', 'value': '€11.00m'}, {'date': 'Jun 2, 2021', 'age': '23', 'clubName': 'CSKA Moscow', 'clubID': '2410', 'value': '€10.00m'}, {'date': 'Dec 29, 2021', 'age': '23', 'clubName': 'CSKA Moscow', 'clubID': '2410', 'value': '€8.50m'}, {'date': 'Jun 8, 2022', 'age': '24', 'clubName': 'FC Basel 1893', 'clubID': '26', 'value': '€6.00m'}, {'date': 'Sep 12, 2022', 'age': '24', 'clubName': 'CSKA Moscow', 'clubID': '2410', 'value': '€7.50m'}, {'date': 'Nov 21, 2022', 'age': '24', 'clubName': 'CSKA Moscow', 'clubID': '2410', 'value': '€8.50m'}, {'date': 'Apr 13, 2023', 'age': '25', 'clubName': 'CSKA Moscow', 'clubID': '2410', 'value': '€10.00m'}, {'date': 'Jun 14, 2023', 'age': '25', 'clubName': 'CSKA Moscow', 'clubID': '2410', 'value': '€12.00m'}, {'date': 'Dec 13, 2023', 'age': '25', 'clubName': 'CSKA Moscow', 'clubID': '2410', 'value': '€12.00m'}, {'date': 'Jun 4, 2024', 'age': '26', 'clubName': 'CSKA Moscow', 'clubID': '2410', 'value': '€11.00m'}, {'date': 'Sep 26, 2024', 'age': '26', 'clubName': 'PAOK Thessaloniki', 'clubID': '1091', 'value': '€10.00m'}, {'date': 'Dec 18, 2024', 'age': '26', 'clubName': 'PAOK Thessaloniki', 'clubID': '1091', 'value': '€9.00m'}, {'date': 'May 23, 2025', 'age': '27', 'clubName': 'PAOK Thessaloniki', 'clubID': '1091', 'value': '€7.50m'}, {'date': 'Dec 12, 2025', 'age': '27', 'clubName': 'PAOK Thessaloniki', 'clubID': '1091', 'value': '€5.50m'}, {'date': 'Mar 5, 2026', 'age': '27', 'clubName': 'Kayserispor', 'clubID': '3205', 'value': '€5.00m'}]}</t>
  </si>
  <si>
    <t>1998-04-10</t>
  </si>
  <si>
    <t>Perisic</t>
  </si>
  <si>
    <t>{'marketValueHistory': [{'date': '20/08/2006', 'age': '17', 'clubName': 'FC Sochaux-Montbéliard B', 'clubID': '10825', 'value': '€350k'}, {'date': '12/02/2007', 'age': '18', 'clubName': 'FC Sochaux-Montbéliard B', 'clubID': '10825', 'value': '€325k'}, {'date': '05/07/2008', 'age': '19', 'clubName': 'FC Sochaux-Montbéliard', 'clubID': '750', 'value': '€100k'}, {'date': '28/01/2009', 'age': '19', 'clubName': 'KSV Roeselare (-2020)', 'clubID': '2977', 'value': '€350k'}, {'date': '26/03/2009', 'age': '20', 'clubName': 'KSV Roeselare (-2020)', 'clubID': '2977', 'value': '€600k'}, {'date': '01/07/2009', 'age': '20', 'clubName': 'FC Sochaux-Montbéliard', 'clubID': '750', 'value': '€1.00m'}, {'date': '07/12/2009', 'age': '20', 'clubName': 'Club Brugge KV', 'clubID': '2282', 'value': '€2.50m'}, {'date': '28/07/2010', 'age': '21', 'clubName': 'Club Brugge KV', 'clubID': '2282', 'value': '€3.50m'}, {'date': '28/12/2010', 'age': '21', 'clubName': 'Club Brugge KV', 'clubID': '2282', 'value': '€3.50m'}, {'date': '18/03/2011', 'age': '22', 'clubName': 'Club Brugge KV', 'clubID': '2282', 'value': '€4.50m'}, {'date': '14/04/2011', 'age': '22', 'clubName': 'Club Brugge KV', 'clubID': '2282', 'value': '€5.00m'}, {'date': '24/05/2011', 'age': '22', 'clubName': 'Club Brugge KV', 'clubID': '2282', 'value': '€6.00m'}, {'date': '23/01/2012', 'age': '22', 'clubName': 'Borussia Dortmund', 'clubID': '16', 'value': '€6.00m'}, {'date': '29/06/2012', 'age': '23', 'clubName': 'Borussia Dortmund', 'clubID': '16', 'value': '€7.00m'}, {'date': '13/01/2013', 'age': '23', 'clubName': 'VfL Wolfsburg', 'clubID': '82', 'value': '€7.50m'}, {'date': '30/06/2013', 'age': '24', 'clubName': 'VfL Wolfsburg', 'clubID': '82', 'value': '€7.00m'}, {'date': '31/03/2014', 'age': '25', 'clubName': 'VfL Wolfsburg', 'clubID': '82', 'value': '€6.00m'}, {'date': '10/07/2014', 'age': '25', 'clubName': 'VfL Wolfsburg', 'clubID': '82', 'value': '€8.00m'}, {'date': '04/02/2015', 'age': '26', 'clubName': 'VfL Wolfsburg', 'clubID': '82', 'value': '€11.00m'}, {'date': '01/07/2015', 'age': '26', 'clubName': 'VfL Wolfsburg', 'clubID': '82', 'value': '€13.00m'}, {'date': '05/11/2015', 'age': '26', 'clubName': 'Inter Milan', 'clubID': '46', 'value': '€16.00m'}, {'date': '04/01/2016', 'age': '26', 'clubName': 'Inter Milan', 'clubID': '46', 'value': '€16.00m'}, {'date': '01/04/2016', 'age': '27', 'clubName': 'Inter Milan', 'clubID': '46', 'value': '€19.00m'}, {'date': '01/06/2016', 'age': '27', 'clubName': 'Inter Milan', 'clubID': '46', 'value': '€21.00m'}, {'date': '15/07/2016', 'age': '27', 'clubName': 'Inter Milan', 'clubID': '46', 'value': '€25.00m'}, {'date': '02/01/2017', 'age': '27', 'clubName': 'Inter Milan', 'clubID': '46', 'value': '€25.00m'}, {'date': '08/06/2017', 'age': '28', 'clubName': 'Inter Milan', 'clubID': '46', 'value': '€30.00m'}, {'date': '13/10/2017', 'age': '28', 'clubName': 'Inter Milan', 'clubID': '46', 'value': '€35.00m'}, {'date': '29/12/2017', 'age': '28', 'clubName': 'Inter Milan', 'clubID': '46', 'value': '€45.00m'}, {'date': '24/03/2018', 'age': '29', 'clubName': 'Inter Milan', 'clubID': '46', 'value': '€40.00m'}, {'date': '07/06/2018', 'age': '29', 'clubName': 'Inter Milan', 'clubID': '46', 'value': '€40.00m'}, {'date': '16/07/2018', 'age': '29', 'clubName': 'Inter Milan', 'clubID': '46', 'value': '€45.00m'}, {'date': '20/12/2018', 'age': '29', 'clubName': 'Inter Milan', 'clubID': '46', 'value': '€40.00m'}, {'date': '01/03/2019', 'age': '30', 'clubName': 'Inter Milan', 'clubID': '46', 'value': '€35.00m'}, {'date': '06/06/2019', 'age': '30', 'clubName': 'Inter Milan', 'clubID': '46', 'value': '€30.00m'}, {'date': '02/10/2019', 'age': '30', 'clubName': 'Bayern Munich', 'clubID': '27', 'value': '€24.00m'}, {'date': '17/12/2019', 'age': '30', 'clubName': 'Bayern Munich', 'clubID': '27', 'value': '€22.00m'}, {'date': '08/04/2020', 'age': '31', 'clubName': 'Bayern Munich', 'clubID': '27', 'value': '€17.50m'}, {'date': '16/09/2020', 'age': '31', 'clubName': 'Inter Milan', 'clubID': '46', 'value': '€15.00m'}, {'date': '29/12/2020', 'age': '31', 'clubName': 'Inter Milan', 'clubID': '46', 'value': '€10.00m'}, {'date': '28/05/2021', 'age': '32', 'clubName': 'Inter Milan', 'clubID': '46', 'value': '€10.00m'}, {'date': '28/12/2021', 'age': '32', 'clubName': 'Inter Milan', 'clubID': '46', 'value': '€10.00m'}, {'date': '07/06/2022', 'age': '33', 'clubName': 'Inter Milan', 'clubID': '46', 'value': '€10.00m'}, {'date': '03/11/2022', 'age': '33', 'clubName': 'Tottenham Hotspur', 'clubID': '148', 'value': '€10.00m'}, {'date': '20/06/2023', 'age': '34', 'clubName': 'Tottenham Hotspur', 'clubID': '148', 'value': '€7.00m'}, {'date': '09/10/2023', 'age': '34', 'clubName': 'Tottenham Hotspur', 'clubID': '148', 'value': '€4.00m'}, {'date': '19/12/2023', 'age': '34', 'clubName': 'Tottenham Hotspur', 'clubID': '148', 'value': '€4.00m'}, {'date': '04/06/2024', 'age': '35', 'clubName': 'HNK Hajduk Split', 'clubID': '447', 'value': '€2.00m'}, {'date': '17/12/2024', 'age': '35', 'clubName': 'PSV Eindhoven', 'clubID': '383', 'value': '€1.50m'}, {'date': '28/05/2025', 'age': '36', 'clubName': 'PSV Eindhoven', 'clubID': '383', 'value': '€1.50m'}, {'date': '02/12/2025', 'age': '36', 'clubName': 'PSV Eindhoven', 'clubID': '383', 'value': '€1.30m'}]}</t>
  </si>
  <si>
    <t>1989-02-02</t>
  </si>
  <si>
    <t>Limbersky</t>
  </si>
  <si>
    <t>{'marketValueHistory': [{'date': 'Oct 4, 2004', 'age': '20', 'clubName': 'FC Viktoria Plzen', 'clubID': '941', 'value': '€150k'}, {'date': 'Jan 16, 2005', 'age': '21', 'clubName': 'Tottenham Hotspur', 'clubID': '148', 'value': '€100k'}, {'date': 'Jul 29, 2005', 'age': '21', 'clubName': 'FC Viktoria Plzen', 'clubID': '941', 'value': '€50k'}, {'date': 'Oct 23, 2005', 'age': '22', 'clubName': 'FC Viktoria Plzen', 'clubID': '941', 'value': '€100k'}, {'date': 'Oct 4, 2007', 'age': '23', 'clubName': 'AC Sparta Prague', 'clubID': '197', 'value': '€400k'}, {'date': 'Aug 28, 2008', 'age': '24', 'clubName': 'FC Viktoria Plzen', 'clubID': '941', 'value': '€600k'}, {'date': 'Mar 17, 2009', 'age': '25', 'clubName': 'FC Viktoria Plzen', 'clubID': '941', 'value': '€750k'}, {'date': 'Oct 19, 2010', 'age': '27', 'clubName': 'FC Viktoria Plzen', 'clubID': '941', 'value': '€900k'}, {'date': 'Feb 23, 2011', 'age': '27', 'clubName': 'FC Viktoria Plzen', 'clubID': '941', 'value': '€1.20m'}, {'date': 'May 30, 2011', 'age': '27', 'clubName': 'FC Viktoria Plzen', 'clubID': '941', 'value': '€1.40m'}, {'date': 'Aug 24, 2011', 'age': '27', 'clubName': 'FC Viktoria Plzen', 'clubID': '941', 'value': '€1.60m'}, {'date': 'Dec 24, 2011', 'age': '28', 'clubName': 'FC Viktoria Plzen', 'clubID': '941', 'value': '€1.60m'}, {'date': 'Jul 5, 2012', 'age': '28', 'clubName': 'FC Viktoria Plzen', 'clubID': '941', 'value': '€1.80m'}, {'date': 'Oct 30, 2012', 'age': '29', 'clubName': 'FC Viktoria Plzen', 'clubID': '941', 'value': '€2.00m'}, {'date': 'Feb 13, 2013', 'age': '29', 'clubName': 'FC Viktoria Plzen', 'clubID': '941', 'value': '€2.50m'}, {'date': 'Jul 25, 2013', 'age': '29', 'clubName': 'FC Viktoria Plzen', 'clubID': '941', 'value': '€2.50m'}, {'date': 'Aug 7, 2014', 'age': '30', 'clubName': 'FC Viktoria Plzen', 'clubID': '941', 'value': '€2.25m'}, {'date': 'Jan 17, 2015', 'age': '31', 'clubName': 'FC Viktoria Plzen', 'clubID': '941', 'value': '€2.00m'}, {'date': 'Oct 14, 2015', 'age': '32', 'clubName': 'FC Viktoria Plzen', 'clubID': '941', 'value': '€1.75m'}, {'date': 'Mar 19, 2016', 'age': '32', 'clubName': 'FC Viktoria Plzen', 'clubID': '941', 'value': '€1.50m'}, {'date': 'Jun 1, 2016', 'age': '32', 'clubName': 'FC Viktoria Plzen', 'clubID': '941', 'value': '€1.25m'}, {'date': 'Aug 3, 2016', 'age': '32', 'clubName': 'FC Viktoria Plzen', 'clubID': '941', 'value': '€1.00m'}, {'date': 'Dec 19, 2016', 'age': '33', 'clubName': 'FC Viktoria Plzen', 'clubID': '941', 'value': '€850k'}, {'date': 'Jun 10, 2017', 'age': '33', 'clubName': 'FC Viktoria Plzen', 'clubID': '941', 'value': '€750k'}, {'date': 'Oct 7, 2017', 'age': '34', 'clubName': 'FC Viktoria Plzen', 'clubID': '941', 'value': '€700k'}, {'date': 'Dec 21, 2017', 'age': '34', 'clubName': 'FC Viktoria Plzen', 'clubID': '941', 'value': '€700k'}, {'date': 'Jul 14, 2018', 'age': '34', 'clubName': 'FC Viktoria Plzen', 'clubID': '941', 'value': '€700k'}, {'date': 'Dec 30, 2018', 'age': '35', 'clubName': 'FC Viktoria Plzen', 'clubID': '941', 'value': '€700k'}, {'date': 'Jun 25, 2019', 'age': '35', 'clubName': 'FC Viktoria Plzen', 'clubID': '941', 'value': '€600k'}, {'date': 'Dec 7, 2019', 'age': '36', 'clubName': 'FC Viktoria Plzen', 'clubID': '941', 'value': '€600k'}, {'date': 'Apr 8, 2020', 'age': '36', 'clubName': 'FC Viktoria Plzen', 'clubID': '941', 'value': '€475k'}, {'date': 'Jul 10, 2020', 'age': '36', 'clubName': 'FC Viktoria Plzen', 'clubID': '941', 'value': '€475k'}, {'date': 'Dec 27, 2020', 'age': '37', 'clubName': 'FC Viktoria Plzen', 'clubID': '941', 'value': '€450k'}, {'date': 'Jun 25, 2021', 'age': '37', 'clubName': 'FC Viktoria Plzen', 'clubID': '941', 'value': '€200k'}, {'date': 'Oct 4, 2022', 'age': '38', 'clubName': 'TJ Jiskra Domazlice', 'clubID': '19058', 'value': '-'}]}</t>
  </si>
  <si>
    <t>1983-10-06</t>
  </si>
  <si>
    <t>Albiol</t>
  </si>
  <si>
    <t>{'marketValueHistory': [{'date': '04/10/2004', 'age': '19', 'clubName': 'Getafe CF', 'clubID': '3709', 'value': '€800k'}, {'date': '07/02/2006', 'age': '20', 'clubName': 'Valencia CF', 'clubID': '1049', 'value': '€2.50m'}, {'date': '21/06/2007', 'age': '21', 'clubName': 'Valencia CF', 'clubID': '1049', 'value': '€10.00m'}, {'date': '04/02/2008', 'age': '22', 'clubName': 'Valencia CF', 'clubID': '1049', 'value': '€9.00m'}, {'date': '17/07/2008', 'age': '22', 'clubName': 'Valencia CF', 'clubID': '1049', 'value': '€6.00m'}, {'date': '21/07/2008', 'age': '22', 'clubName': 'Valencia CF', 'clubID': '1049', 'value': '€9.00m'}, {'date': '26/01/2009', 'age': '23', 'clubName': 'Valencia CF', 'clubID': '1049', 'value': '€9.00m'}, {'date': '22/07/2009', 'age': '23', 'clubName': 'Real Madrid', 'clubID': '418', 'value': '€12.00m'}, {'date': '03/12/2009', 'age': '24', 'clubName': 'Real Madrid', 'clubID': '418', 'value': '€15.00m'}, {'date': '12/04/2010', 'age': '24', 'clubName': 'Real Madrid', 'clubID': '418', 'value': '€18.00m'}, {'date': '27/08/2010', 'age': '24', 'clubName': 'Real Madrid', 'clubID': '418', 'value': '€18.00m'}, {'date': '10/12/2010', 'age': '25', 'clubName': 'Real Madrid', 'clubID': '418', 'value': '€15.00m'}, {'date': '04/02/2011', 'age': '25', 'clubName': 'Real Madrid', 'clubID': '418', 'value': '€15.00m'}, {'date': '29/07/2011', 'age': '25', 'clubName': 'Real Madrid', 'clubID': '418', 'value': '€12.00m'}, {'date': '03/02/2012', 'age': '26', 'clubName': 'Real Madrid', 'clubID': '418', 'value': '€9.00m'}, {'date': '07/08/2012', 'age': '26', 'clubName': 'Real Madrid', 'clubID': '418', 'value': '€9.00m'}, {'date': '10/01/2013', 'age': '27', 'clubName': 'Real Madrid', 'clubID': '418', 'value': '€8.00m'}, {'date': '12/06/2013', 'age': '27', 'clubName': 'Real Madrid', 'clubID': '418', 'value': '€8.00m'}, {'date': '25/07/2013', 'age': '27', 'clubName': 'SSC Napoli', 'clubID': '6195', 'value': '€12.00m'}, {'date': '07/01/2014', 'age': '28', 'clubName': 'SSC Napoli', 'clubID': '6195', 'value': '€12.00m'}, {'date': '11/07/2014', 'age': '28', 'clubName': 'SSC Napoli', 'clubID': '6195', 'value': '€12.00m'}, {'date': '08/11/2014', 'age': '29', 'clubName': 'SSC Napoli', 'clubID': '6195', 'value': '€10.00m'}, {'date': '07/01/2015', 'age': '29', 'clubName': 'SSC Napoli', 'clubID': '6195', 'value': '€7.50m'}, {'date': '01/07/2015', 'age': '29', 'clubName': 'SSC Napoli', 'clubID': '6195', 'value': '€7.50m'}, {'date': '04/01/2016', 'age': '30', 'clubName': 'SSC Napoli', 'clubID': '6195', 'value': '€8.50m'}, {'date': '15/07/2016', 'age': '30', 'clubName': 'SSC Napoli', 'clubID': '6195', 'value': '€8.50m'}, {'date': '02/01/2017', 'age': '31', 'clubName': 'SSC Napoli', 'clubID': '6195', 'value': '€8.50m'}, {'date': '08/06/2017', 'age': '31', 'clubName': 'SSC Napoli', 'clubID': '6195', 'value': '€8.00m'}, {'date': '29/12/2017', 'age': '32', 'clubName': 'SSC Napoli', 'clubID': '6195', 'value': '€8.00m'}, {'date': '07/06/2018', 'age': '32', 'clubName': 'SSC Napoli', 'clubID': '6195', 'value': '€8.00m'}, {'date': '20/12/2018', 'age': '33', 'clubName': 'SSC Napoli', 'clubID': '6195', 'value': '€8.00m'}, {'date': '06/06/2019', 'age': '33', 'clubName': 'SSC Napoli', 'clubID': '6195', 'value': '€5.00m'}, {'date': '20/12/2019', 'age': '34', 'clubName': 'Villarreal CF', 'clubID': '1050', 'value': '€4.00m'}, {'date': '08/04/2020', 'age': '34', 'clubName': 'Villarreal CF', 'clubID': '1050', 'value': '€3.20m'}, {'date': '08/10/2020', 'age': '35', 'clubName': 'Villarreal CF', 'clubID': '1050', 'value': '€2.50m'}, {'date': '05/01/2021', 'age': '35', 'clubName': 'Villarreal CF', 'clubID': '1050', 'value': '€2.50m'}, {'date': '10/06/2021', 'age': '35', 'clubName': 'Villarreal CF', 'clubID': '1050', 'value': '€2.50m'}, {'date': '30/12/2021', 'age': '36', 'clubName': 'Villarreal CF', 'clubID': '1050', 'value': '€2.50m'}, {'date': '03/06/2022', 'age': '36', 'clubName': 'Villarreal CF', 'clubID': '1050', 'value': '€3.00m'}, {'date': '07/11/2022', 'age': '37', 'clubName': 'Villarreal CF', 'clubID': '1050', 'value': '€3.00m'}, {'date': '13/06/2023', 'age': '37', 'clubName': 'Villarreal CF', 'clubID': '1050', 'value': '€2.50m'}, {'date': '22/12/2023', 'age': '38', 'clubName': 'Villarreal CF', 'clubID': '1050', 'value': '€2.50m'}, {'date': '21/03/2024', 'age': '38', 'clubName': 'Villarreal CF', 'clubID': '1050', 'value': '€2.00m'}, {'date': '07/06/2024', 'age': '38', 'clubName': 'Villarreal CF', 'clubID': '1050', 'value': '€1.50m'}, {'date': '27/12/2024', 'age': '39', 'clubName': 'Villarreal CF', 'clubID': '1050', 'value': '€1.30m'}, {'date': '09/06/2025', 'age': '39', 'clubName': 'Villarreal CF', 'clubID': '1050', 'value': '€1.00m'}, {'date': '23/12/2025', 'age': '40', 'clubName': 'Pisa Sporting Club', 'clubID': '4172', 'value': '€800k'}]}</t>
  </si>
  <si>
    <t>1985-09-04</t>
  </si>
  <si>
    <t>Ponce</t>
  </si>
  <si>
    <t>{'marketValueHistory': [{'date': 'Feb 10, 2014', 'age': '16', 'clubName': "CA Newell's Old Boys", 'clubID': '1286', 'value': '€275k'}, {'date': 'Jan 11, 2015', 'age': '17', 'clubName': "CA Newell's Old Boys", 'clubID': '1286', 'value': '€6.00m'}, {'date': 'Jul 14, 2015', 'age': '18', 'clubName': "CA Newell's Old Boys", 'clubID': '1286', 'value': '€6.00m'}, {'date': 'Jan 4, 2016', 'age': '18', 'clubName': 'AS Roma', 'clubID': '12', 'value': '€4.50m'}, {'date': 'Jul 15, 2016', 'age': '19', 'clubName': 'AS Roma', 'clubID': '12', 'value': '€4.30m'}, {'date': 'Jan 24, 2017', 'age': '19', 'clubName': 'Granada CF', 'clubID': '16795', 'value': '€3.00m'}, {'date': 'Jun 5, 2017', 'age': '20', 'clubName': 'Granada CF', 'clubID': '16795', 'value': '€2.50m'}, {'date': 'Jan 24, 2018', 'age': '20', 'clubName': 'LOSC Lille', 'clubID': '1082', 'value': '€2.50m'}, {'date': 'Jun 4, 2018', 'age': '21', 'clubName': 'LOSC Lille', 'clubID': '1082', 'value': '€2.50m'}, {'date': 'Dec 7, 2018', 'age': '21', 'clubName': 'AEK Athens', 'clubID': '2441', 'value': '€2.50m'}, {'date': 'Feb 7, 2019', 'age': '21', 'clubName': 'AEK Athens', 'clubID': '2441', 'value': '€3.00m'}, {'date': 'May 21, 2019', 'age': '22', 'clubName': 'AEK Athens', 'clubID': '2441', 'value': '€4.00m'}, {'date': 'Dec 23, 2019', 'age': '22', 'clubName': 'Spartak Moscow', 'clubID': '232', 'value': '€4.00m'}, {'date': 'Apr 8, 2020', 'age': '23', 'clubName': 'Spartak Moscow', 'clubID': '232', 'value': '€3.20m'}, {'date': 'Jul 29, 2020', 'age': '23', 'clubName': 'Spartak Moscow', 'clubID': '232', 'value': '€4.00m'}, {'date': 'Oct 19, 2020', 'age': '23', 'clubName': 'Spartak Moscow', 'clubID': '232', 'value': '€5.00m'}, {'date': 'Dec 29, 2020', 'age': '23', 'clubName': 'Spartak Moscow', 'clubID': '232', 'value': '€7.00m'}, {'date': 'Jun 2, 2021', 'age': '24', 'clubName': 'Spartak Moscow', 'clubID': '232', 'value': '€7.00m'}, {'date': 'Dec 29, 2021', 'age': '24', 'clubName': 'Spartak Moscow', 'clubID': '232', 'value': '€7.00m'}, {'date': 'Jun 3, 2022', 'age': '25', 'clubName': 'Elche CF', 'clubID': '1531', 'value': '€5.00m'}, {'date': 'Nov 7, 2022', 'age': '25', 'clubName': 'Elche CF', 'clubID': '1531', 'value': '€4.00m'}, {'date': 'Mar 23, 2023', 'age': '25', 'clubName': 'Elche CF', 'clubID': '1531', 'value': '€3.00m'}, {'date': 'Jun 13, 2023', 'age': '26', 'clubName': 'Elche CF', 'clubID': '1531', 'value': '€2.50m'}, {'date': 'Sep 21, 2023', 'age': '26', 'clubName': 'AEK Athens', 'clubID': '2441', 'value': '€3.00m'}, {'date': 'Dec 20, 2023', 'age': '26', 'clubName': 'AEK Athens', 'clubID': '2441', 'value': '€3.00m'}, {'date': 'Mar 6, 2024', 'age': '26', 'clubName': 'AEK Athens', 'clubID': '2441', 'value': '€3.50m'}, {'date': 'May 30, 2024', 'age': '27', 'clubName': 'AEK Athens', 'clubID': '2441', 'value': '€5.00m'}, {'date': 'Sep 26, 2024', 'age': '27', 'clubName': 'Houston Dynamo FC', 'clubID': '9168', 'value': '€7.00m'}, {'date': 'Dec 12, 2024', 'age': '27', 'clubName': 'Houston Dynamo FC', 'clubID': '9168', 'value': '€7.00m'}, {'date': 'Apr 17, 2025', 'age': '28', 'clubName': 'Houston Dynamo FC', 'clubID': '9168', 'value': '€6.00m'}, {'date': 'Jun 5, 2025', 'age': '28', 'clubName': 'Houston Dynamo FC', 'clubID': '9168', 'value': '€5.00m'}, {'date': 'Dec 11, 2025', 'age': '28', 'clubName': 'Houston Dynamo FC', 'clubID': '9168', 'value': '€5.00m'}]}</t>
  </si>
  <si>
    <t>1997-03-29</t>
  </si>
  <si>
    <t>Insigne</t>
  </si>
  <si>
    <t>{'marketValueHistory': [{'date': '23/11/2009', 'age': '18', 'clubName': 'Napoli Primavera', 'clubID': '6195', 'value': '€75k'}, {'date': '05/03/2010', 'age': '18', 'clubName': 'Cavese 1919', 'clubID': '6266', 'value': '€150k'}, {'date': '19/07/2010', 'age': '19', 'clubName': 'SSC Napoli', 'clubID': '6195', 'value': '€250k'}, {'date': '28/12/2010', 'age': '19', 'clubName': 'US Foggia', 'clubID': '704', 'value': '€275k'}, {'date': '24/06/2011', 'age': '20', 'clubName': 'US Foggia', 'clubID': '704', 'value': '€600k'}, {'date': '01/01/2012', 'age': '20', 'clubName': 'Delfino Pescara 1936', 'clubID': '2921', 'value': '€2.00m'}, {'date': '06/06/2012', 'age': '21', 'clubName': 'Delfino Pescara 1936', 'clubID': '2921', 'value': '€7.50m'}, {'date': '14/01/2013', 'age': '21', 'clubName': 'SSC Napoli', 'clubID': '6195', 'value': '€11.00m'}, {'date': '19/06/2013', 'age': '22', 'clubName': 'SSC Napoli', 'clubID': '6195', 'value': '€11.00m'}, {'date': '11/11/2013', 'age': '22', 'clubName': 'SSC Napoli', 'clubID': '6195', 'value': '€15.00m'}, {'date': '07/01/2014', 'age': '22', 'clubName': 'SSC Napoli', 'clubID': '6195', 'value': '€15.00m'}, {'date': '11/07/2014', 'age': '23', 'clubName': 'SSC Napoli', 'clubID': '6195', 'value': '€15.00m'}, {'date': '07/01/2015', 'age': '23', 'clubName': 'SSC Napoli', 'clubID': '6195', 'value': '€15.00m'}, {'date': '01/07/2015', 'age': '24', 'clubName': 'SSC Napoli', 'clubID': '6195', 'value': '€15.00m'}, {'date': '05/11/2015', 'age': '24', 'clubName': 'SSC Napoli', 'clubID': '6195', 'value': '€20.00m'}, {'date': '04/01/2016', 'age': '24', 'clubName': 'SSC Napoli', 'clubID': '6195', 'value': '€21.50m'}, {'date': '01/04/2016', 'age': '24', 'clubName': 'SSC Napoli', 'clubID': '6195', 'value': '€25.00m'}, {'date': '01/06/2016', 'age': '24', 'clubName': 'SSC Napoli', 'clubID': '6195', 'value': '€25.00m'}, {'date': '15/07/2016', 'age': '25', 'clubName': 'SSC Napoli', 'clubID': '6195', 'value': '€25.00m'}, {'date': '02/01/2017', 'age': '25', 'clubName': 'SSC Napoli', 'clubID': '6195', 'value': '€25.00m'}, {'date': '28/03/2017', 'age': '25', 'clubName': 'SSC Napoli', 'clubID': '6195', 'value': '€28.00m'}, {'date': '08/06/2017', 'age': '26', 'clubName': 'SSC Napoli', 'clubID': '6195', 'value': '€35.00m'}, {'date': '13/10/2017', 'age': '26', 'clubName': 'SSC Napoli', 'clubID': '6195', 'value': '€40.00m'}, {'date': '29/12/2017', 'age': '26', 'clubName': 'SSC Napoli', 'clubID': '6195', 'value': '€60.00m'}, {'date': '07/06/2018', 'age': '27', 'clubName': 'SSC Napoli', 'clubID': '6195', 'value': '€60.00m'}, {'date': '12/10/2018', 'age': '27', 'clubName': 'SSC Napoli', 'clubID': '6195', 'value': '€65.00m'}, {'date': '20/12/2018', 'age': '27', 'clubName': 'SSC Napoli', 'clubID': '6195', 'value': '€75.00m'}, {'date': '06/06/2019', 'age': '28', 'clubName': 'SSC Napoli', 'clubID': '6195', 'value': '€65.00m'}, {'date': '12/12/2019', 'age': '28', 'clubName': 'SSC Napoli', 'clubID': '6195', 'value': '€60.00m'}, {'date': '08/04/2020', 'age': '28', 'clubName': 'SSC Napoli', 'clubID': '6195', 'value': '€48.00m'}, {'date': '25/08/2020', 'age': '29', 'clubName': 'SSC Napoli', 'clubID': '6195', 'value': '€48.00m'}, {'date': '29/12/2020', 'age': '29', 'clubName': 'SSC Napoli', 'clubID': '6195', 'value': '€48.00m'}, {'date': '25/05/2021', 'age': '29', 'clubName': 'SSC Napoli', 'clubID': '6195', 'value': '€48.00m'}, {'date': '28/12/2021', 'age': '30', 'clubName': 'SSC Napoli', 'clubID': '6195', 'value': '€35.00m'}, {'date': '15/03/2022', 'age': '30', 'clubName': 'SSC Napoli', 'clubID': '6195', 'value': '€25.00m'}, {'date': '07/06/2022', 'age': '31', 'clubName': 'SSC Napoli', 'clubID': '6195', 'value': '€25.00m'}, {'date': '18/08/2022', 'age': '31', 'clubName': 'Toronto FC', 'clubID': '11141', 'value': '€20.00m'}, {'date': '08/11/2022', 'age': '31', 'clubName': 'Toronto FC', 'clubID': '11141', 'value': '€15.00m'}, {'date': '31/03/2023', 'age': '31', 'clubName': 'Toronto FC', 'clubID': '11141', 'value': '€12.00m'}, {'date': '22/08/2023', 'age': '32', 'clubName': 'Toronto FC', 'clubID': '11141', 'value': '€8.00m'}, {'date': '18/12/2023', 'age': '32', 'clubName': 'Toronto FC', 'clubID': '11141', 'value': '€6.00m'}, {'date': '13/06/2024', 'age': '33', 'clubName': 'Toronto FC', 'clubID': '11141', 'value': '€4.50m'}, {'date': '26/09/2024', 'age': '33', 'clubName': 'Toronto FC', 'clubID': '11141', 'value': '€3.50m'}, {'date': '12/12/2024', 'age': '33', 'clubName': 'Toronto FC', 'clubID': '11141', 'value': '€3.00m'}, {'date': '17/04/2025', 'age': '33', 'clubName': 'Toronto FC', 'clubID': '11141', 'value': '€2.00m'}, {'date': '05/06/2025', 'age': '34', 'clubName': 'Toronto FC', 'clubID': '11141', 'value': '€1.80m'}, {'date': '21/10/2025', 'age': '34', 'clubName': 'Without Club', 'clubID': '515', 'value': '€1.50m'}]}</t>
  </si>
  <si>
    <t>1991-06-04</t>
  </si>
  <si>
    <t>Galanopoulos</t>
  </si>
  <si>
    <t>{'marketValueHistory': [{'date': 'Oct 1, 2016', 'age': '18', 'clubName': 'AEK Athens', 'clubID': '2441', 'value': '€100k'}, {'date': 'Dec 21, 2016', 'age': '18', 'clubName': 'AEK Athens', 'clubID': '2441', 'value': '€250k'}, {'date': 'May 11, 2017', 'age': '19', 'clubName': 'AEK Athens', 'clubID': '2441', 'value': '€450k'}, {'date': 'Aug 21, 2017', 'age': '19', 'clubName': 'AEK Athens', 'clubID': '2441', 'value': '€700k'}, {'date': 'Dec 18, 2017', 'age': '19', 'clubName': 'AEK Athens', 'clubID': '2441', 'value': '€1.00m'}, {'date': 'May 22, 2018', 'age': '20', 'clubName': 'AEK Athens', 'clubID': '2441', 'value': '€2.50m'}, {'date': 'Dec 7, 2018', 'age': '20', 'clubName': 'AEK Athens', 'clubID': '2441', 'value': '€3.50m'}, {'date': 'May 21, 2019', 'age': '21', 'clubName': 'AEK Athens', 'clubID': '2441', 'value': '€3.50m'}, {'date': 'Dec 18, 2019', 'age': '21', 'clubName': 'AEK Athens', 'clubID': '2441', 'value': '€3.50m'}, {'date': 'Apr 8, 2020', 'age': '22', 'clubName': 'AEK Athens', 'clubID': '2441', 'value': '€2.80m'}, {'date': 'Aug 4, 2020', 'age': '22', 'clubName': 'AEK Athens', 'clubID': '2441', 'value': '€2.50m'}, {'date': 'Feb 12, 2021', 'age': '23', 'clubName': 'AEK Athens', 'clubID': '2441', 'value': '€2.00m'}, {'date': 'Nov 1, 2021', 'age': '23', 'clubName': 'AEK Athens', 'clubID': '2441', 'value': '€1.80m'}, {'date': 'Jun 9, 2022', 'age': '24', 'clubName': 'AEK Athens', 'clubID': '2441', 'value': '€1.20m'}, {'date': 'Nov 7, 2022', 'age': '24', 'clubName': 'AEK Athens', 'clubID': '2441', 'value': '€1.00m'}, {'date': 'May 22, 2023', 'age': '25', 'clubName': 'AEK Athens', 'clubID': '2441', 'value': '€1.00m'}, {'date': 'Sep 21, 2023', 'age': '25', 'clubName': 'AEK Athens', 'clubID': '2441', 'value': '€1.20m'}, {'date': 'Dec 20, 2023', 'age': '25', 'clubName': 'AEK Athens', 'clubID': '2441', 'value': '€1.50m'}, {'date': 'May 30, 2024', 'age': '26', 'clubName': 'AEK Athens', 'clubID': '2441', 'value': '€1.20m'}, {'date': 'Sep 26, 2024', 'age': '26', 'clubName': 'AEK Athens', 'clubID': '2441', 'value': '€1.00m'}, {'date': 'Dec 18, 2024', 'age': '26', 'clubName': 'AEK Athens', 'clubID': '2441', 'value': '€900k'}, {'date': 'May 29, 2025', 'age': '27', 'clubName': 'APOEL Nicosia', 'clubID': '2784', 'value': '€1.00m'}, {'date': 'Dec 12, 2025', 'age': '27', 'clubName': 'Aris Thessaloniki', 'clubID': '605', 'value': '€1.00m'}]}</t>
  </si>
  <si>
    <t>1997-12-28</t>
  </si>
  <si>
    <t>Bale</t>
  </si>
  <si>
    <t>{'marketValueHistory': [{'date': '05/08/2006', 'age': '17', 'clubName': 'Southampton FC', 'clubID': '180', 'value': '€50k'}, {'date': '15/08/2006', 'age': '17', 'clubName': 'Southampton FC', 'clubID': '180', 'value': '€300k'}, {'date': '13/10/2006', 'age': '17', 'clubName': 'Southampton FC', 'clubID': '180', 'value': '€400k'}, {'date': '29/05/2007', 'age': '17', 'clubName': 'Southampton FC', 'clubID': '180', 'value': '€7.50m'}, {'date': '01/08/2007', 'age': '18', 'clubName': 'Tottenham Hotspur', 'clubID': '148', 'value': '€14.70m'}, {'date': '01/09/2007', 'age': '18', 'clubName': 'Tottenham Hotspur', 'clubID': '148', 'value': '€14.50m'}, {'date': '19/11/2007', 'age': '18', 'clubName': 'Tottenham Hotspur', 'clubID': '148', 'value': '€14.75m'}, {'date': '04/02/2008', 'age': '18', 'clubName': 'Tottenham Hotspur', 'clubID': '148', 'value': '€11.00m'}, {'date': '04/07/2008', 'age': '18', 'clubName': 'Tottenham Hotspur', 'clubID': '148', 'value': '€9.50m'}, {'date': '26/06/2009', 'age': '19', 'clubName': 'Tottenham Hotspur', 'clubID': '148', 'value': '€8.50m'}, {'date': '24/01/2010', 'age': '20', 'clubName': 'Tottenham Hotspur', 'clubID': '148', 'value': '€6.50m'}, {'date': '13/08/2010', 'age': '21', 'clubName': 'Tottenham Hotspur', 'clubID': '148', 'value': '€10.00m'}, {'date': '03/11/2010', 'age': '21', 'clubName': 'Tottenham Hotspur', 'clubID': '148', 'value': '€20.00m'}, {'date': '01/02/2011', 'age': '21', 'clubName': 'Tottenham Hotspur', 'clubID': '148', 'value': '€25.00m'}, {'date': '08/08/2011', 'age': '22', 'clubName': 'Tottenham Hotspur', 'clubID': '148', 'value': '€25.00m'}, {'date': '06/02/2012', 'age': '22', 'clubName': 'Tottenham Hotspur', 'clubID': '148', 'value': '€35.00m'}, {'date': '24/06/2012', 'age': '22', 'clubName': 'Tottenham Hotspur', 'clubID': '148', 'value': '€40.00m'}, {'date': '28/01/2013', 'age': '23', 'clubName': 'Tottenham Hotspur', 'clubID': '148', 'value': '€42.00m'}, {'date': '02/07/2013', 'age': '23', 'clubName': 'Tottenham Hotspur', 'clubID': '148', 'value': '€50.00m'}, {'date': '19/08/2013', 'age': '24', 'clubName': 'Tottenham Hotspur', 'clubID': '148', 'value': '€65.00m'}, {'date': '17/09/2013', 'age': '24', 'clubName': 'Real Madrid', 'clubID': '418', 'value': '€80.00m'}, {'date': '23/01/2014', 'age': '24', 'clubName': 'Real Madrid', 'clubID': '418', 'value': '€80.00m'}, {'date': '20/07/2014', 'age': '25', 'clubName': 'Real Madrid', 'clubID': '418', 'value': '€80.00m'}, {'date': '23/01/2015', 'age': '25', 'clubName': 'Real Madrid', 'clubID': '418', 'value': '€80.00m'}, {'date': '01/07/2015', 'age': '25', 'clubName': 'Real Madrid', 'clubID': '418', 'value': '€80.00m'}, {'date': '22/02/2016', 'age': '26', 'clubName': 'Real Madrid', 'clubID': '418', 'value': '€80.00m'}, {'date': '01/06/2016', 'age': '26', 'clubName': 'Real Madrid', 'clubID': '418', 'value': '€80.00m'}, {'date': '15/07/2016', 'age': '26', 'clubName': 'Real Madrid', 'clubID': '418', 'value': '€90.00m'}, {'date': '24/01/2017', 'age': '27', 'clubName': 'Real Madrid', 'clubID': '418', 'value': '€90.00m'}, {'date': '05/06/2017', 'age': '27', 'clubName': 'Real Madrid', 'clubID': '418', 'value': '€80.00m'}, {'date': '01/01/2018', 'age': '28', 'clubName': 'Real Madrid', 'clubID': '418', 'value': '€75.00m'}, {'date': '22/03/2018', 'age': '28', 'clubName': 'Real Madrid', 'clubID': '418', 'value': '€70.00m'}, {'date': '30/05/2018', 'age': '28', 'clubName': 'Real Madrid', 'clubID': '418', 'value': '€90.00m'}, {'date': '21/12/2018', 'age': '29', 'clubName': 'Real Madrid', 'clubID': '418', 'value': '€80.00m'}, {'date': '28/02/2019', 'age': '29', 'clubName': 'Real Madrid', 'clubID': '418', 'value': '€70.00m'}, {'date': '11/06/2019', 'age': '29', 'clubName': 'Real Madrid', 'clubID': '418', 'value': '€60.00m'}, {'date': '20/12/2019', 'age': '30', 'clubName': 'Real Madrid', 'clubID': '418', 'value': '€40.00m'}, {'date': '08/04/2020', 'age': '30', 'clubName': 'Real Madrid', 'clubID': '418', 'value': '€32.00m'}, {'date': '23/07/2020', 'age': '31', 'clubName': 'Real Madrid', 'clubID': '418', 'value': '€28.00m'}, {'date': '13/10/2020', 'age': '31', 'clubName': 'Tottenham Hotspur', 'clubID': '148', 'value': '€25.00m'}, {'date': '17/12/2020', 'age': '31', 'clubName': 'Tottenham Hotspur', 'clubID': '148', 'value': '€20.00m'}, {'date': '18/03/2021', 'age': '31', 'clubName': 'Tottenham Hotspur', 'clubID': '148', 'value': '€20.00m'}, {'date': '25/05/2021', 'age': '31', 'clubName': 'Tottenham Hotspur', 'clubID': '148', 'value': '€18.00m'}, {'date': '13/10/2021', 'age': '32', 'clubName': 'Real Madrid', 'clubID': '418', 'value': '€10.00m'}, {'date': '30/12/2021', 'age': '32', 'clubName': 'Real Madrid', 'clubID': '418', 'value': '€5.00m'}, {'date': '21/03/2022', 'age': '32', 'clubName': 'Real Madrid', 'clubID': '418', 'value': '€3.00m'}, {'date': '03/06/2022', 'age': '32', 'clubName': 'Real Madrid', 'clubID': '418', 'value': '€3.00m'}, {'date': '18/08/2022', 'age': '33', 'clubName': 'Los Angeles FC', 'clubID': '51828', 'value': '€3.00m'}, {'date': '08/11/2022', 'age': '33', 'clubName': 'Los Angeles FC', 'clubID': '51828', 'value': '€2.00m'}, {'date': '09/01/2023', 'age': '33', 'clubName': 'Retired', 'clubID': '123', 'value': '-'}]}</t>
  </si>
  <si>
    <t>1989-07-16</t>
  </si>
  <si>
    <t>Kehrer</t>
  </si>
  <si>
    <t>{'marketValueHistory': [{'date': 'Jul 1, 2015', 'age': '18', 'clubName': 'FC Schalke 04', 'clubID': '33', 'value': '€250k'}, {'date': 'Feb 15, 2016', 'age': '19', 'clubName': 'FC Schalke 04', 'clubID': '33', 'value': '€250k'}, {'date': 'Jul 22, 2016', 'age': '19', 'clubName': 'FC Schalke 04', 'clubID': '33', 'value': '€250k'}, {'date': 'Feb 7, 2017', 'age': '20', 'clubName': 'FC Schalke 04', 'clubID': '33', 'value': '€1.00m'}, {'date': 'Mar 22, 2017', 'age': '20', 'clubName': 'FC Schalke 04', 'clubID': '33', 'value': '€1.50m'}, {'date': 'Jun 19, 2017', 'age': '20', 'clubName': 'FC Schalke 04', 'clubID': '33', 'value': '€3.50m'}, {'date': 'Oct 18, 2017', 'age': '21', 'clubName': 'FC Schalke 04', 'clubID': '33', 'value': '€5.00m'}, {'date': 'Dec 28, 2017', 'age': '21', 'clubName': 'FC Schalke 04', 'clubID': '33', 'value': '€7.50m'}, {'date': 'Apr 4, 2018', 'age': '21', 'clubName': 'FC Schalke 04', 'clubID': '33', 'value': '€13.00m'}, {'date': 'Jun 5, 2018', 'age': '21', 'clubName': 'FC Schalke 04', 'clubID': '33', 'value': '€18.00m'}, {'date': 'Sep 6, 2018', 'age': '21', 'clubName': 'Paris Saint-Germain', 'clubID': '583', 'value': '€30.00m'}, {'date': 'Dec 17, 2018', 'age': '22', 'clubName': 'Paris Saint-Germain', 'clubID': '583', 'value': '€35.00m'}, {'date': 'Jun 3, 2019', 'age': '22', 'clubName': 'Paris Saint-Germain', 'clubID': '583', 'value': '€35.00m'}, {'date': 'Dec 19, 2019', 'age': '23', 'clubName': 'Paris Saint-Germain', 'clubID': '583', 'value': '€35.00m'}, {'date': 'Apr 8, 2020', 'age': '23', 'clubName': 'Paris Saint-Germain', 'clubID': '583', 'value': '€28.00m'}, {'date': 'Oct 15, 2020', 'age': '24', 'clubName': 'Paris Saint-Germain', 'clubID': '583', 'value': '€28.00m'}, {'date': 'Jan 7, 2021', 'age': '24', 'clubName': 'Paris Saint-Germain', 'clubID': '583', 'value': '€25.00m'}, {'date': 'Jun 4, 2021', 'age': '24', 'clubName': 'Paris Saint-Germain', 'clubID': '583', 'value': '€25.00m'}, {'date': 'Dec 16, 2021', 'age': '25', 'clubName': 'Paris Saint-Germain', 'clubID': '583', 'value': '€25.00m'}, {'date': 'May 30, 2022', 'age': '25', 'clubName': 'Paris Saint-Germain', 'clubID': '583', 'value': '€22.00m'}, {'date': 'Nov 3, 2022', 'age': '26', 'clubName': 'West Ham United', 'clubID': '379', 'value': '€22.00m'}, {'date': 'Mar 16, 2023', 'age': '26', 'clubName': 'West Ham United', 'clubID': '379', 'value': '€18.00m'}, {'date': 'Jun 20, 2023', 'age': '26', 'clubName': 'West Ham United', 'clubID': '379', 'value': '€18.00m'}, {'date': 'Oct 9, 2023', 'age': '27', 'clubName': 'West Ham United', 'clubID': '379', 'value': '€13.00m'}, {'date': 'Dec 19, 2023', 'age': '27', 'clubName': 'West Ham United', 'clubID': '379', 'value': '€9.00m'}, {'date': 'Jun 3, 2024', 'age': '27', 'clubName': 'AS Monaco', 'clubID': '162', 'value': '€10.00m'}, {'date': 'Dec 10, 2024', 'age': '28', 'clubName': 'AS Monaco', 'clubID': '162', 'value': '€15.00m'}, {'date': 'Jun 3, 2025', 'age': '28', 'clubName': 'AS Monaco', 'clubID': '162', 'value': '€20.00m'}, {'date': 'Dec 15, 2025', 'age': '29', 'clubName': 'AS Monaco', 'clubID': '162', 'value': '€18.00m'}, {'date': 'Mar 27, 2026', 'age': '29', 'clubName': 'AS Monaco', 'clubID': '162', 'value': '€15.00m'}]}</t>
  </si>
  <si>
    <t>1996-09-21</t>
  </si>
  <si>
    <t>Oblyakov</t>
  </si>
  <si>
    <t>{'marketValueHistory': [{'date': '08/08/2016', 'age': '18', 'clubName': 'FC Ufa', 'clubID': '28095', 'value': '€600k'}, {'date': '27/12/2016', 'age': '18', 'clubName': 'FC Ufa', 'clubID': '28095', 'value': '€700k'}, {'date': '01/06/2017', 'age': '18', 'clubName': 'FC Ufa', 'clubID': '28095', 'value': '€1.20m'}, {'date': '23/12/2017', 'age': '19', 'clubName': 'FC Ufa', 'clubID': '28095', 'value': '€1.40m'}, {'date': '06/06/2018', 'age': '19', 'clubName': 'FC Ufa', 'clubID': '28095', 'value': '€1.70m'}, {'date': '31/08/2018', 'age': '20', 'clubName': 'CSKA Moscow', 'clubID': '2410', 'value': '€3.00m'}, {'date': '20/12/2018', 'age': '20', 'clubName': 'CSKA Moscow', 'clubID': '2410', 'value': '€5.00m'}, {'date': '14/06/2019', 'age': '20', 'clubName': 'CSKA Moscow', 'clubID': '2410', 'value': '€7.50m'}, {'date': '23/12/2019', 'age': '21', 'clubName': 'CSKA Moscow', 'clubID': '2410', 'value': '€8.00m'}, {'date': '08/04/2020', 'age': '21', 'clubName': 'CSKA Moscow', 'clubID': '2410', 'value': '€7.20m'}, {'date': '29/07/2020', 'age': '22', 'clubName': 'CSKA Moscow', 'clubID': '2410', 'value': '€7.50m'}, {'date': '29/12/2020', 'age': '22', 'clubName': 'CSKA Moscow', 'clubID': '2410', 'value': '€7.50m'}, {'date': '02/06/2021', 'age': '22', 'clubName': 'CSKA Moscow', 'clubID': '2410', 'value': '€6.50m'}, {'date': '29/12/2021', 'age': '23', 'clubName': 'CSKA Moscow', 'clubID': '2410', 'value': '€6.50m'}, {'date': '02/06/2022', 'age': '23', 'clubName': 'CSKA Moscow', 'clubID': '2410', 'value': '€5.00m'}, {'date': '12/09/2022', 'age': '24', 'clubName': 'CSKA Moscow', 'clubID': '2410', 'value': '€6.00m'}, {'date': '21/11/2022', 'age': '24', 'clubName': 'CSKA Moscow', 'clubID': '2410', 'value': '€6.00m'}, {'date': '13/04/2023', 'age': '24', 'clubName': 'CSKA Moscow', 'clubID': '2410', 'value': '€7.50m'}, {'date': '14/06/2023', 'age': '24', 'clubName': 'CSKA Moscow', 'clubID': '2410', 'value': '€10.00m'}, {'date': '13/12/2023', 'age': '25', 'clubName': 'CSKA Moscow', 'clubID': '2410', 'value': '€10.00m'}, {'date': '04/06/2024', 'age': '25', 'clubName': 'CSKA Moscow', 'clubID': '2410', 'value': '€9.00m'}, {'date': '12/12/2024', 'age': '26', 'clubName': 'CSKA Moscow', 'clubID': '2410', 'value': '€9.00m'}, {'date': '04/06/2025', 'age': '26', 'clubName': 'CSKA Moscow', 'clubID': '2410', 'value': '€9.00m'}, {'date': '18/09/2025', 'age': '27', 'clubName': 'CSKA Moscow', 'clubID': '2410', 'value': '€10.00m'}, {'date': '16/12/2025', 'age': '27', 'clubName': 'CSKA Moscow', 'clubID': '2410', 'value': '€10.00m'}]}</t>
  </si>
  <si>
    <t>1998-07-05</t>
  </si>
  <si>
    <t>Tousart</t>
  </si>
  <si>
    <t>{'marketValueHistory': [{'date': 'Apr 5, 2015', 'age': '17', 'clubName': 'Valenciennes FC', 'clubID': '1423', 'value': '€150k'}, {'date': 'Jun 6, 2015', 'age': '18', 'clubName': 'Valenciennes FC', 'clubID': '1423', 'value': '€400k'}, {'date': 'Sep 6, 2015', 'age': '18', 'clubName': 'Olympique Lyon', 'clubID': '1041', 'value': '€2.00m'}, {'date': 'Feb 4, 2016', 'age': '18', 'clubName': 'Olympique Lyon', 'clubID': '1041', 'value': '€2.00m'}, {'date': 'Jul 13, 2016', 'age': '19', 'clubName': 'Olympique Lyon', 'clubID': '1041', 'value': '€2.00m'}, {'date': 'Jan 16, 2017', 'age': '19', 'clubName': 'Olympique Lyon', 'clubID': '1041', 'value': '€2.50m'}, {'date': 'Jun 1, 2017', 'age': '20', 'clubName': 'Olympique Lyon', 'clubID': '1041', 'value': '€5.00m'}, {'date': 'Oct 12, 2017', 'age': '20', 'clubName': 'Olympique Lyon', 'clubID': '1041', 'value': '€10.00m'}, {'date': 'Jan 24, 2018', 'age': '20', 'clubName': 'Olympique Lyon', 'clubID': '1041', 'value': '€25.00m'}, {'date': 'Jun 4, 2018', 'age': '21', 'clubName': 'Olympique Lyon', 'clubID': '1041', 'value': '€25.00m'}, {'date': 'Dec 17, 2018', 'age': '21', 'clubName': 'Olympique Lyon', 'clubID': '1041', 'value': '€20.00m'}, {'date': 'Jun 3, 2019', 'age': '22', 'clubName': 'Olympique Lyon', 'clubID': '1041', 'value': '€20.00m'}, {'date': 'Dec 19, 2019', 'age': '22', 'clubName': 'Olympique Lyon', 'clubID': '1041', 'value': '€20.00m'}, {'date': 'Apr 8, 2020', 'age': '22', 'clubName': 'Olympique Lyon', 'clubID': '1041', 'value': '€16.00m'}, {'date': 'Sep 16, 2020', 'age': '23', 'clubName': 'Hertha BSC', 'clubID': '44', 'value': '€20.00m'}, {'date': 'Feb 10, 2021', 'age': '23', 'clubName': 'Hertha BSC', 'clubID': '44', 'value': '€16.00m'}, {'date': 'Jun 9, 2021', 'age': '24', 'clubName': 'Hertha BSC', 'clubID': '44', 'value': '€16.00m'}, {'date': 'Oct 7, 2021', 'age': '24', 'clubName': 'Hertha BSC', 'clubID': '44', 'value': '€12.00m'}, {'date': 'Dec 22, 2021', 'age': '24', 'clubName': 'Hertha BSC', 'clubID': '44', 'value': '€8.00m'}, {'date': 'Jun 9, 2022', 'age': '25', 'clubName': 'Hertha BSC', 'clubID': '44', 'value': '€9.00m'}, {'date': 'Nov 9, 2022', 'age': '25', 'clubName': 'Hertha BSC', 'clubID': '44', 'value': '€11.00m'}, {'date': 'Jun 22, 2023', 'age': '26', 'clubName': 'Hertha BSC', 'clubID': '44', 'value': '€9.00m'}, {'date': 'Oct 18, 2023', 'age': '26', 'clubName': '1.FC Union Berlin', 'clubID': '89', 'value': '€7.00m'}, {'date': 'Dec 14, 2023', 'age': '26', 'clubName': '1.FC Union Berlin', 'clubID': '89', 'value': '€7.00m'}, {'date': 'May 29, 2024', 'age': '27', 'clubName': '1.FC Union Berlin', 'clubID': '89', 'value': '€7.00m'}, {'date': 'Oct 9, 2024', 'age': '27', 'clubName': '1.FC Union Berlin', 'clubID': '89', 'value': '€5.50m'}, {'date': 'Dec 20, 2024', 'age': '27', 'clubName': '1.FC Union Berlin', 'clubID': '89', 'value': '€4.00m'}, {'date': 'Jun 5, 2025', 'age': '28', 'clubName': '1.FC Union Berlin', 'clubID': '89', 'value': '€2.50m'}, {'date': 'Dec 15, 2025', 'age': '28', 'clubName': 'Stade Brestois 29', 'clubID': '3911', 'value': '€2.00m'}]}</t>
  </si>
  <si>
    <t>1997-04-29</t>
  </si>
  <si>
    <t>Kramaric</t>
  </si>
  <si>
    <t>{'marketValueHistory': [{'date': '05/10/2009', 'age': '18', 'clubName': 'GNK Dinamo Zagreb', 'clubID': '419', 'value': '€800k'}, {'date': '28/01/2010', 'age': '18', 'clubName': 'GNK Dinamo Zagreb', 'clubID': '419', 'value': '€1.00m'}, {'date': '13/09/2010', 'age': '19', 'clubName': 'GNK Dinamo Zagreb', 'clubID': '419', 'value': '€750k'}, {'date': '13/02/2011', 'age': '19', 'clubName': 'GNK Dinamo Zagreb', 'clubID': '419', 'value': '€500k'}, {'date': '29/08/2011', 'age': '20', 'clubName': 'GNK Dinamo Zagreb', 'clubID': '419', 'value': '€250k'}, {'date': '29/02/2012', 'age': '20', 'clubName': 'NK Lokomotiva Zagreb', 'clubID': '11194', 'value': '€250k'}, {'date': '30/09/2012', 'age': '21', 'clubName': 'NK Lokomotiva Zagreb', 'clubID': '11194', 'value': '€500k'}, {'date': '03/03/2013', 'age': '21', 'clubName': 'NK Lokomotiva Zagreb', 'clubID': '11194', 'value': '€1.25m'}, {'date': '08/10/2013', 'age': '22', 'clubName': 'HNK Rijeka', 'clubID': '144', 'value': '€1.00m'}, {'date': '11/03/2014', 'age': '22', 'clubName': 'HNK Rijeka', 'clubID': '144', 'value': '€2.50m'}, {'date': '01/10/2014', 'age': '23', 'clubName': 'HNK Rijeka', 'clubID': '144', 'value': '€4.50m'}, {'date': '12/02/2015', 'age': '23', 'clubName': 'Leicester City', 'clubID': '1003', 'value': '€8.00m'}, {'date': '01/07/2015', 'age': '24', 'clubName': 'Leicester City', 'clubID': '1003', 'value': '€8.00m'}, {'date': '15/02/2016', 'age': '24', 'clubName': 'TSG 1899 Hoffenheim', 'clubID': '533', 'value': '€5.00m'}, {'date': '01/06/2016', 'age': '24', 'clubName': 'TSG 1899 Hoffenheim', 'clubID': '533', 'value': '€7.50m'}, {'date': '22/07/2016', 'age': '25', 'clubName': 'TSG 1899 Hoffenheim', 'clubID': '533', 'value': '€9.00m'}, {'date': '07/02/2017', 'age': '25', 'clubName': 'TSG 1899 Hoffenheim', 'clubID': '533', 'value': '€9.00m'}, {'date': '19/06/2017', 'age': '26', 'clubName': 'TSG 1899 Hoffenheim', 'clubID': '533', 'value': '€15.00m'}, {'date': '28/12/2017', 'age': '26', 'clubName': 'TSG 1899 Hoffenheim', 'clubID': '533', 'value': '€15.00m'}, {'date': '05/06/2018', 'age': '26', 'clubName': 'TSG 1899 Hoffenheim', 'clubID': '533', 'value': '€27.00m'}, {'date': '16/07/2018', 'age': '27', 'clubName': 'TSG 1899 Hoffenheim', 'clubID': '533', 'value': '€35.00m'}, {'date': '18/12/2018', 'age': '27', 'clubName': 'TSG 1899 Hoffenheim', 'clubID': '533', 'value': '€35.00m'}, {'date': '05/06/2019', 'age': '27', 'clubName': 'TSG 1899 Hoffenheim', 'clubID': '533', 'value': '€38.00m'}, {'date': '17/12/2019', 'age': '28', 'clubName': 'TSG 1899 Hoffenheim', 'clubID': '533', 'value': '€38.00m'}, {'date': '08/04/2020', 'age': '28', 'clubName': 'TSG 1899 Hoffenheim', 'clubID': '533', 'value': '€30.50m'}, {'date': '16/09/2020', 'age': '29', 'clubName': 'TSG 1899 Hoffenheim', 'clubID': '533', 'value': '€27.00m'}, {'date': '26/11/2020', 'age': '29', 'clubName': 'TSG 1899 Hoffenheim', 'clubID': '533', 'value': '€32.00m'}, {'date': '10/02/2021', 'age': '29', 'clubName': 'TSG 1899 Hoffenheim', 'clubID': '533', 'value': '€32.00m'}, {'date': '28/05/2021', 'age': '29', 'clubName': 'TSG 1899 Hoffenheim', 'clubID': '533', 'value': '€28.00m'}, {'date': '07/10/2021', 'age': '30', 'clubName': 'TSG 1899 Hoffenheim', 'clubID': '533', 'value': '€23.00m'}, {'date': '22/12/2021', 'age': '30', 'clubName': 'TSG 1899 Hoffenheim', 'clubID': '533', 'value': '€18.00m'}, {'date': '09/06/2022', 'age': '30', 'clubName': 'TSG 1899 Hoffenheim', 'clubID': '533', 'value': '€12.00m'}, {'date': '09/11/2022', 'age': '31', 'clubName': 'TSG 1899 Hoffenheim', 'clubID': '533', 'value': '€9.00m'}, {'date': '22/06/2023', 'age': '32', 'clubName': 'TSG 1899 Hoffenheim', 'clubID': '533', 'value': '€8.00m'}, {'date': '14/12/2023', 'age': '32', 'clubName': 'TSG 1899 Hoffenheim', 'clubID': '533', 'value': '€6.00m'}, {'date': '29/05/2024', 'age': '32', 'clubName': 'TSG 1899 Hoffenheim', 'clubID': '533', 'value': '€5.00m'}, {'date': '20/12/2024', 'age': '33', 'clubName': 'TSG 1899 Hoffenheim', 'clubID': '533', 'value': '€4.00m'}, {'date': '05/06/2025', 'age': '33', 'clubName': 'TSG 1899 Hoffenheim', 'clubID': '533', 'value': '€4.00m'}, {'date': '19/12/2025', 'age': '34', 'clubName': 'TSG 1899 Hoffenheim', 'clubID': '533', 'value': '€3.00m'}]}</t>
  </si>
  <si>
    <t>1991-06-19</t>
  </si>
  <si>
    <t>Joao Cancelo</t>
  </si>
  <si>
    <t>{'marketValueHistory': [{'date': 'Nov 10, 2012', 'age': '18', 'clubName': 'SL Benfica U19', 'clubID': '8889', 'value': '€1.00m'}, {'date': 'Nov 8, 2013', 'age': '19', 'clubName': 'SL Benfica B', 'clubID': '10330', 'value': '€1.00m'}, {'date': 'Feb 20, 2014', 'age': '19', 'clubName': 'SL Benfica B', 'clubID': '10330', 'value': '€2.00m'}, {'date': 'Oct 22, 2014', 'age': '20', 'clubName': 'Valencia CF', 'clubID': '1049', 'value': '€2.00m'}, {'date': 'Jan 23, 2015', 'age': '20', 'clubName': 'Valencia CF', 'clubID': '1049', 'value': '€2.00m'}, {'date': 'Jul 1, 2015', 'age': '21', 'clubName': 'Valencia CF', 'clubID': '1049', 'value': '€5.00m'}, {'date': 'Nov 22, 2015', 'age': '21', 'clubName': 'Valencia CF', 'clubID': '1049', 'value': '€10.00m'}, {'date': 'Feb 22, 2016', 'age': '21', 'clubName': 'Valencia CF', 'clubID': '1049', 'value': '€10.00m'}, {'date': 'Jul 15, 2016', 'age': '22', 'clubName': 'Valencia CF', 'clubID': '1049', 'value': '€15.00m'}, {'date': 'Oct 27, 2016', 'age': '22', 'clubName': 'Valencia CF', 'clubID': '1049', 'value': '€20.00m'}, {'date': 'Jan 24, 2017', 'age': '22', 'clubName': 'Valencia CF', 'clubID': '1049', 'value': '€20.00m'}, {'date': 'Jun 5, 2017', 'age': '23', 'clubName': 'Valencia CF', 'clubID': '1049', 'value': '€20.00m'}, {'date': 'Dec 29, 2017', 'age': '23', 'clubName': 'Inter Milan', 'clubID': '46', 'value': '€20.00m'}, {'date': 'Mar 24, 2018', 'age': '23', 'clubName': 'Inter Milan', 'clubID': '46', 'value': '€25.00m'}, {'date': 'Jun 7, 2018', 'age': '24', 'clubName': 'Inter Milan', 'clubID': '46', 'value': '€35.00m'}, {'date': 'Oct 12, 2018', 'age': '24', 'clubName': 'Juventus FC', 'clubID': '506', 'value': '€40.00m'}, {'date': 'Dec 20, 2018', 'age': '24', 'clubName': 'Juventus FC', 'clubID': '506', 'value': '€55.00m'}, {'date': 'Jun 6, 2019', 'age': '25', 'clubName': 'Juventus FC', 'clubID': '506', 'value': '€55.00m'}, {'date': 'Dec 10, 2019', 'age': '25', 'clubName': 'Manchester City', 'clubID': '281', 'value': '€50.00m'}, {'date': 'Mar 9, 2020', 'age': '25', 'clubName': 'Manchester City', 'clubID': '281', 'value': '€45.00m'}, {'date': 'Apr 8, 2020', 'age': '25', 'clubName': 'Manchester City', 'clubID': '281', 'value': '€36.00m'}, {'date': 'Oct 13, 2020', 'age': '26', 'clubName': 'Manchester City', 'clubID': '281', 'value': '€36.00m'}, {'date': 'Mar 18, 2021', 'age': '26', 'clubName': 'Manchester City', 'clubID': '281', 'value': '€50.00m'}, {'date': 'Jun 1, 2021', 'age': '27', 'clubName': 'Manchester City', 'clubID': '281', 'value': '€55.00m'}, {'date': 'Dec 23, 2021', 'age': '27', 'clubName': 'Manchester City', 'clubID': '281', 'value': '€60.00m'}, {'date': 'Jun 15, 2022', 'age': '28', 'clubName': 'Manchester City', 'clubID': '281', 'value': '€65.00m'}, {'date': 'Nov 3, 2022', 'age': '28', 'clubName': 'Manchester City', 'clubID': '281', 'value': '€70.00m'}, {'date': 'Mar 29, 2023', 'age': '28', 'clubName': 'Bayern Munich', 'clubID': '27', 'value': '€60.00m'}, {'date': 'Jun 22, 2023', 'age': '29', 'clubName': 'Bayern Munich', 'clubID': '27', 'value': '€50.00m'}, {'date': 'Dec 22, 2023', 'age': '29', 'clubName': 'FC Barcelona', 'clubID': '131', 'value': '€40.00m'}, {'date': 'Mar 21, 2024', 'age': '29', 'clubName': 'FC Barcelona', 'clubID': '131', 'value': '€30.00m'}, {'date': 'Jun 7, 2024', 'age': '30', 'clubName': 'FC Barcelona', 'clubID': '131', 'value': '€25.00m'}, {'date': 'Dec 13, 2024', 'age': '30', 'clubName': 'Al-Hilal SFC', 'clubID': '1114', 'value': '€18.00m'}, {'date': 'May 27, 2025', 'age': '31', 'clubName': 'Al-Hilal SFC', 'clubID': '1114', 'value': '€15.00m'}, {'date': 'Dec 18, 2025', 'age': '31', 'clubName': 'Al-Hilal SFC', 'clubID': '1114', 'value': '€10.00m'}, {'date': 'Mar 16, 2026', 'age': '31', 'clubName': 'FC Barcelona', 'clubID': '131', 'value': '€9.00m'}]}</t>
  </si>
  <si>
    <t>Donk</t>
  </si>
  <si>
    <t>{'marketValueHistory': [{'date': '18/02/2013', 'age': '17', 'clubName': 'RSC Anderlecht U19', 'clubID': '3038', 'value': '€100k'}, {'date': '25/06/2013', 'age': '18', 'clubName': 'RSC Anderlecht U19', 'clubID': '3038', 'value': '€100k'}, {'date': '12/08/2013', 'age': '18', 'clubName': 'RSC Anderlecht U21', 'clubID': '30857', 'value': '€250k'}, {'date': '08/10/2013', 'age': '18', 'clubName': 'RSC Anderlecht U21', 'clubID': '30857', 'value': '€500k'}, {'date': '10/02/2014', 'age': '18', 'clubName': 'RSC Anderlecht U21', 'clubID': '30857', 'value': '€500k'}, {'date': '28/06/2014', 'age': '19', 'clubName': 'RSC Anderlecht U21', 'clubID': '30857', 'value': '€500k'}, {'date': '05/10/2014', 'age': '19', 'clubName': 'RSC Anderlecht', 'clubID': '58', 'value': '€600k'}, {'date': '07/01/2015', 'age': '19', 'clubName': 'RSC Anderlecht', 'clubID': '58', 'value': '€1.50m'}, {'date': '24/03/2015', 'age': '19', 'clubName': 'RSC Anderlecht', 'clubID': '58', 'value': '€3.50m'}, {'date': '24/06/2015', 'age': '20', 'clubName': 'RSC Anderlecht', 'clubID': '58', 'value': '€4.00m'}, {'date': '22/10/2015', 'age': '20', 'clubName': 'RSC Anderlecht', 'clubID': '58', 'value': '€6.00m'}, {'date': '07/02/2016', 'age': '20', 'clubName': 'RSC Anderlecht', 'clubID': '58', 'value': '€8.00m'}, {'date': '15/07/2016', 'age': '21', 'clubName': 'RSC Anderlecht', 'clubID': '58', 'value': '€8.00m'}, {'date': '21/01/2017', 'age': '21', 'clubName': 'RSC Anderlecht', 'clubID': '58', 'value': '€10.00m'}, {'date': '30/03/2017', 'age': '21', 'clubName': 'RSC Anderlecht', 'clubID': '58', 'value': '€12.00m'}, {'date': '06/06/2017', 'age': '22', 'clubName': 'RSC Anderlecht', 'clubID': '58', 'value': '€15.00m'}, {'date': '20/10/2017', 'age': '22', 'clubName': 'RSC Anderlecht', 'clubID': '58', 'value': '€17.00m'}, {'date': '09/01/2018', 'age': '22', 'clubName': 'RSC Anderlecht', 'clubID': '58', 'value': '€18.00m'}, {'date': '30/03/2018', 'age': '22', 'clubName': 'RSC Anderlecht', 'clubID': '58', 'value': '€16.50m'}, {'date': '03/06/2018', 'age': '23', 'clubName': 'RSC Anderlecht', 'clubID': '58', 'value': '€17.00m'}, {'date': '19/12/2018', 'age': '23', 'clubName': 'Wolverhampton Wanderers', 'clubID': '543', 'value': '€15.00m'}, {'date': '13/06/2019', 'age': '24', 'clubName': 'Wolverhampton Wanderers', 'clubID': '543', 'value': '€18.00m'}, {'date': '12/09/2019', 'age': '24', 'clubName': 'Wolverhampton Wanderers', 'clubID': '543', 'value': '€25.00m'}, {'date': '10/12/2019', 'age': '24', 'clubName': 'Wolverhampton Wanderers', 'clubID': '543', 'value': '€28.00m'}, {'date': '08/04/2020', 'age': '24', 'clubName': 'Wolverhampton Wanderers', 'clubID': '543', 'value': '€22.50m'}, {'date': '30/07/2020', 'age': '25', 'clubName': 'Wolverhampton Wanderers', 'clubID': '543', 'value': '€28.00m'}, {'date': '13/10/2020', 'age': '25', 'clubName': 'Wolverhampton Wanderers', 'clubID': '543', 'value': '€28.00m'}, {'date': '17/12/2020', 'age': '25', 'clubName': 'Wolverhampton Wanderers', 'clubID': '543', 'value': '€32.00m'}, {'date': '18/03/2021', 'age': '25', 'clubName': 'Wolverhampton Wanderers', 'clubID': '543', 'value': '€32.00m'}, {'date': '26/05/2021', 'age': '26', 'clubName': 'Wolverhampton Wanderers', 'clubID': '543', 'value': '€30.00m'}, {'date': '23/12/2021', 'age': '26', 'clubName': 'Wolverhampton Wanderers', 'clubID': '543', 'value': '€30.00m'}, {'date': '15/06/2022', 'age': '27', 'clubName': 'Wolverhampton Wanderers', 'clubID': '543', 'value': '€28.00m'}, {'date': '03/11/2022', 'age': '27', 'clubName': 'Aston Villa', 'clubID': '405', 'value': '€22.00m'}, {'date': '16/03/2023', 'age': '27', 'clubName': 'Aston Villa', 'clubID': '405', 'value': '€17.00m'}, {'date': '20/06/2023', 'age': '28', 'clubName': 'Aston Villa', 'clubID': '405', 'value': '€15.00m'}, {'date': '19/12/2023', 'age': '28', 'clubName': 'Aston Villa', 'clubID': '405', 'value': '€11.00m'}, {'date': '12/03/2024', 'age': '28', 'clubName': 'SSC Napoli', 'clubID': '6195', 'value': '€9.00m'}, {'date': '05/06/2024', 'age': '29', 'clubName': 'SSC Napoli', 'clubID': '6195', 'value': '€7.00m'}, {'date': '11/12/2024', 'age': '29', 'clubName': 'RSC Anderlecht', 'clubID': '58', 'value': '€6.00m'}, {'date': '26/03/2025', 'age': '29', 'clubName': 'RSC Anderlecht', 'clubID': '58', 'value': '€4.50m'}, {'date': '12/06/2025', 'age': '30', 'clubName': 'RSC Anderlecht', 'clubID': '58', 'value': '€4.50m'}, {'date': '12/12/2025', 'age': '30', 'clubName': 'Real Oviedo', 'clubID': '2497', 'value': '€4.00m'}, {'date': '16/03/2026', 'age': '30', 'clubName': 'Real Oviedo', 'clubID': '2497', 'value': '€3.00m'}]}</t>
  </si>
  <si>
    <t>1995-04-15</t>
  </si>
  <si>
    <t>Fabian Ruiz</t>
  </si>
  <si>
    <t>{'marketValueHistory': [{'date': 'Sep 20, 2015', 'age': '19', 'clubName': 'Real Betis B', 'clubID': '150', 'value': '€200k'}, {'date': 'Sep 30, 2015', 'age': '19', 'clubName': 'Real Betis B', 'clubID': '150', 'value': '-'}, {'date': 'Feb 22, 2016', 'age': '19', 'clubName': 'Real Betis B', 'clubID': '150', 'value': '€500k'}, {'date': 'Jul 15, 2016', 'age': '20', 'clubName': 'Real Betis Balompié', 'clubID': '150', 'value': '€500k'}, {'date': 'Jan 24, 2017', 'age': '20', 'clubName': 'Elche CF', 'clubID': '1531', 'value': '€500k'}, {'date': 'Jun 29, 2017', 'age': '21', 'clubName': 'Elche CF', 'clubID': '1531', 'value': '€500k'}, {'date': 'Jan 1, 2018', 'age': '21', 'clubName': 'Real Betis Balompié', 'clubID': '150', 'value': '€7.50m'}, {'date': 'Mar 22, 2018', 'age': '21', 'clubName': 'Real Betis Balompié', 'clubID': '150', 'value': '€15.00m'}, {'date': 'May 30, 2018', 'age': '22', 'clubName': 'Real Betis Balompié', 'clubID': '150', 'value': '€20.00m'}, {'date': 'Oct 12, 2018', 'age': '22', 'clubName': 'SSC Napoli', 'clubID': '6195', 'value': '€25.00m'}, {'date': 'Dec 20, 2018', 'age': '22', 'clubName': 'SSC Napoli', 'clubID': '6195', 'value': '€32.00m'}, {'date': 'Mar 1, 2019', 'age': '22', 'clubName': 'SSC Napoli', 'clubID': '6195', 'value': '€40.00m'}, {'date': 'Jun 6, 2019', 'age': '23', 'clubName': 'SSC Napoli', 'clubID': '6195', 'value': '€50.00m'}, {'date': 'Oct 8, 2019', 'age': '23', 'clubName': 'SSC Napoli', 'clubID': '6195', 'value': '€60.00m'}, {'date': 'Dec 12, 2019', 'age': '23', 'clubName': 'SSC Napoli', 'clubID': '6195', 'value': '€60.00m'}, {'date': 'Apr 8, 2020', 'age': '24', 'clubName': 'SSC Napoli', 'clubID': '6195', 'value': '€48.00m'}, {'date': 'Aug 25, 2020', 'age': '24', 'clubName': 'SSC Napoli', 'clubID': '6195', 'value': '€50.00m'}, {'date': 'Dec 29, 2020', 'age': '24', 'clubName': 'SSC Napoli', 'clubID': '6195', 'value': '€48.00m'}, {'date': 'Mar 23, 2021', 'age': '24', 'clubName': 'SSC Napoli', 'clubID': '6195', 'value': '€44.00m'}, {'date': 'May 31, 2021', 'age': '25', 'clubName': 'SSC Napoli', 'clubID': '6195', 'value': '€45.00m'}, {'date': 'Dec 28, 2021', 'age': '25', 'clubName': 'SSC Napoli', 'clubID': '6195', 'value': '€55.00m'}, {'date': 'Jun 7, 2022', 'age': '26', 'clubName': 'SSC Napoli', 'clubID': '6195', 'value': '€55.00m'}, {'date': 'Sep 19, 2022', 'age': '26', 'clubName': 'Paris Saint-Germain', 'clubID': '583', 'value': '€45.00m'}, {'date': 'Nov 2, 2022', 'age': '26', 'clubName': 'Paris Saint-Germain', 'clubID': '583', 'value': '€45.00m'}, {'date': 'Mar 27, 2023', 'age': '26', 'clubName': 'Paris Saint-Germain', 'clubID': '583', 'value': '€38.00m'}, {'date': 'Jun 27, 2023', 'age': '27', 'clubName': 'Paris Saint-Germain', 'clubID': '583', 'value': '€32.00m'}, {'date': 'Oct 16, 2023', 'age': '27', 'clubName': 'Paris Saint-Germain', 'clubID': '583', 'value': '€30.00m'}, {'date': 'Dec 18, 2023', 'age': '27', 'clubName': 'Paris Saint-Germain', 'clubID': '583', 'value': '€30.00m'}, {'date': 'Jun 3, 2024', 'age': '28', 'clubName': 'Paris Saint-Germain', 'clubID': '583', 'value': '€30.00m'}, {'date': 'Jul 18, 2024', 'age': '28', 'clubName': 'Paris Saint-Germain', 'clubID': '583', 'value': '€35.00m'}, {'date': 'Dec 10, 2024', 'age': '28', 'clubName': 'Paris Saint-Germain', 'clubID': '583', 'value': '€35.00m'}, {'date': 'Jun 3, 2025', 'age': '29', 'clubName': 'Paris Saint-Germain', 'clubID': '583', 'value': '€40.00m'}, {'date': 'Dec 15, 2025', 'age': '29', 'clubName': 'Paris Saint-Germain', 'clubID': '583', 'value': '€40.00m'}]}</t>
  </si>
  <si>
    <t>1996-04-03</t>
  </si>
  <si>
    <t>Denisov</t>
  </si>
  <si>
    <t>{'marketValueHistory': [{'date': '04/10/2004', 'age': '20', 'clubName': 'Zenit St. Petersburg', 'clubID': '964', 'value': '€1.50m'}, {'date': '02/12/2005', 'age': '21', 'clubName': 'Zenit St. Petersburg', 'clubID': '964', 'value': '€3.70m'}, {'date': '29/03/2007', 'age': '22', 'clubName': 'Zenit St. Petersburg', 'clubID': '964', 'value': '€3.73m'}, {'date': '20/08/2007', 'age': '23', 'clubName': 'Zenit St. Petersburg', 'clubID': '964', 'value': '€3.25m'}, {'date': '01/03/2008', 'age': '23', 'clubName': 'Zenit St. Petersburg', 'clubID': '964', 'value': '€2.30m'}, {'date': '20/05/2008', 'age': '24', 'clubName': 'Zenit St. Petersburg', 'clubID': '964', 'value': '€4.30m'}, {'date': '05/09/2008', 'age': '24', 'clubName': 'Zenit St. Petersburg', 'clubID': '964', 'value': '€6.50m'}, {'date': '26/02/2009', 'age': '24', 'clubName': 'Zenit St. Petersburg', 'clubID': '964', 'value': '€9.00m'}, {'date': '17/08/2009', 'age': '25', 'clubName': 'Zenit St. Petersburg', 'clubID': '964', 'value': '€10.00m'}, {'date': '09/12/2009', 'age': '25', 'clubName': 'Zenit St. Petersburg', 'clubID': '964', 'value': '€12.00m'}, {'date': '22/06/2010', 'age': '26', 'clubName': 'Zenit St. Petersburg', 'clubID': '964', 'value': '€14.00m'}, {'date': '24/05/2011', 'age': '27', 'clubName': 'Zenit St. Petersburg', 'clubID': '964', 'value': '€12.00m'}, {'date': '15/07/2011', 'age': '27', 'clubName': 'Zenit St. Petersburg', 'clubID': '964', 'value': '€12.00m'}, {'date': '15/12/2011', 'age': '27', 'clubName': 'Zenit St. Petersburg', 'clubID': '964', 'value': '€14.00m'}, {'date': '04/07/2012', 'age': '28', 'clubName': 'Zenit St. Petersburg', 'clubID': '964', 'value': '€20.00m'}, {'date': '13/01/2013', 'age': '28', 'clubName': 'Zenit St. Petersburg', 'clubID': '964', 'value': '€16.00m'}, {'date': '19/06/2013', 'age': '29', 'clubName': 'Zenit St. Petersburg', 'clubID': '964', 'value': '€16.00m'}, {'date': '03/03/2014', 'age': '29', 'clubName': 'Dinamo Moscow', 'clubID': '121', 'value': '€14.00m'}, {'date': '31/07/2014', 'age': '30', 'clubName': 'Dinamo Moscow', 'clubID': '121', 'value': '€12.00m'}, {'date': '23/02/2015', 'age': '30', 'clubName': 'Dinamo Moscow', 'clubID': '121', 'value': '€11.00m'}, {'date': '18/06/2015', 'age': '31', 'clubName': 'Dinamo Moscow', 'clubID': '121', 'value': '€7.00m'}, {'date': '06/01/2016', 'age': '31', 'clubName': 'Dinamo Moscow', 'clubID': '121', 'value': '€6.00m'}, {'date': '01/06/2016', 'age': '32', 'clubName': 'Dinamo Moscow', 'clubID': '121', 'value': '€4.00m'}, {'date': '27/12/2016', 'age': '32', 'clubName': 'Lokomotiv Moskau', 'clubID': '932', 'value': '€3.00m'}, {'date': '01/06/2017', 'age': '33', 'clubName': 'Lokomotiv Moskau', 'clubID': '932', 'value': '€2.50m'}, {'date': '23/12/2017', 'age': '33', 'clubName': 'Lokomotiv Moscow', 'clubID': '932', 'value': '€2.00m'}, {'date': '06/06/2018', 'age': '34', 'clubName': 'Lokomotiv Moscow', 'clubID': '932', 'value': '€1.50m'}, {'date': '20/12/2018', 'age': '34', 'clubName': 'Lokomotiv Moscow', 'clubID': '932', 'value': '€1.50m'}, {'date': '14/06/2019', 'age': '35', 'clubName': 'Lokomotiv Moscow', 'clubID': '932', 'value': '€800k'}, {'date': '01/07/2019', 'age': '35', 'clubName': 'Retired', 'clubID': '123', 'value': '-'}]}</t>
  </si>
  <si>
    <t>1984-05-17</t>
  </si>
  <si>
    <t>Modric</t>
  </si>
  <si>
    <t>{'marketValueHistory': [{'date': 'Sep 15, 2005', 'age': '20', 'clubName': 'GNK Dinamo Zagreb', 'clubID': '419', 'value': '€150k'}, {'date': 'Dec 8, 2005', 'age': '20', 'clubName': 'GNK Dinamo Zagreb', 'clubID': '419', 'value': '€2.50m'}, {'date': 'Oct 6, 2006', 'age': '21', 'clubName': 'GNK Dinamo Zagreb', 'clubID': '419', 'value': '€4.70m'}, {'date': 'Feb 10, 2007', 'age': '21', 'clubName': 'GNK Dinamo Zagreb', 'clubID': '419', 'value': '€5.70m'}, {'date': 'Aug 20, 2007', 'age': '21', 'clubName': 'GNK Dinamo Zagreb', 'clubID': '419', 'value': '€7.50m'}, {'date': 'Oct 7, 2007', 'age': '22', 'clubName': 'GNK Dinamo Zagreb', 'clubID': '419', 'value': '€10.50m'}, {'date': 'Jan 7, 2008', 'age': '22', 'clubName': 'GNK Dinamo Zagreb', 'clubID': '419', 'value': '€12.00m'}, {'date': 'May 4, 2008', 'age': '22', 'clubName': 'GNK Dinamo Zagreb', 'clubID': '419', 'value': '€18.00m'}, {'date': 'Feb 23, 2009', 'age': '23', 'clubName': 'Tottenham Hotspur', 'clubID': '148', 'value': '€17.00m'}, {'date': 'Jun 26, 2009', 'age': '23', 'clubName': 'Tottenham Hotspur', 'clubID': '148', 'value': '€18.50m'}, {'date': 'Jan 24, 2010', 'age': '24', 'clubName': 'Tottenham Hotspur', 'clubID': '148', 'value': '€19.00m'}, {'date': 'Aug 13, 2010', 'age': '24', 'clubName': 'Tottenham Hotspur', 'clubID': '148', 'value': '€22.00m'}, {'date': 'Feb 1, 2011', 'age': '25', 'clubName': 'Tottenham Hotspur', 'clubID': '148', 'value': '€28.00m'}, {'date': 'Aug 8, 2011', 'age': '25', 'clubName': 'Tottenham Hotspur', 'clubID': '148', 'value': '€33.00m'}, {'date': 'Feb 6, 2012', 'age': '26', 'clubName': 'Tottenham Hotspur', 'clubID': '148', 'value': '€39.00m'}, {'date': 'Aug 27, 2012', 'age': '26', 'clubName': 'Real Madrid', 'clubID': '418', 'value': '€40.00m'}, {'date': 'Jan 10, 2013', 'age': '27', 'clubName': 'Real Madrid', 'clubID': '418', 'value': '€35.00m'}, {'date': 'Jun 12, 2013', 'age': '27', 'clubName': 'Real Madrid', 'clubID': '418', 'value': '€35.00m'}, {'date': 'Jan 23, 2014', 'age': '28', 'clubName': 'Real Madrid', 'clubID': '418', 'value': '€40.00m'}, {'date': 'Jul 20, 2014', 'age': '28', 'clubName': 'Real Madrid', 'clubID': '418', 'value': '€55.00m'}, {'date': 'Jan 23, 2015', 'age': '29', 'clubName': 'Real Madrid', 'clubID': '418', 'value': '€55.00m'}, {'date': 'Jul 1, 2015', 'age': '29', 'clubName': 'Real Madrid', 'clubID': '418', 'value': '€50.00m'}, {'date': 'Feb 22, 2016', 'age': '30', 'clubName': 'Real Madrid', 'clubID': '418', 'value': '€50.00m'}, {'date': 'Jun 1, 2016', 'age': '30', 'clubName': 'Real Madrid', 'clubID': '418', 'value': '€50.00m'}, {'date': 'Jul 15, 2016', 'age': '30', 'clubName': 'Real Madrid', 'clubID': '418', 'value': '€50.00m'}, {'date': 'Jan 24, 2017', 'age': '31', 'clubName': 'Real Madrid', 'clubID': '418', 'value': '€45.00m'}, {'date': 'Jun 5, 2017', 'age': '31', 'clubName': 'Real Madrid', 'clubID': '418', 'value': '€40.00m'}, {'date': 'Jan 1, 2018', 'age': '32', 'clubName': 'Real Madrid', 'clubID': '418', 'value': '€40.00m'}, {'date': 'May 30, 2018', 'age': '32', 'clubName': 'Real Madrid', 'clubID': '418', 'value': '€25.00m'}, {'date': 'Dec 21, 2018', 'age': '33', 'clubName': 'Real Madrid', 'clubID': '418', 'value': '€25.00m'}, {'date': 'Jun 11, 2019', 'age': '33', 'clubName': 'Real Madrid', 'clubID': '418', 'value': '€20.00m'}, {'date': 'Dec 20, 2019', 'age': '34', 'clubName': 'Real Madrid', 'clubID': '418', 'value': '€15.00m'}, {'date': 'Apr 8, 2020', 'age': '34', 'clubName': 'Real Madrid', 'clubID': '418', 'value': '€12.00m'}, {'date': 'Oct 8, 2020', 'age': '35', 'clubName': 'Real Madrid', 'clubID': '418', 'value': '€10.00m'}, {'date': 'Jan 5, 2021', 'age': '35', 'clubName': 'Real Madrid', 'clubID': '418', 'value': '€10.00m'}, {'date': 'May 28, 2021', 'age': '35', 'clubName': 'Real Madrid', 'clubID': '418', 'value': '€10.00m'}, {'date': 'Dec 30, 2021', 'age': '36', 'clubName': 'Real Madrid', 'clubID': '418', 'value': '€10.00m'}, {'date': 'Jun 3, 2022', 'age': '36', 'clubName': 'Real Madrid', 'clubID': '418', 'value': '€10.00m'}, {'date': 'Nov 7, 2022', 'age': '37', 'clubName': 'Real Madrid', 'clubID': '418', 'value': '€10.00m'}, {'date': 'Jun 13, 2023', 'age': '37', 'clubName': 'Real Madrid', 'clubID': '418', 'value': '€10.00m'}, {'date': 'Dec 22, 2023', 'age': '38', 'clubName': 'Real Madrid', 'clubID': '418', 'value': '€10.00m'}, {'date': 'Mar 21, 2024', 'age': '38', 'clubName': 'Real Madrid', 'clubID': '418', 'value': '€8.00m'}, {'date': 'Jun 7, 2024', 'age': '38', 'clubName': 'Real Madrid', 'clubID': '418', 'value': '€6.00m'}, {'date': 'Dec 27, 2024', 'age': '39', 'clubName': 'Real Madrid', 'clubID': '418', 'value': '€5.00m'}, {'date': 'Jun 9, 2025', 'age': '39', 'clubName': 'Real Madrid', 'clubID': '418', 'value': '€4.00m'}, {'date': 'Dec 23, 2025', 'age': '40', 'clubName': 'AC Milan', 'clubID': '5', 'value': '€4.00m'}]}</t>
  </si>
  <si>
    <t>1985-09-09</t>
  </si>
  <si>
    <t>Fernandes</t>
  </si>
  <si>
    <t>{'marketValueHistory': [{'date': '25/10/2012', 'age': '18', 'clubName': 'Novara Calcio 1908', 'clubID': '6692', 'value': '€50k'}, {'date': '25/12/2012', 'age': '18', 'clubName': 'Novara Calcio 1908', 'clubID': '6692', 'value': '€75k'}, {'date': '25/02/2013', 'age': '18', 'clubName': 'Novara Calcio 1908', 'clubID': '6692', 'value': '€100k'}, {'date': '25/06/2013', 'age': '18', 'clubName': 'Novara Calcio 1908', 'clubID': '6692', 'value': '€3.50m'}, {'date': '07/01/2014', 'age': '19', 'clubName': 'Udinese Calcio', 'clubID': '410', 'value': '€4.50m'}, {'date': '01/07/2014', 'age': '19', 'clubName': 'Udinese Calcio', 'clubID': '410', 'value': '€7.00m'}, {'date': '07/01/2015', 'age': '20', 'clubName': 'Udinese Calcio', 'clubID': '410', 'value': '€7.00m'}, {'date': '01/07/2015', 'age': '20', 'clubName': 'Udinese Calcio', 'clubID': '410', 'value': '€6.50m'}, {'date': '04/01/2016', 'age': '21', 'clubName': 'Udinese Calcio', 'clubID': '410', 'value': '€6.50m'}, {'date': '15/07/2016', 'age': '21', 'clubName': 'Udinese Calcio', 'clubID': '410', 'value': '€6.50m'}, {'date': '02/01/2017', 'age': '22', 'clubName': 'UC Sampdoria', 'clubID': '1038', 'value': '€7.00m'}, {'date': '08/06/2017', 'age': '22', 'clubName': 'UC Sampdoria', 'clubID': '1038', 'value': '€7.50m'}, {'date': '06/11/2017', 'age': '23', 'clubName': 'Sporting CP', 'clubID': '336', 'value': '€12.00m'}, {'date': '07/02/2018', 'age': '23', 'clubName': 'Sporting CP', 'clubID': '336', 'value': '€17.00m'}, {'date': '16/04/2018', 'age': '23', 'clubName': 'Sporting CP', 'clubID': '336', 'value': '€20.00m'}, {'date': '13/06/2018', 'age': '23', 'clubName': 'Sporting CP', 'clubID': '336', 'value': '€30.00m'}, {'date': '01/11/2018', 'age': '24', 'clubName': 'Sporting CP', 'clubID': '336', 'value': '€26.00m'}, {'date': '11/01/2019', 'age': '24', 'clubName': 'Sporting CP', 'clubID': '336', 'value': '€30.00m'}, {'date': '18/03/2019', 'age': '24', 'clubName': 'Sporting CP', 'clubID': '336', 'value': '€35.00m'}, {'date': '07/06/2019', 'age': '24', 'clubName': 'Sporting CP', 'clubID': '336', 'value': '€55.00m'}, {'date': '11/10/2019', 'age': '25', 'clubName': 'Sporting CP', 'clubID': '336', 'value': '€60.00m'}, {'date': '30/12/2019', 'age': '25', 'clubName': 'Sporting CP', 'clubID': '336', 'value': '€60.00m'}, {'date': '08/04/2020', 'age': '25', 'clubName': 'Manchester United', 'clubID': '985', 'value': '€48.00m'}, {'date': '30/07/2020', 'age': '25', 'clubName': 'Manchester United', 'clubID': '985', 'value': '€70.00m'}, {'date': '13/10/2020', 'age': '26', 'clubName': 'Manchester United', 'clubID': '985', 'value': '€80.00m'}, {'date': '17/12/2020', 'age': '26', 'clubName': 'Manchester United', 'clubID': '985', 'value': '€90.00m'}, {'date': '18/03/2021', 'age': '26', 'clubName': 'Manchester United', 'clubID': '985', 'value': '€90.00m'}, {'date': '01/06/2021', 'age': '26', 'clubName': 'Manchester United', 'clubID': '985', 'value': '€90.00m'}, {'date': '23/12/2021', 'age': '27', 'clubName': 'Manchester United', 'clubID': '985', 'value': '€90.00m'}, {'date': '15/06/2022', 'age': '27', 'clubName': 'Manchester United', 'clubID': '985', 'value': '€85.00m'}, {'date': '03/11/2022', 'age': '28', 'clubName': 'Manchester United', 'clubID': '985', 'value': '€75.00m'}, {'date': '20/06/2023', 'age': '28', 'clubName': 'Manchester United', 'clubID': '985', 'value': '€75.00m'}, {'date': '19/12/2023', 'age': '29', 'clubName': 'Manchester United', 'clubID': '985', 'value': '€70.00m'}, {'date': '27/05/2024', 'age': '29', 'clubName': 'Manchester United', 'clubID': '985', 'value': '€70.00m'}, {'date': '01/10/2024', 'age': '30', 'clubName': 'Manchester United', 'clubID': '985', 'value': '€65.00m'}, {'date': '16/12/2024', 'age': '30', 'clubName': 'Manchester United', 'clubID': '985', 'value': '€55.00m'}, {'date': '30/05/2025', 'age': '30', 'clubName': 'Manchester United', 'clubID': '985', 'value': '€50.00m'}, {'date': '17/10/2025', 'age': '31', 'clubName': 'Manchester United', 'clubID': '985', 'value': '€45.00m'}, {'date': '09/12/2025', 'age': '31', 'clubName': 'Manchester United', 'clubID': '985', 'value': '€40.00m'}]}</t>
  </si>
  <si>
    <t>1994-09-08</t>
  </si>
  <si>
    <t>Konoplyanka</t>
  </si>
  <si>
    <t>{'marketValueHistory': [{'date': 'Oct 7, 2007', 'age': '18', 'clubName': 'Dnipro Dnipropetrovsk II (- 2020)', 'clubID': '12414', 'value': '€150k'}, {'date': 'Oct 22, 2008', 'age': '19', 'clubName': 'Dnipro Dnipropetrovsk (- 2020)', 'clubID': '339', 'value': '€200k'}, {'date': 'Mar 8, 2009', 'age': '19', 'clubName': 'Dnipro Dnipropetrovsk (- 2020)', 'clubID': '339', 'value': '€350k'}, {'date': 'Sep 24, 2009', 'age': '19', 'clubName': 'Dnipro Dnipropetrovsk (- 2020)', 'clubID': '339', 'value': '€600k'}, {'date': 'Feb 18, 2010', 'age': '20', 'clubName': 'Dnipro Dnipropetrovsk (- 2020)', 'clubID': '339', 'value': '€800k'}, {'date': 'May 18, 2010', 'age': '20', 'clubName': 'Dnipro Dnipropetrovsk (- 2020)', 'clubID': '339', 'value': '€1.25m'}, {'date': 'Aug 28, 2010', 'age': '20', 'clubName': 'Dnipro Dnipropetrovsk (- 2020)', 'clubID': '339', 'value': '€3.00m'}, {'date': 'Jan 2, 2011', 'age': '21', 'clubName': 'Dnipro Dnipropetrovsk (- 2020)', 'clubID': '339', 'value': '€4.00m'}, {'date': 'Jun 16, 2011', 'age': '21', 'clubName': 'Dnipro Dnipropetrovsk (- 2020)', 'clubID': '339', 'value': '€5.00m'}, {'date': 'Jan 5, 2012', 'age': '22', 'clubName': 'Dnipro Dnipropetrovsk (- 2020)', 'clubID': '339', 'value': '€7.50m'}, {'date': 'Jul 2, 2012', 'age': '22', 'clubName': 'Dnipro Dnipropetrovsk (- 2020)', 'clubID': '339', 'value': '€10.00m'}, {'date': 'Jun 17, 2013', 'age': '23', 'clubName': 'Dnipro Dnipropetrovsk (- 2020)', 'clubID': '339', 'value': '€15.00m'}, {'date': 'Jan 2, 2014', 'age': '24', 'clubName': 'Dnipro Dnipropetrovsk (- 2020)', 'clubID': '339', 'value': '€17.00m'}, {'date': 'Jun 30, 2014', 'age': '24', 'clubName': 'Dnipro Dnipropetrovsk (- 2020)', 'clubID': '339', 'value': '€17.00m'}, {'date': 'Dec 25, 2014', 'age': '25', 'clubName': 'Dnipro Dnipropetrovsk (- 2020)', 'clubID': '339', 'value': '€16.00m'}, {'date': 'Jun 7, 2015', 'age': '25', 'clubName': 'Dnipro Dnipropetrovsk (- 2020)', 'clubID': '339', 'value': '€18.00m'}, {'date': 'Jul 1, 2015', 'age': '25', 'clubName': 'Dnipro Dnipropetrovsk (- 2020)', 'clubID': '339', 'value': '€20.00m'}, {'date': 'Nov 23, 2015', 'age': '26', 'clubName': 'Sevilla FC', 'clubID': '368', 'value': '€25.00m'}, {'date': 'Feb 22, 2016', 'age': '26', 'clubName': 'Sevilla FC', 'clubID': '368', 'value': '€25.00m'}, {'date': 'Jun 1, 2016', 'age': '26', 'clubName': 'Sevilla FC', 'clubID': '368', 'value': '€25.00m'}, {'date': 'Jul 15, 2016', 'age': '26', 'clubName': 'Sevilla FC', 'clubID': '368', 'value': '€25.00m'}, {'date': 'Oct 13, 2016', 'age': '27', 'clubName': 'FC Schalke 04', 'clubID': '33', 'value': '€18.00m'}, {'date': 'Feb 7, 2017', 'age': '27', 'clubName': 'FC Schalke 04', 'clubID': '33', 'value': '€16.00m'}, {'date': 'Mar 22, 2017', 'age': '27', 'clubName': 'FC Schalke 04', 'clubID': '33', 'value': '€12.00m'}, {'date': 'Jun 19, 2017', 'age': '27', 'clubName': 'FC Schalke 04', 'clubID': '33', 'value': '€10.00m'}, {'date': 'Oct 18, 2017', 'age': '28', 'clubName': 'FC Schalke 04', 'clubID': '33', 'value': '€12.50m'}, {'date': 'Dec 28, 2017', 'age': '28', 'clubName': 'FC Schalke 04', 'clubID': '33', 'value': '€12.50m'}, {'date': 'Apr 4, 2018', 'age': '28', 'clubName': 'FC Schalke 04', 'clubID': '33', 'value': '€9.00m'}, {'date': 'Jun 5, 2018', 'age': '28', 'clubName': 'FC Schalke 04', 'clubID': '33', 'value': '€10.00m'}, {'date': 'Dec 18, 2018', 'age': '29', 'clubName': 'FC Schalke 04', 'clubID': '33', 'value': '€10.00m'}, {'date': 'Jun 5, 2019', 'age': '29', 'clubName': 'FC Schalke 04', 'clubID': '33', 'value': '€6.50m'}, {'date': 'Jan 8, 2020', 'age': '30', 'clubName': 'Shakhtar Donetsk', 'clubID': '660', 'value': '€6.00m'}, {'date': 'Apr 8, 2020', 'age': '30', 'clubName': 'Shakhtar Donetsk', 'clubID': '660', 'value': '€4.80m'}, {'date': 'Sep 4, 2020', 'age': '30', 'clubName': 'Shakhtar Donetsk', 'clubID': '660', 'value': '€5.00m'}, {'date': 'Jan 14, 2021', 'age': '31', 'clubName': 'Shakhtar Donetsk', 'clubID': '660', 'value': '€4.00m'}, {'date': 'May 27, 2021', 'age': '31', 'clubName': 'Shakhtar Donetsk', 'clubID': '660', 'value': '€2.00m'}, {'date': 'Dec 20, 2021', 'age': '32', 'clubName': 'Shakhtar Donetsk', 'clubID': '660', 'value': '€1.50m'}, {'date': 'Jun 14, 2022', 'age': '32', 'clubName': 'Cracovia', 'clubID': '5689', 'value': '€1.20m'}, {'date': 'Sep 29, 2022', 'age': '33', 'clubName': 'Cracovia', 'clubID': '5689', 'value': '€800k'}, {'date': 'Nov 16, 2022', 'age': '33', 'clubName': 'Cracovia', 'clubID': '5689', 'value': '€700k'}, {'date': 'Jun 9, 2023', 'age': '33', 'clubName': 'Cracovia', 'clubID': '5689', 'value': '€500k'}, {'date': 'Dec 22, 2023', 'age': '34', 'clubName': 'CFR Cluj', 'clubID': '7769', 'value': '€250k'}, {'date': 'Mar 29, 2024', 'age': '34', 'clubName': 'Without Club', 'clubID': '515', 'value': '€200k'}, {'date': 'May 1, 2024', 'age': '34', 'clubName': 'Without Club', 'clubID': '515', 'value': '-'}]}</t>
  </si>
  <si>
    <t>1989-09-29</t>
  </si>
  <si>
    <t>Mario Fernandes</t>
  </si>
  <si>
    <t>{'marketValueHistory': [{'date': '06/08/2009', 'age': '18', 'clubName': 'Grêmio Foot-Ball Porto Alegrense', 'clubID': '210', 'value': '€1.00m'}, {'date': '06/09/2009', 'age': '18', 'clubName': 'Grêmio Foot-Ball Porto Alegrense', 'clubID': '210', 'value': '€1.50m'}, {'date': '08/12/2009', 'age': '19', 'clubName': 'Grêmio Foot-Ball Porto Alegrense', 'clubID': '210', 'value': '€2.00m'}, {'date': '06/09/2010', 'age': '19', 'clubName': 'Grêmio Foot-Ball Porto Alegrense', 'clubID': '210', 'value': '€2.00m'}, {'date': '10/12/2010', 'age': '20', 'clubName': 'Grêmio Foot-Ball Porto Alegrense', 'clubID': '210', 'value': '€1.50m'}, {'date': '30/05/2011', 'age': '20', 'clubName': 'Grêmio Foot-Ball Porto Alegrense', 'clubID': '210', 'value': '€1.50m'}, {'date': '14/09/2011', 'age': '20', 'clubName': 'Grêmio Foot-Ball Porto Alegrense', 'clubID': '210', 'value': '€2.50m'}, {'date': '08/12/2011', 'age': '21', 'clubName': 'Grêmio Foot-Ball Porto Alegrense', 'clubID': '210', 'value': '€2.50m'}, {'date': '23/12/2011', 'age': '21', 'clubName': 'Grêmio Foot-Ball Porto Alegrense', 'clubID': '210', 'value': '€4.00m'}, {'date': '24/05/2012', 'age': '21', 'clubName': 'Grêmio Foot-Ball Porto Alegrense', 'clubID': '210', 'value': '€9.00m'}, {'date': '02/07/2012', 'age': '21', 'clubName': 'CSKA Moscow', 'clubID': '2410', 'value': '€10.00m'}, {'date': '13/01/2013', 'age': '22', 'clubName': 'CSKA Moscow', 'clubID': '2410', 'value': '€12.00m'}, {'date': '19/06/2013', 'age': '22', 'clubName': 'CSKA Moscow', 'clubID': '2410', 'value': '€13.00m'}, {'date': '03/03/2014', 'age': '23', 'clubName': 'CSKA Moscow', 'clubID': '2410', 'value': '€13.00m'}, {'date': '31/07/2014', 'age': '23', 'clubName': 'CSKA Moscow', 'clubID': '2410', 'value': '€14.00m'}, {'date': '23/02/2015', 'age': '24', 'clubName': 'CSKA Moscow', 'clubID': '2410', 'value': '€16.00m'}, {'date': '18/06/2015', 'age': '24', 'clubName': 'CSKA Moscow', 'clubID': '2410', 'value': '€18.00m'}, {'date': '06/01/2016', 'age': '25', 'clubName': 'CSKA Moscow', 'clubID': '2410', 'value': '€16.00m'}, {'date': '25/05/2016', 'age': '25', 'clubName': 'CSKA Moscow', 'clubID': '2410', 'value': '€16.00m'}, {'date': '16/10/2016', 'age': '26', 'clubName': 'CSKA Moscow', 'clubID': '2410', 'value': '€15.00m'}, {'date': '27/12/2016', 'age': '26', 'clubName': 'CSKA Moscow', 'clubID': '2410', 'value': '€15.00m'}, {'date': '01/06/2017', 'age': '26', 'clubName': 'CSKA Moscow', 'clubID': '2410', 'value': '€16.00m'}, {'date': '23/12/2017', 'age': '27', 'clubName': 'CSKA Moscow', 'clubID': '2410', 'value': '€16.00m'}, {'date': '06/06/2018', 'age': '27', 'clubName': 'CSKA Moscow', 'clubID': '2410', 'value': '€16.00m'}, {'date': '15/07/2018', 'age': '27', 'clubName': 'CSKA Moscow', 'clubID': '2410', 'value': '€20.00m'}, {'date': '20/12/2018', 'age': '28', 'clubName': 'CSKA Moscow', 'clubID': '2410', 'value': '€26.00m'}, {'date': '14/06/2019', 'age': '28', 'clubName': 'CSKA Moscow', 'clubID': '2410', 'value': '€30.00m'}, {'date': '23/12/2019', 'age': '29', 'clubName': 'CSKA Moscow', 'clubID': '2410', 'value': '€30.00m'}, {'date': '08/04/2020', 'age': '29', 'clubName': 'CSKA Moscow', 'clubID': '2410', 'value': '€24.00m'}, {'date': '29/07/2020', 'age': '29', 'clubName': 'CSKA Moscow', 'clubID': '2410', 'value': '€22.00m'}, {'date': '29/12/2020', 'age': '30', 'clubName': 'CSKA Moscow', 'clubID': '2410', 'value': '€18.00m'}, {'date': '26/05/2021', 'age': '30', 'clubName': 'CSKA Moscow', 'clubID': '2410', 'value': '€16.00m'}, {'date': '29/12/2021', 'age': '31', 'clubName': 'CSKA Moscow', 'clubID': '2410', 'value': '€14.00m'}, {'date': '02/06/2022', 'age': '31', 'clubName': 'CSKA Moscow', 'clubID': '2410', 'value': '€8.00m'}, {'date': '12/09/2022', 'age': '31', 'clubName': 'Career break', 'clubID': '2113', 'value': '€6.00m'}, {'date': '21/11/2022', 'age': '32', 'clubName': 'Career break', 'clubID': '2113', 'value': '€4.50m'}, {'date': '07/04/2023', 'age': '32', 'clubName': 'Sport Club Internacional', 'clubID': '6600', 'value': '€4.00m'}, {'date': '14/06/2023', 'age': '32', 'clubName': 'Sport Club Internacional', 'clubID': '6600', 'value': '€3.00m'}, {'date': '13/12/2023', 'age': '33', 'clubName': 'Zenit St. Petersburg', 'clubID': '964', 'value': '€2.00m'}, {'date': '04/06/2024', 'age': '33', 'clubName': 'Zenit St. Petersburg', 'clubID': '964', 'value': '€1.50m'}, {'date': '16/10/2024', 'age': '34', 'clubName': 'Without Club', 'clubID': '515', 'value': '€1.00m'}, {'date': '04/04/2025', 'age': '34', 'clubName': 'Without Club', 'clubID': '515', 'value': '€700k'}, {'date': '19/09/2025', 'age': '35', 'clubName': 'Retired', 'clubID': '123', 'value': '-'}]}</t>
  </si>
  <si>
    <t>Fred</t>
  </si>
  <si>
    <t>{'marketValueHistory': [{'date': 'Mar 24, 2015', 'age': '18', 'clubName': 'KRC Genk', 'clubID': '1184', 'value': '€200k'}, {'date': 'Jun 24, 2015', 'age': '18', 'clubName': 'KRC Genk', 'clubID': '1184', 'value': '€400k'}, {'date': 'Oct 22, 2015', 'age': '18', 'clubName': 'KRC Genk', 'clubID': '1184', 'value': '€800k'}, {'date': 'Feb 7, 2016', 'age': '19', 'clubName': 'KRC Genk', 'clubID': '1184', 'value': '€1.00m'}, {'date': 'Apr 14, 2016', 'age': '19', 'clubName': 'KRC Genk', 'clubID': '1184', 'value': '€2.00m'}, {'date': 'Jul 15, 2016', 'age': '19', 'clubName': 'KRC Genk', 'clubID': '1184', 'value': '€6.00m'}, {'date': 'Oct 20, 2016', 'age': '19', 'clubName': 'KRC Genk', 'clubID': '1184', 'value': '€8.00m'}, {'date': 'Feb 20, 2017', 'age': '20', 'clubName': 'Leicester City', 'clubID': '1003', 'value': '€14.00m'}, {'date': 'Jun 28, 2017', 'age': '20', 'clubName': 'Leicester City', 'clubID': '1003', 'value': '€14.00m'}, {'date': 'Jan 2, 2018', 'age': '21', 'clubName': 'Leicester City', 'clubID': '1003', 'value': '€18.00m'}, {'date': 'May 28, 2018', 'age': '21', 'clubName': 'Leicester City', 'clubID': '1003', 'value': '€25.00m'}, {'date': 'Oct 17, 2018', 'age': '21', 'clubName': 'Leicester City', 'clubID': '1003', 'value': '€35.00m'}, {'date': 'Dec 19, 2018', 'age': '22', 'clubName': 'Leicester City', 'clubID': '1003', 'value': '€35.00m'}, {'date': 'Jun 13, 2019', 'age': '22', 'clubName': 'Leicester City', 'clubID': '1003', 'value': '€35.00m'}, {'date': 'Dec 10, 2019', 'age': '22', 'clubName': 'Leicester City', 'clubID': '1003', 'value': '€45.00m'}, {'date': 'Apr 8, 2020', 'age': '23', 'clubName': 'Leicester City', 'clubID': '1003', 'value': '€36.00m'}, {'date': 'Jul 30, 2020', 'age': '23', 'clubName': 'Leicester City', 'clubID': '1003', 'value': '€45.00m'}, {'date': 'Oct 13, 2020', 'age': '23', 'clubName': 'Leicester City', 'clubID': '1003', 'value': '€45.00m'}, {'date': 'Mar 18, 2021', 'age': '24', 'clubName': 'Leicester City', 'clubID': '1003', 'value': '€50.00m'}, {'date': 'Jun 8, 2021', 'age': '24', 'clubName': 'Leicester City', 'clubID': '1003', 'value': '€60.00m'}, {'date': 'Dec 23, 2021', 'age': '25', 'clubName': 'Leicester City', 'clubID': '1003', 'value': '€60.00m'}, {'date': 'Jun 15, 2022', 'age': '25', 'clubName': 'Leicester City', 'clubID': '1003', 'value': '€60.00m'}, {'date': 'Sep 15, 2022', 'age': '25', 'clubName': 'Leicester City', 'clubID': '1003', 'value': '€50.00m'}, {'date': 'Nov 3, 2022', 'age': '25', 'clubName': 'Leicester City', 'clubID': '1003', 'value': '€40.00m'}, {'date': 'Mar 16, 2023', 'age': '26', 'clubName': 'Leicester City', 'clubID': '1003', 'value': '€32.00m'}, {'date': 'Jun 20, 2023', 'age': '26', 'clubName': 'Leicester City', 'clubID': '1003', 'value': '€25.00m'}, {'date': 'Oct 27, 2023', 'age': '26', 'clubName': 'Leicester City', 'clubID': '1003', 'value': '€18.00m'}, {'date': 'Dec 21, 2023', 'age': '27', 'clubName': 'Leicester City', 'clubID': '1003', 'value': '€18.00m'}, {'date': 'Mar 7, 2024', 'age': '27', 'clubName': 'Leicester City', 'clubID': '1003', 'value': '€16.00m'}, {'date': 'May 24, 2024', 'age': '27', 'clubName': 'Leicester City', 'clubID': '1003', 'value': '€16.00m'}, {'date': 'Dec 16, 2024', 'age': '28', 'clubName': 'Leicester City', 'clubID': '1003', 'value': '€18.00m'}, {'date': 'May 30, 2025', 'age': '28', 'clubName': 'Leicester City', 'clubID': '1003', 'value': '€15.00m'}, {'date': 'Oct 1, 2025', 'age': '28', 'clubName': 'Besiktas JK', 'clubID': '114', 'value': '€12.00m'}, {'date': 'Dec 17, 2025', 'age': '29', 'clubName': 'Besiktas JK', 'clubID': '114', 'value': '€10.00m'}]}</t>
  </si>
  <si>
    <t>Nigeria</t>
  </si>
  <si>
    <t>1996-12-16</t>
  </si>
  <si>
    <t>Hamsik</t>
  </si>
  <si>
    <t>{'marketValueHistory': [{'date': '02/07/2007', 'age': '19', 'clubName': 'SSC Napoli', 'clubID': '6195', 'value': '€5.00m'}, {'date': '29/01/2008', 'age': '20', 'clubName': 'SSC Napoli', 'clubID': '6195', 'value': '€8.50m'}, {'date': '30/06/2008', 'age': '20', 'clubName': 'SSC Napoli', 'clubID': '6195', 'value': '€14.00m'}, {'date': '03/02/2009', 'age': '21', 'clubName': 'SSC Napoli', 'clubID': '6195', 'value': '€15.50m'}, {'date': '27/01/2010', 'age': '22', 'clubName': 'SSC Napoli', 'clubID': '6195', 'value': '€24.00m'}, {'date': '21/06/2011', 'age': '23', 'clubName': 'SSC Napoli', 'clubID': '6195', 'value': '€24.00m'}, {'date': '11/01/2012', 'age': '24', 'clubName': 'SSC Napoli', 'clubID': '6195', 'value': '€24.00m'}, {'date': '08/06/2012', 'age': '24', 'clubName': 'SSC Napoli', 'clubID': '6195', 'value': '€25.00m'}, {'date': '18/01/2013', 'age': '25', 'clubName': 'SSC Napoli', 'clubID': '6195', 'value': '€32.00m'}, {'date': '19/06/2013', 'age': '25', 'clubName': 'SSC Napoli', 'clubID': '6195', 'value': '€35.00m'}, {'date': '25/09/2013', 'age': '26', 'clubName': 'SSC Napoli', 'clubID': '6195', 'value': '€40.00m'}, {'date': '07/01/2014', 'age': '26', 'clubName': 'SSC Napoli', 'clubID': '6195', 'value': '€40.00m'}, {'date': '01/07/2014', 'age': '26', 'clubName': 'SSC Napoli', 'clubID': '6195', 'value': '€35.00m'}, {'date': '07/01/2015', 'age': '27', 'clubName': 'SSC Napoli', 'clubID': '6195', 'value': '€30.00m'}, {'date': '01/07/2015', 'age': '27', 'clubName': 'SSC Napoli', 'clubID': '6195', 'value': '€32.00m'}, {'date': '04/01/2016', 'age': '28', 'clubName': 'SSC Napoli', 'clubID': '6195', 'value': '€35.00m'}, {'date': '01/06/2016', 'age': '28', 'clubName': 'SSC Napoli', 'clubID': '6195', 'value': '€35.00m'}, {'date': '15/07/2016', 'age': '28', 'clubName': 'SSC Napoli', 'clubID': '6195', 'value': '€38.00m'}, {'date': '02/01/2017', 'age': '29', 'clubName': 'SSC Napoli', 'clubID': '6195', 'value': '€40.00m'}, {'date': '08/06/2017', 'age': '29', 'clubName': 'SSC Napoli', 'clubID': '6195', 'value': '€40.00m'}, {'date': '29/12/2017', 'age': '30', 'clubName': 'SSC Napoli', 'clubID': '6195', 'value': '€40.00m'}, {'date': '07/06/2018', 'age': '30', 'clubName': 'SSC Napoli', 'clubID': '6195', 'value': '€35.00m'}, {'date': '12/10/2018', 'age': '31', 'clubName': 'SSC Napoli', 'clubID': '6195', 'value': '€30.00m'}, {'date': '20/12/2018', 'age': '31', 'clubName': 'SSC Napoli', 'clubID': '6195', 'value': '€30.00m'}, {'date': '21/03/2019', 'age': '31', 'clubName': 'Dalian Yifang', 'clubID': '33304', 'value': '€22.00m'}, {'date': '05/09/2019', 'age': '32', 'clubName': 'Dalian Professional', 'clubID': '33304', 'value': '€18.00m'}, {'date': '27/12/2019', 'age': '32', 'clubName': 'Dalian Professional', 'clubID': '33304', 'value': '€8.50m'}, {'date': '08/04/2020', 'age': '32', 'clubName': 'Dalian Professional', 'clubID': '33304', 'value': '€6.80m'}, {'date': '26/12/2020', 'age': '33', 'clubName': 'Dalian Professional', 'clubID': '33304', 'value': '€4.00m'}, {'date': '31/05/2021', 'age': '33', 'clubName': 'IFK Göteborg', 'clubID': '801', 'value': '€3.00m'}, {'date': '12/10/2021', 'age': '34', 'clubName': 'Trabzonspor', 'clubID': '449', 'value': '€2.90m'}, {'date': '04/01/2022', 'age': '34', 'clubName': 'Trabzonspor', 'clubID': '449', 'value': '€3.00m'}, {'date': '31/03/2022', 'age': '34', 'clubName': 'Trabzonspor', 'clubID': '449', 'value': '€2.60m'}, {'date': '01/06/2022', 'age': '34', 'clubName': 'Trabzonspor', 'clubID': '449', 'value': '€2.50m'}, {'date': '27/10/2022', 'age': '35', 'clubName': 'Trabzonspor', 'clubID': '449', 'value': '€2.20m'}, {'date': '14/03/2023', 'age': '35', 'clubName': 'Trabzonspor', 'clubID': '449', 'value': '€1.80m'}, {'date': '08/06/2023', 'age': '35', 'clubName': 'Trabzonspor', 'clubID': '449', 'value': '€1.20m'}, {'date': '01/07/2023', 'age': '35', 'clubName': 'Retired', 'clubID': '123', 'value': '-'}]}</t>
  </si>
  <si>
    <t>1987-07-27</t>
  </si>
  <si>
    <t>Pulisic</t>
  </si>
  <si>
    <t>{'marketValueHistory': [{'date': 'Jan 23, 2016', 'age': '17', 'clubName': 'Borussia Dortmund', 'clubID': '16', 'value': '€500k'}, {'date': 'Apr 13, 2016', 'age': '17', 'clubName': 'Borussia Dortmund', 'clubID': '16', 'value': '€1.00m'}, {'date': 'Jul 22, 2016', 'age': '17', 'clubName': 'Borussia Dortmund', 'clubID': '16', 'value': '€5.00m'}, {'date': 'Feb 7, 2017', 'age': '18', 'clubName': 'Borussia Dortmund', 'clubID': '16', 'value': '€12.00m'}, {'date': 'Jun 19, 2017', 'age': '18', 'clubName': 'Borussia Dortmund', 'clubID': '16', 'value': '€18.00m'}, {'date': 'Oct 18, 2017', 'age': '19', 'clubName': 'Borussia Dortmund', 'clubID': '16', 'value': '€45.00m'}, {'date': 'Dec 28, 2017', 'age': '19', 'clubName': 'Borussia Dortmund', 'clubID': '16', 'value': '€45.00m'}, {'date': 'Jun 5, 2018', 'age': '19', 'clubName': 'Borussia Dortmund', 'clubID': '16', 'value': '€45.00m'}, {'date': 'Dec 18, 2018', 'age': '20', 'clubName': 'Borussia Dortmund', 'clubID': '16', 'value': '€50.00m'}, {'date': 'Mar 6, 2019', 'age': '20', 'clubName': 'Borussia Dortmund', 'clubID': '16', 'value': '€60.00m'}, {'date': 'Jun 5, 2019', 'age': '20', 'clubName': 'Borussia Dortmund', 'clubID': '16', 'value': '€60.00m'}, {'date': 'Dec 10, 2019', 'age': '21', 'clubName': 'Chelsea FC', 'clubID': '631', 'value': '€60.00m'}, {'date': 'Apr 8, 2020', 'age': '21', 'clubName': 'Chelsea FC', 'clubID': '631', 'value': '€54.00m'}, {'date': 'Jul 30, 2020', 'age': '21', 'clubName': 'Chelsea FC', 'clubID': '631', 'value': '€60.00m'}, {'date': 'Oct 13, 2020', 'age': '22', 'clubName': 'Chelsea FC', 'clubID': '631', 'value': '€60.00m'}, {'date': 'Mar 18, 2021', 'age': '22', 'clubName': 'Chelsea FC', 'clubID': '631', 'value': '€50.00m'}, {'date': 'Jun 8, 2021', 'age': '22', 'clubName': 'Chelsea FC', 'clubID': '631', 'value': '€50.00m'}, {'date': 'Dec 23, 2021', 'age': '23', 'clubName': 'Chelsea FC', 'clubID': '631', 'value': '€45.00m'}, {'date': 'Jun 15, 2022', 'age': '23', 'clubName': 'Chelsea FC', 'clubID': '631', 'value': '€42.00m'}, {'date': 'Nov 3, 2022', 'age': '24', 'clubName': 'Chelsea FC', 'clubID': '631', 'value': '€38.00m'}, {'date': 'Mar 16, 2023', 'age': '24', 'clubName': 'Chelsea FC', 'clubID': '631', 'value': '€32.00m'}, {'date': 'Jun 20, 2023', 'age': '24', 'clubName': 'Chelsea FC', 'clubID': '631', 'value': '€25.00m'}, {'date': 'Dec 20, 2023', 'age': '25', 'clubName': 'AC Milan', 'clubID': '5', 'value': '€32.00m'}, {'date': 'Jun 5, 2024', 'age': '25', 'clubName': 'AC Milan', 'clubID': '5', 'value': '€40.00m'}, {'date': 'Oct 18, 2024', 'age': '26', 'clubName': 'AC Milan', 'clubID': '5', 'value': '€50.00m'}, {'date': 'Dec 18, 2024', 'age': '26', 'clubName': 'AC Milan', 'clubID': '5', 'value': '€50.00m'}, {'date': 'Jun 17, 2025', 'age': '26', 'clubName': 'AC Milan', 'clubID': '5', 'value': '€50.00m'}, {'date': 'Oct 7, 2025', 'age': '27', 'clubName': 'AC Milan', 'clubID': '5', 'value': '€60.00m'}, {'date': 'Dec 23, 2025', 'age': '27', 'clubName': 'AC Milan', 'clubID': '5', 'value': '€60.00m'}, {'date': 'Mar 24, 2026', 'age': '27', 'clubName': 'AC Milan', 'clubID': '5', 'value': '€50.00m'}]}</t>
  </si>
  <si>
    <t>1998-09-18</t>
  </si>
  <si>
    <t>Politano</t>
  </si>
  <si>
    <t>{'marketValueHistory': [{'date': '16/11/2010', 'age': '17', 'clubName': 'Roma U19', 'clubID': '12', 'value': '€50k'}, {'date': '15/06/2011', 'age': '17', 'clubName': 'Roma U19', 'clubID': '12', 'value': '€75k'}, {'date': '25/03/2012', 'age': '18', 'clubName': 'Roma U19', 'clubID': '12', 'value': '€125k'}, {'date': '06/06/2012', 'age': '18', 'clubName': 'Roma U19', 'clubID': '12', 'value': '€150k'}, {'date': '07/03/2013', 'age': '19', 'clubName': 'AC Perugia Calcio', 'clubID': '839', 'value': '€600k'}, {'date': '24/06/2013', 'age': '19', 'clubName': 'AC Perugia Calcio', 'clubID': '839', 'value': '€750k'}, {'date': '29/01/2014', 'age': '20', 'clubName': 'Delfino Pescara 1936', 'clubID': '2921', 'value': '€1.50m'}, {'date': '15/07/2014', 'age': '20', 'clubName': 'Delfino Pescara 1936', 'clubID': '2921', 'value': '€1.50m'}, {'date': '10/02/2015', 'age': '21', 'clubName': 'Delfino Pescara 1936', 'clubID': '2921', 'value': '€1.80m'}, {'date': '29/06/2015', 'age': '21', 'clubName': 'Delfino Pescara 1936', 'clubID': '2921', 'value': '€2.00m'}, {'date': '04/01/2016', 'age': '22', 'clubName': 'US Sassuolo', 'clubID': '6574', 'value': '€2.50m'}, {'date': '15/07/2016', 'age': '22', 'clubName': 'US Sassuolo', 'clubID': '6574', 'value': '€3.50m'}, {'date': '14/10/2016', 'age': '23', 'clubName': 'US Sassuolo', 'clubID': '6574', 'value': '€5.00m'}, {'date': '02/01/2017', 'age': '23', 'clubName': 'US Sassuolo', 'clubID': '6574', 'value': '€5.00m'}, {'date': '08/06/2017', 'age': '23', 'clubName': 'US Sassuolo', 'clubID': '6574', 'value': '€7.50m'}, {'date': '29/12/2017', 'age': '24', 'clubName': 'US Sassuolo', 'clubID': '6574', 'value': '€8.50m'}, {'date': '24/03/2018', 'age': '24', 'clubName': 'US Sassuolo', 'clubID': '6574', 'value': '€15.00m'}, {'date': '07/06/2018', 'age': '24', 'clubName': 'US Sassuolo', 'clubID': '6574', 'value': '€22.00m'}, {'date': '12/10/2018', 'age': '25', 'clubName': 'Inter Milan', 'clubID': '46', 'value': '€25.00m'}, {'date': '20/12/2018', 'age': '25', 'clubName': 'Inter Milan', 'clubID': '46', 'value': '€30.00m'}, {'date': '06/06/2019', 'age': '25', 'clubName': 'Inter Milan', 'clubID': '46', 'value': '€30.00m'}, {'date': '12/12/2019', 'age': '26', 'clubName': 'Inter Milan', 'clubID': '46', 'value': '€28.00m'}, {'date': '08/04/2020', 'age': '26', 'clubName': 'SSC Napoli', 'clubID': '6195', 'value': '€22.50m'}, {'date': '25/08/2020', 'age': '27', 'clubName': 'SSC Napoli', 'clubID': '6195', 'value': '€22.00m'}, {'date': '29/12/2020', 'age': '27', 'clubName': 'SSC Napoli', 'clubID': '6195', 'value': '€25.00m'}, {'date': '25/05/2021', 'age': '27', 'clubName': 'SSC Napoli', 'clubID': '6195', 'value': '€30.00m'}, {'date': '28/12/2021', 'age': '28', 'clubName': 'SSC Napoli', 'clubID': '6195', 'value': '€27.00m'}, {'date': '07/06/2022', 'age': '28', 'clubName': 'SSC Napoli', 'clubID': '6195', 'value': '€20.00m'}, {'date': '11/11/2022', 'age': '29', 'clubName': 'SSC Napoli', 'clubID': '6195', 'value': '€20.00m'}, {'date': '15/06/2023', 'age': '29', 'clubName': 'SSC Napoli', 'clubID': '6195', 'value': '€15.00m'}, {'date': '20/12/2023', 'age': '30', 'clubName': 'SSC Napoli', 'clubID': '6195', 'value': '€15.00m'}, {'date': '05/06/2024', 'age': '30', 'clubName': 'SSC Napoli', 'clubID': '6195', 'value': '€13.00m'}, {'date': '18/12/2024', 'age': '31', 'clubName': 'SSC Napoli', 'clubID': '6195', 'value': '€10.00m'}, {'date': '17/06/2025', 'age': '31', 'clubName': 'SSC Napoli', 'clubID': '6195', 'value': '€10.00m'}, {'date': '23/12/2025', 'age': '32', 'clubName': 'SSC Napoli', 'clubID': '6195', 'value': '€8.00m'}]}</t>
  </si>
  <si>
    <t>1993-08-03</t>
  </si>
  <si>
    <t>Maycon</t>
  </si>
  <si>
    <t>{'marketValueHistory': [{'date': 'May 27, 2016', 'age': '18', 'clubName': 'Sport Club Corinthians Paulista', 'clubID': '199', 'value': '€750k'}, {'date': 'Nov 28, 2016', 'age': '19', 'clubName': 'Associação Atlética Ponte Preta', 'clubID': '1134', 'value': '€750k'}, {'date': 'Oct 30, 2017', 'age': '20', 'clubName': 'Sport Club Corinthians Paulista', 'clubID': '199', 'value': '€5.00m'}, {'date': 'Dec 7, 2017', 'age': '20', 'clubName': 'Sport Club Corinthians Paulista', 'clubID': '199', 'value': '€5.00m'}, {'date': 'May 23, 2018', 'age': '20', 'clubName': 'Sport Club Corinthians Paulista', 'clubID': '199', 'value': '€5.00m'}, {'date': 'Aug 6, 2018', 'age': '21', 'clubName': 'Shakhtar Donetsk', 'clubID': '660', 'value': '€6.50m'}, {'date': 'Dec 10, 2018', 'age': '21', 'clubName': 'Shakhtar Donetsk', 'clubID': '660', 'value': '€8.00m'}, {'date': 'Jun 20, 2019', 'age': '21', 'clubName': 'Shakhtar Donetsk', 'clubID': '660', 'value': '€8.00m'}, {'date': 'Jan 8, 2020', 'age': '22', 'clubName': 'Shakhtar Donetsk', 'clubID': '660', 'value': '€6.00m'}, {'date': 'Apr 8, 2020', 'age': '22', 'clubName': 'Shakhtar Donetsk', 'clubID': '660', 'value': '€4.80m'}, {'date': 'Sep 4, 2020', 'age': '23', 'clubName': 'Shakhtar Donetsk', 'clubID': '660', 'value': '€4.50m'}, {'date': 'Jan 14, 2021', 'age': '23', 'clubName': 'Shakhtar Donetsk', 'clubID': '660', 'value': '€6.00m'}, {'date': 'Jun 7, 2021', 'age': '23', 'clubName': 'Shakhtar Donetsk', 'clubID': '660', 'value': '€7.00m'}, {'date': 'Dec 20, 2021', 'age': '24', 'clubName': 'Shakhtar Donetsk', 'clubID': '660', 'value': '€7.00m'}, {'date': 'Aug 19, 2022', 'age': '25', 'clubName': 'Sport Club Corinthians Paulista', 'clubID': '199', 'value': '€7.00m'}, {'date': 'Nov 14, 2022', 'age': '25', 'clubName': 'Sport Club Corinthians Paulista', 'clubID': '199', 'value': '€7.00m'}, {'date': 'Apr 7, 2023', 'age': '25', 'clubName': 'Sport Club Corinthians Paulista', 'clubID': '199', 'value': '€6.00m'}, {'date': 'Jul 25, 2023', 'age': '26', 'clubName': 'Sport Club Corinthians Paulista', 'clubID': '199', 'value': '€5.00m'}, {'date': 'Dec 11, 2023', 'age': '26', 'clubName': 'Sport Club Corinthians Paulista', 'clubID': '199', 'value': '€5.00m'}, {'date': 'Mar 28, 2024', 'age': '26', 'clubName': 'Sport Club Corinthians Paulista', 'clubID': '199', 'value': '€5.00m'}, {'date': 'Jun 17, 2024', 'age': '26', 'clubName': 'Sport Club Corinthians Paulista', 'clubID': '199', 'value': '€4.50m'}, {'date': 'Sep 27, 2024', 'age': '27', 'clubName': 'Sport Club Corinthians Paulista', 'clubID': '199', 'value': '€4.00m'}, {'date': 'Dec 9, 2024', 'age': '27', 'clubName': 'Sport Club Corinthians Paulista', 'clubID': '199', 'value': '€3.00m'}, {'date': 'Jun 6, 2025', 'age': '27', 'clubName': 'Sport Club Corinthians Paulista', 'clubID': '199', 'value': '€2.00m'}, {'date': 'Dec 10, 2025', 'age': '28', 'clubName': 'Sport Club Corinthians Paulista', 'clubID': '199', 'value': '€2.00m'}]}</t>
  </si>
  <si>
    <t>1997-07-15</t>
  </si>
  <si>
    <t>Hejda</t>
  </si>
  <si>
    <t>{'marketValueHistory': [{'date': '15/01/2010', 'age': '19', 'clubName': 'AC Sparta Prague', 'clubID': '197', 'value': '€50k'}, {'date': '12/06/2010', 'age': '20', 'clubName': 'AC Sparta Prague', 'clubID': '197', 'value': '€25k'}, {'date': '19/07/2010', 'age': '20', 'clubName': 'AC Sparta Prague', 'clubID': '197', 'value': '€150k'}, {'date': '24/10/2010', 'age': '20', 'clubName': 'AC Sparta Prague', 'clubID': '197', 'value': '€400k'}, {'date': '01/10/2011', 'age': '21', 'clubName': '1.FK Pribram', 'clubID': '2598', 'value': '€500k'}, {'date': '24/12/2011', 'age': '21', 'clubName': '1.FK Pribram', 'clubID': '2598', 'value': '€600k'}, {'date': '31/07/2012', 'age': '22', 'clubName': 'FC Viktoria Plzen', 'clubID': '941', 'value': '€600k'}, {'date': '19/10/2012', 'age': '22', 'clubName': 'FC Viktoria Plzen', 'clubID': '941', 'value': '€450k'}, {'date': '25/07/2013', 'age': '23', 'clubName': 'FC Viktoria Plzen', 'clubID': '941', 'value': '€500k'}, {'date': '07/08/2014', 'age': '24', 'clubName': 'FC Viktoria Plzen', 'clubID': '941', 'value': '€600k'}, {'date': '17/01/2015', 'age': '24', 'clubName': 'FC Viktoria Plzen', 'clubID': '941', 'value': '€600k'}, {'date': '14/10/2015', 'age': '25', 'clubName': 'FC Viktoria Plzen', 'clubID': '941', 'value': '€400k'}, {'date': '03/08/2016', 'age': '26', 'clubName': 'FC Viktoria Plzen', 'clubID': '941', 'value': '€500k'}, {'date': '16/10/2016', 'age': '26', 'clubName': 'FC Viktoria Plzen', 'clubID': '941', 'value': '€800k'}, {'date': '19/12/2016', 'age': '26', 'clubName': 'FC Viktoria Plzen', 'clubID': '941', 'value': '€1.00m'}, {'date': '10/06/2017', 'age': '27', 'clubName': 'FC Viktoria Plzen', 'clubID': '941', 'value': '€1.30m'}, {'date': '07/10/2017', 'age': '27', 'clubName': 'FC Viktoria Plzen', 'clubID': '941', 'value': '€1.50m'}, {'date': '21/12/2017', 'age': '27', 'clubName': 'FC Viktoria Plzen', 'clubID': '941', 'value': '€1.75m'}, {'date': '14/07/2018', 'age': '28', 'clubName': 'FC Viktoria Plzen', 'clubID': '941', 'value': '€1.75m'}, {'date': '30/12/2018', 'age': '28', 'clubName': 'FC Viktoria Plzen', 'clubID': '941', 'value': '€1.75m'}, {'date': '25/06/2019', 'age': '29', 'clubName': 'FC Viktoria Plzen', 'clubID': '941', 'value': '€1.75m'}, {'date': '07/12/2019', 'age': '29', 'clubName': 'FC Viktoria Plzen', 'clubID': '941', 'value': '€1.75m'}, {'date': '08/04/2020', 'age': '30', 'clubName': 'FC Viktoria Plzen', 'clubID': '941', 'value': '€1.40m'}, {'date': '10/07/2020', 'age': '30', 'clubName': 'FC Viktoria Plzen', 'clubID': '941', 'value': '€1.50m'}, {'date': '27/12/2020', 'age': '30', 'clubName': 'FC Viktoria Plzen', 'clubID': '941', 'value': '€1.50m'}, {'date': '25/06/2021', 'age': '31', 'clubName': 'FC Viktoria Plzen', 'clubID': '941', 'value': '€1.20m'}, {'date': '26/12/2021', 'age': '31', 'clubName': 'FC Viktoria Plzen', 'clubID': '941', 'value': '€1.20m'}, {'date': '22/06/2022', 'age': '32', 'clubName': 'FC Viktoria Plzen', 'clubID': '941', 'value': '€1.30m'}, {'date': '14/12/2022', 'age': '32', 'clubName': 'FC Viktoria Plzen', 'clubID': '941', 'value': '€1.30m'}, {'date': '20/06/2023', 'age': '33', 'clubName': 'FC Viktoria Plzen', 'clubID': '941', 'value': '€1.00m'}, {'date': '20/12/2023', 'age': '33', 'clubName': 'FC Viktoria Plzen', 'clubID': '941', 'value': '€750k'}, {'date': '27/03/2024', 'age': '34', 'clubName': 'FC Viktoria Plzen', 'clubID': '941', 'value': '€450k'}, {'date': '05/06/2024', 'age': '34', 'clubName': 'FC Viktoria Plzen', 'clubID': '941', 'value': '€350k'}, {'date': '27/09/2024', 'age': '34', 'clubName': 'FC Viktoria Plzen', 'clubID': '941', 'value': '€250k'}, {'date': '20/12/2024', 'age': '34', 'clubName': 'FC Viktoria Plzen', 'clubID': '941', 'value': '€200k'}, {'date': '17/06/2025', 'age': '35', 'clubName': 'FC Viktoria Plzen', 'clubID': '941', 'value': '€150k'}, {'date': '22/12/2025', 'age': '35', 'clubName': 'FC Viktoria Plzen', 'clubID': '941', 'value': '€100k'}, {'date': '02/02/2026', 'age': '35', 'clubName': 'FC Krimice', 'clubID': '88963', 'value': '-'}]}</t>
  </si>
  <si>
    <t>1990-03-09</t>
  </si>
  <si>
    <t>Sule</t>
  </si>
  <si>
    <t>{'marketValueHistory': [{'date': 'Jul 15, 2012', 'age': '16', 'clubName': 'TSG 1899 Hoffenheim II', 'clubID': '983', 'value': '€25k'}, {'date': 'Apr 27, 2013', 'age': '17', 'clubName': 'TSG 1899 Hoffenheim II', 'clubID': '983', 'value': '€100k'}, {'date': 'Jun 30, 2013', 'age': '17', 'clubName': 'TSG 1899 Hoffenheim II', 'clubID': '983', 'value': '€300k'}, {'date': 'Nov 8, 2013', 'age': '18', 'clubName': 'TSG 1899 Hoffenheim', 'clubID': '533', 'value': '€1.00m'}, {'date': 'Feb 12, 2014', 'age': '18', 'clubName': 'TSG 1899 Hoffenheim', 'clubID': '533', 'value': '€4.50m'}, {'date': 'Jul 10, 2014', 'age': '18', 'clubName': 'TSG 1899 Hoffenheim', 'clubID': '533', 'value': '€5.50m'}, {'date': 'Feb 4, 2015', 'age': '19', 'clubName': 'TSG 1899 Hoffenheim', 'clubID': '533', 'value': '€5.50m'}, {'date': 'Jul 1, 2015', 'age': '19', 'clubName': 'TSG 1899 Hoffenheim', 'clubID': '533', 'value': '€5.50m'}, {'date': 'Oct 16, 2015', 'age': '20', 'clubName': 'TSG 1899 Hoffenheim', 'clubID': '533', 'value': '€8.00m'}, {'date': 'Feb 15, 2016', 'age': '20', 'clubName': 'TSG 1899 Hoffenheim', 'clubID': '533', 'value': '€8.00m'}, {'date': 'Apr 13, 2016', 'age': '20', 'clubName': 'TSG 1899 Hoffenheim', 'clubID': '533', 'value': '€10.00m'}, {'date': 'Jul 22, 2016', 'age': '20', 'clubName': 'TSG 1899 Hoffenheim', 'clubID': '533', 'value': '€12.00m'}, {'date': 'Feb 7, 2017', 'age': '21', 'clubName': 'TSG 1899 Hoffenheim', 'clubID': '533', 'value': '€20.00m'}, {'date': 'Jun 19, 2017', 'age': '21', 'clubName': 'TSG 1899 Hoffenheim', 'clubID': '533', 'value': '€25.00m'}, {'date': 'Dec 28, 2017', 'age': '22', 'clubName': 'Bayern Munich', 'clubID': '27', 'value': '€30.00m'}, {'date': 'Apr 4, 2018', 'age': '22', 'clubName': 'Bayern Munich', 'clubID': '27', 'value': '€35.00m'}, {'date': 'Jun 5, 2018', 'age': '22', 'clubName': 'Bayern Munich', 'clubID': '27', 'value': '€38.00m'}, {'date': 'Jul 16, 2018', 'age': '22', 'clubName': 'Bayern Munich', 'clubID': '27', 'value': '€45.00m'}, {'date': 'Oct 22, 2018', 'age': '23', 'clubName': 'Bayern Munich', 'clubID': '27', 'value': '€50.00m'}, {'date': 'Dec 18, 2018', 'age': '23', 'clubName': 'Bayern Munich', 'clubID': '27', 'value': '€50.00m'}, {'date': 'Jun 5, 2019', 'age': '23', 'clubName': 'Bayern Munich', 'clubID': '27', 'value': '€60.00m'}, {'date': 'Dec 17, 2019', 'age': '24', 'clubName': 'Bayern Munich', 'clubID': '27', 'value': '€60.00m'}, {'date': 'Apr 8, 2020', 'age': '24', 'clubName': 'Bayern Munich', 'clubID': '27', 'value': '€48.00m'}, {'date': 'Feb 10, 2021', 'age': '25', 'clubName': 'Bayern Munich', 'clubID': '27', 'value': '€37.00m'}, {'date': 'Jun 1, 2021', 'age': '25', 'clubName': 'Bayern Munich', 'clubID': '27', 'value': '€35.00m'}, {'date': 'Dec 22, 2021', 'age': '26', 'clubName': 'Bayern Munich', 'clubID': '27', 'value': '€35.00m'}, {'date': 'Jun 9, 2022', 'age': '26', 'clubName': 'Bayern Munich', 'clubID': '27', 'value': '€35.00m'}, {'date': 'Nov 9, 2022', 'age': '27', 'clubName': 'Borussia Dortmund', 'clubID': '16', 'value': '€35.00m'}, {'date': 'Jun 22, 2023', 'age': '27', 'clubName': 'Borussia Dortmund', 'clubID': '16', 'value': '€35.00m'}, {'date': 'Oct 18, 2023', 'age': '28', 'clubName': 'Borussia Dortmund', 'clubID': '16', 'value': '€30.00m'}, {'date': 'Dec 14, 2023', 'age': '28', 'clubName': 'Borussia Dortmund', 'clubID': '16', 'value': '€22.00m'}, {'date': 'May 29, 2024', 'age': '28', 'clubName': 'Borussia Dortmund', 'clubID': '16', 'value': '€15.00m'}, {'date': 'Dec 20, 2024', 'age': '29', 'clubName': 'Borussia Dortmund', 'clubID': '16', 'value': '€15.00m'}, {'date': 'Mar 27, 2025', 'age': '29', 'clubName': 'Borussia Dortmund', 'clubID': '16', 'value': '€8.00m'}, {'date': 'Jun 5, 2025', 'age': '29', 'clubName': 'Borussia Dortmund', 'clubID': '16', 'value': '€8.00m'}, {'date': 'Dec 19, 2025', 'age': '30', 'clubName': 'Borussia Dortmund', 'clubID': '16', 'value': '€5.00m'}, {'date': 'Mar 20, 2026', 'age': '30', 'clubName': 'Borussia Dortmund', 'clubID': '16', 'value': '€4.00m'}]}</t>
  </si>
  <si>
    <t>1995-09-03</t>
  </si>
  <si>
    <t>Vecino</t>
  </si>
  <si>
    <t>{'marketValueHistory': [{'date': '20/08/2010', 'age': '18', 'clubName': 'Central Español FC', 'clubID': '10960', 'value': '€125k'}, {'date': '01/02/2011', 'age': '19', 'clubName': 'Central Español FC', 'clubID': '10960', 'value': '€250k'}, {'date': '24/08/2011', 'age': '20', 'clubName': 'Club Nacional', 'clubID': '866', 'value': '€275k'}, {'date': '21/02/2012', 'age': '20', 'clubName': 'Club Nacional', 'clubID': '866', 'value': '€350k'}, {'date': '06/08/2012', 'age': '20', 'clubName': 'Club Nacional', 'clubID': '866', 'value': '€500k'}, {'date': '12/02/2013', 'age': '21', 'clubName': 'ACF Fiorentina', 'clubID': '430', 'value': '€2.30m'}, {'date': '19/06/2013', 'age': '21', 'clubName': 'ACF Fiorentina', 'clubID': '430', 'value': '€2.30m'}, {'date': '07/01/2014', 'age': '22', 'clubName': 'ACF Fiorentina', 'clubID': '430', 'value': '€2.30m'}, {'date': '01/07/2014', 'age': '22', 'clubName': 'ACF Fiorentina', 'clubID': '430', 'value': '€2.50m'}, {'date': '07/01/2015', 'age': '23', 'clubName': 'FC Empoli', 'clubID': '749', 'value': '€3.20m'}, {'date': '01/07/2015', 'age': '23', 'clubName': 'ACF Fiorentina', 'clubID': '430', 'value': '€4.20m'}, {'date': '05/11/2015', 'age': '24', 'clubName': 'ACF Fiorentina', 'clubID': '430', 'value': '€6.00m'}, {'date': '04/01/2016', 'age': '24', 'clubName': 'ACF Fiorentina', 'clubID': '430', 'value': '€7.50m'}, {'date': '01/04/2016', 'age': '24', 'clubName': 'ACF Fiorentina', 'clubID': '430', 'value': '€10.00m'}, {'date': '15/07/2016', 'age': '24', 'clubName': 'ACF Fiorentina', 'clubID': '430', 'value': '€12.00m'}, {'date': '02/01/2017', 'age': '25', 'clubName': 'ACF Fiorentina', 'clubID': '430', 'value': '€11.00m'}, {'date': '08/06/2017', 'age': '25', 'clubName': 'ACF Fiorentina', 'clubID': '430', 'value': '€13.00m'}, {'date': '13/10/2017', 'age': '26', 'clubName': 'Inter Milan', 'clubID': '46', 'value': '€17.00m'}, {'date': '29/12/2017', 'age': '26', 'clubName': 'Inter Milan', 'clubID': '46', 'value': '€23.00m'}, {'date': '07/06/2018', 'age': '26', 'clubName': 'Inter Milan', 'clubID': '46', 'value': '€21.00m'}, {'date': '12/10/2018', 'age': '27', 'clubName': 'Inter Milan', 'clubID': '46', 'value': '€25.00m'}, {'date': '20/12/2018', 'age': '27', 'clubName': 'Inter Milan', 'clubID': '46', 'value': '€25.00m'}, {'date': '06/06/2019', 'age': '27', 'clubName': 'Inter Milan', 'clubID': '46', 'value': '€23.00m'}, {'date': '12/12/2019', 'age': '28', 'clubName': 'Inter Milan', 'clubID': '46', 'value': '€23.00m'}, {'date': '08/04/2020', 'age': '28', 'clubName': 'Inter Milan', 'clubID': '46', 'value': '€18.50m'}, {'date': '25/08/2020', 'age': '29', 'clubName': 'Inter Milan', 'clubID': '46', 'value': '€16.00m'}, {'date': '29/12/2020', 'age': '29', 'clubName': 'Inter Milan', 'clubID': '46', 'value': '€12.00m'}, {'date': '03/06/2021', 'age': '29', 'clubName': 'Inter Milan', 'clubID': '46', 'value': '€8.00m'}, {'date': '28/12/2021', 'age': '30', 'clubName': 'Inter Milan', 'clubID': '46', 'value': '€5.00m'}, {'date': '07/06/2022', 'age': '30', 'clubName': 'Inter Milan', 'clubID': '46', 'value': '€3.50m'}, {'date': '11/11/2022', 'age': '31', 'clubName': 'SS Lazio', 'clubID': '398', 'value': '€4.50m'}, {'date': '15/06/2023', 'age': '31', 'clubName': 'SS Lazio', 'clubID': '398', 'value': '€4.50m'}, {'date': '20/12/2023', 'age': '32', 'clubName': 'SS Lazio', 'clubID': '398', 'value': '€3.00m'}, {'date': '05/06/2024', 'age': '32', 'clubName': 'SS Lazio', 'clubID': '398', 'value': '€2.50m'}, {'date': '18/12/2024', 'age': '33', 'clubName': 'SS Lazio', 'clubID': '398', 'value': '€2.50m'}, {'date': '17/06/2025', 'age': '33', 'clubName': 'SS Lazio', 'clubID': '398', 'value': '€2.00m'}, {'date': '23/12/2025', 'age': '34', 'clubName': 'SS Lazio', 'clubID': '398', 'value': '€1.50m'}]}</t>
  </si>
  <si>
    <t>1991-08-24</t>
  </si>
  <si>
    <t>Kryvtsov</t>
  </si>
  <si>
    <t>{'marketValueHistory': [{'date': 'May 21, 2008', 'age': '17', 'clubName': 'Metalurg Zaporizhya', 'clubID': '6994', 'value': '€150k'}, {'date': 'Oct 9, 2008', 'age': '17', 'clubName': 'Metalurg Zaporizhya', 'clubID': '6994', 'value': '€225k'}, {'date': 'Dec 2, 2008', 'age': '17', 'clubName': 'Metalurg Zaporizhya', 'clubID': '6994', 'value': '€450k'}, {'date': 'Mar 18, 2009', 'age': '18', 'clubName': 'Metalurg Zaporizhya', 'clubID': '6994', 'value': '€450k'}, {'date': 'Sep 21, 2009', 'age': '18', 'clubName': 'Metalurg Zaporizhya', 'clubID': '6994', 'value': '€900k'}, {'date': 'Feb 17, 2010', 'age': '18', 'clubName': 'Metalurg Zaporizhya', 'clubID': '6994', 'value': '€800k'}, {'date': 'Aug 28, 2010', 'age': '19', 'clubName': 'Shakhtar Donetsk', 'clubID': '660', 'value': '€1.00m'}, {'date': 'Jan 2, 2011', 'age': '19', 'clubName': 'Shakhtar Donetsk', 'clubID': '660', 'value': '€1.00m'}, {'date': 'Jun 10, 2011', 'age': '20', 'clubName': 'Shakhtar Donetsk', 'clubID': '660', 'value': '€900k'}, {'date': 'Jan 5, 2012', 'age': '20', 'clubName': 'Shakhtar Donetsk', 'clubID': '660', 'value': '€1.20m'}, {'date': 'Jul 2, 2012', 'age': '21', 'clubName': 'Shakhtar Donetsk', 'clubID': '660', 'value': '€1.00m'}, {'date': 'Jun 17, 2013', 'age': '22', 'clubName': 'Shakhtar Donetsk', 'clubID': '660', 'value': '€1.50m'}, {'date': 'Jan 2, 2014', 'age': '22', 'clubName': 'Shakhtar Donetsk', 'clubID': '660', 'value': '€2.00m'}, {'date': 'Jun 30, 2014', 'age': '23', 'clubName': 'Shakhtar Donetsk', 'clubID': '660', 'value': '€2.50m'}, {'date': 'Dec 25, 2014', 'age': '23', 'clubName': 'Shakhtar Donetsk', 'clubID': '660', 'value': '€2.00m'}, {'date': 'Jun 7, 2015', 'age': '24', 'clubName': 'Shakhtar Donetsk', 'clubID': '660', 'value': '€2.00m'}, {'date': 'Dec 18, 2015', 'age': '24', 'clubName': 'Shakhtar Donetsk', 'clubID': '660', 'value': '€1.50m'}, {'date': 'Jul 21, 2016', 'age': '25', 'clubName': 'Shakhtar Donetsk', 'clubID': '660', 'value': '€2.00m'}, {'date': 'Jan 3, 2017', 'age': '25', 'clubName': 'Shakhtar Donetsk', 'clubID': '660', 'value': '€2.00m'}, {'date': 'Jun 26, 2017', 'age': '26', 'clubName': 'Shakhtar Donetsk', 'clubID': '660', 'value': '€1.80m'}, {'date': 'Jan 12, 2018', 'age': '26', 'clubName': 'Shakhtar Donetsk', 'clubID': '660', 'value': '€1.80m'}, {'date': 'Aug 6, 2018', 'age': '27', 'clubName': 'Shakhtar Donetsk', 'clubID': '660', 'value': '€2.00m'}, {'date': 'Dec 10, 2018', 'age': '27', 'clubName': 'Shakhtar Donetsk', 'clubID': '660', 'value': '€2.50m'}, {'date': 'Jun 20, 2019', 'age': '28', 'clubName': 'Shakhtar Donetsk', 'clubID': '660', 'value': '€4.00m'}, {'date': 'Jan 8, 2020', 'age': '28', 'clubName': 'Shakhtar Donetsk', 'clubID': '660', 'value': '€5.00m'}, {'date': 'Apr 8, 2020', 'age': '29', 'clubName': 'Shakhtar Donetsk', 'clubID': '660', 'value': '€4.00m'}, {'date': 'Sep 4, 2020', 'age': '29', 'clubName': 'Shakhtar Donetsk', 'clubID': '660', 'value': '€4.50m'}, {'date': 'Jan 14, 2021', 'age': '29', 'clubName': 'Shakhtar Donetsk', 'clubID': '660', 'value': '€4.50m'}, {'date': 'May 27, 2021', 'age': '30', 'clubName': 'Shakhtar Donetsk', 'clubID': '660', 'value': '€4.00m'}, {'date': 'Dec 20, 2021', 'age': '30', 'clubName': 'Shakhtar Donetsk', 'clubID': '660', 'value': '€3.00m'}, {'date': 'May 18, 2022', 'age': '31', 'clubName': 'Shakhtar Donetsk', 'clubID': '660', 'value': '€3.00m'}, {'date': 'Dec 6, 2022', 'age': '31', 'clubName': 'Shakhtar Donetsk', 'clubID': '660', 'value': '€2.00m'}, {'date': 'Aug 22, 2023', 'age': '32', 'clubName': 'Inter Miami CF', 'clubID': '69261', 'value': '€2.00m'}, {'date': 'Dec 18, 2023', 'age': '32', 'clubName': 'Inter Miami CF', 'clubID': '69261', 'value': '€2.00m'}, {'date': 'Mar 25, 2024', 'age': '33', 'clubName': 'Inter Miami CF', 'clubID': '69261', 'value': '€1.80m'}, {'date': 'Jun 13, 2024', 'age': '33', 'clubName': 'Inter Miami CF', 'clubID': '69261', 'value': '€1.50m'}, {'date': 'Dec 12, 2024', 'age': '33', 'clubName': 'Inter Miami CF', 'clubID': '69261', 'value': '€1.20m'}, {'date': 'Apr 4, 2025', 'age': '34', 'clubName': 'Without Club', 'clubID': '515', 'value': '€900k'}, {'date': 'Oct 21, 2025', 'age': '34', 'clubName': 'Without Club', 'clubID': '515', 'value': '€600k'}, {'date': 'Mar 8, 2026', 'age': '34', 'clubName': 'Retired', 'clubID': '123', 'value': '-'}]}</t>
  </si>
  <si>
    <t>1991-03-15</t>
  </si>
  <si>
    <t>Matviyenko</t>
  </si>
  <si>
    <t>{'marketValueHistory': [{'date': '18/12/2015', 'age': '19', 'clubName': 'Shakhtar Donetsk II', 'clubID': '8963', 'value': '€300k'}, {'date': '26/06/2017', 'age': '21', 'clubName': 'Karpaty Lviv', 'clubID': '2477', 'value': '€800k'}, {'date': '12/01/2018', 'age': '21', 'clubName': 'Shakhtar Donetsk', 'clubID': '660', 'value': '€900k'}, {'date': '06/08/2018', 'age': '22', 'clubName': 'Shakhtar Donetsk', 'clubID': '660', 'value': '€1.80m'}, {'date': '10/12/2018', 'age': '22', 'clubName': 'Shakhtar Donetsk', 'clubID': '660', 'value': '€2.50m'}, {'date': '22/03/2019', 'age': '22', 'clubName': 'Shakhtar Donetsk', 'clubID': '660', 'value': '€3.00m'}, {'date': '20/06/2019', 'age': '23', 'clubName': 'Shakhtar Donetsk', 'clubID': '660', 'value': '€3.00m'}, {'date': '08/01/2020', 'age': '23', 'clubName': 'Shakhtar Donetsk', 'clubID': '660', 'value': '€5.00m'}, {'date': '08/04/2020', 'age': '23', 'clubName': 'Shakhtar Donetsk', 'clubID': '660', 'value': '€4.00m'}, {'date': '04/09/2020', 'age': '24', 'clubName': 'Shakhtar Donetsk', 'clubID': '660', 'value': '€9.00m'}, {'date': '14/01/2021', 'age': '24', 'clubName': 'Shakhtar Donetsk', 'clubID': '660', 'value': '€11.00m'}, {'date': '27/05/2021', 'age': '25', 'clubName': 'Shakhtar Donetsk', 'clubID': '660', 'value': '€11.00m'}, {'date': '20/12/2021', 'age': '25', 'clubName': 'Shakhtar Donetsk', 'clubID': '660', 'value': '€11.00m'}, {'date': '18/05/2022', 'age': '26', 'clubName': 'Shakhtar Donetsk', 'clubID': '660', 'value': '€11.00m'}, {'date': '06/12/2022', 'age': '26', 'clubName': 'Shakhtar Donetsk', 'clubID': '660', 'value': '€11.00m'}, {'date': '28/03/2023', 'age': '26', 'clubName': 'Shakhtar Donetsk', 'clubID': '660', 'value': '€18.00m'}, {'date': '21/06/2023', 'age': '27', 'clubName': 'Shakhtar Donetsk', 'clubID': '660', 'value': '€20.00m'}, {'date': '11/12/2023', 'age': '27', 'clubName': 'Shakhtar Donetsk', 'clubID': '660', 'value': '€20.00m'}, {'date': '06/06/2024', 'age': '28', 'clubName': 'Shakhtar Donetsk', 'clubID': '660', 'value': '€18.00m'}, {'date': '17/12/2024', 'age': '28', 'clubName': 'Shakhtar Donetsk', 'clubID': '660', 'value': '€18.00m'}, {'date': '10/06/2025', 'age': '29', 'clubName': 'Shakhtar Donetsk', 'clubID': '660', 'value': '€16.00m'}, {'date': '18/12/2025', 'age': '29', 'clubName': 'Shakhtar Donetsk', 'clubID': '660', 'value': '€15.00m'}]}</t>
  </si>
  <si>
    <t>1996-05-02</t>
  </si>
  <si>
    <t>Parejo</t>
  </si>
  <si>
    <t>Valencia</t>
  </si>
  <si>
    <t>{'marketValueHistory': [{'date': 'Nov 20, 2007', 'age': '18', 'clubName': 'Real Madrid Castilla', 'clubID': '6767', 'value': '€100k'}, {'date': 'Aug 20, 2008', 'age': '19', 'clubName': 'Queens Park Rangers', 'clubID': '1039', 'value': '€175k'}, {'date': 'Oct 9, 2008', 'age': '19', 'clubName': 'Queens Park Rangers', 'clubID': '1039', 'value': '€500k'}, {'date': 'Jan 26, 2009', 'age': '19', 'clubName': 'Real Madrid', 'clubID': '418', 'value': '€500k'}, {'date': 'Jul 22, 2009', 'age': '20', 'clubName': 'Real Madrid', 'clubID': '418', 'value': '€500k'}, {'date': 'Aug 6, 2009', 'age': '20', 'clubName': 'Getafe CF', 'clubID': '3709', 'value': '€2.00m'}, {'date': 'Dec 2, 2009', 'age': '20', 'clubName': 'Getafe CF', 'clubID': '3709', 'value': '€4.00m'}, {'date': 'Apr 11, 2010', 'age': '20', 'clubName': 'Getafe CF', 'clubID': '3709', 'value': '€5.00m'}, {'date': 'Aug 27, 2010', 'age': '21', 'clubName': 'Getafe CF', 'clubID': '3709', 'value': '€8.00m'}, {'date': 'Feb 4, 2011', 'age': '21', 'clubName': 'Getafe CF', 'clubID': '3709', 'value': '€8.00m'}, {'date': 'Jul 29, 2011', 'age': '22', 'clubName': 'Valencia CF', 'clubID': '1049', 'value': '€8.00m'}, {'date': 'Feb 3, 2012', 'age': '22', 'clubName': 'Valencia CF', 'clubID': '1049', 'value': '€6.00m'}, {'date': 'Aug 7, 2012', 'age': '23', 'clubName': 'Valencia CF', 'clubID': '1049', 'value': '€6.00m'}, {'date': 'Jan 11, 2013', 'age': '23', 'clubName': 'Valencia CF', 'clubID': '1049', 'value': '€6.00m'}, {'date': 'Jun 12, 2013', 'age': '24', 'clubName': 'Valencia CF', 'clubID': '1049', 'value': '€10.00m'}, {'date': 'Jan 23, 2014', 'age': '24', 'clubName': 'Valencia CF', 'clubID': '1049', 'value': '€10.00m'}, {'date': 'Jul 20, 2014', 'age': '25', 'clubName': 'Valencia CF', 'clubID': '1049', 'value': '€15.00m'}, {'date': 'Jan 23, 2015', 'age': '25', 'clubName': 'Valencia CF', 'clubID': '1049', 'value': '€15.00m'}, {'date': 'Jul 1, 2015', 'age': '26', 'clubName': 'Valencia CF', 'clubID': '1049', 'value': '€20.00m'}, {'date': 'Nov 23, 2015', 'age': '26', 'clubName': 'Valencia CF', 'clubID': '1049', 'value': '€22.00m'}, {'date': 'Feb 22, 2016', 'age': '26', 'clubName': 'Valencia CF', 'clubID': '1049', 'value': '€20.00m'}, {'date': 'Apr 7, 2016', 'age': '26', 'clubName': 'Valencia CF', 'clubID': '1049', 'value': '€18.00m'}, {'date': 'Jul 15, 2016', 'age': '27', 'clubName': 'Valencia CF', 'clubID': '1049', 'value': '€18.00m'}, {'date': 'Jan 24, 2017', 'age': '27', 'clubName': 'Valencia CF', 'clubID': '1049', 'value': '€15.00m'}, {'date': 'Jun 5, 2017', 'age': '28', 'clubName': 'Valencia CF', 'clubID': '1049', 'value': '€15.00m'}, {'date': 'Jan 1, 2018', 'age': '28', 'clubName': 'Valencia CF', 'clubID': '1049', 'value': '€18.00m'}, {'date': 'Mar 22, 2018', 'age': '28', 'clubName': 'Valencia CF', 'clubID': '1049', 'value': '€20.00m'}, {'date': 'May 30, 2018', 'age': '29', 'clubName': 'Valencia CF', 'clubID': '1049', 'value': '€20.00m'}, {'date': 'Dec 21, 2018', 'age': '29', 'clubName': 'Valencia CF', 'clubID': '1049', 'value': '€20.00m'}, {'date': 'Jun 11, 2019', 'age': '30', 'clubName': 'Valencia CF', 'clubID': '1049', 'value': '€30.00m'}, {'date': 'Dec 20, 2019', 'age': '30', 'clubName': 'Valencia CF', 'clubID': '1049', 'value': '€35.00m'}, {'date': 'Apr 8, 2020', 'age': '30', 'clubName': 'Valencia CF', 'clubID': '1049', 'value': '€28.00m'}, {'date': 'Jul 23, 2020', 'age': '31', 'clubName': 'Valencia CF', 'clubID': '1049', 'value': '€20.00m'}, {'date': 'Oct 8, 2020', 'age': '31', 'clubName': 'Villarreal CF', 'clubID': '1050', 'value': '€10.00m'}, {'date': 'Jan 5, 2021', 'age': '31', 'clubName': 'Villarreal CF', 'clubID': '1050', 'value': '€10.00m'}, {'date': 'Jun 10, 2021', 'age': '32', 'clubName': 'Villarreal CF', 'clubID': '1050', 'value': '€10.00m'}, {'date': 'Oct 13, 2021', 'age': '32', 'clubName': 'Villarreal CF', 'clubID': '1050', 'value': '€9.00m'}, {'date': 'Dec 30, 2021', 'age': '32', 'clubName': 'Villarreal CF', 'clubID': '1050', 'value': '€9.00m'}, {'date': 'Jun 3, 2022', 'age': '33', 'clubName': 'Villarreal CF', 'clubID': '1050', 'value': '€9.00m'}, {'date': 'Nov 7, 2022', 'age': '33', 'clubName': 'Villarreal CF', 'clubID': '1050', 'value': '€7.00m'}, {'date': 'Jun 13, 2023', 'age': '34', 'clubName': 'Villarreal CF', 'clubID': '1050', 'value': '€6.00m'}, {'date': 'Oct 13, 2023', 'age': '34', 'clubName': 'Villarreal CF', 'clubID': '1050', 'value': '€4.00m'}, {'date': 'Dec 22, 2023', 'age': '34', 'clubName': 'Villarreal CF', 'clubID': '1050', 'value': '€4.00m'}, {'date': 'Mar 21, 2024', 'age': '34', 'clubName': 'Villarreal CF', 'clubID': '1050', 'value': '€3.00m'}, {'date': 'Jun 7, 2024', 'age': '35', 'clubName': 'Villarreal CF', 'clubID': '1050', 'value': '€2.50m'}, {'date': 'Dec 27, 2024', 'age': '35', 'clubName': 'Villarreal CF', 'clubID': '1050', 'value': '€2.00m'}, {'date': 'Jun 9, 2025', 'age': '36', 'clubName': 'Villarreal CF', 'clubID': '1050', 'value': '€1.50m'}, {'date': 'Dec 12, 2025', 'age': '36', 'clubName': 'Villarreal CF', 'clubID': '1050', 'value': '€1.20m'}]}</t>
  </si>
  <si>
    <t>1989-04-16</t>
  </si>
  <si>
    <t>Piszczek</t>
  </si>
  <si>
    <t>{'marketValueHistory': [{'date': '07/10/2004', 'age': '19', 'clubName': 'Zaglebie Lubin', 'clubID': '168', 'value': '€50k'}, {'date': '02/02/2005', 'age': '19', 'clubName': 'Zaglebie Lubin', 'clubID': '168', 'value': '€100k'}, {'date': '06/04/2005', 'age': '19', 'clubName': 'Zaglebie Lubin', 'clubID': '168', 'value': '€400k'}, {'date': '20/12/2006', 'age': '21', 'clubName': 'Zaglebie Lubin', 'clubID': '168', 'value': '€650k'}, {'date': '15/01/2007', 'age': '21', 'clubName': 'Zaglebie Lubin', 'clubID': '168', 'value': '€750k'}, {'date': '27/05/2007', 'age': '21', 'clubName': 'Zaglebie Lubin', 'clubID': '168', 'value': '€1.30m'}, {'date': '01/01/2008', 'age': '22', 'clubName': 'Hertha BSC', 'clubID': '44', 'value': '€1.00m'}, {'date': '04/06/2008', 'age': '23', 'clubName': 'Hertha BSC', 'clubID': '44', 'value': '€1.50m'}, {'date': '10/06/2009', 'age': '24', 'clubName': 'Hertha BSC', 'clubID': '44', 'value': '€2.50m'}, {'date': '26/08/2010', 'age': '25', 'clubName': 'Borussia Dortmund', 'clubID': '16', 'value': '€2.50m'}, {'date': '23/11/2010', 'age': '25', 'clubName': 'Borussia Dortmund', 'clubID': '16', 'value': '€3.00m'}, {'date': '12/01/2011', 'age': '25', 'clubName': 'Borussia Dortmund', 'clubID': '16', 'value': '€3.50m'}, {'date': '08/02/2011', 'age': '25', 'clubName': 'Borussia Dortmund', 'clubID': '16', 'value': '€4.50m'}, {'date': '29/06/2011', 'age': '26', 'clubName': 'Borussia Dortmund', 'clubID': '16', 'value': '€6.00m'}, {'date': '23/01/2012', 'age': '26', 'clubName': 'Borussia Dortmund', 'clubID': '16', 'value': '€9.00m'}, {'date': '29/06/2012', 'age': '27', 'clubName': 'Borussia Dortmund', 'clubID': '16', 'value': '€11.00m'}, {'date': '26/10/2012', 'age': '27', 'clubName': 'Borussia Dortmund', 'clubID': '16', 'value': '€12.50m'}, {'date': '13/01/2013', 'age': '27', 'clubName': 'Borussia Dortmund', 'clubID': '16', 'value': '€12.50m'}, {'date': '30/06/2013', 'age': '28', 'clubName': 'Borussia Dortmund', 'clubID': '16', 'value': '€16.00m'}, {'date': '12/02/2014', 'age': '28', 'clubName': 'Borussia Dortmund', 'clubID': '16', 'value': '€15.00m'}, {'date': '10/07/2014', 'age': '29', 'clubName': 'Borussia Dortmund', 'clubID': '16', 'value': '€12.50m'}, {'date': '04/02/2015', 'age': '29', 'clubName': 'Borussia Dortmund', 'clubID': '16', 'value': '€11.00m'}, {'date': '01/07/2015', 'age': '30', 'clubName': 'Borussia Dortmund', 'clubID': '16', 'value': '€9.00m'}, {'date': '15/02/2016', 'age': '30', 'clubName': 'Borussia Dortmund', 'clubID': '16', 'value': '€7.00m'}, {'date': '01/06/2016', 'age': '30', 'clubName': 'Borussia Dortmund', 'clubID': '16', 'value': '€6.00m'}, {'date': '22/07/2016', 'age': '31', 'clubName': 'Borussia Dortmund', 'clubID': '16', 'value': '€6.00m'}, {'date': '07/02/2017', 'age': '31', 'clubName': 'Borussia Dortmund', 'clubID': '16', 'value': '€6.00m'}, {'date': '19/06/2017', 'age': '32', 'clubName': 'Borussia Dortmund', 'clubID': '16', 'value': '€5.00m'}, {'date': '28/12/2017', 'age': '32', 'clubName': 'Borussia Dortmund', 'clubID': '16', 'value': '€4.00m'}, {'date': '05/06/2018', 'age': '33', 'clubName': 'Borussia Dortmund', 'clubID': '16', 'value': '€4.00m'}, {'date': '18/12/2018', 'age': '33', 'clubName': 'Borussia Dortmund', 'clubID': '16', 'value': '€4.00m'}, {'date': '05/06/2019', 'age': '34', 'clubName': 'Borussia Dortmund', 'clubID': '16', 'value': '€3.00m'}, {'date': '17/12/2019', 'age': '34', 'clubName': 'Borussia Dortmund', 'clubID': '16', 'value': '€2.50m'}, {'date': '08/04/2020', 'age': '34', 'clubName': 'Borussia Dortmund', 'clubID': '16', 'value': '€2.00m'}, {'date': '10/02/2021', 'age': '35', 'clubName': 'Borussia Dortmund', 'clubID': '16', 'value': '€1.30m'}, {'date': '09/06/2021', 'age': '36', 'clubName': 'Borussia Dortmund', 'clubID': '16', 'value': '€750k'}, {'date': '07/09/2021', 'age': '36', 'clubName': 'LKS Goczalkowice-Zdroj', 'clubID': '10372', 'value': '-'}]}</t>
  </si>
  <si>
    <t>1985-06-03</t>
  </si>
  <si>
    <t>Mbabu</t>
  </si>
  <si>
    <t>{'marketValueHistory': [{'date': 'Sep 5, 2012', 'age': '17', 'clubName': 'Servette FC', 'clubID': '61', 'value': '€50k'}, {'date': 'Feb 9, 2013', 'age': '17', 'clubName': 'Newcastle United', 'clubID': '762', 'value': '-'}, {'date': 'Feb 9, 2016', 'age': '20', 'clubName': 'Newcastle United', 'clubID': '762', 'value': '€250k'}, {'date': 'Dec 20, 2016', 'age': '21', 'clubName': 'BSC Young Boys', 'clubID': '452', 'value': '€750k'}, {'date': 'Jul 12, 2017', 'age': '22', 'clubName': 'BSC Young Boys', 'clubID': '452', 'value': '€1.50m'}, {'date': 'Sep 29, 2017', 'age': '22', 'clubName': 'BSC Young Boys', 'clubID': '452', 'value': '€2.25m'}, {'date': 'Jan 8, 2018', 'age': '22', 'clubName': 'BSC Young Boys', 'clubID': '452', 'value': '€3.50m'}, {'date': 'Apr 24, 2018', 'age': '23', 'clubName': 'BSC Young Boys', 'clubID': '452', 'value': '€7.00m'}, {'date': 'Jul 12, 2018', 'age': '23', 'clubName': 'BSC Young Boys', 'clubID': '452', 'value': '€9.50m'}, {'date': 'Jan 21, 2019', 'age': '23', 'clubName': 'BSC Young Boys', 'clubID': '452', 'value': '€10.00m'}, {'date': 'Apr 15, 2019', 'age': '23', 'clubName': 'BSC Young Boys', 'clubID': '452', 'value': '€10.00m'}, {'date': 'Jun 4, 2019', 'age': '24', 'clubName': 'BSC Young Boys', 'clubID': '452', 'value': '€10.00m'}, {'date': 'Dec 17, 2019', 'age': '24', 'clubName': 'VfL Wolfsburg', 'clubID': '82', 'value': '€8.00m'}, {'date': 'Apr 8, 2020', 'age': '24', 'clubName': 'VfL Wolfsburg', 'clubID': '82', 'value': '€6.50m'}, {'date': 'Jul 8, 2020', 'age': '25', 'clubName': 'VfL Wolfsburg', 'clubID': '82', 'value': '€8.50m'}, {'date': 'Feb 10, 2021', 'age': '25', 'clubName': 'VfL Wolfsburg', 'clubID': '82', 'value': '€9.00m'}, {'date': 'May 25, 2021', 'age': '26', 'clubName': 'VfL Wolfsburg', 'clubID': '82', 'value': '€12.00m'}, {'date': 'Oct 7, 2021', 'age': '26', 'clubName': 'VfL Wolfsburg', 'clubID': '82', 'value': '€14.00m'}, {'date': 'Dec 22, 2021', 'age': '26', 'clubName': 'VfL Wolfsburg', 'clubID': '82', 'value': '€12.00m'}, {'date': 'Jun 9, 2022', 'age': '27', 'clubName': 'VfL Wolfsburg', 'clubID': '82', 'value': '€9.00m'}, {'date': 'Nov 3, 2022', 'age': '27', 'clubName': 'Fulham FC', 'clubID': '931', 'value': '€7.00m'}, {'date': 'Mar 28, 2023', 'age': '27', 'clubName': 'Servette FC', 'clubID': '61', 'value': '€5.00m'}, {'date': 'Jun 7, 2023', 'age': '28', 'clubName': 'Servette FC', 'clubID': '61', 'value': '€3.50m'}, {'date': 'Dec 14, 2023', 'age': '28', 'clubName': 'FC Augsburg', 'clubID': '167', 'value': '€3.50m'}, {'date': 'May 29, 2024', 'age': '29', 'clubName': 'FC Augsburg', 'clubID': '167', 'value': '€4.00m'}, {'date': 'Dec 9, 2024', 'age': '29', 'clubName': 'FC Midtjylland', 'clubID': '865', 'value': '€4.00m'}, {'date': 'Jun 16, 2025', 'age': '30', 'clubName': 'FC Midtjylland', 'clubID': '865', 'value': '€3.50m'}, {'date': 'Dec 15, 2025', 'age': '30', 'clubName': 'FC Midtjylland', 'clubID': '865', 'value': '€3.00m'}]}</t>
  </si>
  <si>
    <t>1995-04-19</t>
  </si>
  <si>
    <t>Gaya</t>
  </si>
  <si>
    <t>{'marketValueHistory': [{'date': '17/12/2012', 'age': '17', 'clubName': 'Valencia Mestalla', 'clubID': '6182', 'value': '€200k'}, {'date': '11/01/2013', 'age': '17', 'clubName': 'Valencia Mestalla', 'clubID': '6182', 'value': '€200k'}, {'date': '12/06/2013', 'age': '18', 'clubName': 'Valencia Mestalla', 'clubID': '6182', 'value': '€300k'}, {'date': '22/06/2013', 'age': '18', 'clubName': 'Valencia Mestalla', 'clubID': '6182', 'value': '€500k'}, {'date': '19/08/2013', 'age': '18', 'clubName': 'Valencia Mestalla', 'clubID': '6182', 'value': '€1.00m'}, {'date': '04/08/2014', 'age': '19', 'clubName': 'Valencia CF', 'clubID': '1049', 'value': '€2.50m'}, {'date': '22/10/2014', 'age': '19', 'clubName': 'Valencia CF', 'clubID': '1049', 'value': '€10.00m'}, {'date': '23/01/2015', 'age': '19', 'clubName': 'Valencia CF', 'clubID': '1049', 'value': '€15.00m'}, {'date': '01/07/2015', 'age': '20', 'clubName': 'Valencia CF', 'clubID': '1049', 'value': '€20.00m'}, {'date': '22/02/2016', 'age': '20', 'clubName': 'Valencia CF', 'clubID': '1049', 'value': '€20.00m'}, {'date': '07/04/2016', 'age': '20', 'clubName': 'Valencia CF', 'clubID': '1049', 'value': '€18.00m'}, {'date': '15/07/2016', 'age': '21', 'clubName': 'Valencia CF', 'clubID': '1049', 'value': '€18.00m'}, {'date': '24/01/2017', 'age': '21', 'clubName': 'Valencia CF', 'clubID': '1049', 'value': '€18.00m'}, {'date': '05/06/2017', 'age': '22', 'clubName': 'Valencia CF', 'clubID': '1049', 'value': '€18.00m'}, {'date': '01/01/2018', 'age': '22', 'clubName': 'Valencia CF', 'clubID': '1049', 'value': '€25.00m'}, {'date': '22/03/2018', 'age': '22', 'clubName': 'Valencia CF', 'clubID': '1049', 'value': '€30.00m'}, {'date': '30/05/2018', 'age': '23', 'clubName': 'Valencia CF', 'clubID': '1049', 'value': '€35.00m'}, {'date': '21/12/2018', 'age': '23', 'clubName': 'Valencia CF', 'clubID': '1049', 'value': '€40.00m'}, {'date': '11/06/2019', 'age': '24', 'clubName': 'Valencia CF', 'clubID': '1049', 'value': '€50.00m'}, {'date': '20/12/2019', 'age': '24', 'clubName': 'Valencia CF', 'clubID': '1049', 'value': '€50.00m'}, {'date': '08/04/2020', 'age': '24', 'clubName': 'Valencia CF', 'clubID': '1049', 'value': '€40.00m'}, {'date': '08/10/2020', 'age': '25', 'clubName': 'Valencia CF', 'clubID': '1049', 'value': '€30.00m'}, {'date': '05/01/2021', 'age': '25', 'clubName': 'Valencia CF', 'clubID': '1049', 'value': '€35.00m'}, {'date': '31/05/2021', 'age': '26', 'clubName': 'Valencia CF', 'clubID': '1049', 'value': '€35.00m'}, {'date': '30/12/2021', 'age': '26', 'clubName': 'Valencia CF', 'clubID': '1049', 'value': '€40.00m'}, {'date': '03/06/2022', 'age': '27', 'clubName': 'Valencia CF', 'clubID': '1049', 'value': '€40.00m'}, {'date': '23/09/2022', 'age': '27', 'clubName': 'Valencia CF', 'clubID': '1049', 'value': '€35.00m'}, {'date': '07/11/2022', 'age': '27', 'clubName': 'Valencia CF', 'clubID': '1049', 'value': '€40.00m'}, {'date': '23/03/2023', 'age': '27', 'clubName': 'Valencia CF', 'clubID': '1049', 'value': '€35.00m'}, {'date': '13/06/2023', 'age': '28', 'clubName': 'Valencia CF', 'clubID': '1049', 'value': '€30.00m'}, {'date': '22/12/2023', 'age': '28', 'clubName': 'Valencia CF', 'clubID': '1049', 'value': '€30.00m'}, {'date': '07/06/2024', 'age': '29', 'clubName': 'Valencia CF', 'clubID': '1049', 'value': '€25.00m'}, {'date': '11/10/2024', 'age': '29', 'clubName': 'Valencia CF', 'clubID': '1049', 'value': '€20.00m'}, {'date': '27/12/2024', 'age': '29', 'clubName': 'Valencia CF', 'clubID': '1049', 'value': '€15.00m'}, {'date': '09/06/2025', 'age': '30', 'clubName': 'Valencia CF', 'clubID': '1049', 'value': '€9.00m'}, {'date': '02/10/2025', 'age': '30', 'clubName': 'Valencia CF', 'clubID': '1049', 'value': '€6.00m'}, {'date': '12/12/2025', 'age': '30', 'clubName': 'Valencia CF', 'clubID': '1049', 'value': '€5.00m'}]}</t>
  </si>
  <si>
    <t>1995-05-25</t>
  </si>
  <si>
    <t>Rodic</t>
  </si>
  <si>
    <t>{'marketValueHistory': [{'date': 'Nov 3, 2009', 'age': '18', 'clubName': 'OFK Beograd', 'clubID': '53', 'value': '€200k'}, {'date': 'Apr 21, 2010', 'age': '19', 'clubName': 'OFK Beograd', 'clubID': '53', 'value': '€400k'}, {'date': 'Oct 11, 2010', 'age': '19', 'clubName': 'OFK Beograd', 'clubID': '53', 'value': '€650k'}, {'date': 'May 9, 2011', 'age': '20', 'clubName': 'OFK Beograd', 'clubID': '53', 'value': '€750k'}, {'date': 'Nov 2, 2011', 'age': '20', 'clubName': 'OFK Beograd', 'clubID': '53', 'value': '€750k'}, {'date': 'Apr 16, 2012', 'age': '21', 'clubName': 'OFK Beograd', 'clubID': '53', 'value': '€850k'}, {'date': 'Dec 26, 2012', 'age': '21', 'clubName': 'OFK Beograd', 'clubID': '53', 'value': '€1.00m'}, {'date': 'Jun 19, 2013', 'age': '22', 'clubName': 'Zenit St. Petersburg', 'clubID': '964', 'value': '€1.00m'}, {'date': 'Sep 13, 2013', 'age': '22', 'clubName': 'Volga Nizhniy Novgorod', 'clubID': '12438', 'value': '€750k'}, {'date': 'Mar 28, 2014', 'age': '22', 'clubName': 'Volga Nizhniy Novgorod', 'clubID': '12438', 'value': '€750k'}, {'date': 'Feb 23, 2015', 'age': '23', 'clubName': 'Zenit St. Petersburg', 'clubID': '964', 'value': '€700k'}, {'date': 'Jun 18, 2015', 'age': '24', 'clubName': 'Zenit St. Petersburg', 'clubID': '964', 'value': '€700k'}, {'date': 'Jan 6, 2016', 'age': '24', 'clubName': 'Krylya Sovetov Samara', 'clubID': '2696', 'value': '€700k'}, {'date': 'May 25, 2016', 'age': '25', 'clubName': 'Krylya Sovetov Samara', 'clubID': '2696', 'value': '€700k'}, {'date': 'Dec 27, 2016', 'age': '25', 'clubName': 'Krylya Sovetov Samara', 'clubID': '2696', 'value': '€600k'}, {'date': 'Jun 1, 2017', 'age': '26', 'clubName': 'Krylya Sovetov Samara', 'clubID': '2696', 'value': '€500k'}, {'date': 'Jan 10, 2018', 'age': '26', 'clubName': 'Red Star Belgrade', 'clubID': '159', 'value': '€1.20m'}, {'date': 'Jul 2, 2018', 'age': '27', 'clubName': 'Red Star Belgrade', 'clubID': '159', 'value': '€2.25m'}, {'date': 'Jan 14, 2019', 'age': '27', 'clubName': 'Red Star Belgrade', 'clubID': '159', 'value': '€2.75m'}, {'date': 'Jun 9, 2019', 'age': '28', 'clubName': 'Red Star Belgrade', 'clubID': '159', 'value': '€3.00m'}, {'date': 'Oct 28, 2019', 'age': '28', 'clubName': 'Red Star Belgrade', 'clubID': '159', 'value': '€3.50m'}, {'date': 'Apr 8, 2020', 'age': '29', 'clubName': 'Red Star Belgrade', 'clubID': '159', 'value': '€2.80m'}, {'date': 'Jun 28, 2020', 'age': '29', 'clubName': 'Red Star Belgrade', 'clubID': '159', 'value': '€3.00m'}, {'date': 'Dec 22, 2020', 'age': '29', 'clubName': 'Red Star Belgrade', 'clubID': '159', 'value': '€2.80m'}, {'date': 'Jun 12, 2021', 'age': '30', 'clubName': 'Red Star Belgrade', 'clubID': '159', 'value': '€2.50m'}, {'date': 'Dec 25, 2021', 'age': '30', 'clubName': 'Red Star Belgrade', 'clubID': '159', 'value': '€2.50m'}, {'date': 'Jun 26, 2022', 'age': '31', 'clubName': 'Red Star Belgrade', 'clubID': '159', 'value': '€2.50m'}, {'date': 'Nov 18, 2022', 'age': '31', 'clubName': 'Red Star Belgrade', 'clubID': '159', 'value': '€2.50m'}, {'date': 'Jun 22, 2023', 'age': '32', 'clubName': 'Red Star Belgrade', 'clubID': '159', 'value': '€2.00m'}, {'date': 'Dec 27, 2023', 'age': '32', 'clubName': 'Red Star Belgrade', 'clubID': '159', 'value': '€1.50m'}, {'date': 'Jun 10, 2024', 'age': '33', 'clubName': 'Red Star Belgrade', 'clubID': '159', 'value': '€1.20m'}, {'date': 'Sep 19, 2024', 'age': '33', 'clubName': 'Red Star Belgrade', 'clubID': '159', 'value': '€1.00m'}, {'date': 'Dec 27, 2024', 'age': '33', 'clubName': 'Red Star Belgrade', 'clubID': '159', 'value': '€600k'}, {'date': 'Jun 12, 2025', 'age': '34', 'clubName': 'Red Star Belgrade', 'clubID': '159', 'value': '€500k'}, {'date': 'Oct 2, 2025', 'age': '34', 'clubName': 'FC Zürich', 'clubID': '260', 'value': '€300k'}, {'date': 'Dec 29, 2025', 'age': '34', 'clubName': 'FC Zürich', 'clubID': '260', 'value': '€250k'}]}</t>
  </si>
  <si>
    <t>1991-04-02</t>
  </si>
  <si>
    <t>Reznik</t>
  </si>
  <si>
    <t>{'marketValueHistory': [{'date': '21/11/2007', 'age': '18', 'clubName': 'FC Banik Ostrava', 'clubID': '377', 'value': '€900k'}, {'date': '15/05/2008', 'age': '19', 'clubName': 'FC Banik Ostrava', 'clubID': '377', 'value': '€500k'}, {'date': '15/01/2009', 'age': '19', 'clubName': 'FC Banik Ostrava', 'clubID': '377', 'value': '€750k'}, {'date': '21/10/2010', 'age': '21', 'clubName': 'FC Banik Ostrava', 'clubID': '377', 'value': '€750k'}, {'date': '03/09/2011', 'age': '22', 'clubName': 'FC Viktoria Plzen', 'clubID': '941', 'value': '€750k'}, {'date': '31/07/2012', 'age': '23', 'clubName': 'FC Viktoria Plzen', 'clubID': '941', 'value': '€500k'}, {'date': '30/10/2012', 'age': '23', 'clubName': 'FC Viktoria Plzen', 'clubID': '941', 'value': '€600k'}, {'date': '27/11/2012', 'age': '23', 'clubName': 'FC Viktoria Plzen', 'clubID': '941', 'value': '€750k'}, {'date': '25/07/2013', 'age': '24', 'clubName': 'FC Viktoria Plzen', 'clubID': '941', 'value': '€900k'}, {'date': '19/08/2013', 'age': '24', 'clubName': 'FC Viktoria Plzen', 'clubID': '941', 'value': '€1.00m'}, {'date': '07/08/2014', 'age': '25', 'clubName': 'FC Viktoria Plzen', 'clubID': '941', 'value': '€1.00m'}, {'date': '17/01/2015', 'age': '25', 'clubName': 'FC Viktoria Plzen', 'clubID': '941', 'value': '€1.50m'}, {'date': '14/10/2015', 'age': '26', 'clubName': 'FC Viktoria Plzen', 'clubID': '941', 'value': '€1.25m'}, {'date': '18/03/2016', 'age': '27', 'clubName': 'FC Viktoria Plzen', 'clubID': '941', 'value': '€900k'}, {'date': '03/08/2016', 'age': '27', 'clubName': 'FC Viktoria Plzen', 'clubID': '941', 'value': '€750k'}, {'date': '19/12/2016', 'age': '27', 'clubName': 'FC Viktoria Plzen', 'clubID': '941', 'value': '€1.00m'}, {'date': '10/06/2017', 'age': '28', 'clubName': 'FC Viktoria Plzen', 'clubID': '941', 'value': '€900k'}, {'date': '07/10/2017', 'age': '28', 'clubName': 'FC Viktoria Plzen', 'clubID': '941', 'value': '€1.00m'}, {'date': '21/12/2017', 'age': '28', 'clubName': 'FC Viktoria Plzen', 'clubID': '941', 'value': '€1.25m'}, {'date': '14/07/2018', 'age': '29', 'clubName': 'FC Viktoria Plzen', 'clubID': '941', 'value': '€1.40m'}, {'date': '30/12/2018', 'age': '29', 'clubName': 'FC Viktoria Plzen', 'clubID': '941', 'value': '€1.40m'}, {'date': '25/06/2019', 'age': '30', 'clubName': 'FC Viktoria Plzen', 'clubID': '941', 'value': '€1.50m'}, {'date': '07/12/2019', 'age': '30', 'clubName': 'FC Viktoria Plzen', 'clubID': '941', 'value': '€1.50m'}, {'date': '08/04/2020', 'age': '31', 'clubName': 'FC Viktoria Plzen', 'clubID': '941', 'value': '€1.20m'}, {'date': '10/07/2020', 'age': '31', 'clubName': 'FC Viktoria Plzen', 'clubID': '941', 'value': '€1.20m'}, {'date': '27/12/2020', 'age': '31', 'clubName': 'FC Viktoria Plzen', 'clubID': '941', 'value': '€1.00m'}, {'date': '25/06/2021', 'age': '32', 'clubName': 'FK Mlada Boleslav', 'clubID': '5546', 'value': '€650k'}, {'date': '26/12/2021', 'age': '32', 'clubName': 'FC Viktoria Plzen', 'clubID': '941', 'value': '€650k'}, {'date': '22/06/2022', 'age': '33', 'clubName': 'FC Viktoria Plzen', 'clubID': '941', 'value': '€500k'}, {'date': '29/09/2022', 'age': '33', 'clubName': 'FC Viktoria Plzen', 'clubID': '941', 'value': '€250k'}, {'date': '14/12/2022', 'age': '33', 'clubName': 'FC Viktoria Plzen', 'clubID': '941', 'value': '€200k'}, {'date': '20/06/2023', 'age': '34', 'clubName': 'FC Viktoria Plzen', 'clubID': '941', 'value': '€200k'}, {'date': '20/12/2023', 'age': '34', 'clubName': 'FC Viktoria Plzen', 'clubID': '941', 'value': '€150k'}, {'date': '05/06/2024', 'age': '35', 'clubName': 'FC Viktoria Plzen', 'clubID': '941', 'value': '€125k'}, {'date': '19/09/2024', 'age': '35', 'clubName': 'TJ Jiskra Domazlice', 'clubID': '19058', 'value': '-'}]}</t>
  </si>
  <si>
    <t>1989-01-20</t>
  </si>
  <si>
    <t>Schwaab</t>
  </si>
  <si>
    <t>{'marketValueHistory': [{'date': 'Sep 5, 2006', 'age': '18', 'clubName': 'SC Freiburg', 'clubID': '60', 'value': '€50k'}, {'date': 'Oct 25, 2006', 'age': '18', 'clubName': 'SC Freiburg', 'clubID': '60', 'value': '€250k'}, {'date': 'Jun 19, 2007', 'age': '18', 'clubName': 'SC Freiburg', 'clubID': '60', 'value': '€700k'}, {'date': 'Dec 28, 2007', 'age': '19', 'clubName': 'SC Freiburg', 'clubID': '60', 'value': '€1.00m'}, {'date': 'Jun 4, 2008', 'age': '19', 'clubName': 'SC Freiburg', 'clubID': '60', 'value': '€1.30m'}, {'date': 'Oct 9, 2008', 'age': '20', 'clubName': 'SC Freiburg', 'clubID': '60', 'value': '€1.80m'}, {'date': 'Jun 10, 2009', 'age': '20', 'clubName': 'SC Freiburg', 'clubID': '60', 'value': '€2.50m'}, {'date': 'Nov 9, 2009', 'age': '21', 'clubName': 'Bayer 04 Leverkusen', 'clubID': '15', 'value': '€3.00m'}, {'date': 'Jun 13, 2010', 'age': '21', 'clubName': 'Bayer 04 Leverkusen', 'clubID': '15', 'value': '€3.50m'}, {'date': 'Nov 1, 2010', 'age': '22', 'clubName': 'Bayer 04 Leverkusen', 'clubID': '15', 'value': '€4.00m'}, {'date': 'Jun 29, 2011', 'age': '22', 'clubName': 'Bayer 04 Leverkusen', 'clubID': '15', 'value': '€5.00m'}, {'date': 'Oct 18, 2011', 'age': '23', 'clubName': 'Bayer 04 Leverkusen', 'clubID': '15', 'value': '€4.00m'}, {'date': 'Jan 23, 2012', 'age': '23', 'clubName': 'Bayer 04 Leverkusen', 'clubID': '15', 'value': '€4.00m'}, {'date': 'Jun 29, 2012', 'age': '23', 'clubName': 'Bayer 04 Leverkusen', 'clubID': '15', 'value': '€3.50m'}, {'date': 'Jan 13, 2013', 'age': '24', 'clubName': 'Bayer 04 Leverkusen', 'clubID': '15', 'value': '€2.50m'}, {'date': 'Jun 30, 2013', 'age': '24', 'clubName': 'Bayer 04 Leverkusen', 'clubID': '15', 'value': '€2.50m'}, {'date': 'Nov 5, 2013', 'age': '25', 'clubName': 'VfB Stuttgart', 'clubID': '79', 'value': '€3.50m'}, {'date': 'Jul 10, 2014', 'age': '25', 'clubName': 'VfB Stuttgart', 'clubID': '79', 'value': '€3.50m'}, {'date': 'Feb 4, 2015', 'age': '26', 'clubName': 'VfB Stuttgart', 'clubID': '79', 'value': '€3.00m'}, {'date': 'Jul 1, 2015', 'age': '26', 'clubName': 'VfB Stuttgart', 'clubID': '79', 'value': '€2.50m'}, {'date': 'Oct 16, 2015', 'age': '27', 'clubName': 'VfB Stuttgart', 'clubID': '79', 'value': '€1.50m'}, {'date': 'Feb 15, 2016', 'age': '27', 'clubName': 'VfB Stuttgart', 'clubID': '79', 'value': '€1.50m'}, {'date': 'Jul 15, 2016', 'age': '27', 'clubName': 'PSV Eindhoven', 'clubID': '383', 'value': '€1.50m'}, {'date': 'Jan 18, 2017', 'age': '28', 'clubName': 'PSV Eindhoven', 'clubID': '383', 'value': '€2.00m'}, {'date': 'Jun 7, 2017', 'age': '28', 'clubName': 'PSV Eindhoven', 'clubID': '383', 'value': '€2.00m'}, {'date': 'Jan 17, 2018', 'age': '29', 'clubName': 'PSV Eindhoven', 'clubID': '383', 'value': '€3.00m'}, {'date': 'Jun 12, 2018', 'age': '29', 'clubName': 'PSV Eindhoven', 'clubID': '383', 'value': '€3.50m'}, {'date': 'Dec 28, 2018', 'age': '30', 'clubName': 'PSV Eindhoven', 'clubID': '383', 'value': '€4.00m'}, {'date': 'Jun 12, 2019', 'age': '30', 'clubName': 'PSV Eindhoven', 'clubID': '383', 'value': '€3.50m'}, {'date': 'Dec 18, 2019', 'age': '31', 'clubName': 'PSV Eindhoven', 'clubID': '383', 'value': '€3.50m'}, {'date': 'Apr 8, 2020', 'age': '31', 'clubName': 'PSV Eindhoven', 'clubID': '383', 'value': '€2.80m'}, {'date': 'Oct 22, 2020', 'age': '32', 'clubName': 'Retired', 'clubID': '123', 'value': '-'}]}</t>
  </si>
  <si>
    <t>1988-08-23</t>
  </si>
  <si>
    <t>Juanfran</t>
  </si>
  <si>
    <t>{'marketValueHistory': [{'date': '04/10/2004', 'age': '19', 'clubName': 'Real Madrid B', 'clubID': '6767', 'value': '€50k'}, {'date': '10/11/2004', 'age': '19', 'clubName': 'Real Madrid B', 'clubID': '6767', 'value': '€1.00m'}, {'date': '28/12/2004', 'age': '19', 'clubName': 'Real Madrid B', 'clubID': '6767', 'value': '€6.00m'}, {'date': '09/06/2007', 'age': '22', 'clubName': 'CA Osasuna', 'clubID': '331', 'value': '€6.00m'}, {'date': '27/08/2007', 'age': '22', 'clubName': 'CA Osasuna', 'clubID': '331', 'value': '€8.00m'}, {'date': '04/02/2008', 'age': '23', 'clubName': 'CA Osasuna', 'clubID': '331', 'value': '€7.00m'}, {'date': '22/07/2008', 'age': '23', 'clubName': 'CA Osasuna', 'clubID': '331', 'value': '€7.00m'}, {'date': '21/01/2009', 'age': '24', 'clubName': 'CA Osasuna', 'clubID': '331', 'value': '€6.00m'}, {'date': '22/07/2009', 'age': '24', 'clubName': 'CA Osasuna', 'clubID': '331', 'value': '€6.00m'}, {'date': '02/12/2009', 'age': '24', 'clubName': 'CA Osasuna', 'clubID': '331', 'value': '€6.00m'}, {'date': '08/04/2010', 'age': '25', 'clubName': 'CA Osasuna', 'clubID': '331', 'value': '€6.00m'}, {'date': '20/08/2010', 'age': '25', 'clubName': 'CA Osasuna', 'clubID': '331', 'value': '€6.00m'}, {'date': '04/02/2011', 'age': '26', 'clubName': 'Atlético de Madrid', 'clubID': '13', 'value': '€8.00m'}, {'date': '29/07/2011', 'age': '26', 'clubName': 'Atlético de Madrid', 'clubID': '13', 'value': '€8.00m'}, {'date': '03/02/2012', 'age': '27', 'clubName': 'Atlético de Madrid', 'clubID': '13', 'value': '€8.00m'}, {'date': '01/08/2012', 'age': '27', 'clubName': 'Atlético de Madrid', 'clubID': '13', 'value': '€10.00m'}, {'date': '10/01/2013', 'age': '28', 'clubName': 'Atlético de Madrid', 'clubID': '13', 'value': '€12.00m'}, {'date': '12/06/2013', 'age': '28', 'clubName': 'Atlético de Madrid', 'clubID': '13', 'value': '€12.00m'}, {'date': '23/01/2014', 'age': '29', 'clubName': 'Atlético de Madrid', 'clubID': '13', 'value': '€14.00m'}, {'date': '20/07/2014', 'age': '29', 'clubName': 'Atlético de Madrid', 'clubID': '13', 'value': '€18.00m'}, {'date': '23/01/2015', 'age': '30', 'clubName': 'Atlético de Madrid', 'clubID': '13', 'value': '€18.00m'}, {'date': '01/07/2015', 'age': '30', 'clubName': 'Atlético de Madrid', 'clubID': '13', 'value': '€18.00m'}, {'date': '22/02/2016', 'age': '31', 'clubName': 'Atlético de Madrid', 'clubID': '13', 'value': '€16.00m'}, {'date': '01/06/2016', 'age': '31', 'clubName': 'Atlético de Madrid', 'clubID': '13', 'value': '€16.00m'}, {'date': '15/07/2016', 'age': '31', 'clubName': 'Atlético de Madrid', 'clubID': '13', 'value': '€16.00m'}, {'date': '24/01/2017', 'age': '32', 'clubName': 'Atlético de Madrid', 'clubID': '13', 'value': '€15.00m'}, {'date': '05/06/2017', 'age': '32', 'clubName': 'Atlético de Madrid', 'clubID': '13', 'value': '€12.00m'}, {'date': '01/01/2018', 'age': '32', 'clubName': 'Atlético de Madrid', 'clubID': '13', 'value': '€8.00m'}, {'date': '30/05/2018', 'age': '33', 'clubName': 'Atlético de Madrid', 'clubID': '13', 'value': '€5.00m'}, {'date': '21/12/2018', 'age': '33', 'clubName': 'Atlético de Madrid', 'clubID': '13', 'value': '€3.50m'}, {'date': '11/06/2019', 'age': '34', 'clubName': 'Atlético de Madrid', 'clubID': '13', 'value': '€3.00m'}, {'date': '27/11/2019', 'age': '34', 'clubName': 'São Paulo Futebol Clube', 'clubID': '585', 'value': '€2.50m'}, {'date': '08/04/2020', 'age': '35', 'clubName': 'São Paulo Futebol Clube', 'clubID': '585', 'value': '€2.00m'}, {'date': '09/09/2020', 'age': '35', 'clubName': 'São Paulo Futebol Clube', 'clubID': '585', 'value': '€1.50m'}, {'date': '09/02/2021', 'age': '36', 'clubName': 'São Paulo Futebol Clube', 'clubID': '585', 'value': '€1.00m'}, {'date': '01/03/2021', 'age': '36', 'clubName': 'Retired', 'clubID': '123', 'value': '-'}]}</t>
  </si>
  <si>
    <t>1985-01-09</t>
  </si>
  <si>
    <t>Mechele</t>
  </si>
  <si>
    <t>{'marketValueHistory': [{'date': 'Aug 12, 2013', 'age': '20', 'clubName': 'Club Brugge KV', 'clubID': '2282', 'value': '€500k'}, {'date': 'Oct 8, 2013', 'age': '20', 'clubName': 'Club Brugge KV', 'clubID': '2282', 'value': '€1.50m'}, {'date': 'Feb 10, 2014', 'age': '21', 'clubName': 'Club Brugge KV', 'clubID': '2282', 'value': '€2.50m'}, {'date': 'Jun 28, 2014', 'age': '21', 'clubName': 'Club Brugge KV', 'clubID': '2282', 'value': '€2.50m'}, {'date': 'Jan 7, 2015', 'age': '21', 'clubName': 'Club Brugge KV', 'clubID': '2282', 'value': '€3.00m'}, {'date': 'Jun 24, 2015', 'age': '22', 'clubName': 'Club Brugge KV', 'clubID': '2282', 'value': '€4.50m'}, {'date': 'Feb 7, 2016', 'age': '23', 'clubName': 'Club Brugge KV', 'clubID': '2282', 'value': '€3.50m'}, {'date': 'Jul 15, 2016', 'age': '23', 'clubName': 'Club Brugge KV', 'clubID': '2282', 'value': '€2.20m'}, {'date': 'Oct 20, 2016', 'age': '23', 'clubName': 'Club Brugge KV', 'clubID': '2282', 'value': '€1.50m'}, {'date': 'Jan 21, 2017', 'age': '23', 'clubName': 'Sint-Truidense VV', 'clubID': '475', 'value': '€1.20m'}, {'date': 'Jun 6, 2017', 'age': '24', 'clubName': 'Sint-Truidense VV', 'clubID': '475', 'value': '€1.20m'}, {'date': 'Jan 9, 2018', 'age': '24', 'clubName': 'Club Brugge KV', 'clubID': '2282', 'value': '€2.20m'}, {'date': 'Mar 30, 2018', 'age': '25', 'clubName': 'Club Brugge KV', 'clubID': '2282', 'value': '€3.00m'}, {'date': 'Jun 3, 2018', 'age': '25', 'clubName': 'Club Brugge KV', 'clubID': '2282', 'value': '€4.50m'}, {'date': 'Dec 27, 2018', 'age': '25', 'clubName': 'Club Brugge KV', 'clubID': '2282', 'value': '€6.00m'}, {'date': 'Jun 10, 2019', 'age': '26', 'clubName': 'Club Brugge KV', 'clubID': '2282', 'value': '€6.00m'}, {'date': 'Dec 13, 2019', 'age': '26', 'clubName': 'Club Brugge KV', 'clubID': '2282', 'value': '€6.00m'}, {'date': 'Apr 8, 2020', 'age': '27', 'clubName': 'Club Brugge KV', 'clubID': '2282', 'value': '€4.80m'}, {'date': 'Oct 16, 2020', 'age': '27', 'clubName': 'Club Brugge KV', 'clubID': '2282', 'value': '€5.50m'}, {'date': 'Mar 17, 2021', 'age': '28', 'clubName': 'Club Brugge KV', 'clubID': '2282', 'value': '€7.00m'}, {'date': 'Jun 7, 2021', 'age': '28', 'clubName': 'Club Brugge KV', 'clubID': '2282', 'value': '€7.00m'}, {'date': 'Oct 6, 2021', 'age': '28', 'clubName': 'Club Brugge KV', 'clubID': '2282', 'value': '€6.00m'}, {'date': 'Jan 6, 2022', 'age': '28', 'clubName': 'Club Brugge KV', 'clubID': '2282', 'value': '€5.50m'}, {'date': 'Apr 12, 2022', 'age': '29', 'clubName': 'Club Brugge KV', 'clubID': '2282', 'value': '€5.50m'}, {'date': 'May 26, 2022', 'age': '29', 'clubName': 'Club Brugge KV', 'clubID': '2282', 'value': '€6.00m'}, {'date': 'Nov 4, 2022', 'age': '29', 'clubName': 'Club Brugge KV', 'clubID': '2282', 'value': '€6.50m'}, {'date': 'Mar 22, 2023', 'age': '30', 'clubName': 'Club Brugge KV', 'clubID': '2282', 'value': '€5.00m'}, {'date': 'Jun 9, 2023', 'age': '30', 'clubName': 'Club Brugge KV', 'clubID': '2282', 'value': '€4.50m'}, {'date': 'Dec 19, 2023', 'age': '30', 'clubName': 'Club Brugge KV', 'clubID': '2282', 'value': '€4.00m'}, {'date': 'Mar 22, 2024', 'age': '31', 'clubName': 'Club Brugge KV', 'clubID': '2282', 'value': '€3.00m'}, {'date': 'Jun 4, 2024', 'age': '31', 'clubName': 'Club Brugge KV', 'clubID': '2282', 'value': '€3.00m'}, {'date': 'Dec 11, 2024', 'age': '31', 'clubName': 'Club Brugge KV', 'clubID': '2282', 'value': '€3.00m'}, {'date': 'Mar 26, 2025', 'age': '32', 'clubName': 'Club Brugge KV', 'clubID': '2282', 'value': '€3.50m'}, {'date': 'Jun 12, 2025', 'age': '32', 'clubName': 'Club Brugge KV', 'clubID': '2282', 'value': '€3.50m'}, {'date': 'Dec 10, 2025', 'age': '32', 'clubName': 'Club Brugge KV', 'clubID': '2282', 'value': '€3.00m'}]}</t>
  </si>
  <si>
    <t>1993-01-28</t>
  </si>
  <si>
    <t>Chygrynskiy</t>
  </si>
  <si>
    <t>{'marketValueHistory': [{'date': '21/05/2006', 'age': '19', 'clubName': 'Shakhtar Donetsk', 'clubID': '660', 'value': '€750k'}, {'date': '07/10/2007', 'age': '20', 'clubName': 'Shakhtar Donetsk', 'clubID': '660', 'value': '€4.50m'}, {'date': '13/09/2008', 'age': '21', 'clubName': 'Shakhtar Donetsk', 'clubID': '660', 'value': '€5.00m'}, {'date': '04/02/2009', 'age': '22', 'clubName': 'Shakhtar Donetsk', 'clubID': '660', 'value': '€5.75m'}, {'date': '25/05/2009', 'age': '22', 'clubName': 'Shakhtar Donetsk', 'clubID': '660', 'value': '€7.00m'}, {'date': '06/08/2009', 'age': '22', 'clubName': 'Shakhtar Donetsk', 'clubID': '660', 'value': '€13.50m'}, {'date': '01/09/2009', 'age': '22', 'clubName': 'FC Barcelona', 'clubID': '131', 'value': '€16.00m'}, {'date': '03/12/2009', 'age': '23', 'clubName': 'FC Barcelona', 'clubID': '131', 'value': '€14.00m'}, {'date': '07/01/2010', 'age': '23', 'clubName': 'FC Barcelona', 'clubID': '131', 'value': '€11.00m'}, {'date': '12/04/2010', 'age': '23', 'clubName': 'FC Barcelona', 'clubID': '131', 'value': '€8.00m'}, {'date': '28/08/2010', 'age': '23', 'clubName': 'Shakhtar Donetsk', 'clubID': '660', 'value': '€10.00m'}, {'date': '02/01/2011', 'age': '24', 'clubName': 'Shakhtar Donetsk', 'clubID': '660', 'value': '€10.00m'}, {'date': '05/01/2012', 'age': '25', 'clubName': 'Shakhtar Donetsk', 'clubID': '660', 'value': '€8.00m'}, {'date': '02/07/2012', 'age': '25', 'clubName': 'Shakhtar Donetsk', 'clubID': '660', 'value': '€6.50m'}, {'date': '21/11/2012', 'age': '26', 'clubName': 'Shakhtar Donetsk', 'clubID': '660', 'value': '€5.00m'}, {'date': '17/06/2013', 'age': '26', 'clubName': 'Shakhtar Donetsk', 'clubID': '660', 'value': '€3.50m'}, {'date': '02/01/2014', 'age': '27', 'clubName': 'Shakhtar Donetsk', 'clubID': '660', 'value': '€2.50m'}, {'date': '30/06/2014', 'age': '27', 'clubName': 'Shakhtar Donetsk', 'clubID': '660', 'value': '€2.00m'}, {'date': '25/12/2014', 'age': '28', 'clubName': 'Shakhtar Donetsk', 'clubID': '660', 'value': '€1.00m'}, {'date': '07/06/2015', 'age': '28', 'clubName': 'Dnipro Dnipropetrovsk (- 2020)', 'clubID': '339', 'value': '€1.00m'}, {'date': '18/12/2015', 'age': '29', 'clubName': 'Dnipro Dnipropetrovsk (- 2020)', 'clubID': '339', 'value': '€1.00m'}, {'date': '21/12/2016', 'age': '30', 'clubName': 'AEK Athens', 'clubID': '2441', 'value': '€1.00m'}, {'date': '11/05/2017', 'age': '30', 'clubName': 'AEK Athens', 'clubID': '2441', 'value': '€1.00m'}, {'date': '18/12/2017', 'age': '31', 'clubName': 'AEK Athens', 'clubID': '2441', 'value': '€1.00m'}, {'date': '22/05/2018', 'age': '31', 'clubName': 'AEK Athens', 'clubID': '2441', 'value': '€1.25m'}, {'date': '07/12/2018', 'age': '32', 'clubName': 'AEK Athens', 'clubID': '2441', 'value': '€1.25m'}, {'date': '21/05/2019', 'age': '32', 'clubName': 'AEK Athens', 'clubID': '2441', 'value': '€900k'}, {'date': '18/12/2019', 'age': '33', 'clubName': 'AEK Athens', 'clubID': '2441', 'value': '€750k'}, {'date': '08/04/2020', 'age': '33', 'clubName': 'AEK Athens', 'clubID': '2441', 'value': '€600k'}, {'date': '04/08/2020', 'age': '33', 'clubName': 'AEK Athens', 'clubID': '2441', 'value': '€500k'}, {'date': '12/02/2021', 'age': '34', 'clubName': 'AEK Athens', 'clubID': '2441', 'value': '€400k'}, {'date': '01/11/2021', 'age': '34', 'clubName': 'Ionikos Nikeas', 'clubID': '553', 'value': '€350k'}, {'date': '09/06/2022', 'age': '35', 'clubName': 'Ionikos Nikeas', 'clubID': '553', 'value': '€250k'}, {'date': '07/11/2022', 'age': '36', 'clubName': 'Ionikos Nikeas', 'clubID': '553', 'value': '€250k'}, {'date': '22/05/2023', 'age': '36', 'clubName': 'Ionikos Nikeas', 'clubID': '553', 'value': '€200k'}, {'date': '11/12/2023', 'age': '37', 'clubName': 'Shakhtar Donetsk', 'clubID': '660', 'value': '€200k'}, {'date': '06/06/2024', 'age': '37', 'clubName': 'Shakhtar Donetsk', 'clubID': '660', 'value': '€100k'}, {'date': '16/10/2024', 'age': '37', 'clubName': 'Without Club', 'clubID': '515', 'value': '€50k'}, {'date': '01/02/2025', 'age': '38', 'clubName': 'Retired', 'clubID': '123', 'value': '-'}]}</t>
  </si>
  <si>
    <t>1986-11-07</t>
  </si>
  <si>
    <t>Nacho</t>
  </si>
  <si>
    <t>{'marketValueHistory': [{'date': 'Aug 19, 2012', 'age': '22', 'clubName': 'Real Madrid Castilla', 'clubID': '6767', 'value': '€1.50m'}, {'date': 'Jan 10, 2013', 'age': '22', 'clubName': 'Real Madrid', 'clubID': '418', 'value': '€2.50m'}, {'date': 'May 9, 2013', 'age': '23', 'clubName': 'Real Madrid', 'clubID': '418', 'value': '€3.50m'}, {'date': 'Jun 12, 2013', 'age': '23', 'clubName': 'Real Madrid', 'clubID': '418', 'value': '€3.50m'}, {'date': 'Sep 17, 2013', 'age': '23', 'clubName': 'Real Madrid', 'clubID': '418', 'value': '€5.00m'}, {'date': 'Jan 23, 2014', 'age': '24', 'clubName': 'Real Madrid', 'clubID': '418', 'value': '€5.00m'}, {'date': 'Jul 20, 2014', 'age': '24', 'clubName': 'Real Madrid', 'clubID': '418', 'value': '€6.00m'}, {'date': 'Jan 23, 2015', 'age': '25', 'clubName': 'Real Madrid', 'clubID': '418', 'value': '€6.00m'}, {'date': 'Jul 1, 2015', 'age': '25', 'clubName': 'Real Madrid', 'clubID': '418', 'value': '€5.00m'}, {'date': 'Feb 22, 2016', 'age': '26', 'clubName': 'Real Madrid', 'clubID': '418', 'value': '€5.00m'}, {'date': 'Jul 15, 2016', 'age': '26', 'clubName': 'Real Madrid', 'clubID': '418', 'value': '€5.00m'}, {'date': 'Jan 24, 2017', 'age': '27', 'clubName': 'Real Madrid', 'clubID': '418', 'value': '€10.00m'}, {'date': 'Jun 5, 2017', 'age': '27', 'clubName': 'Real Madrid', 'clubID': '418', 'value': '€15.00m'}, {'date': 'Jan 1, 2018', 'age': '27', 'clubName': 'Real Madrid', 'clubID': '418', 'value': '€20.00m'}, {'date': 'May 30, 2018', 'age': '28', 'clubName': 'Real Madrid', 'clubID': '418', 'value': '€30.00m'}, {'date': 'Jul 15, 2018', 'age': '28', 'clubName': 'Real Madrid', 'clubID': '418', 'value': '€35.00m'}, {'date': 'Dec 21, 2018', 'age': '28', 'clubName': 'Real Madrid', 'clubID': '418', 'value': '€30.00m'}, {'date': 'Jun 11, 2019', 'age': '29', 'clubName': 'Real Madrid', 'clubID': '418', 'value': '€25.00m'}, {'date': 'Sep 10, 2019', 'age': '29', 'clubName': 'Real Madrid', 'clubID': '418', 'value': '€20.00m'}, {'date': 'Dec 20, 2019', 'age': '29', 'clubName': 'Real Madrid', 'clubID': '418', 'value': '€15.00m'}, {'date': 'Apr 8, 2020', 'age': '30', 'clubName': 'Real Madrid', 'clubID': '418', 'value': '€12.00m'}, {'date': 'Oct 8, 2020', 'age': '30', 'clubName': 'Real Madrid', 'clubID': '418', 'value': '€10.00m'}, {'date': 'Jan 5, 2021', 'age': '30', 'clubName': 'Real Madrid', 'clubID': '418', 'value': '€10.00m'}, {'date': 'Jun 10, 2021', 'age': '31', 'clubName': 'Real Madrid', 'clubID': '418', 'value': '€10.00m'}, {'date': 'Oct 13, 2021', 'age': '31', 'clubName': 'Real Madrid', 'clubID': '418', 'value': '€8.00m'}, {'date': 'Dec 30, 2021', 'age': '31', 'clubName': 'Real Madrid', 'clubID': '418', 'value': '€7.00m'}, {'date': 'Jun 3, 2022', 'age': '32', 'clubName': 'Real Madrid', 'clubID': '418', 'value': '€7.00m'}, {'date': 'Nov 7, 2022', 'age': '32', 'clubName': 'Real Madrid', 'clubID': '418', 'value': '€5.00m'}, {'date': 'Mar 23, 2023', 'age': '33', 'clubName': 'Real Madrid', 'clubID': '418', 'value': '€6.00m'}, {'date': 'Jun 13, 2023', 'age': '33', 'clubName': 'Real Madrid', 'clubID': '418', 'value': '€6.00m'}, {'date': 'Oct 13, 2023', 'age': '33', 'clubName': 'Real Madrid', 'clubID': '418', 'value': '€5.00m'}, {'date': 'Mar 21, 2024', 'age': '34', 'clubName': 'Real Madrid', 'clubID': '418', 'value': '€4.00m'}, {'date': 'Jun 7, 2024', 'age': '34', 'clubName': 'Real Madrid', 'clubID': '418', 'value': '€3.00m'}, {'date': 'Dec 13, 2024', 'age': '34', 'clubName': 'Al-Qadsiah FC', 'clubID': '26069', 'value': '€2.50m'}, {'date': 'May 27, 2025', 'age': '35', 'clubName': 'Al-Qadsiah FC', 'clubID': '26069', 'value': '€2.00m'}, {'date': 'Dec 18, 2025', 'age': '35', 'clubName': 'Al-Qadsiah FC', 'clubID': '26069', 'value': '€1.80m'}]}</t>
  </si>
  <si>
    <t>1990-01-18</t>
  </si>
  <si>
    <t>Boateng</t>
  </si>
  <si>
    <t>{'marketValueHistory': [{'date': '13/02/2006', 'age': '17', 'clubName': 'Hertha BSC II', 'clubID': '45', 'value': '€100k'}, {'date': '01/01/2007', 'age': '18', 'clubName': 'Hertha BSC', 'clubID': '44', 'value': '€175k'}, {'date': '21/06/2007', 'age': '18', 'clubName': 'Hertha BSC', 'clubID': '44', 'value': '€750k'}, {'date': '08/11/2007', 'age': '19', 'clubName': 'Hamburger SV', 'clubID': '41', 'value': '€1.75m'}, {'date': '01/01/2008', 'age': '19', 'clubName': 'Hamburger SV', 'clubID': '41', 'value': '€3.00m'}, {'date': '04/06/2008', 'age': '19', 'clubName': 'Hamburger SV', 'clubID': '41', 'value': '€3.50m'}, {'date': '17/06/2008', 'age': '19', 'clubName': 'Hamburger SV', 'clubID': '41', 'value': '€4.50m'}, {'date': '21/01/2009', 'age': '20', 'clubName': 'Hamburger SV', 'clubID': '41', 'value': '€4.00m'}, {'date': '10/07/2009', 'age': '20', 'clubName': 'Hamburger SV', 'clubID': '41', 'value': '€5.50m'}, {'date': '01/09/2009', 'age': '20', 'clubName': 'Hamburger SV', 'clubID': '41', 'value': '€6.50m'}, {'date': '07/10/2009', 'age': '21', 'clubName': 'Hamburger SV', 'clubID': '41', 'value': '€9.25m'}, {'date': '17/01/2010', 'age': '21', 'clubName': 'Hamburger SV', 'clubID': '41', 'value': '€11.00m'}, {'date': '08/05/2010', 'age': '21', 'clubName': 'Hamburger SV', 'clubID': '41', 'value': '€15.00m'}, {'date': '01/02/2011', 'age': '22', 'clubName': 'Manchester City', 'clubID': '281', 'value': '€15.00m'}, {'date': '29/07/2011', 'age': '22', 'clubName': 'Bayern Munich', 'clubID': '27', 'value': '€13.50m'}, {'date': '23/01/2012', 'age': '23', 'clubName': 'Bayern Munich', 'clubID': '27', 'value': '€13.50m'}, {'date': '29/06/2012', 'age': '23', 'clubName': 'Bayern Munich', 'clubID': '27', 'value': '€15.00m'}, {'date': '13/01/2013', 'age': '24', 'clubName': 'Bayern Munich', 'clubID': '27', 'value': '€18.00m'}, {'date': '30/06/2013', 'age': '24', 'clubName': 'Bayern Munich', 'clubID': '27', 'value': '€20.00m'}, {'date': '12/02/2014', 'age': '25', 'clubName': 'Bayern Munich', 'clubID': '27', 'value': '€28.00m'}, {'date': '10/07/2014', 'age': '25', 'clubName': 'Bayern Munich', 'clubID': '27', 'value': '€28.00m'}, {'date': '03/11/2014', 'age': '26', 'clubName': 'Bayern Munich', 'clubID': '27', 'value': '€35.00m'}, {'date': '04/02/2015', 'age': '26', 'clubName': 'Bayern Munich', 'clubID': '27', 'value': '€40.00m'}, {'date': '01/07/2015', 'age': '26', 'clubName': 'Bayern Munich', 'clubID': '27', 'value': '€40.00m'}, {'date': '15/02/2016', 'age': '27', 'clubName': 'Bayern Munich', 'clubID': '27', 'value': '€40.00m'}, {'date': '01/06/2016', 'age': '27', 'clubName': 'Bayern Munich', 'clubID': '27', 'value': '€40.00m'}, {'date': '22/07/2016', 'age': '27', 'clubName': 'Bayern Munich', 'clubID': '27', 'value': '€45.00m'}, {'date': '07/02/2017', 'age': '28', 'clubName': 'Bayern Munich', 'clubID': '27', 'value': '€40.00m'}, {'date': '19/06/2017', 'age': '28', 'clubName': 'Bayern Munich', 'clubID': '27', 'value': '€38.00m'}, {'date': '28/12/2017', 'age': '29', 'clubName': 'Bayern Munich', 'clubID': '27', 'value': '€35.00m'}, {'date': '04/04/2018', 'age': '29', 'clubName': 'Bayern Munich', 'clubID': '27', 'value': '€45.00m'}, {'date': '05/06/2018', 'age': '29', 'clubName': 'Bayern Munich', 'clubID': '27', 'value': '€45.00m'}, {'date': '22/10/2018', 'age': '30', 'clubName': 'Bayern Munich', 'clubID': '27', 'value': '€40.00m'}, {'date': '18/12/2018', 'age': '30', 'clubName': 'Bayern Munich', 'clubID': '27', 'value': '€30.00m'}, {'date': '05/06/2019', 'age': '30', 'clubName': 'Bayern Munich', 'clubID': '27', 'value': '€20.00m'}, {'date': '02/10/2019', 'age': '31', 'clubName': 'Bayern Munich', 'clubID': '27', 'value': '€15.00m'}, {'date': '17/12/2019', 'age': '31', 'clubName': 'Bayern Munich', 'clubID': '27', 'value': '€15.00m'}, {'date': '08/04/2020', 'age': '31', 'clubName': 'Bayern Munich', 'clubID': '27', 'value': '€12.00m'}, {'date': '10/02/2021', 'age': '32', 'clubName': 'Bayern Munich', 'clubID': '27', 'value': '€10.00m'}, {'date': '09/06/2021', 'age': '32', 'clubName': 'Bayern Munich', 'clubID': '27', 'value': '€8.50m'}, {'date': '16/12/2021', 'age': '33', 'clubName': 'Olympique Lyon', 'clubID': '1041', 'value': '€5.00m'}, {'date': '30/05/2022', 'age': '33', 'clubName': 'Olympique Lyon', 'clubID': '1041', 'value': '€3.50m'}, {'date': '19/09/2022', 'age': '34', 'clubName': 'Olympique Lyon', 'clubID': '1041', 'value': '€2.50m'}, {'date': '02/11/2022', 'age': '34', 'clubName': 'Olympique Lyon', 'clubID': '1041', 'value': '€2.00m'}, {'date': '27/03/2023', 'age': '34', 'clubName': 'Olympique Lyon', 'clubID': '1041', 'value': '€1.00m'}, {'date': '27/06/2023', 'age': '34', 'clubName': 'Olympique Lyon', 'clubID': '1041', 'value': '€800k'}, {'date': '25/10/2023', 'age': '35', 'clubName': 'Without Club', 'clubID': '515', 'value': '€500k'}, {'date': '05/06/2024', 'age': '35', 'clubName': 'US Salernitana 1919', 'clubID': '380', 'value': '€400k'}, {'date': '17/12/2024', 'age': '36', 'clubName': 'LASK', 'clubID': '413', 'value': '€200k'}, {'date': '06/06/2025', 'age': '36', 'clubName': 'LASK', 'clubID': '413', 'value': '€150k'}, {'date': '19/09/2025', 'age': '37', 'clubName': 'Retired', 'clubID': '123', 'value': '-'}]}</t>
  </si>
  <si>
    <t>1988-09-03</t>
  </si>
  <si>
    <t>Akanji</t>
  </si>
  <si>
    <t>{'marketValueHistory': [{'date': 'Sep 12, 2014', 'age': '19', 'clubName': 'FC Winterthur', 'clubID': '242', 'value': '€100k'}, {'date': 'Dec 15, 2014', 'age': '19', 'clubName': 'FC Winterthur', 'clubID': '242', 'value': '€250k'}, {'date': 'Dec 18, 2015', 'age': '20', 'clubName': 'FC Basel 1893', 'clubID': '26', 'value': '€500k'}, {'date': 'Apr 20, 2016', 'age': '20', 'clubName': 'FC Basel 1893', 'clubID': '26', 'value': '€750k'}, {'date': 'Jul 16, 2016', 'age': '20', 'clubName': 'FC Basel 1893', 'clubID': '26', 'value': '€750k'}, {'date': 'Dec 20, 2016', 'age': '21', 'clubName': 'FC Basel 1893', 'clubID': '26', 'value': '€750k'}, {'date': 'Apr 14, 2017', 'age': '21', 'clubName': 'FC Basel 1893', 'clubID': '26', 'value': '€1.50m'}, {'date': 'Jul 12, 2017', 'age': '21', 'clubName': 'FC Basel 1893', 'clubID': '26', 'value': '€2.25m'}, {'date': 'Sep 29, 2017', 'age': '22', 'clubName': 'FC Basel 1893', 'clubID': '26', 'value': '€3.00m'}, {'date': 'Jan 8, 2018', 'age': '22', 'clubName': 'FC Basel 1893', 'clubID': '26', 'value': '€5.00m'}, {'date': 'Apr 4, 2018', 'age': '22', 'clubName': 'Borussia Dortmund', 'clubID': '16', 'value': '€20.00m'}, {'date': 'Jun 5, 2018', 'age': '22', 'clubName': 'Borussia Dortmund', 'clubID': '16', 'value': '€22.00m'}, {'date': 'Jul 16, 2018', 'age': '22', 'clubName': 'Borussia Dortmund', 'clubID': '16', 'value': '€28.00m'}, {'date': 'Oct 22, 2018', 'age': '23', 'clubName': 'Borussia Dortmund', 'clubID': '16', 'value': '€33.00m'}, {'date': 'Dec 18, 2018', 'age': '23', 'clubName': 'Borussia Dortmund', 'clubID': '16', 'value': '€40.00m'}, {'date': 'Jun 5, 2019', 'age': '23', 'clubName': 'Borussia Dortmund', 'clubID': '16', 'value': '€40.00m'}, {'date': 'Dec 17, 2019', 'age': '24', 'clubName': 'Borussia Dortmund', 'clubID': '16', 'value': '€35.00m'}, {'date': 'Mar 11, 2020', 'age': '24', 'clubName': 'Borussia Dortmund', 'clubID': '16', 'value': '€25.00m'}, {'date': 'Apr 8, 2020', 'age': '24', 'clubName': 'Borussia Dortmund', 'clubID': '16', 'value': '€20.00m'}, {'date': 'Nov 26, 2020', 'age': '25', 'clubName': 'Borussia Dortmund', 'clubID': '16', 'value': '€25.00m'}, {'date': 'Feb 10, 2021', 'age': '25', 'clubName': 'Borussia Dortmund', 'clubID': '16', 'value': '€25.00m'}, {'date': 'May 25, 2021', 'age': '25', 'clubName': 'Borussia Dortmund', 'clubID': '16', 'value': '€30.00m'}, {'date': 'Dec 22, 2021', 'age': '26', 'clubName': 'Borussia Dortmund', 'clubID': '16', 'value': '€30.00m'}, {'date': 'Jun 9, 2022', 'age': '26', 'clubName': 'Borussia Dortmund', 'clubID': '16', 'value': '€30.00m'}, {'date': 'Nov 3, 2022', 'age': '27', 'clubName': 'Manchester City', 'clubID': '281', 'value': '€30.00m'}, {'date': 'Jun 20, 2023', 'age': '27', 'clubName': 'Manchester City', 'clubID': '281', 'value': '€38.00m'}, {'date': 'Dec 19, 2023', 'age': '28', 'clubName': 'Manchester City', 'clubID': '281', 'value': '€42.00m'}, {'date': 'May 27, 2024', 'age': '28', 'clubName': 'Manchester City', 'clubID': '281', 'value': '€45.00m'}, {'date': 'Dec 16, 2024', 'age': '29', 'clubName': 'Manchester City', 'clubID': '281', 'value': '€40.00m'}, {'date': 'Mar 18, 2025', 'age': '29', 'clubName': 'Manchester City', 'clubID': '281', 'value': '€32.00m'}, {'date': 'May 30, 2025', 'age': '29', 'clubName': 'Manchester City', 'clubID': '281', 'value': '€28.00m'}, {'date': 'Oct 7, 2025', 'age': '30', 'clubName': 'Inter Milan', 'clubID': '46', 'value': '€22.00m'}, {'date': 'Dec 23, 2025', 'age': '30', 'clubName': 'Inter Milan', 'clubID': '46', 'value': '€22.00m'}, {'date': 'Mar 24, 2026', 'age': '30', 'clubName': 'Inter Milan', 'clubID': '46', 'value': '€18.00m'}]}</t>
  </si>
  <si>
    <t>1995-07-19</t>
  </si>
  <si>
    <t>Gabriel</t>
  </si>
  <si>
    <t>{'marketValueHistory': [{'date': '07/08/2019', 'age': '18', 'clubName': 'Arsenal FC', 'clubID': '11', 'value': '€5.00m'}, {'date': '12/09/2019', 'age': '18', 'clubName': 'Arsenal FC', 'clubID': '11', 'value': '€8.00m'}, {'date': '10/12/2019', 'age': '18', 'clubName': 'Arsenal FC', 'clubID': '11', 'value': '€18.00m'}, {'date': '09/03/2020', 'age': '18', 'clubName': 'Arsenal FC', 'clubID': '11', 'value': '€28.00m'}, {'date': '08/04/2020', 'age': '18', 'clubName': 'Arsenal FC', 'clubID': '11', 'value': '€25.00m'}, {'date': '13/10/2020', 'age': '19', 'clubName': 'Arsenal FC', 'clubID': '11', 'value': '€25.00m'}, {'date': '18/03/2021', 'age': '19', 'clubName': 'Arsenal FC', 'clubID': '11', 'value': '€22.00m'}, {'date': '08/06/2021', 'age': '19', 'clubName': 'Arsenal FC', 'clubID': '11', 'value': '€22.00m'}, {'date': '23/12/2021', 'age': '20', 'clubName': 'Arsenal FC', 'clubID': '11', 'value': '€28.00m'}, {'date': '29/03/2022', 'age': '20', 'clubName': 'Arsenal FC', 'clubID': '11', 'value': '€38.00m'}, {'date': '15/06/2022', 'age': '20', 'clubName': 'Arsenal FC', 'clubID': '11', 'value': '€40.00m'}, {'date': '03/11/2022', 'age': '21', 'clubName': 'Arsenal FC', 'clubID': '11', 'value': '€60.00m'}, {'date': '16/03/2023', 'age': '21', 'clubName': 'Arsenal FC', 'clubID': '11', 'value': '€70.00m'}, {'date': '20/06/2023', 'age': '22', 'clubName': 'Arsenal FC', 'clubID': '11', 'value': '€80.00m'}, {'date': '19/12/2023', 'age': '22', 'clubName': 'Arsenal FC', 'clubID': '11', 'value': '€85.00m'}, {'date': '14/03/2024', 'age': '22', 'clubName': 'Arsenal FC', 'clubID': '11', 'value': '€80.00m'}, {'date': '27/05/2024', 'age': '22', 'clubName': 'Arsenal FC', 'clubID': '11', 'value': '€70.00m'}, {'date': '01/10/2024', 'age': '23', 'clubName': 'Arsenal FC', 'clubID': '11', 'value': '€60.00m'}, {'date': '16/12/2024', 'age': '23', 'clubName': 'Arsenal FC', 'clubID': '11', 'value': '€55.00m'}, {'date': '30/05/2025', 'age': '23', 'clubName': 'Arsenal FC', 'clubID': '11', 'value': '€55.00m'}, {'date': '17/10/2025', 'age': '24', 'clubName': 'Arsenal FC', 'clubID': '11', 'value': '€45.00m'}, {'date': '09/12/2025', 'age': '24', 'clubName': 'Arsenal FC', 'clubID': '11', 'value': '€45.00m'}]}</t>
  </si>
  <si>
    <t>2001-06-18</t>
  </si>
  <si>
    <t>Howedes</t>
  </si>
  <si>
    <t>{'marketValueHistory': [{'date': 'Oct 6, 2006', 'age': '18', 'clubName': 'FC Schalke 04 U19', 'clubID': '1463', 'value': '€50k'}, {'date': 'Jan 20, 2007', 'age': '18', 'clubName': 'FC Schalke 04 U19', 'clubID': '1463', 'value': '€100k'}, {'date': 'Nov 8, 2007', 'age': '19', 'clubName': 'FC Schalke 04', 'clubID': '33', 'value': '€200k'}, {'date': 'Jan 1, 2008', 'age': '19', 'clubName': 'FC Schalke 04', 'clubID': '33', 'value': '€500k'}, {'date': 'Jul 5, 2008', 'age': '20', 'clubName': 'FC Schalke 04', 'clubID': '33', 'value': '€800k'}, {'date': 'Sep 11, 2008', 'age': '20', 'clubName': 'FC Schalke 04', 'clubID': '33', 'value': '€1.50m'}, {'date': 'Jan 21, 2009', 'age': '20', 'clubName': 'FC Schalke 04', 'clubID': '33', 'value': '€3.50m'}, {'date': 'Apr 21, 2009', 'age': '21', 'clubName': 'FC Schalke 04', 'clubID': '33', 'value': '€5.00m'}, {'date': 'Jul 10, 2009', 'age': '21', 'clubName': 'FC Schalke 04', 'clubID': '33', 'value': '€6.00m'}, {'date': 'Nov 18, 2009', 'age': '21', 'clubName': 'FC Schalke 04', 'clubID': '33', 'value': '€7.00m'}, {'date': 'Jan 17, 2010', 'age': '21', 'clubName': 'FC Schalke 04', 'clubID': '33', 'value': '€8.50m'}, {'date': 'Jun 13, 2010', 'age': '22', 'clubName': 'FC Schalke 04', 'clubID': '33', 'value': '€10.00m'}, {'date': 'Jan 12, 2011', 'age': '22', 'clubName': 'FC Schalke 04', 'clubID': '33', 'value': '€10.00m'}, {'date': 'Jun 29, 2011', 'age': '23', 'clubName': 'FC Schalke 04', 'clubID': '33', 'value': '€14.00m'}, {'date': 'Jan 23, 2012', 'age': '23', 'clubName': 'FC Schalke 04', 'clubID': '33', 'value': '€15.00m'}, {'date': 'Jun 29, 2012', 'age': '24', 'clubName': 'FC Schalke 04', 'clubID': '33', 'value': '€15.00m'}, {'date': 'Jan 13, 2013', 'age': '24', 'clubName': 'FC Schalke 04', 'clubID': '33', 'value': '€18.00m'}, {'date': 'Jun 30, 2013', 'age': '25', 'clubName': 'FC Schalke 04', 'clubID': '33', 'value': '€18.00m'}, {'date': 'Feb 12, 2014', 'age': '25', 'clubName': 'FC Schalke 04', 'clubID': '33', 'value': '€16.00m'}, {'date': 'Jul 10, 2014', 'age': '26', 'clubName': 'FC Schalke 04', 'clubID': '33', 'value': '€16.00m'}, {'date': 'Feb 4, 2015', 'age': '26', 'clubName': 'FC Schalke 04', 'clubID': '33', 'value': '€18.00m'}, {'date': 'Jul 1, 2015', 'age': '27', 'clubName': 'FC Schalke 04', 'clubID': '33', 'value': '€18.00m'}, {'date': 'Feb 15, 2016', 'age': '27', 'clubName': 'FC Schalke 04', 'clubID': '33', 'value': '€18.00m'}, {'date': 'Jun 1, 2016', 'age': '28', 'clubName': 'FC Schalke 04', 'clubID': '33', 'value': '€16.00m'}, {'date': 'Jul 22, 2016', 'age': '28', 'clubName': 'FC Schalke 04', 'clubID': '33', 'value': '€16.00m'}, {'date': 'Feb 7, 2017', 'age': '28', 'clubName': 'FC Schalke 04', 'clubID': '33', 'value': '€18.00m'}, {'date': 'Jun 19, 2017', 'age': '29', 'clubName': 'FC Schalke 04', 'clubID': '33', 'value': '€18.00m'}, {'date': 'Dec 29, 2017', 'age': '29', 'clubName': 'Juventus FC', 'clubID': '506', 'value': '€15.00m'}, {'date': 'Mar 24, 2018', 'age': '30', 'clubName': 'Juventus FC', 'clubID': '506', 'value': '€12.00m'}, {'date': 'Jun 7, 2018', 'age': '30', 'clubName': 'Juventus FC', 'clubID': '506', 'value': '€9.00m'}, {'date': 'Dec 20, 2018', 'age': '30', 'clubName': 'Lokomotiv Moscow', 'clubID': '932', 'value': '€6.50m'}, {'date': 'Jun 14, 2019', 'age': '31', 'clubName': 'Lokomotiv Moscow', 'clubID': '932', 'value': '€5.00m'}, {'date': 'Dec 23, 2019', 'age': '31', 'clubName': 'Lokomotiv Moscow', 'clubID': '932', 'value': '€4.50m'}, {'date': 'Apr 8, 2020', 'age': '32', 'clubName': 'Lokomotiv Moscow', 'clubID': '932', 'value': '€3.50m'}, {'date': 'Jun 29, 2020', 'age': '32', 'clubName': 'Lokomotiv Moscow', 'clubID': '932', 'value': '€3.00m'}, {'date': 'Jul 31, 2020', 'age': '32', 'clubName': 'Retired', 'clubID': '123', 'value': '-'}]}</t>
  </si>
  <si>
    <t>1988-02-29</t>
  </si>
  <si>
    <t>Jemerson</t>
  </si>
  <si>
    <t>{'marketValueHistory': [{'date': '24/02/2013', 'age': '20', 'clubName': 'Clube Atlético Mineiro', 'clubID': '330', 'value': '€100k'}, {'date': '26/08/2013', 'age': '21', 'clubName': 'Clube Atlético Mineiro', 'clubID': '330', 'value': '€200k'}, {'date': '28/03/2014', 'age': '21', 'clubName': 'Clube Atlético Mineiro', 'clubID': '330', 'value': '€400k'}, {'date': '01/02/2015', 'age': '22', 'clubName': 'Clube Atlético Mineiro', 'clubID': '330', 'value': '€1.50m'}, {'date': '31/05/2015', 'age': '22', 'clubName': 'Clube Atlético Mineiro', 'clubID': '330', 'value': '€2.25m'}, {'date': '15/12/2015', 'age': '23', 'clubName': 'Clube Atlético Mineiro', 'clubID': '330', 'value': '€5.00m'}, {'date': '04/02/2016', 'age': '23', 'clubName': 'AS Monaco', 'clubID': '162', 'value': '€10.00m'}, {'date': '13/07/2016', 'age': '23', 'clubName': 'AS Monaco', 'clubID': '162', 'value': '€10.00m'}, {'date': '16/01/2017', 'age': '24', 'clubName': 'AS Monaco', 'clubID': '162', 'value': '€11.00m'}, {'date': '01/06/2017', 'age': '24', 'clubName': 'AS Monaco', 'clubID': '162', 'value': '€14.00m'}, {'date': '24/01/2018', 'age': '25', 'clubName': 'AS Monaco', 'clubID': '162', 'value': '€18.00m'}, {'date': '04/06/2018', 'age': '25', 'clubName': 'AS Monaco', 'clubID': '162', 'value': '€18.00m'}, {'date': '17/12/2018', 'age': '26', 'clubName': 'AS Monaco', 'clubID': '162', 'value': '€18.00m'}, {'date': '07/03/2019', 'age': '26', 'clubName': 'AS Monaco', 'clubID': '162', 'value': '€10.00m'}, {'date': '03/06/2019', 'age': '26', 'clubName': 'AS Monaco', 'clubID': '162', 'value': '€10.00m'}, {'date': '27/09/2019', 'age': '27', 'clubName': 'AS Monaco', 'clubID': '162', 'value': '€6.00m'}, {'date': '19/12/2019', 'age': '27', 'clubName': 'AS Monaco', 'clubID': '162', 'value': '€6.00m'}, {'date': '08/04/2020', 'age': '27', 'clubName': 'AS Monaco', 'clubID': '162', 'value': '€4.80m'}, {'date': '12/10/2020', 'age': '28', 'clubName': 'AS Monaco', 'clubID': '162', 'value': '€4.00m'}, {'date': '09/02/2021', 'age': '28', 'clubName': 'Sport Club Corinthians Paulista', 'clubID': '199', 'value': '€3.00m'}, {'date': '28/05/2021', 'age': '28', 'clubName': 'Sport Club Corinthians Paulista', 'clubID': '199', 'value': '€3.00m'}, {'date': '08/10/2021', 'age': '29', 'clubName': 'FC Metz', 'clubID': '347', 'value': '€2.50m'}, {'date': '16/12/2021', 'age': '29', 'clubName': 'FC Metz', 'clubID': '347', 'value': '€2.50m'}, {'date': '23/03/2022', 'age': '29', 'clubName': 'FC Metz', 'clubID': '347', 'value': '€2.00m'}, {'date': '19/08/2022', 'age': '29', 'clubName': 'Clube Atlético Mineiro', 'clubID': '330', 'value': '€2.00m'}, {'date': '14/11/2022', 'age': '30', 'clubName': 'Clube Atlético Mineiro', 'clubID': '330', 'value': '€2.00m'}, {'date': '07/04/2023', 'age': '30', 'clubName': 'Clube Atlético Mineiro', 'clubID': '330', 'value': '€2.00m'}, {'date': '25/07/2023', 'age': '30', 'clubName': 'Clube Atlético Mineiro', 'clubID': '330', 'value': '€1.70m'}, {'date': '11/12/2023', 'age': '31', 'clubName': 'Clube Atlético Mineiro', 'clubID': '330', 'value': '€1.70m'}, {'date': '28/03/2024', 'age': '31', 'clubName': 'Clube Atlético Mineiro', 'clubID': '330', 'value': '€1.70m'}, {'date': '17/06/2024', 'age': '31', 'clubName': 'Clube Atlético Mineiro', 'clubID': '330', 'value': '€1.70m'}, {'date': '09/12/2024', 'age': '32', 'clubName': 'Grêmio Foot-Ball Porto Alegrense', 'clubID': '210', 'value': '€1.20m'}, {'date': '06/06/2025', 'age': '32', 'clubName': 'Grêmio Foot-Ball Porto Alegrense', 'clubID': '210', 'value': '€1.00m'}, {'date': '10/12/2025', 'age': '33', 'clubName': 'Grêmio Foot-Ball Porto Alegrense', 'clubID': '210', 'value': '€700k'}]}</t>
  </si>
  <si>
    <t>L. Hernandez</t>
  </si>
  <si>
    <t>{'marketValueHistory': [{'date': '25/08/2015', 'age': '19', 'clubName': 'Atlético de Madrid', 'clubID': '13', 'value': '€1.00m'}, {'date': '22/02/2016', 'age': '20', 'clubName': 'Atlético de Madrid', 'clubID': '13', 'value': '€2.00m'}, {'date': '07/04/2016', 'age': '20', 'clubName': 'Atlético de Madrid', 'clubID': '13', 'value': '€5.00m'}, {'date': '15/07/2016', 'age': '20', 'clubName': 'Atlético de Madrid', 'clubID': '13', 'value': '€10.00m'}, {'date': '24/01/2017', 'age': '20', 'clubName': 'Atlético de Madrid', 'clubID': '13', 'value': '€10.00m'}, {'date': '05/06/2017', 'age': '21', 'clubName': 'Atlético de Madrid', 'clubID': '13', 'value': '€15.00m'}, {'date': '01/01/2018', 'age': '21', 'clubName': 'Atlético de Madrid', 'clubID': '13', 'value': '€20.00m'}, {'date': '22/03/2018', 'age': '22', 'clubName': 'Atlético de Madrid', 'clubID': '13', 'value': '€30.00m'}, {'date': '30/05/2018', 'age': '22', 'clubName': 'Atlético de Madrid', 'clubID': '13', 'value': '€35.00m'}, {'date': '16/07/2018', 'age': '22', 'clubName': 'Atlético de Madrid', 'clubID': '13', 'value': '€40.00m'}, {'date': '31/10/2018', 'age': '22', 'clubName': 'Atlético de Madrid', 'clubID': '13', 'value': '€50.00m'}, {'date': '21/12/2018', 'age': '22', 'clubName': 'Atlético de Madrid', 'clubID': '13', 'value': '€60.00m'}, {'date': '28/02/2019', 'age': '23', 'clubName': 'Atlético de Madrid', 'clubID': '13', 'value': '€70.00m'}, {'date': '11/06/2019', 'age': '23', 'clubName': 'Atlético de Madrid', 'clubID': '13', 'value': '€70.00m'}, {'date': '17/12/2019', 'age': '23', 'clubName': 'Bayern Munich', 'clubID': '27', 'value': '€70.00m'}, {'date': '08/04/2020', 'age': '24', 'clubName': 'Bayern Munich', 'clubID': '27', 'value': '€56.00m'}, {'date': '16/09/2020', 'age': '24', 'clubName': 'Bayern Munich', 'clubID': '27', 'value': '€45.00m'}, {'date': '26/11/2020', 'age': '24', 'clubName': 'Bayern Munich', 'clubID': '27', 'value': '€50.00m'}, {'date': '10/02/2021', 'age': '24', 'clubName': 'Bayern Munich', 'clubID': '27', 'value': '€45.00m'}, {'date': '01/06/2021', 'age': '25', 'clubName': 'Bayern Munich', 'clubID': '27', 'value': '€45.00m'}, {'date': '22/12/2021', 'age': '25', 'clubName': 'Bayern Munich', 'clubID': '27', 'value': '€50.00m'}, {'date': '09/06/2022', 'age': '26', 'clubName': 'Bayern Munich', 'clubID': '27', 'value': '€50.00m'}, {'date': '09/11/2022', 'age': '26', 'clubName': 'Bayern Munich', 'clubID': '27', 'value': '€50.00m'}, {'date': '22/06/2023', 'age': '27', 'clubName': 'Bayern Munich', 'clubID': '27', 'value': '€45.00m'}, {'date': '18/12/2023', 'age': '27', 'clubName': 'Paris Saint-Germain', 'clubID': '583', 'value': '€45.00m'}, {'date': '03/06/2024', 'age': '28', 'clubName': 'Paris Saint-Germain', 'clubID': '583', 'value': '€40.00m'}, {'date': '10/12/2024', 'age': '28', 'clubName': 'Paris Saint-Germain', 'clubID': '583', 'value': '€32.00m'}, {'date': '24/03/2025', 'age': '29', 'clubName': 'Paris Saint-Germain', 'clubID': '583', 'value': '€30.00m'}, {'date': '03/06/2025', 'age': '29', 'clubName': 'Paris Saint-Germain', 'clubID': '583', 'value': '€25.00m'}, {'date': '15/12/2025', 'age': '29', 'clubName': 'Paris Saint-Germain', 'clubID': '583', 'value': '€20.00m'}]}</t>
  </si>
  <si>
    <t>1996-02-14</t>
  </si>
  <si>
    <t>Buffon</t>
  </si>
  <si>
    <t>{'marketValueHistory': [{'date': 'May 17, 2005', 'age': '27', 'clubName': 'Juventus FC', 'clubID': '506', 'value': '€20.00m'}, {'date': 'Jun 26, 2005', 'age': '27', 'clubName': 'Juventus FC', 'clubID': '506', 'value': '€28.00m'}, {'date': 'Jul 28, 2005', 'age': '27', 'clubName': 'Juventus FC', 'clubID': '506', 'value': '€35.00m'}, {'date': 'Apr 9, 2006', 'age': '28', 'clubName': 'Juventus FC', 'clubID': '506', 'value': '€30.00m'}, {'date': 'Mar 9, 2007', 'age': '29', 'clubName': 'Juventus FC', 'clubID': '506', 'value': '€33.00m'}, {'date': 'Feb 15, 2008', 'age': '30', 'clubName': 'Juventus FC', 'clubID': '506', 'value': '€30.00m'}, {'date': 'Jul 3, 2008', 'age': '30', 'clubName': 'Juventus FC', 'clubID': '506', 'value': '€32.00m'}, {'date': 'Aug 6, 2009', 'age': '31', 'clubName': 'Juventus FC', 'clubID': '506', 'value': '€30.50m'}, {'date': 'Aug 2, 2010', 'age': '32', 'clubName': 'Juventus FC', 'clubID': '506', 'value': '€28.00m'}, {'date': 'Jan 20, 2011', 'age': '32', 'clubName': 'Juventus FC', 'clubID': '506', 'value': '€25.00m'}, {'date': 'Jun 21, 2011', 'age': '33', 'clubName': 'Juventus FC', 'clubID': '506', 'value': '€17.00m'}, {'date': 'Jan 11, 2012', 'age': '33', 'clubName': 'Juventus FC', 'clubID': '506', 'value': '€16.00m'}, {'date': 'Jul 3, 2012', 'age': '34', 'clubName': 'Juventus FC', 'clubID': '506', 'value': '€16.00m'}, {'date': 'Jan 15, 2013', 'age': '34', 'clubName': 'Juventus FC', 'clubID': '506', 'value': '€10.00m'}, {'date': 'Jun 19, 2013', 'age': '35', 'clubName': 'Juventus FC', 'clubID': '506', 'value': '€7.50m'}, {'date': 'Jan 7, 2014', 'age': '35', 'clubName': 'Juventus FC', 'clubID': '506', 'value': '€5.00m'}, {'date': 'Jul 11, 2014', 'age': '36', 'clubName': 'Juventus FC', 'clubID': '506', 'value': '€3.00m'}, {'date': 'Jan 7, 2015', 'age': '36', 'clubName': 'Juventus FC', 'clubID': '506', 'value': '€2.00m'}, {'date': 'Jul 1, 2015', 'age': '37', 'clubName': 'Juventus FC', 'clubID': '506', 'value': '€2.00m'}, {'date': 'Jan 4, 2016', 'age': '37', 'clubName': 'Juventus FC', 'clubID': '506', 'value': '€2.00m'}, {'date': 'Jun 1, 2016', 'age': '38', 'clubName': 'Juventus FC', 'clubID': '506', 'value': '€2.00m'}, {'date': 'Jul 15, 2016', 'age': '38', 'clubName': 'Juventus FC', 'clubID': '506', 'value': '€2.00m'}, {'date': 'Jan 2, 2017', 'age': '38', 'clubName': 'Juventus FC', 'clubID': '506', 'value': '€2.00m'}, {'date': 'Jun 8, 2017', 'age': '39', 'clubName': 'Juventus FC', 'clubID': '506', 'value': '€2.00m'}, {'date': 'Dec 29, 2017', 'age': '39', 'clubName': 'Juventus FC', 'clubID': '506', 'value': '€2.00m'}, {'date': 'Jun 7, 2018', 'age': '40', 'clubName': 'Juventus FC', 'clubID': '506', 'value': '€2.00m'}, {'date': 'Sep 6, 2018', 'age': '40', 'clubName': 'Paris Saint-Germain', 'clubID': '583', 'value': '€1.00m'}, {'date': 'Dec 17, 2018', 'age': '40', 'clubName': 'Paris Saint-Germain', 'clubID': '583', 'value': '€1.00m'}, {'date': 'Jun 3, 2019', 'age': '41', 'clubName': 'Paris Saint-Germain', 'clubID': '583', 'value': '€1.00m'}, {'date': 'Dec 12, 2019', 'age': '41', 'clubName': 'Juventus FC', 'clubID': '506', 'value': '€1.00m'}, {'date': 'Aug 25, 2020', 'age': '42', 'clubName': 'Juventus FC', 'clubID': '506', 'value': '€1.00m'}, {'date': 'Dec 29, 2020', 'age': '42', 'clubName': 'Juventus FC', 'clubID': '506', 'value': '€1.00m'}, {'date': 'Jun 3, 2021', 'age': '43', 'clubName': 'Juventus FC', 'clubID': '506', 'value': '€1.00m'}, {'date': 'Dec 29, 2021', 'age': '43', 'clubName': 'Parma Calcio 1913', 'clubID': '130', 'value': '€1.00m'}, {'date': 'Jun 6, 2022', 'age': '44', 'clubName': 'Parma Calcio 1913', 'clubID': '130', 'value': '€1.00m'}, {'date': 'Dec 22, 2022', 'age': '44', 'clubName': 'Parma Calcio 1913', 'clubID': '130', 'value': '€1.00m'}, {'date': 'Jun 12, 2023', 'age': '45', 'clubName': 'Parma Calcio 1913', 'clubID': '130', 'value': '€1.00m'}, {'date': 'Aug 2, 2023', 'age': '45', 'clubName': 'Retired', 'clubID': '123', 'value': '-'}]}</t>
  </si>
  <si>
    <t>1978-01-28</t>
  </si>
  <si>
    <t>Courtois</t>
  </si>
  <si>
    <t>{'marketValueHistory': [{'date': '27/05/2009', 'age': '17', 'clubName': 'KRC Genk U19', 'clubID': '1184', 'value': '€50k'}, {'date': '28/07/2010', 'age': '18', 'clubName': 'KRC Genk', 'clubID': '1184', 'value': '€150k'}, {'date': '06/10/2010', 'age': '18', 'clubName': 'KRC Genk', 'clubID': '1184', 'value': '€1.00m'}, {'date': '28/12/2010', 'age': '18', 'clubName': 'KRC Genk', 'clubID': '1184', 'value': '€2.00m'}, {'date': '24/05/2011', 'age': '19', 'clubName': 'KRC Genk', 'clubID': '1184', 'value': '€3.00m'}, {'date': '28/06/2011', 'age': '19', 'clubName': 'KRC Genk', 'clubID': '1184', 'value': '€4.00m'}, {'date': '29/07/2011', 'age': '19', 'clubName': 'Atlético de Madrid', 'clubID': '13', 'value': '€6.00m'}, {'date': '03/02/2012', 'age': '19', 'clubName': 'Atlético de Madrid', 'clubID': '13', 'value': '€9.00m'}, {'date': '01/08/2012', 'age': '20', 'clubName': 'Atlético de Madrid', 'clubID': '13', 'value': '€15.00m'}, {'date': '10/01/2013', 'age': '20', 'clubName': 'Atlético de Madrid', 'clubID': '13', 'value': '€15.00m'}, {'date': '12/06/2013', 'age': '21', 'clubName': 'Atlético de Madrid', 'clubID': '13', 'value': '€18.00m'}, {'date': '17/09/2013', 'age': '21', 'clubName': 'Atlético de Madrid', 'clubID': '13', 'value': '€25.00m'}, {'date': '23/01/2014', 'age': '21', 'clubName': 'Atlético de Madrid', 'clubID': '13', 'value': '€25.00m'}, {'date': '12/08/2014', 'age': '22', 'clubName': 'Chelsea FC', 'clubID': '631', 'value': '€25.00m'}, {'date': '12/02/2015', 'age': '22', 'clubName': 'Chelsea FC', 'clubID': '631', 'value': '€30.00m'}, {'date': '01/07/2015', 'age': '23', 'clubName': 'Chelsea FC', 'clubID': '631', 'value': '€35.00m'}, {'date': '09/02/2016', 'age': '23', 'clubName': 'Chelsea FC', 'clubID': '631', 'value': '€35.00m'}, {'date': '01/06/2016', 'age': '24', 'clubName': 'Chelsea FC', 'clubID': '631', 'value': '€35.00m'}, {'date': '01/08/2016', 'age': '24', 'clubName': 'Chelsea FC', 'clubID': '631', 'value': '€35.00m'}, {'date': '20/02/2017', 'age': '24', 'clubName': 'Chelsea FC', 'clubID': '631', 'value': '€40.00m'}, {'date': '28/06/2017', 'age': '25', 'clubName': 'Chelsea FC', 'clubID': '631', 'value': '€40.00m'}, {'date': '02/01/2018', 'age': '25', 'clubName': 'Chelsea FC', 'clubID': '631', 'value': '€50.00m'}, {'date': '23/03/2018', 'age': '25', 'clubName': 'Chelsea FC', 'clubID': '631', 'value': '€60.00m'}, {'date': '28/05/2018', 'age': '26', 'clubName': 'Chelsea FC', 'clubID': '631', 'value': '€60.00m'}, {'date': '16/07/2018', 'age': '26', 'clubName': 'Chelsea FC', 'clubID': '631', 'value': '€65.00m'}, {'date': '21/12/2018', 'age': '26', 'clubName': 'Real Madrid', 'clubID': '418', 'value': '€65.00m'}, {'date': '11/06/2019', 'age': '27', 'clubName': 'Real Madrid', 'clubID': '418', 'value': '€55.00m'}, {'date': '20/12/2019', 'age': '27', 'clubName': 'Real Madrid', 'clubID': '418', 'value': '€55.00m'}, {'date': '05/03/2020', 'age': '27', 'clubName': 'Real Madrid', 'clubID': '418', 'value': '€60.00m'}, {'date': '08/04/2020', 'age': '27', 'clubName': 'Real Madrid', 'clubID': '418', 'value': '€48.00m'}, {'date': '23/07/2020', 'age': '28', 'clubName': 'Real Madrid', 'clubID': '418', 'value': '€60.00m'}, {'date': '08/10/2020', 'age': '28', 'clubName': 'Real Madrid', 'clubID': '418', 'value': '€75.00m'}, {'date': '05/01/2021', 'age': '28', 'clubName': 'Real Madrid', 'clubID': '418', 'value': '€75.00m'}, {'date': '26/05/2021', 'age': '29', 'clubName': 'Real Madrid', 'clubID': '418', 'value': '€60.00m'}, {'date': '30/12/2021', 'age': '29', 'clubName': 'Real Madrid', 'clubID': '418', 'value': '€65.00m'}, {'date': '03/06/2022', 'age': '30', 'clubName': 'Real Madrid', 'clubID': '418', 'value': '€60.00m'}, {'date': '07/11/2022', 'age': '30', 'clubName': 'Real Madrid', 'clubID': '418', 'value': '€60.00m'}, {'date': '13/06/2023', 'age': '31', 'clubName': 'Real Madrid', 'clubID': '418', 'value': '€45.00m'}, {'date': '22/12/2023', 'age': '31', 'clubName': 'Real Madrid', 'clubID': '418', 'value': '€35.00m'}, {'date': '21/03/2024', 'age': '31', 'clubName': 'Real Madrid', 'clubID': '418', 'value': '€30.00m'}, {'date': '07/06/2024', 'age': '32', 'clubName': 'Real Madrid', 'clubID': '418', 'value': '€28.00m'}, {'date': '11/10/2024', 'age': '32', 'clubName': 'Real Madrid', 'clubID': '418', 'value': '€25.00m'}, {'date': '27/12/2024', 'age': '32', 'clubName': 'Real Madrid', 'clubID': '418', 'value': '€25.00m'}, {'date': '09/06/2025', 'age': '33', 'clubName': 'Real Madrid', 'clubID': '418', 'value': '€20.00m'}, {'date': '12/12/2025', 'age': '33', 'clubName': 'Real Madrid', 'clubID': '418', 'value': '€18.00m'}]}</t>
  </si>
  <si>
    <t>1992-05-11</t>
  </si>
  <si>
    <t>Akinfeev</t>
  </si>
  <si>
    <t>{'marketValueHistory': [{'date': 'Oct 4, 2004', 'age': '18', 'clubName': 'CSKA Moscow', 'clubID': '2410', 'value': '€1.50m'}, {'date': 'Nov 30, 2005', 'age': '19', 'clubName': 'CSKA Moscow', 'clubID': '2410', 'value': '€5.00m'}, {'date': 'Mar 29, 2007', 'age': '20', 'clubName': 'CSKA Moscow', 'clubID': '2410', 'value': '€9.50m'}, {'date': 'Mar 1, 2008', 'age': '21', 'clubName': 'CSKA Moscow', 'clubID': '2410', 'value': '€11.00m'}, {'date': 'Sep 5, 2008', 'age': '22', 'clubName': 'CSKA Moscow', 'clubID': '2410', 'value': '€14.00m'}, {'date': 'Dec 2, 2008', 'age': '22', 'clubName': 'CSKA Moscow', 'clubID': '2410', 'value': '€16.00m'}, {'date': 'Feb 26, 2009', 'age': '22', 'clubName': 'CSKA Moscow', 'clubID': '2410', 'value': '€17.00m'}, {'date': 'Dec 14, 2009', 'age': '23', 'clubName': 'CSKA Moscow', 'clubID': '2410', 'value': '€20.00m'}, {'date': 'Nov 27, 2010', 'age': '24', 'clubName': 'CSKA Moscow', 'clubID': '2410', 'value': '€17.00m'}, {'date': 'Jul 15, 2011', 'age': '25', 'clubName': 'CSKA Moscow', 'clubID': '2410', 'value': '€18.00m'}, {'date': 'Dec 15, 2011', 'age': '25', 'clubName': 'CSKA Moscow', 'clubID': '2410', 'value': '€17.00m'}, {'date': 'Jul 2, 2012', 'age': '26', 'clubName': 'CSKA Moscow', 'clubID': '2410', 'value': '€17.00m'}, {'date': 'Jan 13, 2013', 'age': '26', 'clubName': 'CSKA Moscow', 'clubID': '2410', 'value': '€18.00m'}, {'date': 'Jun 19, 2013', 'age': '27', 'clubName': 'CSKA Moscow', 'clubID': '2410', 'value': '€20.00m'}, {'date': 'Mar 3, 2014', 'age': '27', 'clubName': 'CSKA Moscow', 'clubID': '2410', 'value': '€20.00m'}, {'date': 'Jul 31, 2014', 'age': '28', 'clubName': 'CSKA Moscow', 'clubID': '2410', 'value': '€16.00m'}, {'date': 'Feb 23, 2015', 'age': '28', 'clubName': 'CSKA Moscow', 'clubID': '2410', 'value': '€17.00m'}, {'date': 'Jun 18, 2015', 'age': '29', 'clubName': 'CSKA Moscow', 'clubID': '2410', 'value': '€15.00m'}, {'date': 'Jan 6, 2016', 'age': '29', 'clubName': 'CSKA Moscow', 'clubID': '2410', 'value': '€14.00m'}, {'date': 'Jun 1, 2016', 'age': '30', 'clubName': 'CSKA Moscow', 'clubID': '2410', 'value': '€14.00m'}, {'date': 'Dec 27, 2016', 'age': '30', 'clubName': 'CSKA Moscow', 'clubID': '2410', 'value': '€12.00m'}, {'date': 'Jul 1, 2017', 'age': '31', 'clubName': 'CSKA Moscow', 'clubID': '2410', 'value': '€11.00m'}, {'date': 'Dec 23, 2017', 'age': '31', 'clubName': 'CSKA Moscow', 'clubID': '2410', 'value': '€10.00m'}, {'date': 'Jun 6, 2018', 'age': '32', 'clubName': 'CSKA Moscow', 'clubID': '2410', 'value': '€10.00m'}, {'date': 'Jul 15, 2018', 'age': '32', 'clubName': 'CSKA Moscow', 'clubID': '2410', 'value': '€12.00m'}, {'date': 'Dec 20, 2018', 'age': '32', 'clubName': 'CSKA Moscow', 'clubID': '2410', 'value': '€12.00m'}, {'date': 'Jun 14, 2019', 'age': '33', 'clubName': 'CSKA Moscow', 'clubID': '2410', 'value': '€10.00m'}, {'date': 'Dec 23, 2019', 'age': '33', 'clubName': 'CSKA Moscow', 'clubID': '2410', 'value': '€8.00m'}, {'date': 'Apr 8, 2020', 'age': '34', 'clubName': 'CSKA Moscow', 'clubID': '2410', 'value': '€6.50m'}, {'date': 'Jul 29, 2020', 'age': '34', 'clubName': 'CSKA Moscow', 'clubID': '2410', 'value': '€5.00m'}, {'date': 'Dec 29, 2020', 'age': '34', 'clubName': 'CSKA Moscow', 'clubID': '2410', 'value': '€4.00m'}, {'date': 'Jun 2, 2021', 'age': '35', 'clubName': 'CSKA Moscow', 'clubID': '2410', 'value': '€3.50m'}, {'date': 'Dec 29, 2021', 'age': '35', 'clubName': 'CSKA Moscow', 'clubID': '2410', 'value': '€3.00m'}, {'date': 'Jun 2, 2022', 'age': '36', 'clubName': 'CSKA Moscow', 'clubID': '2410', 'value': '€2.50m'}, {'date': 'Nov 21, 2022', 'age': '36', 'clubName': 'CSKA Moscow', 'clubID': '2410', 'value': '€2.00m'}, {'date': 'Jun 14, 2023', 'age': '37', 'clubName': 'CSKA Moscow', 'clubID': '2410', 'value': '€2.00m'}, {'date': 'Dec 13, 2023', 'age': '37', 'clubName': 'CSKA Moscow', 'clubID': '2410', 'value': '€1.50m'}, {'date': 'Jun 4, 2024', 'age': '38', 'clubName': 'CSKA Moscow', 'clubID': '2410', 'value': '€1.00m'}, {'date': 'Dec 12, 2024', 'age': '38', 'clubName': 'CSKA Moscow', 'clubID': '2410', 'value': '€1.00m'}, {'date': 'Jun 4, 2025', 'age': '39', 'clubName': 'CSKA Moscow', 'clubID': '2410', 'value': '€1.00m'}, {'date': 'Dec 16, 2025', 'age': '39', 'clubName': 'CSKA Moscow', 'clubID': '2410', 'value': '€1.00m'}]}</t>
  </si>
  <si>
    <t>1986-04-08</t>
  </si>
  <si>
    <t>Neto</t>
  </si>
  <si>
    <t>{'marketValueHistory': [{'date': '21/08/2017', 'age': '17', 'clubName': 'SC Braga', 'clubID': '1075', 'value': '€250k'}, {'date': '13/10/2017', 'age': '17', 'clubName': 'SS Lazio', 'clubID': '398', 'value': '€3.00m'}, {'date': '29/12/2017', 'age': '17', 'clubName': 'SS Lazio', 'clubID': '398', 'value': '€3.00m'}, {'date': '07/06/2018', 'age': '18', 'clubName': 'SS Lazio', 'clubID': '398', 'value': '€3.00m'}, {'date': '20/12/2018', 'age': '18', 'clubName': 'SS Lazio', 'clubID': '398', 'value': '€2.50m'}, {'date': '06/06/2019', 'age': '19', 'clubName': 'SS Lazio', 'clubID': '398', 'value': '€2.50m'}, {'date': '12/09/2019', 'age': '19', 'clubName': 'Wolverhampton Wanderers', 'clubID': '543', 'value': '€7.00m'}, {'date': '10/12/2019', 'age': '19', 'clubName': 'Wolverhampton Wanderers', 'clubID': '543', 'value': '€7.00m'}, {'date': '09/03/2020', 'age': '20', 'clubName': 'Wolverhampton Wanderers', 'clubID': '543', 'value': '€13.00m'}, {'date': '08/04/2020', 'age': '20', 'clubName': 'Wolverhampton Wanderers', 'clubID': '543', 'value': '€11.50m'}, {'date': '30/07/2020', 'age': '20', 'clubName': 'Wolverhampton Wanderers', 'clubID': '543', 'value': '€15.00m'}, {'date': '13/10/2020', 'age': '20', 'clubName': 'Wolverhampton Wanderers', 'clubID': '543', 'value': '€22.00m'}, {'date': '17/12/2020', 'age': '20', 'clubName': 'Wolverhampton Wanderers', 'clubID': '543', 'value': '€27.00m'}, {'date': '18/03/2021', 'age': '21', 'clubName': 'Wolverhampton Wanderers', 'clubID': '543', 'value': '€35.00m'}, {'date': '08/06/2021', 'age': '21', 'clubName': 'Wolverhampton Wanderers', 'clubID': '543', 'value': '€35.00m'}, {'date': '23/12/2021', 'age': '21', 'clubName': 'Wolverhampton Wanderers', 'clubID': '543', 'value': '€35.00m'}, {'date': '15/06/2022', 'age': '22', 'clubName': 'Wolverhampton Wanderers', 'clubID': '543', 'value': '€32.00m'}, {'date': '15/09/2022', 'age': '22', 'clubName': 'Wolverhampton Wanderers', 'clubID': '543', 'value': '€38.00m'}, {'date': '03/11/2022', 'age': '22', 'clubName': 'Wolverhampton Wanderers', 'clubID': '543', 'value': '€32.00m'}, {'date': '20/06/2023', 'age': '23', 'clubName': 'Wolverhampton Wanderers', 'clubID': '543', 'value': '€28.00m'}, {'date': '09/10/2023', 'age': '23', 'clubName': 'Wolverhampton Wanderers', 'clubID': '543', 'value': '€32.00m'}, {'date': '19/12/2023', 'age': '23', 'clubName': 'Wolverhampton Wanderers', 'clubID': '543', 'value': '€42.00m'}, {'date': '14/03/2024', 'age': '24', 'clubName': 'Wolverhampton Wanderers', 'clubID': '543', 'value': '€55.00m'}, {'date': '27/05/2024', 'age': '24', 'clubName': 'Wolverhampton Wanderers', 'clubID': '543', 'value': '€55.00m'}, {'date': '16/12/2024', 'age': '24', 'clubName': 'Chelsea FC', 'clubID': '631', 'value': '€55.00m'}, {'date': '18/03/2025', 'age': '25', 'clubName': 'Chelsea FC', 'clubID': '631', 'value': '€50.00m'}, {'date': '30/05/2025', 'age': '25', 'clubName': 'Chelsea FC', 'clubID': '631', 'value': '€50.00m'}, {'date': '17/10/2025', 'age': '25', 'clubName': 'Chelsea FC', 'clubID': '631', 'value': '€55.00m'}, {'date': '09/12/2025', 'age': '25', 'clubName': 'Chelsea FC', 'clubID': '631', 'value': '€60.00m'}]}</t>
  </si>
  <si>
    <t>2000-03-09</t>
  </si>
  <si>
    <t>Gnabry</t>
  </si>
  <si>
    <t>{'marketValueHistory': [{'date': 'Jul 25, 2013', 'age': '18', 'clubName': 'Arsenal FC', 'clubID': '11', 'value': '€500k'}, {'date': 'Oct 11, 2013', 'age': '18', 'clubName': 'Arsenal FC', 'clubID': '11', 'value': '€2.00m'}, {'date': 'Jan 15, 2014', 'age': '18', 'clubName': 'Arsenal FC', 'clubID': '11', 'value': '€4.00m'}, {'date': 'Aug 12, 2014', 'age': '19', 'clubName': 'Arsenal FC', 'clubID': '11', 'value': '€4.00m'}, {'date': 'Feb 12, 2015', 'age': '19', 'clubName': 'Arsenal FC', 'clubID': '11', 'value': '€4.00m'}, {'date': 'Jul 1, 2015', 'age': '19', 'clubName': 'Arsenal FC', 'clubID': '11', 'value': '€3.50m'}, {'date': 'Feb 9, 2016', 'age': '20', 'clubName': 'Arsenal FC', 'clubID': '11', 'value': '€3.00m'}, {'date': 'Aug 1, 2016', 'age': '21', 'clubName': 'Arsenal FC', 'clubID': '11', 'value': '€2.50m'}, {'date': 'Oct 13, 2016', 'age': '21', 'clubName': 'SV Werder Bremen', 'clubID': '86', 'value': '€5.00m'}, {'date': 'Feb 7, 2017', 'age': '21', 'clubName': 'SV Werder Bremen', 'clubID': '86', 'value': '€10.00m'}, {'date': 'Jun 19, 2017', 'age': '21', 'clubName': 'SV Werder Bremen', 'clubID': '86', 'value': '€15.00m'}, {'date': 'Dec 28, 2017', 'age': '22', 'clubName': 'TSG 1899 Hoffenheim', 'clubID': '533', 'value': '€15.00m'}, {'date': 'Apr 4, 2018', 'age': '22', 'clubName': 'TSG 1899 Hoffenheim', 'clubID': '533', 'value': '€18.00m'}, {'date': 'Jun 5, 2018', 'age': '22', 'clubName': 'TSG 1899 Hoffenheim', 'clubID': '533', 'value': '€20.00m'}, {'date': 'Aug 22, 2018', 'age': '23', 'clubName': 'Bayern Munich', 'clubID': '27', 'value': '€30.00m'}, {'date': 'Dec 18, 2018', 'age': '23', 'clubName': 'Bayern Munich', 'clubID': '27', 'value': '€40.00m'}, {'date': 'Mar 6, 2019', 'age': '23', 'clubName': 'Bayern Munich', 'clubID': '27', 'value': '€45.00m'}, {'date': 'Jun 5, 2019', 'age': '23', 'clubName': 'Bayern Munich', 'clubID': '27', 'value': '€60.00m'}, {'date': 'Dec 17, 2019', 'age': '24', 'clubName': 'Bayern Munich', 'clubID': '27', 'value': '€80.00m'}, {'date': 'Mar 11, 2020', 'age': '24', 'clubName': 'Bayern Munich', 'clubID': '27', 'value': '€90.00m'}, {'date': 'Apr 8, 2020', 'age': '24', 'clubName': 'Bayern Munich', 'clubID': '27', 'value': '€72.00m'}, {'date': 'Sep 16, 2020', 'age': '25', 'clubName': 'Bayern Munich', 'clubID': '27', 'value': '€90.00m'}, {'date': 'Feb 10, 2021', 'age': '25', 'clubName': 'Bayern Munich', 'clubID': '27', 'value': '€70.00m'}, {'date': 'Jun 1, 2021', 'age': '25', 'clubName': 'Bayern Munich', 'clubID': '27', 'value': '€70.00m'}, {'date': 'Dec 22, 2021', 'age': '26', 'clubName': 'Bayern Munich', 'clubID': '27', 'value': '€70.00m'}, {'date': 'Jun 9, 2022', 'age': '26', 'clubName': 'Bayern Munich', 'clubID': '27', 'value': '€65.00m'}, {'date': 'Nov 9, 2022', 'age': '27', 'clubName': 'Bayern Munich', 'clubID': '27', 'value': '€65.00m'}, {'date': 'Mar 29, 2023', 'age': '27', 'clubName': 'Bayern Munich', 'clubID': '27', 'value': '€55.00m'}, {'date': 'Jun 22, 2023', 'age': '27', 'clubName': 'Bayern Munich', 'clubID': '27', 'value': '€55.00m'}, {'date': 'Dec 14, 2023', 'age': '28', 'clubName': 'Bayern Munich', 'clubID': '27', 'value': '€45.00m'}, {'date': 'May 29, 2024', 'age': '28', 'clubName': 'Bayern Munich', 'clubID': '27', 'value': '€40.00m'}, {'date': 'Dec 20, 2024', 'age': '29', 'clubName': 'Bayern Munich', 'clubID': '27', 'value': '€35.00m'}, {'date': 'Mar 27, 2025', 'age': '29', 'clubName': 'Bayern Munich', 'clubID': '27', 'value': '€25.00m'}, {'date': 'Jun 5, 2025', 'age': '29', 'clubName': 'Bayern Munich', 'clubID': '27', 'value': '€22.00m'}, {'date': 'Dec 19, 2025', 'age': '30', 'clubName': 'Bayern Munich', 'clubID': '27', 'value': '€20.00m'}]}</t>
  </si>
  <si>
    <t>1995-07-14</t>
  </si>
  <si>
    <t>Schulz</t>
  </si>
  <si>
    <t>{'marketValueHistory': [{'date': '07/07/2010', 'age': '17', 'clubName': 'Hertha BSC', 'clubID': '44', 'value': '€50k'}, {'date': '02/08/2010', 'age': '17', 'clubName': 'Hertha BSC', 'clubID': '44', 'value': '€100k'}, {'date': '28/09/2010', 'age': '17', 'clubName': 'Hertha BSC', 'clubID': '44', 'value': '€250k'}, {'date': '18/10/2010', 'age': '17', 'clubName': 'Hertha BSC', 'clubID': '44', 'value': '€500k'}, {'date': '12/01/2011', 'age': '17', 'clubName': 'Hertha BSC', 'clubID': '44', 'value': '€500k'}, {'date': '29/06/2011', 'age': '18', 'clubName': 'Hertha BSC', 'clubID': '44', 'value': '€1.00m'}, {'date': '23/01/2012', 'age': '18', 'clubName': 'Hertha BSC', 'clubID': '44', 'value': '€750k'}, {'date': '29/06/2012', 'age': '19', 'clubName': 'Hertha BSC', 'clubID': '44', 'value': '€500k'}, {'date': '04/01/2013', 'age': '19', 'clubName': 'Hertha BSC', 'clubID': '44', 'value': '€800k'}, {'date': '29/06/2013', 'age': '20', 'clubName': 'Hertha BSC', 'clubID': '44', 'value': '€1.25m'}, {'date': '05/11/2013', 'age': '20', 'clubName': 'Hertha BSC', 'clubID': '44', 'value': '€2.20m'}, {'date': '12/02/2014', 'age': '20', 'clubName': 'Hertha BSC', 'clubID': '44', 'value': '€2.50m'}, {'date': '10/07/2014', 'age': '21', 'clubName': 'Hertha BSC', 'clubID': '44', 'value': '€3.00m'}, {'date': '04/02/2015', 'age': '21', 'clubName': 'Hertha BSC', 'clubID': '44', 'value': '€3.50m'}, {'date': '01/07/2015', 'age': '22', 'clubName': 'Hertha BSC', 'clubID': '44', 'value': '€3.50m'}, {'date': '15/02/2016', 'age': '22', 'clubName': 'Borussia Mönchengladbach', 'clubID': '18', 'value': '€3.50m'}, {'date': '22/07/2016', 'age': '23', 'clubName': 'Borussia Mönchengladbach', 'clubID': '18', 'value': '€3.00m'}, {'date': '07/02/2017', 'age': '23', 'clubName': 'Borussia Mönchengladbach', 'clubID': '18', 'value': '€2.00m'}, {'date': '19/06/2017', 'age': '24', 'clubName': 'Borussia Mönchengladbach', 'clubID': '18', 'value': '€2.00m'}, {'date': '18/10/2017', 'age': '24', 'clubName': 'TSG 1899 Hoffenheim', 'clubID': '533', 'value': '€2.50m'}, {'date': '28/12/2017', 'age': '24', 'clubName': 'TSG 1899 Hoffenheim', 'clubID': '533', 'value': '€3.00m'}, {'date': '04/04/2018', 'age': '25', 'clubName': 'TSG 1899 Hoffenheim', 'clubID': '533', 'value': '€4.00m'}, {'date': '05/06/2018', 'age': '25', 'clubName': 'TSG 1899 Hoffenheim', 'clubID': '533', 'value': '€7.00m'}, {'date': '22/08/2018', 'age': '25', 'clubName': 'TSG 1899 Hoffenheim', 'clubID': '533', 'value': '€10.00m'}, {'date': '22/10/2018', 'age': '25', 'clubName': 'TSG 1899 Hoffenheim', 'clubID': '533', 'value': '€15.00m'}, {'date': '18/12/2018', 'age': '25', 'clubName': 'TSG 1899 Hoffenheim', 'clubID': '533', 'value': '€20.00m'}, {'date': '05/06/2019', 'age': '26', 'clubName': 'TSG 1899 Hoffenheim', 'clubID': '533', 'value': '€25.00m'}, {'date': '17/12/2019', 'age': '26', 'clubName': 'Borussia Dortmund', 'clubID': '16', 'value': '€20.00m'}, {'date': '08/04/2020', 'age': '27', 'clubName': 'Borussia Dortmund', 'clubID': '16', 'value': '€16.00m'}, {'date': '08/07/2020', 'age': '27', 'clubName': 'Borussia Dortmund', 'clubID': '16', 'value': '€12.00m'}, {'date': '16/09/2020', 'age': '27', 'clubName': 'Borussia Dortmund', 'clubID': '16', 'value': '€10.00m'}, {'date': '10/02/2021', 'age': '27', 'clubName': 'Borussia Dortmund', 'clubID': '16', 'value': '€7.00m'}, {'date': '09/06/2021', 'age': '28', 'clubName': 'Borussia Dortmund', 'clubID': '16', 'value': '€6.00m'}, {'date': '22/12/2021', 'age': '28', 'clubName': 'Borussia Dortmund', 'clubID': '16', 'value': '€6.00m'}, {'date': '09/06/2022', 'age': '29', 'clubName': 'Borussia Dortmund', 'clubID': '16', 'value': '€4.00m'}, {'date': '21/09/2022', 'age': '29', 'clubName': 'Borussia Dortmund', 'clubID': '16', 'value': '€2.00m'}, {'date': '09/11/2022', 'age': '29', 'clubName': 'Borussia Dortmund', 'clubID': '16', 'value': '€2.00m'}, {'date': '22/06/2023', 'age': '30', 'clubName': 'Borussia Dortmund', 'clubID': '16', 'value': '€1.00m'}, {'date': '25/10/2023', 'age': '30', 'clubName': 'Without Club', 'clubID': '515', 'value': '€800k'}, {'date': '29/03/2024', 'age': '30', 'clubName': 'Without Club', 'clubID': '515', 'value': '€600k'}, {'date': '16/10/2024', 'age': '31', 'clubName': 'MKE Ankaragücü', 'clubID': '868', 'value': '€500k'}, {'date': '09/01/2025', 'age': '31', 'clubName': 'MKE Ankaragücü', 'clubID': '868', 'value': '€425k'}, {'date': '02/04/2025', 'age': '32', 'clubName': 'MKE Ankaragücü', 'clubID': '868', 'value': '€400k'}, {'date': '25/06/2025', 'age': '32', 'clubName': 'MKE Ankaragücü', 'clubID': '868', 'value': '€300k'}, {'date': '21/10/2025', 'age': '32', 'clubName': 'Without Club', 'clubID': '515', 'value': '€250k'}, {'date': '09/04/2026', 'age': '33', 'clubName': 'Without Club', 'clubID': '515', 'value': '€150k'}]}</t>
  </si>
  <si>
    <t>1993-04-01</t>
  </si>
  <si>
    <t>De Vrij</t>
  </si>
  <si>
    <t>{'marketValueHistory': [{'date': 'Oct 2, 2009', 'age': '17', 'clubName': 'Feyenoord Rotterdam', 'clubID': '234', 'value': '€50k'}, {'date': 'Jan 7, 2010', 'age': '17', 'clubName': 'Feyenoord Rotterdam', 'clubID': '234', 'value': '€100k'}, {'date': 'Aug 4, 2010', 'age': '18', 'clubName': 'Feyenoord Rotterdam', 'clubID': '234', 'value': '€650k'}, {'date': 'Jan 17, 2011', 'age': '18', 'clubName': 'Feyenoord Rotterdam', 'clubID': '234', 'value': '€1.00m'}, {'date': 'Jun 22, 2011', 'age': '19', 'clubName': 'Feyenoord Rotterdam', 'clubID': '234', 'value': '€2.50m'}, {'date': 'Jan 10, 2012', 'age': '19', 'clubName': 'Feyenoord Rotterdam', 'clubID': '234', 'value': '€3.00m'}, {'date': 'Jun 30, 2012', 'age': '20', 'clubName': 'Feyenoord Rotterdam', 'clubID': '234', 'value': '€4.00m'}, {'date': 'Jan 9, 2013', 'age': '20', 'clubName': 'Feyenoord Rotterdam', 'clubID': '234', 'value': '€5.00m'}, {'date': 'May 28, 2013', 'age': '21', 'clubName': 'Feyenoord Rotterdam', 'clubID': '234', 'value': '€6.00m'}, {'date': 'Feb 11, 2014', 'age': '22', 'clubName': 'Feyenoord Rotterdam', 'clubID': '234', 'value': '€6.00m'}, {'date': 'Aug 12, 2014', 'age': '22', 'clubName': 'SS Lazio', 'clubID': '398', 'value': '€10.00m'}, {'date': 'Jan 7, 2015', 'age': '22', 'clubName': 'SS Lazio', 'clubID': '398', 'value': '€12.50m'}, {'date': 'Jul 1, 2015', 'age': '23', 'clubName': 'SS Lazio', 'clubID': '398', 'value': '€17.00m'}, {'date': 'Jan 4, 2016', 'age': '23', 'clubName': 'SS Lazio', 'clubID': '398', 'value': '€17.00m'}, {'date': 'Jul 15, 2016', 'age': '24', 'clubName': 'SS Lazio', 'clubID': '398', 'value': '€16.00m'}, {'date': 'Oct 14, 2016', 'age': '24', 'clubName': 'SS Lazio', 'clubID': '398', 'value': '€20.00m'}, {'date': 'Jan 2, 2017', 'age': '24', 'clubName': 'SS Lazio', 'clubID': '398', 'value': '€20.00m'}, {'date': 'Jun 8, 2017', 'age': '25', 'clubName': 'SS Lazio', 'clubID': '398', 'value': '€27.00m'}, {'date': 'Dec 29, 2017', 'age': '25', 'clubName': 'SS Lazio', 'clubID': '398', 'value': '€35.00m'}, {'date': 'Mar 24, 2018', 'age': '26', 'clubName': 'SS Lazio', 'clubID': '398', 'value': '€40.00m'}, {'date': 'Jun 7, 2018', 'age': '26', 'clubName': 'SS Lazio', 'clubID': '398', 'value': '€40.00m'}, {'date': 'Dec 20, 2018', 'age': '26', 'clubName': 'Inter Milan', 'clubID': '46', 'value': '€45.00m'}, {'date': 'Jun 6, 2019', 'age': '27', 'clubName': 'Inter Milan', 'clubID': '46', 'value': '€50.00m'}, {'date': 'Dec 12, 2019', 'age': '27', 'clubName': 'Inter Milan', 'clubID': '46', 'value': '€60.00m'}, {'date': 'Apr 8, 2020', 'age': '28', 'clubName': 'Inter Milan', 'clubID': '46', 'value': '€48.00m'}, {'date': 'Aug 25, 2020', 'age': '28', 'clubName': 'Inter Milan', 'clubID': '46', 'value': '€60.00m'}, {'date': 'Dec 29, 2020', 'age': '28', 'clubName': 'Inter Milan', 'clubID': '46', 'value': '€55.00m'}, {'date': 'May 27, 2021', 'age': '29', 'clubName': 'Inter Milan', 'clubID': '46', 'value': '€50.00m'}, {'date': 'Dec 28, 2021', 'age': '29', 'clubName': 'Inter Milan', 'clubID': '46', 'value': '€45.00m'}, {'date': 'Mar 15, 2022', 'age': '30', 'clubName': 'Inter Milan', 'clubID': '46', 'value': '€35.00m'}, {'date': 'Jun 7, 2022', 'age': '30', 'clubName': 'Inter Milan', 'clubID': '46', 'value': '€28.00m'}, {'date': 'Sep 27, 2022', 'age': '30', 'clubName': 'Inter Milan', 'clubID': '46', 'value': '€20.00m'}, {'date': 'Nov 11, 2022', 'age': '30', 'clubName': 'Inter Milan', 'clubID': '46', 'value': '€15.00m'}, {'date': 'Mar 21, 2023', 'age': '31', 'clubName': 'Inter Milan', 'clubID': '46', 'value': '€10.00m'}, {'date': 'Jun 15, 2023', 'age': '31', 'clubName': 'Inter Milan', 'clubID': '46', 'value': '€8.00m'}, {'date': 'Dec 20, 2023', 'age': '31', 'clubName': 'Inter Milan', 'clubID': '46', 'value': '€8.00m'}, {'date': 'Jun 5, 2024', 'age': '32', 'clubName': 'Inter Milan', 'clubID': '46', 'value': '€7.00m'}, {'date': 'Dec 18, 2024', 'age': '32', 'clubName': 'Inter Milan', 'clubID': '46', 'value': '€7.00m'}, {'date': 'Jun 17, 2025', 'age': '33', 'clubName': 'Inter Milan', 'clubID': '46', 'value': '€5.00m'}, {'date': 'Dec 23, 2025', 'age': '33', 'clubName': 'Inter Milan', 'clubID': '46', 'value': '€3.50m'}]}</t>
  </si>
  <si>
    <t>Nagatomo</t>
  </si>
  <si>
    <t>{'marketValueHistory': [{'date': '13/09/2008', 'age': '22', 'clubName': 'FC Tokyo', 'clubID': '6631', 'value': '€150k'}, {'date': '05/01/2009', 'age': '22', 'clubName': 'FC Tokyo', 'clubID': '6631', 'value': '€800k'}, {'date': '04/06/2009', 'age': '22', 'clubName': 'FC Tokyo', 'clubID': '6631', 'value': '€2.00m'}, {'date': '16/12/2009', 'age': '23', 'clubName': 'FC Tokyo', 'clubID': '6631', 'value': '€2.60m'}, {'date': '05/01/2011', 'age': '24', 'clubName': 'AC Cesena', 'clubID': '1429', 'value': '€2.80m'}, {'date': '01/02/2011', 'age': '24', 'clubName': 'Inter Milan', 'clubID': '46', 'value': '€5.50m'}, {'date': '21/06/2011', 'age': '24', 'clubName': 'Inter Milan', 'clubID': '46', 'value': '€8.50m'}, {'date': '11/01/2012', 'age': '25', 'clubName': 'Inter Milan', 'clubID': '46', 'value': '€9.50m'}, {'date': '08/06/2012', 'age': '25', 'clubName': 'Inter Milan', 'clubID': '46', 'value': '€9.50m'}, {'date': '15/01/2013', 'age': '26', 'clubName': 'Inter Milan', 'clubID': '46', 'value': '€12.50m'}, {'date': '19/06/2013', 'age': '26', 'clubName': 'Inter Milan', 'clubID': '46', 'value': '€12.00m'}, {'date': '07/01/2014', 'age': '27', 'clubName': 'Inter Milan', 'clubID': '46', 'value': '€14.00m'}, {'date': '11/07/2014', 'age': '27', 'clubName': 'Inter Milan', 'clubID': '46', 'value': '€14.00m'}, {'date': '07/01/2015', 'age': '28', 'clubName': 'Inter Milan', 'clubID': '46', 'value': '€10.00m'}, {'date': '01/07/2015', 'age': '28', 'clubName': 'Inter Milan', 'clubID': '46', 'value': '€7.50m'}, {'date': '04/01/2016', 'age': '29', 'clubName': 'Inter Milan', 'clubID': '46', 'value': '€6.00m'}, {'date': '15/07/2016', 'age': '29', 'clubName': 'Inter Milan', 'clubID': '46', 'value': '€6.00m'}, {'date': '02/01/2017', 'age': '30', 'clubName': 'Inter Milan', 'clubID': '46', 'value': '€4.30m'}, {'date': '08/06/2017', 'age': '30', 'clubName': 'Inter Milan', 'clubID': '46', 'value': '€3.50m'}, {'date': '29/12/2017', 'age': '31', 'clubName': 'Inter Milan', 'clubID': '46', 'value': '€3.50m'}, {'date': '29/05/2018', 'age': '31', 'clubName': 'Galatasaray', 'clubID': '141', 'value': '€3.50m'}, {'date': '04/01/2019', 'age': '32', 'clubName': 'Galatasaray', 'clubID': '141', 'value': '€2.75m'}, {'date': '04/06/2019', 'age': '32', 'clubName': 'Galatasaray', 'clubID': '141', 'value': '€2.00m'}, {'date': '03/01/2020', 'age': '33', 'clubName': 'Galatasaray', 'clubID': '141', 'value': '€1.30m'}, {'date': '25/03/2020', 'age': '33', 'clubName': 'Galatasaray', 'clubID': '141', 'value': '€1.00m'}, {'date': '08/04/2020', 'age': '33', 'clubName': 'Galatasaray', 'clubID': '141', 'value': '€800k'}, {'date': '15/10/2020', 'age': '34', 'clubName': 'Olympique Marseille', 'clubID': '244', 'value': '€800k'}, {'date': '04/06/2021', 'age': '34', 'clubName': 'Olympique Marseille', 'clubID': '244', 'value': '€800k'}, {'date': '14/01/2022', 'age': '35', 'clubName': 'FC Tokyo', 'clubID': '6631', 'value': '€700k'}, {'date': '28/06/2022', 'age': '35', 'clubName': 'FC Tokyo', 'clubID': '6631', 'value': '€400k'}, {'date': '14/11/2022', 'age': '36', 'clubName': 'FC Tokyo', 'clubID': '6631', 'value': '€400k'}, {'date': '06/01/2023', 'age': '36', 'clubName': 'FC Tokyo', 'clubID': '6631', 'value': '€400k'}, {'date': '28/06/2023', 'age': '36', 'clubName': 'FC Tokyo', 'clubID': '6631', 'value': '€300k'}, {'date': '22/02/2024', 'age': '37', 'clubName': 'FC Tokyo', 'clubID': '6631', 'value': '€200k'}, {'date': '12/06/2024', 'age': '37', 'clubName': 'FC Tokyo', 'clubID': '6631', 'value': '€175k'}, {'date': '10/12/2024', 'age': '38', 'clubName': 'FC Tokyo', 'clubID': '6631', 'value': '€150k'}, {'date': '29/05/2025', 'age': '38', 'clubName': 'FC Tokyo', 'clubID': '6631', 'value': '€125k'}, {'date': '15/12/2025', 'age': '39', 'clubName': 'FC Tokyo', 'clubID': '6631', 'value': '€100k'}]}</t>
  </si>
  <si>
    <t>Japan</t>
  </si>
  <si>
    <t>1986-09-12</t>
  </si>
  <si>
    <t>Ribery</t>
  </si>
  <si>
    <t>{'marketValueHistory': [{'date': 'Oct 4, 2004', 'age': '21', 'clubName': 'FC Metz', 'clubID': '347', 'value': '€3.00m'}, {'date': 'Jan 31, 2005', 'age': '21', 'clubName': 'FC Metz', 'clubID': '347', 'value': '€5.25m'}, {'date': 'Nov 2, 2005', 'age': '22', 'clubName': 'Olympique Marseille', 'clubID': '244', 'value': '€8.50m'}, {'date': 'Jan 23, 2006', 'age': '22', 'clubName': 'Olympique Marseille', 'clubID': '244', 'value': '€11.00m'}, {'date': 'Oct 17, 2006', 'age': '23', 'clubName': 'Olympique Marseille', 'clubID': '244', 'value': '€13.50m'}, {'date': 'Dec 23, 2006', 'age': '23', 'clubName': 'Olympique Marseille', 'clubID': '244', 'value': '€11.00m'}, {'date': 'Jun 17, 2007', 'age': '24', 'clubName': 'Olympique Marseille', 'clubID': '244', 'value': '€18.00m'}, {'date': 'Aug 5, 2007', 'age': '24', 'clubName': 'Bayern Munich', 'clubID': '27', 'value': '€25.00m'}, {'date': 'Jul 2, 2008', 'age': '25', 'clubName': 'Bayern Munich', 'clubID': '27', 'value': '€30.00m'}, {'date': 'Jan 21, 2009', 'age': '25', 'clubName': 'Bayern Munich', 'clubID': '27', 'value': '€35.00m'}, {'date': 'Jun 10, 2009', 'age': '26', 'clubName': 'Bayern Munich', 'clubID': '27', 'value': '€40.00m'}, {'date': 'Jan 17, 2010', 'age': '26', 'clubName': 'Bayern Munich', 'clubID': '27', 'value': '€50.00m'}, {'date': 'Aug 15, 2010', 'age': '27', 'clubName': 'Bayern Munich', 'clubID': '27', 'value': '€45.00m'}, {'date': 'Jan 12, 2011', 'age': '27', 'clubName': 'Bayern Munich', 'clubID': '27', 'value': '€45.00m'}, {'date': 'Jun 29, 2011', 'age': '28', 'clubName': 'Bayern Munich', 'clubID': '27', 'value': '€38.00m'}, {'date': 'Jan 23, 2012', 'age': '28', 'clubName': 'Bayern Munich', 'clubID': '27', 'value': '€42.00m'}, {'date': 'Jun 29, 2012', 'age': '29', 'clubName': 'Bayern Munich', 'clubID': '27', 'value': '€42.00m'}, {'date': 'Jan 13, 2013', 'age': '29', 'clubName': 'Bayern Munich', 'clubID': '27', 'value': '€42.00m'}, {'date': 'Jun 30, 2013', 'age': '30', 'clubName': 'Bayern Munich', 'clubID': '27', 'value': '€42.00m'}, {'date': 'Jul 10, 2014', 'age': '31', 'clubName': 'Bayern Munich', 'clubID': '27', 'value': '€38.00m'}, {'date': 'Feb 4, 2015', 'age': '31', 'clubName': 'Bayern Munich', 'clubID': '27', 'value': '€32.00m'}, {'date': 'Jul 1, 2015', 'age': '32', 'clubName': 'Bayern Munich', 'clubID': '27', 'value': '€22.00m'}, {'date': 'Oct 16, 2015', 'age': '32', 'clubName': 'Bayern Munich', 'clubID': '27', 'value': '€15.00m'}, {'date': 'Feb 15, 2016', 'age': '32', 'clubName': 'Bayern Munich', 'clubID': '27', 'value': '€10.00m'}, {'date': 'Jul 22, 2016', 'age': '33', 'clubName': 'Bayern Munich', 'clubID': '27', 'value': '€9.00m'}, {'date': 'Feb 7, 2017', 'age': '33', 'clubName': 'Bayern Munich', 'clubID': '27', 'value': '€8.00m'}, {'date': 'Jun 19, 2017', 'age': '34', 'clubName': 'Bayern Munich', 'clubID': '27', 'value': '€7.00m'}, {'date': 'Dec 28, 2017', 'age': '34', 'clubName': 'Bayern Munich', 'clubID': '27', 'value': '€5.00m'}, {'date': 'Jun 5, 2018', 'age': '35', 'clubName': 'Bayern Munich', 'clubID': '27', 'value': '€4.00m'}, {'date': 'Dec 18, 2018', 'age': '35', 'clubName': 'Bayern Munich', 'clubID': '27', 'value': '€4.00m'}, {'date': 'Jun 5, 2019', 'age': '36', 'clubName': 'Bayern Munich', 'clubID': '27', 'value': '€4.00m'}, {'date': 'Dec 12, 2019', 'age': '36', 'clubName': 'ACF Fiorentina', 'clubID': '430', 'value': '€4.00m'}, {'date': 'Apr 8, 2020', 'age': '37', 'clubName': 'ACF Fiorentina', 'clubID': '430', 'value': '€3.20m'}, {'date': 'Aug 25, 2020', 'age': '37', 'clubName': 'ACF Fiorentina', 'clubID': '430', 'value': '€3.00m'}, {'date': 'Dec 29, 2020', 'age': '37', 'clubName': 'ACF Fiorentina', 'clubID': '430', 'value': '€3.00m'}, {'date': 'Jun 3, 2021', 'age': '38', 'clubName': 'ACF Fiorentina', 'clubID': '430', 'value': '€3.00m'}, {'date': 'Oct 14, 2021', 'age': '38', 'clubName': 'US Salernitana 1919', 'clubID': '380', 'value': '€1.50m'}, {'date': 'Dec 28, 2021', 'age': '38', 'clubName': 'US Salernitana 1919', 'clubID': '380', 'value': '€1.00m'}, {'date': 'Jun 7, 2022', 'age': '39', 'clubName': 'US Salernitana 1919', 'clubID': '380', 'value': '€1.00m'}, {'date': 'Oct 21, 2022', 'age': '39', 'clubName': 'Retired', 'clubID': '123', 'value': '-'}]}</t>
  </si>
  <si>
    <t>1983-04-07</t>
  </si>
  <si>
    <t>Sancho</t>
  </si>
  <si>
    <t>{'marketValueHistory': [{'date': '31/08/2017', 'age': '17', 'clubName': 'Borussia Dortmund', 'clubID': '16', 'value': '€5.00m'}, {'date': '28/12/2017', 'age': '17', 'clubName': 'Borussia Dortmund', 'clubID': '16', 'value': '€5.00m'}, {'date': '04/04/2018', 'age': '18', 'clubName': 'Borussia Dortmund', 'clubID': '16', 'value': '€8.00m'}, {'date': '05/06/2018', 'age': '18', 'clubName': 'Borussia Dortmund', 'clubID': '16', 'value': '€15.00m'}, {'date': '22/08/2018', 'age': '18', 'clubName': 'Borussia Dortmund', 'clubID': '16', 'value': '€20.00m'}, {'date': '22/10/2018', 'age': '18', 'clubName': 'Borussia Dortmund', 'clubID': '16', 'value': '€45.00m'}, {'date': '18/12/2018', 'age': '18', 'clubName': 'Borussia Dortmund', 'clubID': '16', 'value': '€70.00m'}, {'date': '06/03/2019', 'age': '18', 'clubName': 'Borussia Dortmund', 'clubID': '16', 'value': '€80.00m'}, {'date': '05/06/2019', 'age': '19', 'clubName': 'Borussia Dortmund', 'clubID': '16', 'value': '€100.00m'}, {'date': '17/12/2019', 'age': '19', 'clubName': 'Borussia Dortmund', 'clubID': '16', 'value': '€120.00m'}, {'date': '11/03/2020', 'age': '19', 'clubName': 'Borussia Dortmund', 'clubID': '16', 'value': '€130.00m'}, {'date': '08/04/2020', 'age': '20', 'clubName': 'Borussia Dortmund', 'clubID': '16', 'value': '€117.00m'}, {'date': '26/11/2020', 'age': '20', 'clubName': 'Borussia Dortmund', 'clubID': '16', 'value': '€100.00m'}, {'date': '10/02/2021', 'age': '20', 'clubName': 'Borussia Dortmund', 'clubID': '16', 'value': '€100.00m'}, {'date': '28/05/2021', 'age': '21', 'clubName': 'Borussia Dortmund', 'clubID': '16', 'value': '€100.00m'}, {'date': '05/10/2021', 'age': '21', 'clubName': 'Manchester United', 'clubID': '985', 'value': '€90.00m'}, {'date': '23/12/2021', 'age': '21', 'clubName': 'Manchester United', 'clubID': '985', 'value': '€85.00m'}, {'date': '29/03/2022', 'age': '22', 'clubName': 'Manchester United', 'clubID': '985', 'value': '€80.00m'}, {'date': '15/06/2022', 'age': '22', 'clubName': 'Manchester United', 'clubID': '985', 'value': '€75.00m'}, {'date': '03/11/2022', 'age': '22', 'clubName': 'Manchester United', 'clubID': '985', 'value': '€60.00m'}, {'date': '16/03/2023', 'age': '22', 'clubName': 'Manchester United', 'clubID': '985', 'value': '€55.00m'}, {'date': '20/06/2023', 'age': '23', 'clubName': 'Manchester United', 'clubID': '985', 'value': '€45.00m'}, {'date': '09/10/2023', 'age': '23', 'clubName': 'Manchester United', 'clubID': '985', 'value': '€32.00m'}, {'date': '19/12/2023', 'age': '23', 'clubName': 'Manchester United', 'clubID': '985', 'value': '€25.00m'}, {'date': '29/05/2024', 'age': '24', 'clubName': 'Borussia Dortmund', 'clubID': '16', 'value': '€30.00m'}, {'date': '16/12/2024', 'age': '24', 'clubName': 'Chelsea FC', 'clubID': '631', 'value': '€30.00m'}, {'date': '30/05/2025', 'age': '25', 'clubName': 'Chelsea FC', 'clubID': '631', 'value': '€28.00m'}, {'date': '17/10/2025', 'age': '25', 'clubName': 'Aston Villa', 'clubID': '405', 'value': '€25.00m'}, {'date': '09/12/2025', 'age': '25', 'clubName': 'Aston Villa', 'clubID': '405', 'value': '€20.00m'}]}</t>
  </si>
  <si>
    <t>2000-03-25</t>
  </si>
  <si>
    <t>Cengiz Under</t>
  </si>
  <si>
    <t>{'marketValueHistory': [{'date': 'Sep 22, 2014', 'age': '17', 'clubName': 'Altinordu FK U21', 'clubID': '43472', 'value': '€50k'}, {'date': 'Jan 5, 2015', 'age': '17', 'clubName': 'Altinordu FK', 'clubID': '12374', 'value': '€350k'}, {'date': 'Jun 8, 2015', 'age': '17', 'clubName': 'Altinordu FK', 'clubID': '12374', 'value': '€1.20m'}, {'date': 'Jan 4, 2016', 'age': '18', 'clubName': 'Altinordu FK', 'clubID': '12374', 'value': '€1.50m'}, {'date': 'Jul 15, 2016', 'age': '19', 'clubName': 'Basaksehir FK', 'clubID': '6890', 'value': '€2.00m'}, {'date': 'Jan 10, 2017', 'age': '19', 'clubName': 'Basaksehir FK', 'clubID': '6890', 'value': '€3.75m'}, {'date': 'Jun 9, 2017', 'age': '19', 'clubName': 'Basaksehir FK', 'clubID': '6890', 'value': '€5.00m'}, {'date': 'Oct 13, 2017', 'age': '20', 'clubName': 'AS Roma', 'clubID': '12', 'value': '€7.50m'}, {'date': 'Dec 29, 2017', 'age': '20', 'clubName': 'AS Roma', 'clubID': '12', 'value': '€10.00m'}, {'date': 'Mar 24, 2018', 'age': '20', 'clubName': 'AS Roma', 'clubID': '12', 'value': '€20.00m'}, {'date': 'Jun 7, 2018', 'age': '20', 'clubName': 'AS Roma', 'clubID': '12', 'value': '€27.00m'}, {'date': 'Dec 20, 2018', 'age': '21', 'clubName': 'AS Roma', 'clubID': '12', 'value': '€35.00m'}, {'date': 'Jun 6, 2019', 'age': '21', 'clubName': 'AS Roma', 'clubID': '12', 'value': '€35.00m'}, {'date': 'Dec 12, 2019', 'age': '22', 'clubName': 'AS Roma', 'clubID': '12', 'value': '€35.00m'}, {'date': 'Mar 3, 2020', 'age': '22', 'clubName': 'AS Roma', 'clubID': '12', 'value': '€30.00m'}, {'date': 'Apr 8, 2020', 'age': '22', 'clubName': 'AS Roma', 'clubID': '12', 'value': '€24.00m'}, {'date': 'Aug 25, 2020', 'age': '23', 'clubName': 'AS Roma', 'clubID': '12', 'value': '€23.00m'}, {'date': 'Oct 13, 2020', 'age': '23', 'clubName': 'Leicester City', 'clubID': '1003', 'value': '€23.00m'}, {'date': 'Mar 18, 2021', 'age': '23', 'clubName': 'Leicester City', 'clubID': '1003', 'value': '€20.00m'}, {'date': 'May 25, 2021', 'age': '23', 'clubName': 'Leicester City', 'clubID': '1003', 'value': '€18.00m'}, {'date': 'Dec 16, 2021', 'age': '24', 'clubName': 'Olympique Marseille', 'clubID': '244', 'value': '€18.00m'}, {'date': 'May 30, 2022', 'age': '24', 'clubName': 'Olympique Marseille', 'clubID': '244', 'value': '€22.00m'}, {'date': 'Nov 2, 2022', 'age': '25', 'clubName': 'Olympique Marseille', 'clubID': '244', 'value': '€17.00m'}, {'date': 'Jun 27, 2023', 'age': '25', 'clubName': 'Olympique Marseille', 'clubID': '244', 'value': '€20.00m'}, {'date': 'Sep 27, 2023', 'age': '26', 'clubName': 'Fenerbahce', 'clubID': '36', 'value': '€20.00m'}, {'date': 'Dec 21, 2023', 'age': '26', 'clubName': 'Fenerbahce', 'clubID': '36', 'value': '€16.00m'}, {'date': 'Mar 15, 2024', 'age': '26', 'clubName': 'Fenerbahce', 'clubID': '36', 'value': '€16.00m'}, {'date': 'May 31, 2024', 'age': '26', 'clubName': 'Fenerbahce', 'clubID': '36', 'value': '€14.00m'}, {'date': 'Oct 4, 2024', 'age': '27', 'clubName': 'Fenerbahce', 'clubID': '36', 'value': '€10.00m'}, {'date': 'Dec 23, 2024', 'age': '27', 'clubName': 'Fenerbahce', 'clubID': '36', 'value': '€7.50m'}, {'date': 'Jun 5, 2025', 'age': '27', 'clubName': 'Los Angeles FC', 'clubID': '51828', 'value': '€7.50m'}, {'date': 'Oct 1, 2025', 'age': '28', 'clubName': 'Besiktas JK', 'clubID': '114', 'value': '€7.00m'}, {'date': 'Dec 17, 2025', 'age': '28', 'clubName': 'Besiktas JK', 'clubID': '114', 'value': '€7.00m'}, {'date': 'Mar 5, 2026', 'age': '28', 'clubName': 'Besiktas JK', 'clubID': '114', 'value': '€6.00m'}]}</t>
  </si>
  <si>
    <t>Turkey</t>
  </si>
  <si>
    <t>1997-07-14</t>
  </si>
  <si>
    <t>Gotze</t>
  </si>
  <si>
    <t>{'marketValueHistory': [{'date': '02/07/2009', 'age': '17', 'clubName': 'Borussia Dortmund U19', 'clubID': '1464', 'value': '€400k'}, {'date': '25/11/2009', 'age': '17', 'clubName': 'Borussia Dortmund U19', 'clubID': '1464', 'value': '€750k'}, {'date': '15/01/2010', 'age': '17', 'clubName': 'Borussia Dortmund U19', 'clubID': '1464', 'value': '€1.00m'}, {'date': '26/08/2010', 'age': '18', 'clubName': 'Borussia Dortmund', 'clubID': '16', 'value': '€1.50m'}, {'date': '28/09/2010', 'age': '18', 'clubName': 'Borussia Dortmund', 'clubID': '16', 'value': '€5.00m'}, {'date': '23/11/2010', 'age': '18', 'clubName': 'Borussia Dortmund', 'clubID': '16', 'value': '€7.50m'}, {'date': '12/01/2011', 'age': '18', 'clubName': 'Borussia Dortmund', 'clubID': '16', 'value': '€9.00m'}, {'date': '08/02/2011', 'age': '18', 'clubName': 'Borussia Dortmund', 'clubID': '16', 'value': '€12.50m'}, {'date': '29/06/2011', 'age': '19', 'clubName': 'Borussia Dortmund', 'clubID': '16', 'value': '€18.00m'}, {'date': '26/08/2011', 'age': '19', 'clubName': 'Borussia Dortmund', 'clubID': '16', 'value': '€23.00m'}, {'date': '01/09/2011', 'age': '19', 'clubName': 'Borussia Dortmund', 'clubID': '16', 'value': '€30.00m'}, {'date': '23/01/2012', 'age': '19', 'clubName': 'Borussia Dortmund', 'clubID': '16', 'value': '€30.00m'}, {'date': '29/06/2012', 'age': '20', 'clubName': 'Borussia Dortmund', 'clubID': '16', 'value': '€30.00m'}, {'date': '13/01/2013', 'age': '20', 'clubName': 'Borussia Dortmund', 'clubID': '16', 'value': '€42.00m'}, {'date': '30/06/2013', 'age': '21', 'clubName': 'Borussia Dortmund', 'clubID': '16', 'value': '€45.00m'}, {'date': '12/02/2014', 'age': '21', 'clubName': 'Bayern Munich', 'clubID': '27', 'value': '€55.00m'}, {'date': '10/07/2014', 'age': '22', 'clubName': 'Bayern Munich', 'clubID': '27', 'value': '€48.00m'}, {'date': '04/02/2015', 'age': '22', 'clubName': 'Bayern Munich', 'clubID': '27', 'value': '€50.00m'}, {'date': '01/07/2015', 'age': '23', 'clubName': 'Bayern Munich', 'clubID': '27', 'value': '€45.00m'}, {'date': '15/02/2016', 'age': '23', 'clubName': 'Bayern Munich', 'clubID': '27', 'value': '€40.00m'}, {'date': '13/04/2016', 'age': '23', 'clubName': 'Bayern Munich', 'clubID': '27', 'value': '€35.00m'}, {'date': '01/06/2016', 'age': '23', 'clubName': 'Bayern Munich', 'clubID': '27', 'value': '€35.00m'}, {'date': '22/07/2016', 'age': '24', 'clubName': 'Borussia Dortmund', 'clubID': '16', 'value': '€28.00m'}, {'date': '07/02/2017', 'age': '24', 'clubName': 'Borussia Dortmund', 'clubID': '16', 'value': '€23.00m'}, {'date': '22/03/2017', 'age': '24', 'clubName': 'Borussia Dortmund', 'clubID': '16', 'value': '€20.00m'}, {'date': '19/06/2017', 'age': '25', 'clubName': 'Borussia Dortmund', 'clubID': '16', 'value': '€20.00m'}, {'date': '28/12/2017', 'age': '25', 'clubName': 'Borussia Dortmund', 'clubID': '16', 'value': '€20.00m'}, {'date': '05/06/2018', 'age': '26', 'clubName': 'Borussia Dortmund', 'clubID': '16', 'value': '€18.00m'}, {'date': '18/12/2018', 'age': '26', 'clubName': 'Borussia Dortmund', 'clubID': '16', 'value': '€18.00m'}, {'date': '05/06/2019', 'age': '27', 'clubName': 'Borussia Dortmund', 'clubID': '16', 'value': '€25.00m'}, {'date': '02/10/2019', 'age': '27', 'clubName': 'Borussia Dortmund', 'clubID': '16', 'value': '€22.00m'}, {'date': '17/12/2019', 'age': '27', 'clubName': 'Borussia Dortmund', 'clubID': '16', 'value': '€18.00m'}, {'date': '11/03/2020', 'age': '27', 'clubName': 'Borussia Dortmund', 'clubID': '16', 'value': '€13.00m'}, {'date': '08/04/2020', 'age': '27', 'clubName': 'Borussia Dortmund', 'clubID': '16', 'value': '€10.50m'}, {'date': '14/10/2020', 'age': '28', 'clubName': 'PSV Eindhoven', 'clubID': '383', 'value': '€10.50m'}, {'date': '06/01/2021', 'age': '28', 'clubName': 'PSV Eindhoven', 'clubID': '383', 'value': '€12.00m'}, {'date': '19/05/2021', 'age': '28', 'clubName': 'PSV Eindhoven', 'clubID': '383', 'value': '€12.00m'}, {'date': '05/01/2022', 'age': '29', 'clubName': 'PSV Eindhoven', 'clubID': '383', 'value': '€12.00m'}, {'date': '08/06/2022', 'age': '30', 'clubName': 'PSV Eindhoven', 'clubID': '383', 'value': '€10.00m'}, {'date': '09/11/2022', 'age': '30', 'clubName': 'Eintracht Frankfurt', 'clubID': '24', 'value': '€13.00m'}, {'date': '22/06/2023', 'age': '31', 'clubName': 'Eintracht Frankfurt', 'clubID': '24', 'value': '€12.00m'}, {'date': '18/10/2023', 'age': '31', 'clubName': 'Eintracht Frankfurt', 'clubID': '24', 'value': '€9.00m'}, {'date': '14/12/2023', 'age': '31', 'clubName': 'Eintracht Frankfurt', 'clubID': '24', 'value': '€7.00m'}, {'date': '29/05/2024', 'age': '31', 'clubName': 'Eintracht Frankfurt', 'clubID': '24', 'value': '€5.50m'}, {'date': '20/12/2024', 'age': '32', 'clubName': 'Eintracht Frankfurt', 'clubID': '24', 'value': '€5.00m'}, {'date': '05/06/2025', 'age': '33', 'clubName': 'Eintracht Frankfurt', 'clubID': '24', 'value': '€4.00m'}, {'date': '19/12/2025', 'age': '33', 'clubName': 'Eintracht Frankfurt', 'clubID': '24', 'value': '€3.50m'}]}</t>
  </si>
  <si>
    <t>1992-06-03</t>
  </si>
  <si>
    <t>Taison</t>
  </si>
  <si>
    <t>{'marketValueHistory': [{'date': 'Jun 29, 2008', 'age': '20', 'clubName': 'Sport Club Internacional', 'clubID': '6600', 'value': '€50k'}, {'date': 'Jul 14, 2008', 'age': '20', 'clubName': 'Sport Club Internacional', 'clubID': '6600', 'value': '€800k'}, {'date': 'Aug 6, 2008', 'age': '20', 'clubName': 'Sport Club Internacional', 'clubID': '6600', 'value': '€1.00m'}, {'date': 'Dec 12, 2008', 'age': '20', 'clubName': 'Sport Club Internacional', 'clubID': '6600', 'value': '€1.80m'}, {'date': 'May 19, 2009', 'age': '21', 'clubName': 'Sport Club Internacional', 'clubID': '6600', 'value': '€3.50m'}, {'date': 'Sep 6, 2009', 'age': '21', 'clubName': 'Sport Club Internacional', 'clubID': '6600', 'value': '€2.50m'}, {'date': 'Dec 8, 2009', 'age': '21', 'clubName': 'Sport Club Internacional', 'clubID': '6600', 'value': '€2.00m'}, {'date': 'Apr 14, 2010', 'age': '22', 'clubName': 'Sport Club Internacional', 'clubID': '6600', 'value': '€1.70m'}, {'date': 'Jun 6, 2010', 'age': '22', 'clubName': 'Sport Club Internacional', 'clubID': '6600', 'value': '€1.20m'}, {'date': 'Aug 29, 2010', 'age': '22', 'clubName': 'Metalist Kharkiv', 'clubID': '6414', 'value': '€3.00m'}, {'date': 'Jan 2, 2011', 'age': '22', 'clubName': 'Metalist Kharkiv', 'clubID': '6414', 'value': '€6.00m'}, {'date': 'Jan 5, 2012', 'age': '23', 'clubName': 'Metalist Kharkiv', 'clubID': '6414', 'value': '€7.50m'}, {'date': 'Apr 10, 2012', 'age': '24', 'clubName': 'Metalist Kharkiv', 'clubID': '6414', 'value': '€9.00m'}, {'date': 'Aug 22, 2012', 'age': '24', 'clubName': 'Metalist Kharkiv', 'clubID': '6414', 'value': '€10.00m'}, {'date': 'Nov 22, 2012', 'age': '24', 'clubName': 'Metalist Kharkiv', 'clubID': '6414', 'value': '€12.00m'}, {'date': 'Jan 22, 2013', 'age': '25', 'clubName': 'Shakhtar Donetsk', 'clubID': '660', 'value': '€15.00m'}, {'date': 'Jun 30, 2014', 'age': '26', 'clubName': 'Shakhtar Donetsk', 'clubID': '660', 'value': '€15.00m'}, {'date': 'Dec 25, 2014', 'age': '26', 'clubName': 'Shakhtar Donetsk', 'clubID': '660', 'value': '€15.00m'}, {'date': 'Jun 7, 2015', 'age': '27', 'clubName': 'Shakhtar Donetsk', 'clubID': '660', 'value': '€15.00m'}, {'date': 'Dec 18, 2015', 'age': '27', 'clubName': 'Shakhtar Donetsk', 'clubID': '660', 'value': '€14.00m'}, {'date': 'Jul 21, 2016', 'age': '28', 'clubName': 'Shakhtar Donetsk', 'clubID': '660', 'value': '€13.00m'}, {'date': 'Jan 3, 2017', 'age': '28', 'clubName': 'Shakhtar Donetsk', 'clubID': '660', 'value': '€12.00m'}, {'date': 'Jun 26, 2017', 'age': '29', 'clubName': 'Shakhtar Donetsk', 'clubID': '660', 'value': '€12.00m'}, {'date': 'Jan 12, 2018', 'age': '29', 'clubName': 'Shakhtar Donetsk', 'clubID': '660', 'value': '€11.00m'}, {'date': 'Aug 6, 2018', 'age': '30', 'clubName': 'Shakhtar Donetsk', 'clubID': '660', 'value': '€11.00m'}, {'date': 'Dec 10, 2018', 'age': '30', 'clubName': 'Shakhtar Donetsk', 'clubID': '660', 'value': '€13.00m'}, {'date': 'Jun 20, 2019', 'age': '31', 'clubName': 'Shakhtar Donetsk', 'clubID': '660', 'value': '€12.00m'}, {'date': 'Jan 8, 2020', 'age': '31', 'clubName': 'Shakhtar Donetsk', 'clubID': '660', 'value': '€12.00m'}, {'date': 'Apr 8, 2020', 'age': '32', 'clubName': 'Shakhtar Donetsk', 'clubID': '660', 'value': '€9.50m'}, {'date': 'Sep 4, 2020', 'age': '32', 'clubName': 'Shakhtar Donetsk', 'clubID': '660', 'value': '€8.00m'}, {'date': 'Jan 14, 2021', 'age': '33', 'clubName': 'Shakhtar Donetsk', 'clubID': '660', 'value': '€7.00m'}, {'date': 'May 28, 2021', 'age': '33', 'clubName': 'Sport Club Internacional', 'clubID': '6600', 'value': '€7.00m'}, {'date': 'Dec 17, 2021', 'age': '33', 'clubName': 'Sport Club Internacional', 'clubID': '6600', 'value': '€5.00m'}, {'date': 'Apr 6, 2022', 'age': '34', 'clubName': 'Sport Club Internacional', 'clubID': '6600', 'value': '€4.00m'}, {'date': 'Aug 19, 2022', 'age': '34', 'clubName': 'Sport Club Internacional', 'clubID': '6600', 'value': '€2.50m'}, {'date': 'Nov 14, 2022', 'age': '34', 'clubName': 'Sport Club Internacional', 'clubID': '6600', 'value': '€1.80m'}, {'date': 'Feb 27, 2023', 'age': '35', 'clubName': 'PAOK Thessaloniki', 'clubID': '1091', 'value': '€1.50m'}, {'date': 'May 22, 2023', 'age': '35', 'clubName': 'PAOK Thessaloniki', 'clubID': '1091', 'value': '€1.00m'}, {'date': 'Sep 21, 2023', 'age': '35', 'clubName': 'PAOK Thessaloniki', 'clubID': '1091', 'value': '€600k'}, {'date': 'Dec 20, 2023', 'age': '35', 'clubName': 'PAOK Thessaloniki', 'clubID': '1091', 'value': '€600k'}, {'date': 'May 30, 2024', 'age': '36', 'clubName': 'PAOK Thessaloniki', 'clubID': '1091', 'value': '€500k'}, {'date': 'Dec 18, 2024', 'age': '36', 'clubName': 'PAOK Thessaloniki', 'clubID': '1091', 'value': '€450k'}, {'date': 'May 23, 2025', 'age': '37', 'clubName': 'PAOK Thessaloniki', 'clubID': '1091', 'value': '€300k'}, {'date': 'Dec 12, 2025', 'age': '37', 'clubName': 'PAOK Thessaloniki', 'clubID': '1091', 'value': '€275k'}]}</t>
  </si>
  <si>
    <t>1988-01-13</t>
  </si>
  <si>
    <t>Nik. Maksimovic</t>
  </si>
  <si>
    <t>{'marketValueHistory': [{'date': '29/06/2010', 'age': '18', 'clubName': 'GFK Sloboda Uzice', 'clubID': '11066', 'value': '€400k'}, {'date': '01/11/2010', 'age': '18', 'clubName': 'GFK Sloboda Uzice', 'clubID': '11066', 'value': '€600k'}, {'date': '02/11/2011', 'age': '19', 'clubName': 'GFK Sloboda Uzice', 'clubID': '11066', 'value': '€700k'}, {'date': '09/12/2011', 'age': '20', 'clubName': 'GFK Sloboda Uzice', 'clubID': '11066', 'value': '€800k'}, {'date': '09/04/2012', 'age': '20', 'clubName': 'Red Star Belgrade', 'clubID': '159', 'value': '€1.25m'}, {'date': '02/11/2012', 'age': '20', 'clubName': 'Red Star Belgrade', 'clubID': '159', 'value': '€2.00m'}, {'date': '18/04/2013', 'age': '21', 'clubName': 'Red Star Belgrade', 'clubID': '159', 'value': '€1.25m'}, {'date': '07/01/2014', 'age': '22', 'clubName': 'Torino FC', 'clubID': '416', 'value': '€1.50m'}, {'date': '01/07/2014', 'age': '22', 'clubName': 'Torino FC', 'clubID': '416', 'value': '€2.50m'}, {'date': '07/01/2015', 'age': '23', 'clubName': 'Torino FC', 'clubID': '416', 'value': '€2.80m'}, {'date': '01/07/2015', 'age': '23', 'clubName': 'Torino FC', 'clubID': '416', 'value': '€4.00m'}, {'date': '05/11/2015', 'age': '23', 'clubName': 'Torino FC', 'clubID': '416', 'value': '€7.00m'}, {'date': '04/01/2016', 'age': '24', 'clubName': 'Torino FC', 'clubID': '416', 'value': '€7.00m'}, {'date': '15/07/2016', 'age': '24', 'clubName': 'Torino FC', 'clubID': '416', 'value': '€7.00m'}, {'date': '14/10/2016', 'age': '24', 'clubName': 'SSC Napoli', 'clubID': '6195', 'value': '€12.00m'}, {'date': '02/01/2017', 'age': '25', 'clubName': 'SSC Napoli', 'clubID': '6195', 'value': '€12.00m'}, {'date': '08/06/2017', 'age': '25', 'clubName': 'SSC Napoli', 'clubID': '6195', 'value': '€10.00m'}, {'date': '29/12/2017', 'age': '26', 'clubName': 'SSC Napoli', 'clubID': '6195', 'value': '€9.00m'}, {'date': '06/06/2018', 'age': '26', 'clubName': 'Spartak Moscow', 'clubID': '232', 'value': '€8.00m'}, {'date': '20/12/2018', 'age': '27', 'clubName': 'SSC Napoli', 'clubID': '6195', 'value': '€12.00m'}, {'date': '01/03/2019', 'age': '27', 'clubName': 'SSC Napoli', 'clubID': '6195', 'value': '€17.00m'}, {'date': '06/06/2019', 'age': '27', 'clubName': 'SSC Napoli', 'clubID': '6195', 'value': '€17.00m'}, {'date': '12/12/2019', 'age': '28', 'clubName': 'SSC Napoli', 'clubID': '6195', 'value': '€17.00m'}, {'date': '08/04/2020', 'age': '28', 'clubName': 'SSC Napoli', 'clubID': '6195', 'value': '€13.50m'}, {'date': '25/08/2020', 'age': '28', 'clubName': 'SSC Napoli', 'clubID': '6195', 'value': '€18.00m'}, {'date': '29/12/2020', 'age': '29', 'clubName': 'SSC Napoli', 'clubID': '6195', 'value': '€15.00m'}, {'date': '23/03/2021', 'age': '29', 'clubName': 'SSC Napoli', 'clubID': '6195', 'value': '€12.00m'}, {'date': '03/06/2021', 'age': '29', 'clubName': 'SSC Napoli', 'clubID': '6195', 'value': '€10.00m'}, {'date': '14/10/2021', 'age': '29', 'clubName': 'Genoa CFC', 'clubID': '252', 'value': '€7.50m'}, {'date': '28/12/2021', 'age': '30', 'clubName': 'Genoa CFC', 'clubID': '252', 'value': '€4.50m'}, {'date': '07/06/2022', 'age': '30', 'clubName': 'Genoa CFC', 'clubID': '252', 'value': '€2.50m'}, {'date': '07/10/2022', 'age': '30', 'clubName': 'Without Club', 'clubID': '515', 'value': '€2.00m'}, {'date': '28/03/2023', 'age': '31', 'clubName': 'Without Club', 'clubID': '515', 'value': '€1.50m'}, {'date': '27/09/2023', 'age': '31', 'clubName': 'Hatayspor', 'clubID': '7775', 'value': '€900k'}, {'date': '21/12/2023', 'age': '32', 'clubName': 'Hatayspor', 'clubID': '7775', 'value': '€600k'}, {'date': '15/03/2024', 'age': '32', 'clubName': 'Hatayspor', 'clubID': '7775', 'value': '€550k'}, {'date': '31/05/2024', 'age': '32', 'clubName': 'Hatayspor', 'clubID': '7775', 'value': '€450k'}, {'date': '16/10/2024', 'age': '32', 'clubName': 'Without Club', 'clubID': '515', 'value': '€350k'}, {'date': '10/12/2024', 'age': '33', 'clubName': 'Montpellier HSC', 'clubID': '969', 'value': '€400k'}, {'date': '03/06/2025', 'age': '33', 'clubName': 'Montpellier HSC', 'clubID': '969', 'value': '€300k'}, {'date': '03/10/2025', 'age': '33', 'clubName': 'NK Kustosija Zagreb', 'clubID': '12817', 'value': '-'}]}</t>
  </si>
  <si>
    <t>1991-11-25</t>
  </si>
  <si>
    <t>Fejsa</t>
  </si>
  <si>
    <t>{'marketValueHistory': [{'date': 'Apr 6, 2007', 'age': '18', 'clubName': 'FK Hajduk Kula', 'clubID': '3140', 'value': '€290k'}, {'date': 'Oct 13, 2007', 'age': '19', 'clubName': 'FK Hajduk Kula', 'clubID': '3140', 'value': '€600k'}, {'date': 'Apr 15, 2008', 'age': '19', 'clubName': 'FK Hajduk Kula', 'clubID': '3140', 'value': '€750k'}, {'date': 'Sep 28, 2008', 'age': '20', 'clubName': 'FK Partizan Belgrade', 'clubID': '669', 'value': '€1.35m'}, {'date': 'Dec 18, 2008', 'age': '20', 'clubName': 'FK Partizan Belgrade', 'clubID': '669', 'value': '€1.00m'}, {'date': 'Oct 13, 2009', 'age': '21', 'clubName': 'FK Partizan Belgrade', 'clubID': '669', 'value': '€1.20m'}, {'date': 'Jan 19, 2010', 'age': '21', 'clubName': 'FK Partizan Belgrade', 'clubID': '669', 'value': '€1.50m'}, {'date': 'Apr 19, 2010', 'age': '21', 'clubName': 'FK Partizan Belgrade', 'clubID': '669', 'value': '€2.00m'}, {'date': 'Jul 2, 2011', 'age': '22', 'clubName': 'Olympiacos Piraeus', 'clubID': '683', 'value': '€3.50m'}, {'date': 'Nov 21, 2011', 'age': '23', 'clubName': 'Olympiacos Piraeus', 'clubID': '683', 'value': '€3.50m'}, {'date': 'Feb 26, 2012', 'age': '23', 'clubName': 'Olympiacos Piraeus', 'clubID': '683', 'value': '€3.00m'}, {'date': 'Sep 21, 2012', 'age': '24', 'clubName': 'Olympiacos Piraeus', 'clubID': '683', 'value': '€3.00m'}, {'date': 'Feb 10, 2013', 'age': '24', 'clubName': 'Olympiacos Piraeus', 'clubID': '683', 'value': '€2.50m'}, {'date': 'Oct 8, 2013', 'age': '25', 'clubName': 'SL Benfica', 'clubID': '294', 'value': '€4.50m'}, {'date': 'Jul 25, 2014', 'age': '25', 'clubName': 'SL Benfica', 'clubID': '294', 'value': '€5.50m'}, {'date': 'Feb 17, 2015', 'age': '26', 'clubName': 'SL Benfica', 'clubID': '294', 'value': '€5.00m'}, {'date': 'Jul 1, 2015', 'age': '26', 'clubName': 'SL Benfica', 'clubID': '294', 'value': '€5.00m'}, {'date': 'Feb 24, 2016', 'age': '27', 'clubName': 'SL Benfica', 'clubID': '294', 'value': '€6.50m'}, {'date': 'Jul 29, 2016', 'age': '27', 'clubName': 'SL Benfica', 'clubID': '294', 'value': '€9.00m'}, {'date': 'Oct 31, 2016', 'age': '28', 'clubName': 'SL Benfica', 'clubID': '294', 'value': '€11.00m'}, {'date': 'Feb 22, 2017', 'age': '28', 'clubName': 'SL Benfica', 'clubID': '294', 'value': '€12.00m'}, {'date': 'Jun 26, 2017', 'age': '28', 'clubName': 'SL Benfica', 'clubID': '294', 'value': '€12.00m'}, {'date': 'Feb 7, 2018', 'age': '29', 'clubName': 'SL Benfica', 'clubID': '294', 'value': '€14.00m'}, {'date': 'Jun 13, 2018', 'age': '29', 'clubName': 'SL Benfica', 'clubID': '294', 'value': '€15.00m'}, {'date': 'Jan 11, 2019', 'age': '30', 'clubName': 'SL Benfica', 'clubID': '294', 'value': '€15.00m'}, {'date': 'Jun 7, 2019', 'age': '30', 'clubName': 'SL Benfica', 'clubID': '294', 'value': '€8.00m'}, {'date': 'Dec 30, 2019', 'age': '31', 'clubName': 'SL Benfica', 'clubID': '294', 'value': '€3.50m'}, {'date': 'Apr 8, 2020', 'age': '31', 'clubName': 'Deportivo Alavés', 'clubID': '1108', 'value': '€2.80m'}, {'date': 'Aug 17, 2020', 'age': '32', 'clubName': 'SL Benfica', 'clubID': '294', 'value': '€2.80m'}, {'date': 'Jan 31, 2021', 'age': '32', 'clubName': 'Al-Ahli SFC', 'clubID': '18487', 'value': '€2.60m'}, {'date': 'Jun 18, 2021', 'age': '32', 'clubName': 'Al-Ahli SFC', 'clubID': '18487', 'value': '€2.20m'}, {'date': 'Oct 28, 2021', 'age': '33', 'clubName': 'Without Club', 'clubID': '515', 'value': '€1.50m'}, {'date': 'Jun 26, 2022', 'age': '33', 'clubName': 'FK Partizan Belgrade', 'clubID': '669', 'value': '€1.00m'}, {'date': 'Nov 18, 2022', 'age': '34', 'clubName': 'FK Partizan Belgrade', 'clubID': '669', 'value': '€500k'}, {'date': 'Jun 22, 2023', 'age': '34', 'clubName': 'FK Partizan Belgrade', 'clubID': '669', 'value': '€250k'}, {'date': 'Mar 29, 2024', 'age': '35', 'clubName': 'Without Club', 'clubID': '515', 'value': '€150k'}, {'date': 'Oct 9, 2024', 'age': '36', 'clubName': 'Retired', 'clubID': '123', 'value': '-'}]}</t>
  </si>
  <si>
    <t>1988-08-14</t>
  </si>
  <si>
    <t>Glik</t>
  </si>
  <si>
    <t>{'marketValueHistory': [{'date': '08/11/2007', 'age': '19', 'clubName': 'Real Madrid C (- 2015)', 'clubID': '2868', 'value': '€75k'}, {'date': '20/11/2007', 'age': '19', 'clubName': 'Real Madrid C (- 2015)', 'clubID': '2868', 'value': '-'}, {'date': '06/08/2008', 'age': '20', 'clubName': 'Piast Gliwice', 'clubID': '6112', 'value': '€75k'}, {'date': '08/09/2009', 'age': '21', 'clubName': 'Piast Gliwice', 'clubID': '6112', 'value': '€500k'}, {'date': '07/07/2010', 'age': '22', 'clubName': 'US Palermo', 'clubID': '458', 'value': '€1.50m'}, {'date': '21/06/2011', 'age': '23', 'clubName': 'AS Bari', 'clubID': '332', 'value': '€1.20m'}, {'date': '01/01/2012', 'age': '23', 'clubName': 'Torino FC', 'clubID': '416', 'value': '€900k'}, {'date': '12/06/2012', 'age': '24', 'clubName': 'Torino FC', 'clubID': '416', 'value': '€800k'}, {'date': '14/01/2013', 'age': '24', 'clubName': 'Torino FC', 'clubID': '416', 'value': '€1.50m'}, {'date': '19/06/2013', 'age': '25', 'clubName': 'Torino FC', 'clubID': '416', 'value': '€2.00m'}, {'date': '25/09/2013', 'age': '25', 'clubName': 'Torino FC', 'clubID': '416', 'value': '€2.50m'}, {'date': '07/01/2014', 'age': '25', 'clubName': 'Torino FC', 'clubID': '416', 'value': '€4.00m'}, {'date': '01/07/2014', 'age': '26', 'clubName': 'Torino FC', 'clubID': '416', 'value': '€6.00m'}, {'date': '07/01/2015', 'age': '26', 'clubName': 'Torino FC', 'clubID': '416', 'value': '€8.00m'}, {'date': '01/07/2015', 'age': '27', 'clubName': 'Torino FC', 'clubID': '416', 'value': '€11.00m'}, {'date': '04/01/2016', 'age': '27', 'clubName': 'Torino FC', 'clubID': '416', 'value': '€11.00m'}, {'date': '01/06/2016', 'age': '28', 'clubName': 'Torino FC', 'clubID': '416', 'value': '€10.00m'}, {'date': '13/07/2016', 'age': '28', 'clubName': 'AS Monaco', 'clubID': '162', 'value': '€11.00m'}, {'date': '16/01/2017', 'age': '28', 'clubName': 'AS Monaco', 'clubID': '162', 'value': '€15.00m'}, {'date': '01/06/2017', 'age': '29', 'clubName': 'AS Monaco', 'clubID': '162', 'value': '€18.00m'}, {'date': '24/01/2018', 'age': '29', 'clubName': 'AS Monaco', 'clubID': '162', 'value': '€20.00m'}, {'date': '04/06/2018', 'age': '30', 'clubName': 'AS Monaco', 'clubID': '162', 'value': '€18.00m'}, {'date': '24/10/2018', 'age': '30', 'clubName': 'AS Monaco', 'clubID': '162', 'value': '€15.00m'}, {'date': '17/12/2018', 'age': '30', 'clubName': 'AS Monaco', 'clubID': '162', 'value': '€10.00m'}, {'date': '03/06/2019', 'age': '31', 'clubName': 'AS Monaco', 'clubID': '162', 'value': '€8.00m'}, {'date': '19/12/2019', 'age': '31', 'clubName': 'AS Monaco', 'clubID': '162', 'value': '€6.00m'}, {'date': '08/04/2020', 'age': '32', 'clubName': 'AS Monaco', 'clubID': '162', 'value': '€4.80m'}, {'date': '03/08/2020', 'age': '32', 'clubName': 'AS Monaco', 'clubID': '162', 'value': '€3.50m'}, {'date': '29/12/2020', 'age': '32', 'clubName': 'Benevento Calcio', 'clubID': '4171', 'value': '€3.00m'}, {'date': '31/05/2021', 'age': '33', 'clubName': 'Benevento Calcio', 'clubID': '4171', 'value': '€2.00m'}, {'date': '29/12/2021', 'age': '33', 'clubName': 'Benevento Calcio', 'clubID': '4171', 'value': '€1.50m'}, {'date': '06/06/2022', 'age': '34', 'clubName': 'Benevento Calcio', 'clubID': '4171', 'value': '€1.00m'}, {'date': '11/11/2022', 'age': '34', 'clubName': 'Benevento Calcio', 'clubID': '4171', 'value': '€800k'}, {'date': '22/12/2022', 'age': '34', 'clubName': 'Benevento Calcio', 'clubID': '4171', 'value': '€800k'}, {'date': '12/06/2023', 'age': '35', 'clubName': 'Benevento Calcio', 'clubID': '4171', 'value': '€500k'}, {'date': '29/12/2023', 'age': '35', 'clubName': 'Cracovia', 'clubID': '5689', 'value': '€350k'}, {'date': '28/03/2024', 'age': '36', 'clubName': 'Cracovia', 'clubID': '5689', 'value': '€250k'}, {'date': '07/06/2024', 'age': '36', 'clubName': 'Cracovia', 'clubID': '5689', 'value': '€250k'}, {'date': '09/12/2024', 'age': '36', 'clubName': 'Cracovia', 'clubID': '5689', 'value': '€200k'}, {'date': '03/04/2025', 'age': '37', 'clubName': 'Cracovia', 'clubID': '5689', 'value': '€150k'}, {'date': '06/06/2025', 'age': '37', 'clubName': 'Cracovia', 'clubID': '5689', 'value': '€150k'}, {'date': '26/09/2025', 'age': '37', 'clubName': 'Cracovia', 'clubID': '5689', 'value': '€100k'}, {'date': '08/12/2025', 'age': '37', 'clubName': 'Cracovia', 'clubID': '5689', 'value': '€75k'}]}</t>
  </si>
  <si>
    <t>1988-02-03</t>
  </si>
  <si>
    <t>Kverkvelia</t>
  </si>
  <si>
    <t>{'marketValueHistory': [{'date': 'Jul 27, 2011', 'age': '19', 'clubName': 'Rubin Kazan', 'clubID': '2698', 'value': '€100k'}, {'date': 'Dec 23, 2011', 'age': '19', 'clubName': 'Rubin Kazan', 'clubID': '2698', 'value': '€350k'}, {'date': 'Jul 2, 2012', 'age': '20', 'clubName': 'Rubin Kazan', 'clubID': '2698', 'value': '€400k'}, {'date': 'Jan 22, 2013', 'age': '20', 'clubName': 'Rubin Kazan', 'clubID': '2698', 'value': '€450k'}, {'date': 'Jun 19, 2013', 'age': '21', 'clubName': 'Rubin Kazan', 'clubID': '2698', 'value': '€600k'}, {'date': 'Mar 3, 2014', 'age': '22', 'clubName': 'Rubin Kazan', 'clubID': '2698', 'value': '€800k'}, {'date': 'Jul 31, 2014', 'age': '22', 'clubName': 'Rubin Kazan', 'clubID': '2698', 'value': '€1.00m'}, {'date': 'Feb 23, 2015', 'age': '23', 'clubName': 'Rubin Kazan', 'clubID': '2698', 'value': '€3.50m'}, {'date': 'Jun 18, 2015', 'age': '23', 'clubName': 'Rubin Kazan', 'clubID': '2698', 'value': '€4.50m'}, {'date': 'Jan 6, 2016', 'age': '23', 'clubName': 'Rubin Kazan', 'clubID': '2698', 'value': '€5.00m'}, {'date': 'May 25, 2016', 'age': '24', 'clubName': 'Rubin Kazan', 'clubID': '2698', 'value': '€4.50m'}, {'date': 'Oct 16, 2016', 'age': '24', 'clubName': 'Rubin Kazan', 'clubID': '2698', 'value': '€4.00m'}, {'date': 'Dec 27, 2016', 'age': '24', 'clubName': 'Rubin Kazan', 'clubID': '2698', 'value': '€3.00m'}, {'date': 'Jun 1, 2017', 'age': '25', 'clubName': 'Lokomotiv Moskau', 'clubID': '932', 'value': '€3.50m'}, {'date': 'Oct 2, 2017', 'age': '25', 'clubName': 'Lokomotiv Moscow', 'clubID': '932', 'value': '€4.50m'}, {'date': 'Dec 23, 2017', 'age': '25', 'clubName': 'Lokomotiv Moscow', 'clubID': '932', 'value': '€5.80m'}, {'date': 'Jun 6, 2018', 'age': '26', 'clubName': 'Lokomotiv Moscow', 'clubID': '932', 'value': '€8.00m'}, {'date': 'Dec 20, 2018', 'age': '26', 'clubName': 'Lokomotiv Moscow', 'clubID': '932', 'value': '€8.00m'}, {'date': 'Jun 14, 2019', 'age': '27', 'clubName': 'Lokomotiv Moscow', 'clubID': '932', 'value': '€10.00m'}, {'date': 'Dec 23, 2019', 'age': '27', 'clubName': 'Lokomotiv Moscow', 'clubID': '932', 'value': '€8.00m'}, {'date': 'Apr 8, 2020', 'age': '28', 'clubName': 'Lokomotiv Moscow', 'clubID': '932', 'value': '€6.50m'}, {'date': 'Jul 29, 2020', 'age': '28', 'clubName': 'Lokomotiv Moscow', 'clubID': '932', 'value': '€5.00m'}, {'date': 'Dec 29, 2020', 'age': '28', 'clubName': 'Rotor Volgograd', 'clubID': '3609', 'value': '€3.00m'}, {'date': 'Jun 2, 2021', 'age': '29', 'clubName': 'Rotor Volgograd', 'clubID': '3609', 'value': '€2.50m'}, {'date': 'Dec 20, 2021', 'age': '29', 'clubName': 'Metalist 1925 Kharkiv', 'clubID': '55686', 'value': '€1.50m'}, {'date': 'May 5, 2022', 'age': '30', 'clubName': 'FC Gagra', 'clubID': '22842', 'value': '€1.00m'}, {'date': 'Dec 27, 2022', 'age': '30', 'clubName': 'Neftchi PFK', 'clubID': '8031', 'value': '€700k'}, {'date': 'May 31, 2023', 'age': '31', 'clubName': 'Neftchi PFK', 'clubID': '8031', 'value': '€700k'}, {'date': 'Dec 15, 2023', 'age': '31', 'clubName': 'Al-Okhdood Club', 'clubID': '71665', 'value': '€700k'}, {'date': 'Jun 4, 2024', 'age': '32', 'clubName': 'Al-Okhdood Club', 'clubID': '71665', 'value': '€700k'}, {'date': 'Sep 25, 2024', 'age': '32', 'clubName': 'Dinamo Tbilisi', 'clubID': '663', 'value': '€500k'}, {'date': 'Dec 23, 2024', 'age': '32', 'clubName': 'Dinamo Tbilisi', 'clubID': '663', 'value': '€400k'}, {'date': 'May 26, 2025', 'age': '33', 'clubName': 'Torpedo Kutaisi', 'clubID': '253', 'value': '€350k'}, {'date': 'Dec 19, 2025', 'age': '33', 'clubName': 'Torpedo Kutaisi', 'clubID': '253', 'value': '€250k'}]}</t>
  </si>
  <si>
    <t>Georgia</t>
  </si>
  <si>
    <t>1992-02-06</t>
  </si>
  <si>
    <t>Mantalos</t>
  </si>
  <si>
    <t>{'marketValueHistory': [{'date': '02/11/2009', 'age': '18', 'clubName': 'Skoda Xanthi', 'clubID': '128', 'value': '€100k'}, {'date': '18/01/2010', 'age': '18', 'clubName': 'Skoda Xanthi', 'clubID': '128', 'value': '€100k'}, {'date': '22/02/2011', 'age': '19', 'clubName': 'Skoda Xanthi', 'clubID': '128', 'value': '€100k'}, {'date': '30/06/2011', 'age': '19', 'clubName': 'Skoda Xanthi', 'clubID': '128', 'value': '€150k'}, {'date': '14/11/2011', 'age': '20', 'clubName': 'Skoda Xanthi', 'clubID': '128', 'value': '€250k'}, {'date': '26/02/2012', 'age': '20', 'clubName': 'Skoda Xanthi', 'clubID': '128', 'value': '€600k'}, {'date': '21/09/2012', 'age': '21', 'clubName': 'Skoda Xanthi', 'clubID': '128', 'value': '€700k'}, {'date': '10/02/2013', 'age': '21', 'clubName': 'Skoda Xanthi', 'clubID': '128', 'value': '€800k'}, {'date': '28/03/2014', 'age': '22', 'clubName': 'Skoda Xanthi', 'clubID': '128', 'value': '€800k'}, {'date': '21/12/2014', 'age': '23', 'clubName': 'AEK Athens', 'clubID': '2441', 'value': '€1.20m'}, {'date': '07/06/2015', 'age': '23', 'clubName': 'AEK Athens', 'clubID': '2441', 'value': '€1.50m'}, {'date': '27/09/2015', 'age': '24', 'clubName': 'AEK Athens', 'clubID': '2441', 'value': '€1.50m'}, {'date': '21/02/2016', 'age': '24', 'clubName': 'AEK Athens', 'clubID': '2441', 'value': '€1.75m'}, {'date': '21/06/2016', 'age': '24', 'clubName': 'AEK Athens', 'clubID': '2441', 'value': '€1.75m'}, {'date': '21/12/2016', 'age': '25', 'clubName': 'AEK Athens', 'clubID': '2441', 'value': '€2.00m'}, {'date': '11/05/2017', 'age': '25', 'clubName': 'AEK Athens', 'clubID': '2441', 'value': '€3.00m'}, {'date': '18/12/2017', 'age': '26', 'clubName': 'AEK Athens', 'clubID': '2441', 'value': '€3.00m'}, {'date': '22/05/2018', 'age': '26', 'clubName': 'AEK Athens', 'clubID': '2441', 'value': '€3.50m'}, {'date': '07/12/2018', 'age': '27', 'clubName': 'AEK Athens', 'clubID': '2441', 'value': '€4.00m'}, {'date': '21/05/2019', 'age': '27', 'clubName': 'AEK Athens', 'clubID': '2441', 'value': '€4.00m'}, {'date': '23/09/2019', 'age': '28', 'clubName': 'AEK Athens', 'clubID': '2441', 'value': '€3.50m'}, {'date': '18/12/2019', 'age': '28', 'clubName': 'AEK Athens', 'clubID': '2441', 'value': '€3.50m'}, {'date': '08/04/2020', 'age': '28', 'clubName': 'AEK Athens', 'clubID': '2441', 'value': '€2.80m'}, {'date': '04/08/2020', 'age': '28', 'clubName': 'AEK Athens', 'clubID': '2441', 'value': '€4.00m'}, {'date': '12/02/2021', 'age': '29', 'clubName': 'AEK Athens', 'clubID': '2441', 'value': '€4.00m'}, {'date': '01/11/2021', 'age': '30', 'clubName': 'AEK Athens', 'clubID': '2441', 'value': '€3.20m'}, {'date': '09/06/2022', 'age': '30', 'clubName': 'AEK Athens', 'clubID': '2441', 'value': '€3.00m'}, {'date': '07/11/2022', 'age': '31', 'clubName': 'AEK Athens', 'clubID': '2441', 'value': '€2.50m'}, {'date': '22/05/2023', 'age': '31', 'clubName': 'AEK Athens', 'clubID': '2441', 'value': '€2.50m'}, {'date': '21/09/2023', 'age': '32', 'clubName': 'AEK Athens', 'clubID': '2441', 'value': '€2.00m'}, {'date': '20/12/2023', 'age': '32', 'clubName': 'AEK Athens', 'clubID': '2441', 'value': '€2.00m'}, {'date': '30/05/2024', 'age': '32', 'clubName': 'AEK Athens', 'clubID': '2441', 'value': '€1.80m'}, {'date': '18/12/2024', 'age': '33', 'clubName': 'AEK Athens', 'clubID': '2441', 'value': '€1.50m'}, {'date': '23/05/2025', 'age': '33', 'clubName': 'AEK Athens', 'clubID': '2441', 'value': '€1.20m'}, {'date': '12/12/2025', 'age': '34', 'clubName': 'AEK Athens', 'clubID': '2441', 'value': '€1.00m'}]}</t>
  </si>
  <si>
    <t>1991-08-31</t>
  </si>
  <si>
    <t>Aurier</t>
  </si>
  <si>
    <t>{'marketValueHistory': [{'date': 'Jul 20, 2010', 'age': '17', 'clubName': 'RC Lens', 'clubID': '826', 'value': '€500k'}, {'date': 'Dec 28, 2010', 'age': '18', 'clubName': 'RC Lens', 'clubID': '826', 'value': '€1.50m'}, {'date': 'May 24, 2011', 'age': '18', 'clubName': 'RC Lens', 'clubID': '826', 'value': '€2.00m'}, {'date': 'Dec 24, 2011', 'age': '19', 'clubName': 'RC Lens', 'clubID': '826', 'value': '€2.00m'}, {'date': 'May 23, 2012', 'age': '19', 'clubName': 'FC Toulouse', 'clubID': '415', 'value': '€2.00m'}, {'date': 'Jan 7, 2013', 'age': '20', 'clubName': 'FC Toulouse', 'clubID': '415', 'value': '€3.00m'}, {'date': 'Jan 19, 2013', 'age': '20', 'clubName': 'FC Toulouse', 'clubID': '415', 'value': '€4.00m'}, {'date': 'May 30, 2013', 'age': '20', 'clubName': 'FC Toulouse', 'clubID': '415', 'value': '€6.00m'}, {'date': 'Jan 14, 2014', 'age': '21', 'clubName': 'FC Toulouse', 'clubID': '415', 'value': '€6.50m'}, {'date': 'Aug 1, 2014', 'age': '21', 'clubName': 'Paris Saint-Germain', 'clubID': '583', 'value': '€10.00m'}, {'date': 'Jan 14, 2015', 'age': '22', 'clubName': 'Paris Saint-Germain', 'clubID': '583', 'value': '€10.00m'}, {'date': 'Jun 6, 2015', 'age': '22', 'clubName': 'Paris Saint-Germain', 'clubID': '583', 'value': '€10.00m'}, {'date': 'Feb 4, 2016', 'age': '23', 'clubName': 'Paris Saint-Germain', 'clubID': '583', 'value': '€15.00m'}, {'date': 'Jul 13, 2016', 'age': '23', 'clubName': 'Paris Saint-Germain', 'clubID': '583', 'value': '€15.00m'}, {'date': 'Jan 16, 2017', 'age': '24', 'clubName': 'Paris Saint-Germain', 'clubID': '583', 'value': '€15.00m'}, {'date': 'Jun 1, 2017', 'age': '24', 'clubName': 'Paris Saint-Germain', 'clubID': '583', 'value': '€15.00m'}, {'date': 'Jan 2, 2018', 'age': '25', 'clubName': 'Tottenham Hotspur', 'clubID': '148', 'value': '€20.00m'}, {'date': 'May 28, 2018', 'age': '25', 'clubName': 'Tottenham Hotspur', 'clubID': '148', 'value': '€20.00m'}, {'date': 'Dec 19, 2018', 'age': '25', 'clubName': 'Tottenham Hotspur', 'clubID': '148', 'value': '€20.00m'}, {'date': 'Jun 13, 2019', 'age': '26', 'clubName': 'Tottenham Hotspur', 'clubID': '148', 'value': '€18.00m'}, {'date': 'Sep 12, 2019', 'age': '26', 'clubName': 'Tottenham Hotspur', 'clubID': '148', 'value': '€15.00m'}, {'date': 'Dec 10, 2019', 'age': '26', 'clubName': 'Tottenham Hotspur', 'clubID': '148', 'value': '€20.00m'}, {'date': 'Apr 8, 2020', 'age': '27', 'clubName': 'Tottenham Hotspur', 'clubID': '148', 'value': '€16.00m'}, {'date': 'Oct 13, 2020', 'age': '27', 'clubName': 'Tottenham Hotspur', 'clubID': '148', 'value': '€16.00m'}, {'date': 'Dec 17, 2020', 'age': '27', 'clubName': 'Tottenham Hotspur', 'clubID': '148', 'value': '€20.00m'}, {'date': 'Mar 18, 2021', 'age': '28', 'clubName': 'Tottenham Hotspur', 'clubID': '148', 'value': '€20.00m'}, {'date': 'Jun 8, 2021', 'age': '28', 'clubName': 'Tottenham Hotspur', 'clubID': '148', 'value': '€20.00m'}, {'date': 'Oct 13, 2021', 'age': '28', 'clubName': 'Villarreal CF', 'clubID': '1050', 'value': '€15.00m'}, {'date': 'Dec 30, 2021', 'age': '29', 'clubName': 'Villarreal CF', 'clubID': '1050', 'value': '€12.00m'}, {'date': 'Jun 3, 2022', 'age': '29', 'clubName': 'Villarreal CF', 'clubID': '1050', 'value': '€10.00m'}, {'date': 'Sep 15, 2022', 'age': '29', 'clubName': 'Nottingham Forest', 'clubID': '703', 'value': '€8.00m'}, {'date': 'Nov 3, 2022', 'age': '29', 'clubName': 'Nottingham Forest', 'clubID': '703', 'value': '€6.00m'}, {'date': 'Jun 20, 2023', 'age': '30', 'clubName': 'Nottingham Forest', 'clubID': '703', 'value': '€8.00m'}, {'date': 'Dec 19, 2023', 'age': '30', 'clubName': 'Nottingham Forest', 'clubID': '703', 'value': '€7.00m'}, {'date': 'Mar 15, 2024', 'age': '31', 'clubName': 'Galatasaray', 'clubID': '141', 'value': '€6.00m'}, {'date': 'May 31, 2024', 'age': '31', 'clubName': 'Galatasaray', 'clubID': '141', 'value': '€3.70m'}, {'date': 'Oct 16, 2024', 'age': '31', 'clubName': 'Without Club', 'clubID': '515', 'value': '€2.50m'}, {'date': 'Apr 4, 2025', 'age': '32', 'clubName': 'Without Club', 'clubID': '515', 'value': '€1.50m'}, {'date': 'Dec 8, 2025', 'age': '32', 'clubName': 'Persepolis FC', 'clubID': '6079', 'value': '€1.20m'}, {'date': 'Apr 9, 2026', 'age': '33', 'clubName': 'Without Club', 'clubID': '515', 'value': '€800k'}]}</t>
  </si>
  <si>
    <t>1992-12-24</t>
  </si>
  <si>
    <t>Krsticic</t>
  </si>
  <si>
    <t>{'marketValueHistory': [{'date': '08/10/2007', 'age': '17', 'clubName': 'OFK Beograd', 'clubID': '53', 'value': '€400k'}, {'date': '23/12/2007', 'age': '17', 'clubName': 'OFK Beograd', 'clubID': '53', 'value': '€750k'}, {'date': '16/03/2008', 'age': '17', 'clubName': 'OFK Beograd', 'clubID': '53', 'value': '€600k'}, {'date': '03/02/2009', 'age': '18', 'clubName': 'Sampdoria Primavera', 'clubID': '12001', 'value': '€300k'}, {'date': '09/05/2011', 'age': '20', 'clubName': 'Sampdoria Primavera', 'clubID': '12001', 'value': '€200k'}, {'date': '01/01/2012', 'age': '21', 'clubName': 'UC Sampdoria', 'clubID': '1038', 'value': '€175k'}, {'date': '14/06/2012', 'age': '21', 'clubName': 'UC Sampdoria', 'clubID': '1038', 'value': '€350k'}, {'date': '14/01/2013', 'age': '22', 'clubName': 'UC Sampdoria', 'clubID': '1038', 'value': '€2.00m'}, {'date': '19/06/2013', 'age': '22', 'clubName': 'UC Sampdoria', 'clubID': '1038', 'value': '€3.30m'}, {'date': '07/01/2014', 'age': '23', 'clubName': 'UC Sampdoria', 'clubID': '1038', 'value': '€3.00m'}, {'date': '01/07/2014', 'age': '23', 'clubName': 'UC Sampdoria', 'clubID': '1038', 'value': '€3.20m'}, {'date': '07/01/2015', 'age': '24', 'clubName': 'UC Sampdoria', 'clubID': '1038', 'value': '€2.80m'}, {'date': '29/06/2015', 'age': '24', 'clubName': 'Bologna FC 1909', 'clubID': '1025', 'value': '€2.50m'}, {'date': '04/01/2016', 'age': '25', 'clubName': 'UC Sampdoria', 'clubID': '1038', 'value': '€2.20m'}, {'date': '15/07/2016', 'age': '26', 'clubName': 'UC Sampdoria', 'clubID': '1038', 'value': '€2.00m'}, {'date': '24/01/2017', 'age': '26', 'clubName': 'Deportivo Alavés', 'clubID': '1108', 'value': '€1.50m'}, {'date': '05/06/2017', 'age': '26', 'clubName': 'Deportivo Alavés', 'clubID': '1108', 'value': '€1.00m'}, {'date': '10/01/2018', 'age': '27', 'clubName': 'Red Star Belgrade', 'clubID': '159', 'value': '€1.75m'}, {'date': '02/07/2018', 'age': '27', 'clubName': 'Red Star Belgrade', 'clubID': '159', 'value': '€2.50m'}, {'date': '12/01/2019', 'age': '28', 'clubName': 'AEK Athens', 'clubID': '2441', 'value': '€3.25m'}, {'date': '21/05/2019', 'age': '28', 'clubName': 'AEK Athens', 'clubID': '2441', 'value': '€2.50m'}, {'date': '23/09/2019', 'age': '29', 'clubName': 'AEK Athens', 'clubID': '2441', 'value': '€2.00m'}, {'date': '18/12/2019', 'age': '29', 'clubName': 'AEK Athens', 'clubID': '2441', 'value': '€1.75m'}, {'date': '08/04/2020', 'age': '29', 'clubName': 'AEK Athens', 'clubID': '2441', 'value': '€1.40m'}, {'date': '04/08/2020', 'age': '30', 'clubName': 'AEK Athens', 'clubID': '2441', 'value': '€1.80m'}, {'date': '12/02/2021', 'age': '30', 'clubName': 'AEK Athens', 'clubID': '2441', 'value': '€1.50m'}, {'date': '25/12/2021', 'age': '31', 'clubName': 'Red Star Belgrade', 'clubID': '159', 'value': '€1.00m'}, {'date': '26/06/2022', 'age': '31', 'clubName': 'Red Star Belgrade', 'clubID': '159', 'value': '€800k'}, {'date': '12/09/2022', 'age': '32', 'clubName': 'Red Star Belgrade', 'clubID': '159', 'value': '€500k'}, {'date': '18/11/2022', 'age': '32', 'clubName': 'Red Star Belgrade', 'clubID': '159', 'value': '€400k'}, {'date': '22/06/2023', 'age': '32', 'clubName': 'Red Star Belgrade', 'clubID': '159', 'value': '€100k'}, {'date': '01/07/2023', 'age': '32', 'clubName': 'Retired', 'clubID': '123', 'value': '-'}]}</t>
  </si>
  <si>
    <t>1990-07-03</t>
  </si>
  <si>
    <t>Stambouli</t>
  </si>
  <si>
    <t>{'marketValueHistory': [{'date': 'Jul 16, 2010', 'age': '19', 'clubName': 'Montpellier HSC', 'clubID': '969', 'value': '€50k'}, {'date': 'Sep 8, 2010', 'age': '20', 'clubName': 'Montpellier HSC', 'clubID': '969', 'value': '€400k'}, {'date': 'Dec 28, 2010', 'age': '20', 'clubName': 'Montpellier HSC', 'clubID': '969', 'value': '€1.00m'}, {'date': 'May 24, 2011', 'age': '20', 'clubName': 'Montpellier HSC', 'clubID': '969', 'value': '€1.30m'}, {'date': 'Dec 24, 2011', 'age': '21', 'clubName': 'Montpellier HSC', 'clubID': '969', 'value': '€1.50m'}, {'date': 'May 23, 2012', 'age': '21', 'clubName': 'Montpellier HSC', 'clubID': '969', 'value': '€2.50m'}, {'date': 'Jan 7, 2013', 'age': '22', 'clubName': 'Montpellier HSC', 'clubID': '969', 'value': '€3.00m'}, {'date': 'May 30, 2013', 'age': '22', 'clubName': 'Montpellier HSC', 'clubID': '969', 'value': '€3.00m'}, {'date': 'Jan 14, 2014', 'age': '23', 'clubName': 'Montpellier HSC', 'clubID': '969', 'value': '€3.50m'}, {'date': 'Aug 7, 2014', 'age': '23', 'clubName': 'Montpellier HSC', 'clubID': '969', 'value': '€5.00m'}, {'date': 'Feb 12, 2015', 'age': '24', 'clubName': 'Tottenham Hotspur', 'clubID': '148', 'value': '€5.00m'}, {'date': 'Jul 1, 2015', 'age': '24', 'clubName': 'Tottenham Hotspur', 'clubID': '148', 'value': '€5.00m'}, {'date': 'Sep 6, 2015', 'age': '25', 'clubName': 'Paris Saint-Germain', 'clubID': '583', 'value': '€8.00m'}, {'date': 'Feb 4, 2016', 'age': '25', 'clubName': 'Paris Saint-Germain', 'clubID': '583', 'value': '€7.50m'}, {'date': 'Jul 13, 2016', 'age': '25', 'clubName': 'Paris Saint-Germain', 'clubID': '583', 'value': '€7.00m'}, {'date': 'Feb 7, 2017', 'age': '26', 'clubName': 'FC Schalke 04', 'clubID': '33', 'value': '€7.00m'}, {'date': 'Jun 19, 2017', 'age': '26', 'clubName': 'FC Schalke 04', 'clubID': '33', 'value': '€6.00m'}, {'date': 'Dec 28, 2017', 'age': '27', 'clubName': 'FC Schalke 04', 'clubID': '33', 'value': '€7.00m'}, {'date': 'Jun 5, 2018', 'age': '27', 'clubName': 'FC Schalke 04', 'clubID': '33', 'value': '€9.00m'}, {'date': 'Dec 18, 2018', 'age': '28', 'clubName': 'FC Schalke 04', 'clubID': '33', 'value': '€11.00m'}, {'date': 'Jun 5, 2019', 'age': '28', 'clubName': 'FC Schalke 04', 'clubID': '33', 'value': '€10.00m'}, {'date': 'Dec 17, 2019', 'age': '29', 'clubName': 'FC Schalke 04', 'clubID': '33', 'value': '€12.00m'}, {'date': 'Apr 8, 2020', 'age': '29', 'clubName': 'FC Schalke 04', 'clubID': '33', 'value': '€9.50m'}, {'date': 'Sep 16, 2020', 'age': '30', 'clubName': 'FC Schalke 04', 'clubID': '33', 'value': '€8.00m'}, {'date': 'Nov 26, 2020', 'age': '30', 'clubName': 'FC Schalke 04', 'clubID': '33', 'value': '€4.00m'}, {'date': 'Feb 10, 2021', 'age': '30', 'clubName': 'FC Schalke 04', 'clubID': '33', 'value': '€3.00m'}, {'date': 'Jun 9, 2021', 'age': '30', 'clubName': 'FC Schalke 04', 'clubID': '33', 'value': '€1.50m'}, {'date': 'Oct 12, 2021', 'age': '31', 'clubName': 'Adana Demirspor', 'clubID': '3840', 'value': '€1.30m'}, {'date': 'Jan 4, 2022', 'age': '31', 'clubName': 'Adana Demirspor', 'clubID': '3840', 'value': '€1.40m'}, {'date': 'Mar 31, 2022', 'age': '31', 'clubName': 'Adana Demirspor', 'clubID': '3840', 'value': '€1.50m'}, {'date': 'Jun 1, 2022', 'age': '31', 'clubName': 'Adana Demirspor', 'clubID': '3840', 'value': '€1.50m'}, {'date': 'Oct 27, 2022', 'age': '32', 'clubName': 'Adana Demirspor', 'clubID': '3840', 'value': '€1.40m'}, {'date': 'Mar 14, 2023', 'age': '32', 'clubName': 'Adana Demirspor', 'clubID': '3840', 'value': '€1.20m'}, {'date': 'Jun 8, 2023', 'age': '32', 'clubName': 'Adana Demirspor', 'clubID': '3840', 'value': '€1.20m'}, {'date': 'Sep 27, 2023', 'age': '33', 'clubName': 'Adana Demirspor', 'clubID': '3840', 'value': '€1.00m'}, {'date': 'Dec 21, 2023', 'age': '33', 'clubName': 'Adana Demirspor', 'clubID': '3840', 'value': '€800k'}, {'date': 'Jun 3, 2024', 'age': '33', 'clubName': 'Stade Reims', 'clubID': '1421', 'value': '€700k'}, {'date': 'Oct 3, 2024', 'age': '34', 'clubName': 'FC Metz', 'clubID': '347', 'value': '€600k'}, {'date': 'Dec 4, 2024', 'age': '34', 'clubName': 'FC Metz', 'clubID': '347', 'value': '€500k'}, {'date': 'Jun 2, 2025', 'age': '34', 'clubName': 'FC Metz', 'clubID': '347', 'value': '€400k'}, {'date': 'Dec 15, 2025', 'age': '35', 'clubName': 'FC Metz', 'clubID': '347', 'value': '€300k'}]}</t>
  </si>
  <si>
    <t>1990-08-13</t>
  </si>
  <si>
    <t>Rodrigo</t>
  </si>
  <si>
    <t>Seferovic</t>
  </si>
  <si>
    <t>{'marketValueHistory': [{'date': 'Jun 27, 2009', 'age': '17', 'clubName': 'Grasshopper Club Zürich U18', 'clubID': '14543', 'value': '€50k'}, {'date': 'Feb 1, 2010', 'age': '17', 'clubName': 'ACF Fiorentina', 'clubID': '430', 'value': '€500k'}, {'date': 'Dec 15, 2011', 'age': '19', 'clubName': 'Neuchâtel Xamax FCS', 'clubID': '625', 'value': '€1.00m'}, {'date': 'Jun 7, 2012', 'age': '20', 'clubName': 'US Lecce', 'clubID': '1005', 'value': '€1.00m'}, {'date': 'Jan 15, 2013', 'age': '20', 'clubName': 'ACF Fiorentina', 'clubID': '430', 'value': '€1.00m'}, {'date': 'Jun 25, 2013', 'age': '21', 'clubName': 'Novara Calcio 1908', 'clubID': '6692', 'value': '€2.80m'}, {'date': 'Jul 25, 2013', 'age': '21', 'clubName': 'Real Sociedad', 'clubID': '681', 'value': '€3.00m'}, {'date': 'Sep 17, 2013', 'age': '21', 'clubName': 'Real Sociedad', 'clubID': '681', 'value': '€5.00m'}, {'date': 'Jan 23, 2014', 'age': '21', 'clubName': 'Real Sociedad', 'clubID': '681', 'value': '€4.50m'}, {'date': 'Jul 20, 2014', 'age': '22', 'clubName': 'Real Sociedad', 'clubID': '681', 'value': '€4.00m'}, {'date': 'Feb 4, 2015', 'age': '22', 'clubName': 'Eintracht Frankfurt', 'clubID': '24', 'value': '€6.00m'}, {'date': 'Jul 1, 2015', 'age': '23', 'clubName': 'Eintracht Frankfurt', 'clubID': '24', 'value': '€6.00m'}, {'date': 'Oct 16, 2015', 'age': '23', 'clubName': 'Eintracht Frankfurt', 'clubID': '24', 'value': '€8.00m'}, {'date': 'Feb 15, 2016', 'age': '23', 'clubName': 'Eintracht Frankfurt', 'clubID': '24', 'value': '€7.00m'}, {'date': 'Apr 13, 2016', 'age': '24', 'clubName': 'Eintracht Frankfurt', 'clubID': '24', 'value': '€6.00m'}, {'date': 'Jun 1, 2016', 'age': '24', 'clubName': 'Eintracht Frankfurt', 'clubID': '24', 'value': '€5.50m'}, {'date': 'Jul 22, 2016', 'age': '24', 'clubName': 'Eintracht Frankfurt', 'clubID': '24', 'value': '€5.50m'}, {'date': 'Oct 13, 2016', 'age': '24', 'clubName': 'Eintracht Frankfurt', 'clubID': '24', 'value': '€4.50m'}, {'date': 'Feb 7, 2017', 'age': '24', 'clubName': 'Eintracht Frankfurt', 'clubID': '24', 'value': '€3.50m'}, {'date': 'Jun 19, 2017', 'age': '25', 'clubName': 'Eintracht Frankfurt', 'clubID': '24', 'value': '€3.00m'}, {'date': 'Nov 6, 2017', 'age': '25', 'clubName': 'SL Benfica', 'clubID': '294', 'value': '€5.00m'}, {'date': 'Feb 7, 2018', 'age': '25', 'clubName': 'SL Benfica', 'clubID': '294', 'value': '€4.00m'}, {'date': 'Jun 13, 2018', 'age': '26', 'clubName': 'SL Benfica', 'clubID': '294', 'value': '€4.00m'}, {'date': 'Nov 1, 2018', 'age': '26', 'clubName': 'SL Benfica', 'clubID': '294', 'value': '€6.00m'}, {'date': 'Jan 11, 2019', 'age': '26', 'clubName': 'SL Benfica', 'clubID': '294', 'value': '€9.00m'}, {'date': 'Mar 18, 2019', 'age': '27', 'clubName': 'SL Benfica', 'clubID': '294', 'value': '€14.00m'}, {'date': 'Jun 7, 2019', 'age': '27', 'clubName': 'SL Benfica', 'clubID': '294', 'value': '€18.00m'}, {'date': 'Dec 30, 2019', 'age': '27', 'clubName': 'SL Benfica', 'clubID': '294', 'value': '€15.00m'}, {'date': 'Apr 8, 2020', 'age': '28', 'clubName': 'SL Benfica', 'clubID': '294', 'value': '€12.00m'}, {'date': 'Aug 17, 2020', 'age': '28', 'clubName': 'SL Benfica', 'clubID': '294', 'value': '€10.00m'}, {'date': 'Jan 28, 2021', 'age': '28', 'clubName': 'SL Benfica', 'clubID': '294', 'value': '€10.00m'}, {'date': 'Mar 25, 2021', 'age': '29', 'clubName': 'SL Benfica', 'clubID': '294', 'value': '€12.00m'}, {'date': 'May 25, 2021', 'age': '29', 'clubName': 'SL Benfica', 'clubID': '294', 'value': '€14.00m'}, {'date': 'Jul 15, 2021', 'age': '29', 'clubName': 'SL Benfica', 'clubID': '294', 'value': '€16.00m'}, {'date': 'Dec 27, 2021', 'age': '29', 'clubName': 'SL Benfica', 'clubID': '294', 'value': '€14.00m'}, {'date': 'Mar 10, 2022', 'age': '30', 'clubName': 'SL Benfica', 'clubID': '294', 'value': '€10.00m'}, {'date': 'May 31, 2022', 'age': '30', 'clubName': 'SL Benfica', 'clubID': '294', 'value': '€8.00m'}, {'date': 'Oct 27, 2022', 'age': '30', 'clubName': 'Galatasaray', 'clubID': '141', 'value': '€6.00m'}, {'date': 'Jun 13, 2023', 'age': '31', 'clubName': 'Celta de Vigo', 'clubID': '940', 'value': '€4.00m'}, {'date': 'Oct 12, 2023', 'age': '31', 'clubName': 'Al-Wasl SC', 'clubID': '16214', 'value': '€4.00m'}, {'date': 'Mar 8, 2024', 'age': '32', 'clubName': 'Al-Wasl SC', 'clubID': '16214', 'value': '€3.50m'}, {'date': 'Jun 3, 2024', 'age': '32', 'clubName': 'Al-Wasl SC', 'clubID': '16214', 'value': '€3.00m'}, {'date': 'Nov 18, 2024', 'age': '32', 'clubName': 'Al-Wasl SC', 'clubID': '16214', 'value': '€2.50m'}, {'date': 'May 29, 2025', 'age': '33', 'clubName': 'Al-Nasr SC (UAE)', 'clubID': '5432', 'value': '€2.00m'}, {'date': 'Aug 14, 2025', 'age': '33', 'clubName': 'United FC (UAE)', 'clubID': '94732', 'value': '-'}]}</t>
  </si>
  <si>
    <t>1992-02-22</t>
  </si>
  <si>
    <t>Prochazka</t>
  </si>
  <si>
    <t>{'marketValueHistory': [{'date': '28/03/2010', 'age': '21', 'clubName': 'Spartak Trnava', 'clubID': '365', 'value': '€50k'}, {'date': '01/02/2011', 'age': '21', 'clubName': 'Spartak Trnava', 'clubID': '365', 'value': '€400k'}, {'date': '17/06/2011', 'age': '22', 'clubName': 'Spartak Trnava', 'clubID': '365', 'value': '€400k'}, {'date': '23/01/2012', 'age': '22', 'clubName': 'Spartak Trnava', 'clubID': '365', 'value': '€400k'}, {'date': '17/06/2012', 'age': '23', 'clubName': 'Spartak Trnava', 'clubID': '365', 'value': '€500k'}, {'date': '10/07/2012', 'age': '23', 'clubName': 'Levski Sofia', 'clubID': '156', 'value': '€600k'}, {'date': '05/04/2013', 'age': '24', 'clubName': 'Levski Sofia', 'clubID': '156', 'value': '€700k'}, {'date': '06/01/2014', 'age': '24', 'clubName': 'Spartak Trnava', 'clubID': '365', 'value': '€500k'}, {'date': '22/06/2014', 'age': '25', 'clubName': 'Spartak Trnava', 'clubID': '365', 'value': '€500k'}, {'date': '09/08/2014', 'age': '25', 'clubName': 'Levski Sofia', 'clubID': '156', 'value': '€550k'}, {'date': '14/12/2014', 'age': '25', 'clubName': 'Levski Sofia', 'clubID': '156', 'value': '€800k'}, {'date': '27/07/2015', 'age': '26', 'clubName': 'Levski Sofia', 'clubID': '156', 'value': '€1.00m'}, {'date': '17/12/2015', 'age': '26', 'clubName': 'Levski Sofia', 'clubID': '156', 'value': '€1.20m'}, {'date': '01/08/2016', 'age': '27', 'clubName': 'Levski Sofia', 'clubID': '156', 'value': '€1.20m'}, {'date': '28/01/2017', 'age': '27', 'clubName': 'Levski Sofia', 'clubID': '156', 'value': '€1.50m'}, {'date': '23/08/2017', 'age': '28', 'clubName': 'Levski Sofia', 'clubID': '156', 'value': '€1.50m'}, {'date': '09/02/2018', 'age': '28', 'clubName': 'Levski Sofia', 'clubID': '156', 'value': '€1.50m'}, {'date': '30/12/2018', 'age': '29', 'clubName': 'FC Viktoria Plzen', 'clubID': '941', 'value': '€1.75m'}, {'date': '25/06/2019', 'age': '30', 'clubName': 'FC Viktoria Plzen', 'clubID': '941', 'value': '€1.75m'}, {'date': '07/12/2019', 'age': '30', 'clubName': 'FC Viktoria Plzen', 'clubID': '941', 'value': '€1.75m'}, {'date': '08/04/2020', 'age': '31', 'clubName': 'Górnik Zabrze', 'clubID': '428', 'value': '€1.40m'}, {'date': '18/08/2020', 'age': '31', 'clubName': 'Górnik Zabrze', 'clubID': '428', 'value': '€700k'}, {'date': '19/01/2021', 'age': '31', 'clubName': 'Górnik Zabrze', 'clubID': '428', 'value': '€600k'}, {'date': '21/05/2021', 'age': '32', 'clubName': 'Górnik Zabrze', 'clubID': '428', 'value': '€450k'}, {'date': '12/10/2021', 'age': '32', 'clubName': 'Spartak Trnava', 'clubID': '365', 'value': '€400k'}, {'date': '26/12/2021', 'age': '32', 'clubName': 'Spartak Trnava', 'clubID': '365', 'value': '€375k'}, {'date': '23/06/2022', 'age': '33', 'clubName': 'Spartak Trnava', 'clubID': '365', 'value': '€325k'}, {'date': '16/12/2022', 'age': '33', 'clubName': 'Spartak Trnava', 'clubID': '365', 'value': '€325k'}, {'date': '21/06/2023', 'age': '34', 'clubName': 'Spartak Trnava', 'clubID': '365', 'value': '€325k'}, {'date': '27/12/2023', 'age': '34', 'clubName': 'Spartak Trnava', 'clubID': '365', 'value': '€300k'}, {'date': '07/06/2024', 'age': '35', 'clubName': 'Spartak Trnava', 'clubID': '365', 'value': '€125k'}, {'date': '27/12/2024', 'age': '35', 'clubName': 'Spartak Trnava', 'clubID': '365', 'value': '€100k'}, {'date': '20/06/2025', 'age': '36', 'clubName': 'Spartak Trnava', 'clubID': '365', 'value': '€100k'}, {'date': '19/12/2025', 'age': '36', 'clubName': 'Spartak Trnava', 'clubID': '365', 'value': '€100k'}]}</t>
  </si>
  <si>
    <t>1989-03-14</t>
  </si>
  <si>
    <t>Ndiaye</t>
  </si>
  <si>
    <t>{'marketValueHistory': [{'date': 'Mar 18, 2021', 'age': '21', 'clubName': 'Sheffield United U23', 'clubID': '8824', 'value': '€200k'}, {'date': 'Nov 24, 2021', 'age': '21', 'clubName': 'Sheffield United', 'clubID': '350', 'value': '€700k'}, {'date': 'May 13, 2022', 'age': '22', 'clubName': 'Sheffield United', 'clubID': '350', 'value': '€1.50m'}, {'date': 'Sep 14, 2022', 'age': '22', 'clubName': 'Sheffield United', 'clubID': '350', 'value': '€2.50m'}, {'date': 'Oct 27, 2022', 'age': '22', 'clubName': 'Sheffield United', 'clubID': '350', 'value': '€3.50m'}, {'date': 'Dec 23, 2022', 'age': '22', 'clubName': 'Sheffield United', 'clubID': '350', 'value': '€7.00m'}, {'date': 'Mar 24, 2023', 'age': '23', 'clubName': 'Sheffield United', 'clubID': '350', 'value': '€15.00m'}, {'date': 'Jun 1, 2023', 'age': '23', 'clubName': 'Sheffield United', 'clubID': '350', 'value': '€18.00m'}, {'date': 'Dec 18, 2023', 'age': '23', 'clubName': 'Olympique Marseille', 'clubID': '244', 'value': '€18.00m'}, {'date': 'Jun 3, 2024', 'age': '24', 'clubName': 'Olympique Marseille', 'clubID': '244', 'value': '€15.00m'}, {'date': 'Dec 16, 2024', 'age': '24', 'clubName': 'Everton FC', 'clubID': '29', 'value': '€18.00m'}, {'date': 'Mar 18, 2025', 'age': '25', 'clubName': 'Everton FC', 'clubID': '29', 'value': '€22.00m'}, {'date': 'May 30, 2025', 'age': '25', 'clubName': 'Everton FC', 'clubID': '29', 'value': '€22.00m'}, {'date': 'Oct 17, 2025', 'age': '25', 'clubName': 'Everton FC', 'clubID': '29', 'value': '€35.00m'}, {'date': 'Dec 9, 2025', 'age': '25', 'clubName': 'Everton FC', 'clubID': '29', 'value': '€45.00m'}, {'date': 'Mar 9, 2026', 'age': '26', 'clubName': 'Everton FC', 'clubID': '29', 'value': '€50.00m'}]}</t>
  </si>
  <si>
    <t>2000-03-06</t>
  </si>
  <si>
    <t>Bentaleb</t>
  </si>
  <si>
    <t>{'marketValueHistory': [{'date': '05/02/2014', 'age': '19', 'clubName': 'Tottenham Hotspur', 'clubID': '148', 'value': '€500k'}, {'date': '12/08/2014', 'age': '19', 'clubName': 'Tottenham Hotspur', 'clubID': '148', 'value': '€3.00m'}, {'date': '12/02/2015', 'age': '20', 'clubName': 'Tottenham Hotspur', 'clubID': '148', 'value': '€6.00m'}, {'date': '01/07/2015', 'age': '20', 'clubName': 'Tottenham Hotspur', 'clubID': '148', 'value': '€10.00m'}, {'date': '09/02/2016', 'age': '21', 'clubName': 'Tottenham Hotspur', 'clubID': '148', 'value': '€10.00m'}, {'date': '01/08/2016', 'age': '21', 'clubName': 'Tottenham Hotspur', 'clubID': '148', 'value': '€9.00m'}, {'date': '07/02/2017', 'age': '22', 'clubName': 'FC Schalke 04', 'clubID': '33', 'value': '€12.00m'}, {'date': '22/03/2017', 'age': '22', 'clubName': 'FC Schalke 04', 'clubID': '33', 'value': '€18.00m'}, {'date': '19/06/2017', 'age': '22', 'clubName': 'FC Schalke 04', 'clubID': '33', 'value': '€18.00m'}, {'date': '28/12/2017', 'age': '23', 'clubName': 'FC Schalke 04', 'clubID': '33', 'value': '€18.00m'}, {'date': '04/04/2018', 'age': '23', 'clubName': 'FC Schalke 04', 'clubID': '33', 'value': '€16.00m'}, {'date': '05/06/2018', 'age': '23', 'clubName': 'FC Schalke 04', 'clubID': '33', 'value': '€18.00m'}, {'date': '18/12/2018', 'age': '24', 'clubName': 'FC Schalke 04', 'clubID': '33', 'value': '€20.00m'}, {'date': '05/06/2019', 'age': '24', 'clubName': 'FC Schalke 04', 'clubID': '33', 'value': '€13.00m'}, {'date': '02/10/2019', 'age': '24', 'clubName': 'FC Schalke 04', 'clubID': '33', 'value': '€10.00m'}, {'date': '17/12/2019', 'age': '25', 'clubName': 'FC Schalke 04', 'clubID': '33', 'value': '€5.00m'}, {'date': '08/04/2020', 'age': '25', 'clubName': 'Newcastle United', 'clubID': '762', 'value': '€4.00m'}, {'date': '10/02/2021', 'age': '26', 'clubName': 'FC Schalke 04', 'clubID': '33', 'value': '€2.00m'}, {'date': '09/06/2021', 'age': '26', 'clubName': 'FC Schalke 04', 'clubID': '33', 'value': '€2.00m'}, {'date': '28/10/2021', 'age': '26', 'clubName': 'Without Club', 'clubID': '515', 'value': '€1.80m'}, {'date': '23/03/2022', 'age': '27', 'clubName': 'Angers SCO', 'clubID': '1420', 'value': '€3.00m'}, {'date': '30/05/2022', 'age': '27', 'clubName': 'Angers SCO', 'clubID': '1420', 'value': '€3.50m'}, {'date': '02/11/2022', 'age': '27', 'clubName': 'Angers SCO', 'clubID': '1420', 'value': '€5.00m'}, {'date': '27/03/2023', 'age': '28', 'clubName': 'Angers SCO', 'clubID': '1420', 'value': '€7.00m'}, {'date': '27/06/2023', 'age': '28', 'clubName': 'Angers SCO', 'clubID': '1420', 'value': '€7.00m'}, {'date': '18/12/2023', 'age': '29', 'clubName': 'LOSC Lille', 'clubID': '1082', 'value': '€8.00m'}, {'date': '03/06/2024', 'age': '29', 'clubName': 'LOSC Lille', 'clubID': '1082', 'value': '€10.00m'}, {'date': '10/12/2024', 'age': '30', 'clubName': 'LOSC Lille', 'clubID': '1082', 'value': '€8.00m'}, {'date': '03/06/2025', 'age': '30', 'clubName': 'LOSC Lille', 'clubID': '1082', 'value': '€6.00m'}, {'date': '15/12/2025', 'age': '31', 'clubName': 'LOSC Lille', 'clubID': '1082', 'value': '€5.00m'}]}</t>
  </si>
  <si>
    <t>1994-11-24</t>
  </si>
  <si>
    <t>Stones</t>
  </si>
  <si>
    <t>{'marketValueHistory': [{'date': 'Aug 15, 2011', 'age': '17', 'clubName': 'Barnsley FC U18', 'clubID': '14465', 'value': '€50k'}, {'date': 'Dec 10, 2012', 'age': '18', 'clubName': 'Barnsley FC', 'clubID': '349', 'value': '€100k'}, {'date': 'Feb 3, 2013', 'age': '18', 'clubName': 'Everton FC', 'clubID': '29', 'value': '€3.50m'}, {'date': 'Jul 2, 2013', 'age': '19', 'clubName': 'Everton FC', 'clubID': '29', 'value': '€3.50m'}, {'date': 'Jan 15, 2014', 'age': '19', 'clubName': 'Everton FC', 'clubID': '29', 'value': '€4.00m'}, {'date': 'Aug 12, 2014', 'age': '20', 'clubName': 'Everton FC', 'clubID': '29', 'value': '€7.00m'}, {'date': 'Feb 12, 2015', 'age': '20', 'clubName': 'Everton FC', 'clubID': '29', 'value': '€10.00m'}, {'date': 'Jul 1, 2015', 'age': '21', 'clubName': 'Everton FC', 'clubID': '29', 'value': '€13.00m'}, {'date': 'Oct 14, 2015', 'age': '21', 'clubName': 'Everton FC', 'clubID': '29', 'value': '€25.00m'}, {'date': 'Feb 9, 2016', 'age': '21', 'clubName': 'Everton FC', 'clubID': '29', 'value': '€30.00m'}, {'date': 'Jun 1, 2016', 'age': '22', 'clubName': 'Everton FC', 'clubID': '29', 'value': '€28.00m'}, {'date': 'Aug 1, 2016', 'age': '22', 'clubName': 'Everton FC', 'clubID': '29', 'value': '€28.00m'}, {'date': 'Oct 24, 2016', 'age': '22', 'clubName': 'Manchester City', 'clubID': '281', 'value': '€35.00m'}, {'date': 'Feb 20, 2017', 'age': '22', 'clubName': 'Manchester City', 'clubID': '281', 'value': '€35.00m'}, {'date': 'Jun 28, 2017', 'age': '23', 'clubName': 'Manchester City', 'clubID': '281', 'value': '€35.00m'}, {'date': 'Jan 2, 2018', 'age': '23', 'clubName': 'Manchester City', 'clubID': '281', 'value': '€40.00m'}, {'date': 'Mar 23, 2018', 'age': '23', 'clubName': 'Manchester City', 'clubID': '281', 'value': '€50.00m'}, {'date': 'May 28, 2018', 'age': '24', 'clubName': 'Manchester City', 'clubID': '281', 'value': '€50.00m'}, {'date': 'Jul 16, 2018', 'age': '24', 'clubName': 'Manchester City', 'clubID': '281', 'value': '€55.00m'}, {'date': 'Dec 19, 2018', 'age': '24', 'clubName': 'Manchester City', 'clubID': '281', 'value': '€60.00m'}, {'date': 'Jun 13, 2019', 'age': '25', 'clubName': 'Manchester City', 'clubID': '281', 'value': '€60.00m'}, {'date': 'Dec 10, 2019', 'age': '25', 'clubName': 'Manchester City', 'clubID': '281', 'value': '€60.00m'}, {'date': 'Mar 9, 2020', 'age': '25', 'clubName': 'Manchester City', 'clubID': '281', 'value': '€45.00m'}, {'date': 'Apr 8, 2020', 'age': '25', 'clubName': 'Manchester City', 'clubID': '281', 'value': '€36.00m'}, {'date': 'Jul 30, 2020', 'age': '26', 'clubName': 'Manchester City', 'clubID': '281', 'value': '€30.00m'}, {'date': 'Oct 13, 2020', 'age': '26', 'clubName': 'Manchester City', 'clubID': '281', 'value': '€25.00m'}, {'date': 'Mar 18, 2021', 'age': '26', 'clubName': 'Manchester City', 'clubID': '281', 'value': '€30.00m'}, {'date': 'May 28, 2021', 'age': '27', 'clubName': 'Manchester City', 'clubID': '281', 'value': '€30.00m'}, {'date': 'Dec 23, 2021', 'age': '27', 'clubName': 'Manchester City', 'clubID': '281', 'value': '€28.00m'}, {'date': 'Jun 15, 2022', 'age': '28', 'clubName': 'Manchester City', 'clubID': '281', 'value': '€28.00m'}, {'date': 'Sep 15, 2022', 'age': '28', 'clubName': 'Manchester City', 'clubID': '281', 'value': '€30.00m'}, {'date': 'Nov 3, 2022', 'age': '28', 'clubName': 'Manchester City', 'clubID': '281', 'value': '€30.00m'}, {'date': 'Jun 20, 2023', 'age': '29', 'clubName': 'Manchester City', 'clubID': '281', 'value': '€40.00m'}, {'date': 'Dec 19, 2023', 'age': '29', 'clubName': 'Manchester City', 'clubID': '281', 'value': '€38.00m'}, {'date': 'May 27, 2024', 'age': '29', 'clubName': 'Manchester City', 'clubID': '281', 'value': '€38.00m'}, {'date': 'Dec 16, 2024', 'age': '30', 'clubName': 'Manchester City', 'clubID': '281', 'value': '€32.00m'}, {'date': 'Mar 18, 2025', 'age': '30', 'clubName': 'Manchester City', 'clubID': '281', 'value': '€30.00m'}, {'date': 'May 30, 2025', 'age': '31', 'clubName': 'Manchester City', 'clubID': '281', 'value': '€25.00m'}, {'date': 'Oct 17, 2025', 'age': '31', 'clubName': 'Manchester City', 'clubID': '281', 'value': '€22.00m'}, {'date': 'Dec 9, 2025', 'age': '31', 'clubName': 'Manchester City', 'clubID': '281', 'value': '€18.00m'}, {'date': 'Mar 9, 2026', 'age': '31', 'clubName': 'Manchester City', 'clubID': '281', 'value': '€15.00m'}]}</t>
  </si>
  <si>
    <t>1994-05-28</t>
  </si>
  <si>
    <t>Carvajal</t>
  </si>
  <si>
    <t>{'marketValueHistory': [{'date': '14/07/2012', 'age': '20', 'clubName': 'Bayer 04 Leverkusen', 'clubID': '15', 'value': '€6.00m'}, {'date': '13/01/2013', 'age': '21', 'clubName': 'Bayer 04 Leverkusen', 'clubID': '15', 'value': '€8.00m'}, {'date': '30/06/2013', 'age': '21', 'clubName': 'Bayer 04 Leverkusen', 'clubID': '15', 'value': '€10.00m'}, {'date': '25/07/2013', 'age': '21', 'clubName': 'Real Madrid', 'clubID': '418', 'value': '€10.00m'}, {'date': '23/01/2014', 'age': '22', 'clubName': 'Real Madrid', 'clubID': '418', 'value': '€12.00m'}, {'date': '20/07/2014', 'age': '22', 'clubName': 'Real Madrid', 'clubID': '418', 'value': '€18.00m'}, {'date': '23/01/2015', 'age': '23', 'clubName': 'Real Madrid', 'clubID': '418', 'value': '€22.00m'}, {'date': '01/07/2015', 'age': '23', 'clubName': 'Real Madrid', 'clubID': '418', 'value': '€25.00m'}, {'date': '22/02/2016', 'age': '24', 'clubName': 'Real Madrid', 'clubID': '418', 'value': '€25.00m'}, {'date': '15/07/2016', 'age': '24', 'clubName': 'Real Madrid', 'clubID': '418', 'value': '€25.00m'}, {'date': '24/01/2017', 'age': '25', 'clubName': 'Real Madrid', 'clubID': '418', 'value': '€30.00m'}, {'date': '05/06/2017', 'age': '25', 'clubName': 'Real Madrid', 'clubID': '418', 'value': '€32.00m'}, {'date': '01/01/2018', 'age': '25', 'clubName': 'Real Madrid', 'clubID': '418', 'value': '€45.00m'}, {'date': '22/03/2018', 'age': '26', 'clubName': 'Real Madrid', 'clubID': '418', 'value': '€60.00m'}, {'date': '30/05/2018', 'age': '26', 'clubName': 'Real Madrid', 'clubID': '418', 'value': '€60.00m'}, {'date': '21/12/2018', 'age': '26', 'clubName': 'Real Madrid', 'clubID': '418', 'value': '€60.00m'}, {'date': '11/06/2019', 'age': '27', 'clubName': 'Real Madrid', 'clubID': '418', 'value': '€50.00m'}, {'date': '20/12/2019', 'age': '27', 'clubName': 'Real Madrid', 'clubID': '418', 'value': '€50.00m'}, {'date': '08/04/2020', 'age': '28', 'clubName': 'Real Madrid', 'clubID': '418', 'value': '€40.00m'}, {'date': '08/10/2020', 'age': '28', 'clubName': 'Real Madrid', 'clubID': '418', 'value': '€40.00m'}, {'date': '05/01/2021', 'age': '28', 'clubName': 'Real Madrid', 'clubID': '418', 'value': '€40.00m'}, {'date': '10/06/2021', 'age': '29', 'clubName': 'Real Madrid', 'clubID': '418', 'value': '€30.00m'}, {'date': '13/10/2021', 'age': '29', 'clubName': 'Real Madrid', 'clubID': '418', 'value': '€25.00m'}, {'date': '30/12/2021', 'age': '29', 'clubName': 'Real Madrid', 'clubID': '418', 'value': '€20.00m'}, {'date': '21/03/2022', 'age': '30', 'clubName': 'Real Madrid', 'clubID': '418', 'value': '€18.00m'}, {'date': '03/06/2022', 'age': '30', 'clubName': 'Real Madrid', 'clubID': '418', 'value': '€18.00m'}, {'date': '07/11/2022', 'age': '30', 'clubName': 'Real Madrid', 'clubID': '418', 'value': '€18.00m'}, {'date': '23/03/2023', 'age': '31', 'clubName': 'Real Madrid', 'clubID': '418', 'value': '€15.00m'}, {'date': '13/06/2023', 'age': '31', 'clubName': 'Real Madrid', 'clubID': '418', 'value': '€12.00m'}, {'date': '22/12/2023', 'age': '31', 'clubName': 'Real Madrid', 'clubID': '418', 'value': '€12.00m'}, {'date': '07/06/2024', 'age': '32', 'clubName': 'Real Madrid', 'clubID': '418', 'value': '€12.00m'}, {'date': '27/12/2024', 'age': '32', 'clubName': 'Real Madrid', 'clubID': '418', 'value': '€10.00m'}, {'date': '09/06/2025', 'age': '33', 'clubName': 'Real Madrid', 'clubID': '418', 'value': '€8.00m'}, {'date': '12/12/2025', 'age': '33', 'clubName': 'Real Madrid', 'clubID': '418', 'value': '€7.00m'}, {'date': '16/03/2026', 'age': '34', 'clubName': 'Real Madrid', 'clubID': '418', 'value': '€6.00m'}]}</t>
  </si>
  <si>
    <t>1992-01-11</t>
  </si>
  <si>
    <t>Stojkovic</t>
  </si>
  <si>
    <t>1965-03-03</t>
  </si>
  <si>
    <t>Ramos</t>
  </si>
  <si>
    <t>{'marketValueHistory': [{'date': '17/03/2005', 'age': '18', 'clubName': 'Sevilla FC', 'clubID': '368', 'value': '€7.00m'}, {'date': '31/08/2005', 'age': '19', 'clubName': 'Real Madrid', 'clubID': '418', 'value': '€27.00m'}, {'date': '12/01/2006', 'age': '19', 'clubName': 'Real Madrid', 'clubID': '418', 'value': '€17.50m'}, {'date': '24/08/2007', 'age': '21', 'clubName': 'Real Madrid', 'clubID': '418', 'value': '€25.00m'}, {'date': '04/02/2008', 'age': '21', 'clubName': 'Real Madrid', 'clubID': '418', 'value': '€30.00m'}, {'date': '08/07/2008', 'age': '22', 'clubName': 'Real Madrid', 'clubID': '418', 'value': '€32.00m'}, {'date': '26/01/2009', 'age': '22', 'clubName': 'Real Madrid', 'clubID': '418', 'value': '€32.00m'}, {'date': '29/04/2009', 'age': '23', 'clubName': 'Real Madrid', 'clubID': '418', 'value': '€30.00m'}, {'date': '22/07/2009', 'age': '23', 'clubName': 'Real Madrid', 'clubID': '418', 'value': '€28.00m'}, {'date': '03/12/2009', 'age': '23', 'clubName': 'Real Madrid', 'clubID': '418', 'value': '€27.00m'}, {'date': '12/04/2010', 'age': '24', 'clubName': 'Real Madrid', 'clubID': '418', 'value': '€27.00m'}, {'date': '27/08/2010', 'age': '24', 'clubName': 'Real Madrid', 'clubID': '418', 'value': '€30.00m'}, {'date': '04/02/2011', 'age': '24', 'clubName': 'Real Madrid', 'clubID': '418', 'value': '€30.00m'}, {'date': '29/07/2011', 'age': '25', 'clubName': 'Real Madrid', 'clubID': '418', 'value': '€30.00m'}, {'date': '03/02/2012', 'age': '25', 'clubName': 'Real Madrid', 'clubID': '418', 'value': '€34.00m'}, {'date': '07/08/2012', 'age': '26', 'clubName': 'Real Madrid', 'clubID': '418', 'value': '€40.00m'}, {'date': '10/01/2013', 'age': '26', 'clubName': 'Real Madrid', 'clubID': '418', 'value': '€40.00m'}, {'date': '12/06/2013', 'age': '27', 'clubName': 'Real Madrid', 'clubID': '418', 'value': '€40.00m'}, {'date': '23/01/2014', 'age': '27', 'clubName': 'Real Madrid', 'clubID': '418', 'value': '€40.00m'}, {'date': '20/07/2014', 'age': '28', 'clubName': 'Real Madrid', 'clubID': '418', 'value': '€45.00m'}, {'date': '23/01/2015', 'age': '28', 'clubName': 'Real Madrid', 'clubID': '418', 'value': '€45.00m'}, {'date': '01/07/2015', 'age': '29', 'clubName': 'Real Madrid', 'clubID': '418', 'value': '€40.00m'}, {'date': '22/02/2016', 'age': '29', 'clubName': 'Real Madrid', 'clubID': '418', 'value': '€40.00m'}, {'date': '01/06/2016', 'age': '30', 'clubName': 'Real Madrid', 'clubID': '418', 'value': '€40.00m'}, {'date': '15/07/2016', 'age': '30', 'clubName': 'Real Madrid', 'clubID': '418', 'value': '€40.00m'}, {'date': '24/01/2017', 'age': '30', 'clubName': 'Real Madrid', 'clubID': '418', 'value': '€40.00m'}, {'date': '05/06/2017', 'age': '31', 'clubName': 'Real Madrid', 'clubID': '418', 'value': '€40.00m'}, {'date': '01/01/2018', 'age': '31', 'clubName': 'Real Madrid', 'clubID': '418', 'value': '€40.00m'}, {'date': '22/03/2018', 'age': '31', 'clubName': 'Real Madrid', 'clubID': '418', 'value': '€50.00m'}, {'date': '30/05/2018', 'age': '32', 'clubName': 'Real Madrid', 'clubID': '418', 'value': '€45.00m'}, {'date': '31/10/2018', 'age': '32', 'clubName': 'Real Madrid', 'clubID': '418', 'value': '€40.00m'}, {'date': '21/12/2018', 'age': '32', 'clubName': 'Real Madrid', 'clubID': '418', 'value': '€30.00m'}, {'date': '11/06/2019', 'age': '33', 'clubName': 'Real Madrid', 'clubID': '418', 'value': '€25.00m'}, {'date': '20/12/2019', 'age': '33', 'clubName': 'Real Madrid', 'clubID': '418', 'value': '€18.00m'}, {'date': '08/04/2020', 'age': '34', 'clubName': 'Real Madrid', 'clubID': '418', 'value': '€14.50m'}, {'date': '08/10/2020', 'age': '34', 'clubName': 'Real Madrid', 'clubID': '418', 'value': '€14.00m'}, {'date': '05/01/2021', 'age': '34', 'clubName': 'Real Madrid', 'clubID': '418', 'value': '€14.00m'}, {'date': '10/06/2021', 'age': '35', 'clubName': 'Real Madrid', 'clubID': '418', 'value': '€10.00m'}, {'date': '16/12/2021', 'age': '35', 'clubName': 'Paris Saint-Germain', 'clubID': '583', 'value': '€8.00m'}, {'date': '30/05/2022', 'age': '36', 'clubName': 'Paris Saint-Germain', 'clubID': '583', 'value': '€6.00m'}, {'date': '02/11/2022', 'age': '36', 'clubName': 'Paris Saint-Germain', 'clubID': '583', 'value': '€6.00m'}, {'date': '27/06/2023', 'age': '37', 'clubName': 'Paris Saint-Germain', 'clubID': '583', 'value': '€4.50m'}, {'date': '13/10/2023', 'age': '37', 'clubName': 'Sevilla FC', 'clubID': '368', 'value': '€4.00m'}, {'date': '22/12/2023', 'age': '37', 'clubName': 'Sevilla FC', 'clubID': '368', 'value': '€4.00m'}, {'date': '21/03/2024', 'age': '37', 'clubName': 'Sevilla FC', 'clubID': '368', 'value': '€3.00m'}, {'date': '07/06/2024', 'age': '38', 'clubName': 'Sevilla FC', 'clubID': '368', 'value': '€2.50m'}, {'date': '16/10/2024', 'age': '38', 'clubName': 'Without Club', 'clubID': '515', 'value': '€1.80m'}, {'date': '31/03/2025', 'age': '39', 'clubName': 'CF Monterrey', 'clubID': '2407', 'value': '€1.50m'}, {'date': '26/05/2025', 'age': '39', 'clubName': 'CF Monterrey', 'clubID': '2407', 'value': '€1.20m'}, {'date': '22/09/2025', 'age': '39', 'clubName': 'CF Monterrey', 'clubID': '2407', 'value': '€1.00m'}, {'date': '29/12/2025', 'age': '39', 'clubName': 'CF Monterrey', 'clubID': '2407', 'value': '€800k'}]}</t>
  </si>
  <si>
    <t>1986-03-30</t>
  </si>
  <si>
    <t>Partey</t>
  </si>
  <si>
    <t>{'marketValueHistory': [{'date': 'Aug 7, 2013', 'age': '20', 'clubName': 'RCD Mallorca', 'clubID': '237', 'value': '€400k'}, {'date': 'Oct 8, 2013', 'age': '20', 'clubName': 'RCD Mallorca', 'clubID': '237', 'value': '€600k'}, {'date': 'Feb 6, 2014', 'age': '20', 'clubName': 'RCD Mallorca', 'clubID': '237', 'value': '€1.00m'}, {'date': 'Jul 31, 2014', 'age': '21', 'clubName': 'UD Almería', 'clubID': '3302', 'value': '€1.00m'}, {'date': 'Jan 23, 2015', 'age': '21', 'clubName': 'UD Almería', 'clubID': '3302', 'value': '€2.50m'}, {'date': 'Jul 1, 2015', 'age': '22', 'clubName': 'Atlético de Madrid', 'clubID': '13', 'value': '€4.00m'}, {'date': 'Feb 22, 2016', 'age': '22', 'clubName': 'Atlético de Madrid', 'clubID': '13', 'value': '€5.00m'}, {'date': 'Jul 15, 2016', 'age': '23', 'clubName': 'Atlético de Madrid', 'clubID': '13', 'value': '€5.00m'}, {'date': 'Jan 24, 2017', 'age': '23', 'clubName': 'Atlético de Madrid', 'clubID': '13', 'value': '€4.50m'}, {'date': 'Jun 5, 2017', 'age': '23', 'clubName': 'Atlético de Madrid', 'clubID': '13', 'value': '€4.50m'}, {'date': 'Jan 1, 2018', 'age': '24', 'clubName': 'Atlético de Madrid', 'clubID': '13', 'value': '€8.00m'}, {'date': 'Mar 22, 2018', 'age': '24', 'clubName': 'Atlético de Madrid', 'clubID': '13', 'value': '€15.00m'}, {'date': 'May 30, 2018', 'age': '24', 'clubName': 'Atlético de Madrid', 'clubID': '13', 'value': '€25.00m'}, {'date': 'Oct 31, 2018', 'age': '25', 'clubName': 'Atlético de Madrid', 'clubID': '13', 'value': '€35.00m'}, {'date': 'Dec 21, 2018', 'age': '25', 'clubName': 'Atlético de Madrid', 'clubID': '13', 'value': '€40.00m'}, {'date': 'Feb 28, 2019', 'age': '25', 'clubName': 'Atlético de Madrid', 'clubID': '13', 'value': '€50.00m'}, {'date': 'Jun 11, 2019', 'age': '25', 'clubName': 'Atlético de Madrid', 'clubID': '13', 'value': '€50.00m'}, {'date': 'Dec 20, 2019', 'age': '26', 'clubName': 'Atlético de Madrid', 'clubID': '13', 'value': '€50.00m'}, {'date': 'Apr 8, 2020', 'age': '26', 'clubName': 'Atlético de Madrid', 'clubID': '13', 'value': '€40.00m'}, {'date': 'Oct 13, 2020', 'age': '27', 'clubName': 'Arsenal FC', 'clubID': '11', 'value': '€50.00m'}, {'date': 'Mar 18, 2021', 'age': '27', 'clubName': 'Arsenal FC', 'clubID': '11', 'value': '€45.00m'}, {'date': 'Jun 8, 2021', 'age': '27', 'clubName': 'Arsenal FC', 'clubID': '11', 'value': '€40.00m'}, {'date': 'Dec 23, 2021', 'age': '28', 'clubName': 'Arsenal FC', 'clubID': '11', 'value': '€40.00m'}, {'date': 'Jun 15, 2022', 'age': '29', 'clubName': 'Arsenal FC', 'clubID': '11', 'value': '€38.00m'}, {'date': 'Nov 3, 2022', 'age': '29', 'clubName': 'Arsenal FC', 'clubID': '11', 'value': '€38.00m'}, {'date': 'Jun 20, 2023', 'age': '30', 'clubName': 'Arsenal FC', 'clubID': '11', 'value': '€35.00m'}, {'date': 'Dec 19, 2023', 'age': '30', 'clubName': 'Arsenal FC', 'clubID': '11', 'value': '€25.00m'}, {'date': 'Mar 14, 2024', 'age': '30', 'clubName': 'Arsenal FC', 'clubID': '11', 'value': '€20.00m'}, {'date': 'May 27, 2024', 'age': '30', 'clubName': 'Arsenal FC', 'clubID': '11', 'value': '€18.00m'}, {'date': 'Dec 16, 2024', 'age': '31', 'clubName': 'Arsenal FC', 'clubID': '11', 'value': '€15.00m'}, {'date': 'May 30, 2025', 'age': '31', 'clubName': 'Arsenal FC', 'clubID': '11', 'value': '€14.00m'}, {'date': 'Oct 2, 2025', 'age': '32', 'clubName': 'Villarreal CF', 'clubID': '1050', 'value': '€8.00m'}, {'date': 'Dec 12, 2025', 'age': '32', 'clubName': 'Villarreal CF', 'clubID': '1050', 'value': '€5.00m'}, {'date': 'Mar 16, 2026', 'age': '32', 'clubName': 'Villarreal CF', 'clubID': '1050', 'value': '€2.50m'}]}</t>
  </si>
  <si>
    <t>1993-06-13</t>
  </si>
  <si>
    <t>Dembele</t>
  </si>
  <si>
    <t>{'marketValueHistory': [{'date': '06/10/2015', 'age': '18', 'clubName': 'Stade Rennais FC', 'clubID': '273', 'value': '€250k'}, {'date': '04/02/2016', 'age': '18', 'clubName': 'Stade Rennais FC', 'clubID': '273', 'value': '€3.00m'}, {'date': '09/04/2016', 'age': '18', 'clubName': 'Stade Rennais FC', 'clubID': '273', 'value': '€12.00m'}, {'date': '22/07/2016', 'age': '19', 'clubName': 'Borussia Dortmund', 'clubID': '16', 'value': '€14.00m'}, {'date': '13/10/2016', 'age': '19', 'clubName': 'Borussia Dortmund', 'clubID': '16', 'value': '€18.00m'}, {'date': '07/02/2017', 'age': '19', 'clubName': 'Borussia Dortmund', 'clubID': '16', 'value': '€28.00m'}, {'date': '19/06/2017', 'age': '20', 'clubName': 'Borussia Dortmund', 'clubID': '16', 'value': '€33.00m'}, {'date': '01/01/2018', 'age': '20', 'clubName': 'FC Barcelona', 'clubID': '131', 'value': '€80.00m'}, {'date': '30/05/2018', 'age': '21', 'clubName': 'FC Barcelona', 'clubID': '131', 'value': '€80.00m'}, {'date': '21/12/2018', 'age': '21', 'clubName': 'FC Barcelona', 'clubID': '131', 'value': '€80.00m'}, {'date': '28/02/2019', 'age': '21', 'clubName': 'FC Barcelona', 'clubID': '131', 'value': '€120.00m'}, {'date': '11/06/2019', 'age': '22', 'clubName': 'FC Barcelona', 'clubID': '131', 'value': '€100.00m'}, {'date': '20/12/2019', 'age': '22', 'clubName': 'FC Barcelona', 'clubID': '131', 'value': '€75.00m'}, {'date': '05/03/2020', 'age': '22', 'clubName': 'FC Barcelona', 'clubID': '131', 'value': '€70.00m'}, {'date': '08/04/2020', 'age': '22', 'clubName': 'FC Barcelona', 'clubID': '131', 'value': '€56.00m'}, {'date': '08/10/2020', 'age': '23', 'clubName': 'FC Barcelona', 'clubID': '131', 'value': '€50.00m'}, {'date': '05/01/2021', 'age': '23', 'clubName': 'FC Barcelona', 'clubID': '131', 'value': '€50.00m'}, {'date': '01/06/2021', 'age': '24', 'clubName': 'FC Barcelona', 'clubID': '131', 'value': '€50.00m'}, {'date': '30/12/2021', 'age': '24', 'clubName': 'FC Barcelona', 'clubID': '131', 'value': '€30.00m'}, {'date': '03/06/2022', 'age': '25', 'clubName': 'FC Barcelona', 'clubID': '131', 'value': '€30.00m'}, {'date': '23/09/2022', 'age': '25', 'clubName': 'FC Barcelona', 'clubID': '131', 'value': '€50.00m'}, {'date': '07/11/2022', 'age': '25', 'clubName': 'FC Barcelona', 'clubID': '131', 'value': '€60.00m'}, {'date': '13/06/2023', 'age': '26', 'clubName': 'FC Barcelona', 'clubID': '131', 'value': '€60.00m'}, {'date': '18/12/2023', 'age': '26', 'clubName': 'Paris Saint-Germain', 'clubID': '583', 'value': '€60.00m'}, {'date': '03/06/2024', 'age': '27', 'clubName': 'Paris Saint-Germain', 'clubID': '583', 'value': '€60.00m'}, {'date': '10/12/2024', 'age': '27', 'clubName': 'Paris Saint-Germain', 'clubID': '583', 'value': '€55.00m'}, {'date': '24/03/2025', 'age': '27', 'clubName': 'Paris Saint-Germain', 'clubID': '583', 'value': '€75.00m'}, {'date': '03/06/2025', 'age': '28', 'clubName': 'Paris Saint-Germain', 'clubID': '583', 'value': '€90.00m'}, {'date': '10/10/2025', 'age': '28', 'clubName': 'Paris Saint-Germain', 'clubID': '583', 'value': '€100.00m'}, {'date': '15/12/2025', 'age': '28', 'clubName': 'Paris Saint-Germain', 'clubID': '583', 'value': '€100.00m'}]}</t>
  </si>
  <si>
    <t>1997-05-15</t>
  </si>
  <si>
    <t>Marin</t>
  </si>
  <si>
    <t>{'marketValueHistory': [{'date': 'Jun 4, 2007', 'age': '20', 'clubName': 'SL Benfica', 'clubID': '294', 'value': '€1.50m'}, {'date': 'Sep 20, 2007', 'age': '20', 'clubName': 'SL Benfica', 'clubID': '294', 'value': '€3.50m'}, {'date': 'Sep 18, 2008', 'age': '21', 'clubName': 'SL Benfica', 'clubID': '294', 'value': '€4.00m'}, {'date': 'Jul 2, 2009', 'age': '22', 'clubName': 'SL Benfica', 'clubID': '294', 'value': '€5.50m'}, {'date': 'Feb 3, 2010', 'age': '22', 'clubName': 'SL Benfica', 'clubID': '294', 'value': '€7.80m'}, {'date': 'Jun 10, 2010', 'age': '23', 'clubName': 'SL Benfica', 'clubID': '294', 'value': '€12.00m'}, {'date': 'Sep 23, 2010', 'age': '23', 'clubName': 'SL Benfica', 'clubID': '294', 'value': '€14.00m'}, {'date': 'Feb 13, 2011', 'age': '23', 'clubName': 'Chelsea FC', 'clubID': '631', 'value': '€20.00m'}, {'date': 'Aug 8, 2011', 'age': '24', 'clubName': 'Chelsea FC', 'clubID': '631', 'value': '€23.00m'}, {'date': 'Feb 6, 2012', 'age': '24', 'clubName': 'Chelsea FC', 'clubID': '631', 'value': '€23.00m'}, {'date': 'Jun 24, 2012', 'age': '25', 'clubName': 'Chelsea FC', 'clubID': '631', 'value': '€23.00m'}, {'date': 'Jan 28, 2013', 'age': '25', 'clubName': 'Chelsea FC', 'clubID': '631', 'value': '€25.00m'}, {'date': 'Jul 2, 2013', 'age': '26', 'clubName': 'Chelsea FC', 'clubID': '631', 'value': '€29.00m'}, {'date': 'Jan 20, 2014', 'age': '26', 'clubName': 'Chelsea FC', 'clubID': '631', 'value': '€26.00m'}, {'date': 'Aug 1, 2014', 'age': '27', 'clubName': 'Paris Saint-Germain', 'clubID': '583', 'value': '€30.00m'}, {'date': 'Jan 14, 2015', 'age': '27', 'clubName': 'Paris Saint-Germain', 'clubID': '583', 'value': '€30.00m'}, {'date': 'Jun 6, 2015', 'age': '28', 'clubName': 'Paris Saint-Germain', 'clubID': '583', 'value': '€28.00m'}, {'date': 'Feb 4, 2016', 'age': '28', 'clubName': 'Paris Saint-Germain', 'clubID': '583', 'value': '€30.00m'}, {'date': 'Jul 13, 2016', 'age': '29', 'clubName': 'Paris Saint-Germain', 'clubID': '583', 'value': '€28.00m'}, {'date': 'Oct 24, 2016', 'age': '29', 'clubName': 'Chelsea FC', 'clubID': '631', 'value': '€30.00m'}, {'date': 'Feb 20, 2017', 'age': '29', 'clubName': 'Chelsea FC', 'clubID': '631', 'value': '€30.00m'}, {'date': 'Jun 28, 2017', 'age': '30', 'clubName': 'Chelsea FC', 'clubID': '631', 'value': '€30.00m'}, {'date': 'Jan 2, 2018', 'age': '30', 'clubName': 'Chelsea FC', 'clubID': '631', 'value': '€28.00m'}, {'date': 'May 28, 2018', 'age': '31', 'clubName': 'Chelsea FC', 'clubID': '631', 'value': '€25.00m'}, {'date': 'Dec 19, 2018', 'age': '31', 'clubName': 'Chelsea FC', 'clubID': '631', 'value': '€25.00m'}, {'date': 'Jun 13, 2019', 'age': '32', 'clubName': 'Chelsea FC', 'clubID': '631', 'value': '€20.00m'}, {'date': 'Dec 10, 2019', 'age': '32', 'clubName': 'Arsenal FC', 'clubID': '11', 'value': '€15.00m'}, {'date': 'Apr 8, 2020', 'age': '32', 'clubName': 'Arsenal FC', 'clubID': '11', 'value': '€12.00m'}, {'date': 'Jul 30, 2020', 'age': '33', 'clubName': 'Arsenal FC', 'clubID': '11', 'value': '€8.00m'}, {'date': 'Oct 13, 2020', 'age': '33', 'clubName': 'Arsenal FC', 'clubID': '11', 'value': '€6.00m'}, {'date': 'Mar 18, 2021', 'age': '33', 'clubName': 'Arsenal FC', 'clubID': '11', 'value': '€5.00m'}, {'date': 'Jun 8, 2021', 'age': '34', 'clubName': 'Arsenal FC', 'clubID': '11', 'value': '€4.00m'}, {'date': 'Dec 17, 2021', 'age': '34', 'clubName': 'CR Flamengo', 'clubID': '614', 'value': '€3.00m'}, {'date': 'Apr 6, 2022', 'age': '34', 'clubName': 'CR Flamengo', 'clubID': '614', 'value': '€2.00m'}, {'date': 'Aug 19, 2022', 'age': '35', 'clubName': 'CR Flamengo', 'clubID': '614', 'value': '€1.00m'}, {'date': 'Nov 14, 2022', 'age': '35', 'clubName': 'CR Flamengo', 'clubID': '614', 'value': '€800k'}, {'date': 'Apr 7, 2023', 'age': '35', 'clubName': 'CR Flamengo', 'clubID': '614', 'value': '€600k'}, {'date': 'Jul 25, 2023', 'age': '36', 'clubName': 'CR Flamengo', 'clubID': '614', 'value': '€500k'}, {'date': 'Dec 11, 2023', 'age': '36', 'clubName': 'CR Flamengo', 'clubID': '614', 'value': '€500k'}, {'date': 'Mar 28, 2024', 'age': '36', 'clubName': 'CR Flamengo', 'clubID': '614', 'value': '€400k'}, {'date': 'Jun 17, 2024', 'age': '37', 'clubName': 'CR Flamengo', 'clubID': '614', 'value': '€400k'}, {'date': 'Dec 9, 2024', 'age': '37', 'clubName': 'CR Flamengo', 'clubID': '614', 'value': '€300k'}, {'date': 'Jun 6, 2025', 'age': '38', 'clubName': 'Fortaleza Esporte Clube', 'clubID': '10870', 'value': '€300k'}, {'date': 'Oct 8, 2025', 'age': '38', 'clubName': 'Pafos FC', 'clubID': '45457', 'value': '€250k'}, {'date': 'Dec 23, 2025', 'age': '38', 'clubName': 'Pafos FC', 'clubID': '45457', 'value': '€200k'}]}</t>
  </si>
  <si>
    <t>1987-04-22</t>
  </si>
  <si>
    <t>Cavani</t>
  </si>
  <si>
    <t>{'marketValueHistory': [{'date': '08/04/2007', 'age': '20', 'clubName': 'US Palermo', 'clubID': '458', 'value': '€4.85m'}, {'date': '09/02/2008', 'age': '20', 'clubName': 'US Palermo', 'clubID': '458', 'value': '€5.00m'}, {'date': '03/02/2009', 'age': '21', 'clubName': 'US Palermo', 'clubID': '458', 'value': '€8.00m'}, {'date': '06/08/2009', 'age': '22', 'clubName': 'US Palermo', 'clubID': '458', 'value': '€10.50m'}, {'date': '27/01/2010', 'age': '22', 'clubName': 'US Palermo', 'clubID': '458', 'value': '€11.00m'}, {'date': '01/08/2010', 'age': '23', 'clubName': 'SSC Napoli', 'clubID': '6195', 'value': '€15.50m'}, {'date': '10/01/2011', 'age': '23', 'clubName': 'SSC Napoli', 'clubID': '6195', 'value': '€19.00m'}, {'date': '21/06/2011', 'age': '24', 'clubName': 'SSC Napoli', 'clubID': '6195', 'value': '€24.50m'}, {'date': '11/01/2012', 'age': '24', 'clubName': 'SSC Napoli', 'clubID': '6195', 'value': '€28.00m'}, {'date': '28/06/2012', 'age': '25', 'clubName': 'SSC Napoli', 'clubID': '6195', 'value': '€35.00m'}, {'date': '14/01/2013', 'age': '25', 'clubName': 'SSC Napoli', 'clubID': '6195', 'value': '€45.00m'}, {'date': '09/04/2013', 'age': '26', 'clubName': 'SSC Napoli', 'clubID': '6195', 'value': '€55.00m'}, {'date': '19/06/2013', 'age': '26', 'clubName': 'SSC Napoli', 'clubID': '6195', 'value': '€55.00m'}, {'date': '22/07/2013', 'age': '26', 'clubName': 'Paris Saint-Germain', 'clubID': '583', 'value': '€60.00m'}, {'date': '14/01/2014', 'age': '26', 'clubName': 'Paris Saint-Germain', 'clubID': '583', 'value': '€60.00m'}, {'date': '01/08/2014', 'age': '27', 'clubName': 'Paris Saint-Germain', 'clubID': '583', 'value': '€57.00m'}, {'date': '14/01/2015', 'age': '27', 'clubName': 'Paris Saint-Germain', 'clubID': '583', 'value': '€50.00m'}, {'date': '06/06/2015', 'age': '28', 'clubName': 'Paris Saint-Germain', 'clubID': '583', 'value': '€42.00m'}, {'date': '04/02/2016', 'age': '28', 'clubName': 'Paris Saint-Germain', 'clubID': '583', 'value': '€40.00m'}, {'date': '13/07/2016', 'age': '29', 'clubName': 'Paris Saint-Germain', 'clubID': '583', 'value': '€37.00m'}, {'date': '01/11/2016', 'age': '29', 'clubName': 'Paris Saint-Germain', 'clubID': '583', 'value': '€40.00m'}, {'date': '16/01/2017', 'age': '29', 'clubName': 'Paris Saint-Germain', 'clubID': '583', 'value': '€45.00m'}, {'date': '01/06/2017', 'age': '30', 'clubName': 'Paris Saint-Germain', 'clubID': '583', 'value': '€45.00m'}, {'date': '24/01/2018', 'age': '30', 'clubName': 'Paris Saint-Germain', 'clubID': '583', 'value': '€60.00m'}, {'date': '04/06/2018', 'age': '31', 'clubName': 'Paris Saint-Germain', 'clubID': '583', 'value': '€60.00m'}, {'date': '17/12/2018', 'age': '31', 'clubName': 'Paris Saint-Germain', 'clubID': '583', 'value': '€55.00m'}, {'date': '07/03/2019', 'age': '32', 'clubName': 'Paris Saint-Germain', 'clubID': '583', 'value': '€50.00m'}, {'date': '03/06/2019', 'age': '32', 'clubName': 'Paris Saint-Germain', 'clubID': '583', 'value': '€40.00m'}, {'date': '19/12/2019', 'age': '32', 'clubName': 'Paris Saint-Germain', 'clubID': '583', 'value': '€25.00m'}, {'date': '08/04/2020', 'age': '33', 'clubName': 'Paris Saint-Germain', 'clubID': '583', 'value': '€20.00m'}, {'date': '13/10/2020', 'age': '33', 'clubName': 'Manchester United', 'clubID': '985', 'value': '€12.00m'}, {'date': '18/03/2021', 'age': '34', 'clubName': 'Manchester United', 'clubID': '985', 'value': '€7.00m'}, {'date': '08/06/2021', 'age': '34', 'clubName': 'Manchester United', 'clubID': '985', 'value': '€6.00m'}, {'date': '23/12/2021', 'age': '34', 'clubName': 'Manchester United', 'clubID': '985', 'value': '€4.00m'}, {'date': '15/06/2022', 'age': '35', 'clubName': 'Manchester United', 'clubID': '985', 'value': '€4.00m'}, {'date': '07/11/2022', 'age': '35', 'clubName': 'Valencia CF', 'clubID': '1049', 'value': '€5.00m'}, {'date': '23/03/2023', 'age': '36', 'clubName': 'Valencia CF', 'clubID': '1049', 'value': '€4.00m'}, {'date': '13/06/2023', 'age': '36', 'clubName': 'Valencia CF', 'clubID': '1049', 'value': '€3.00m'}, {'date': '04/10/2023', 'age': '36', 'clubName': 'CA Boca Juniors', 'clubID': '189', 'value': '€2.50m'}, {'date': '19/12/2023', 'age': '36', 'clubName': 'CA Boca Juniors', 'clubID': '189', 'value': '€2.00m'}, {'date': '11/03/2024', 'age': '37', 'clubName': 'CA Boca Juniors', 'clubID': '189', 'value': '€1.00m'}, {'date': '12/06/2024', 'age': '37', 'clubName': 'CA Boca Juniors', 'clubID': '189', 'value': '€1.00m'}, {'date': '13/12/2024', 'age': '37', 'clubName': 'CA Boca Juniors', 'clubID': '189', 'value': '€1.00m'}, {'date': '02/06/2025', 'age': '38', 'clubName': 'CA Boca Juniors', 'clubID': '189', 'value': '€1.00m'}, {'date': '24/09/2025', 'age': '38', 'clubName': 'CA Boca Juniors', 'clubID': '189', 'value': '€500k'}, {'date': '17/12/2025', 'age': '38', 'clubName': 'CA Boca Juniors', 'clubID': '189', 'value': '€500k'}]}</t>
  </si>
  <si>
    <t>Grillitsch</t>
  </si>
  <si>
    <t>{'marketValueHistory': [{'date': 'Jan 29, 2014', 'age': '18', 'clubName': 'SV Werder Bremen U19', 'clubID': '2491', 'value': '€50k'}, {'date': 'Feb 20, 2014', 'age': '18', 'clubName': 'SV Werder Bremen U19', 'clubID': '2491', 'value': '€75k'}, {'date': 'Aug 18, 2014', 'age': '19', 'clubName': 'SV Werder Bremen II', 'clubID': '87', 'value': '€75k'}, {'date': 'Feb 8, 2015', 'age': '19', 'clubName': 'SV Werder Bremen II', 'clubID': '87', 'value': '€100k'}, {'date': 'Jul 1, 2015', 'age': '19', 'clubName': 'SV Werder Bremen', 'clubID': '86', 'value': '€200k'}, {'date': 'Oct 16, 2015', 'age': '20', 'clubName': 'SV Werder Bremen', 'clubID': '86', 'value': '€500k'}, {'date': 'Feb 15, 2016', 'age': '20', 'clubName': 'SV Werder Bremen', 'clubID': '86', 'value': '€1.50m'}, {'date': 'Apr 13, 2016', 'age': '20', 'clubName': 'SV Werder Bremen', 'clubID': '86', 'value': '€2.50m'}, {'date': 'Jul 22, 2016', 'age': '20', 'clubName': 'SV Werder Bremen', 'clubID': '86', 'value': '€4.00m'}, {'date': 'Feb 7, 2017', 'age': '21', 'clubName': 'SV Werder Bremen', 'clubID': '86', 'value': '€4.00m'}, {'date': 'Jun 19, 2017', 'age': '21', 'clubName': 'SV Werder Bremen', 'clubID': '86', 'value': '€4.00m'}, {'date': 'Dec 28, 2017', 'age': '22', 'clubName': 'TSG 1899 Hoffenheim', 'clubID': '533', 'value': '€4.50m'}, {'date': 'Apr 4, 2018', 'age': '22', 'clubName': 'TSG 1899 Hoffenheim', 'clubID': '533', 'value': '€7.50m'}, {'date': 'Jun 5, 2018', 'age': '22', 'clubName': 'TSG 1899 Hoffenheim', 'clubID': '533', 'value': '€10.00m'}, {'date': 'Aug 22, 2018', 'age': '23', 'clubName': 'TSG 1899 Hoffenheim', 'clubID': '533', 'value': '€15.00m'}, {'date': 'Oct 22, 2018', 'age': '23', 'clubName': 'TSG 1899 Hoffenheim', 'clubID': '533', 'value': '€20.00m'}, {'date': 'Dec 18, 2018', 'age': '23', 'clubName': 'TSG 1899 Hoffenheim', 'clubID': '533', 'value': '€20.00m'}, {'date': 'Jun 5, 2019', 'age': '23', 'clubName': 'TSG 1899 Hoffenheim', 'clubID': '533', 'value': '€22.00m'}, {'date': 'Dec 17, 2019', 'age': '24', 'clubName': 'TSG 1899 Hoffenheim', 'clubID': '533', 'value': '€22.00m'}, {'date': 'Mar 11, 2020', 'age': '24', 'clubName': 'TSG 1899 Hoffenheim', 'clubID': '533', 'value': '€25.00m'}, {'date': 'Apr 8, 2020', 'age': '24', 'clubName': 'TSG 1899 Hoffenheim', 'clubID': '533', 'value': '€20.00m'}, {'date': 'Feb 10, 2021', 'age': '25', 'clubName': 'TSG 1899 Hoffenheim', 'clubID': '533', 'value': '€20.00m'}, {'date': 'May 27, 2021', 'age': '25', 'clubName': 'TSG 1899 Hoffenheim', 'clubID': '533', 'value': '€18.00m'}, {'date': 'Oct 7, 2021', 'age': '26', 'clubName': 'TSG 1899 Hoffenheim', 'clubID': '533', 'value': '€16.00m'}, {'date': 'Dec 22, 2021', 'age': '26', 'clubName': 'TSG 1899 Hoffenheim', 'clubID': '533', 'value': '€16.00m'}, {'date': 'Jun 9, 2022', 'age': '26', 'clubName': 'TSG 1899 Hoffenheim', 'clubID': '533', 'value': '€16.00m'}, {'date': 'Nov 11, 2022', 'age': '27', 'clubName': 'Ajax Amsterdam', 'clubID': '610', 'value': '€10.00m'}, {'date': 'Mar 17, 2023', 'age': '27', 'clubName': 'Ajax Amsterdam', 'clubID': '610', 'value': '€8.00m'}, {'date': 'Jun 23, 2023', 'age': '27', 'clubName': 'Ajax Amsterdam', 'clubID': '610', 'value': '€6.50m'}, {'date': 'Dec 14, 2023', 'age': '28', 'clubName': 'TSG 1899 Hoffenheim', 'clubID': '533', 'value': '€6.50m'}, {'date': 'May 29, 2024', 'age': '28', 'clubName': 'TSG 1899 Hoffenheim', 'clubID': '533', 'value': '€6.50m'}, {'date': 'Dec 20, 2024', 'age': '29', 'clubName': 'TSG 1899 Hoffenheim', 'clubID': '533', 'value': '€3.50m'}, {'date': 'Mar 21, 2025', 'age': '29', 'clubName': 'Real Valladolid CF', 'clubID': '366', 'value': '€3.00m'}, {'date': 'Jun 9, 2025', 'age': '29', 'clubName': 'Real Valladolid CF', 'clubID': '366', 'value': '€2.00m'}, {'date': 'Dec 18, 2025', 'age': '30', 'clubName': 'SC Braga', 'clubID': '1075', 'value': '€2.00m'}]}</t>
  </si>
  <si>
    <t>1995-08-07</t>
  </si>
  <si>
    <t>Lemar</t>
  </si>
  <si>
    <t>{'marketValueHistory': [{'date': '07/08/2013', 'age': '17', 'clubName': 'SM Caen', 'clubID': '1162', 'value': '€150k'}, {'date': '13/09/2013', 'age': '17', 'clubName': 'SM Caen', 'clubID': '1162', 'value': '€400k'}, {'date': '03/08/2014', 'age': '18', 'clubName': 'SM Caen', 'clubID': '1162', 'value': '€750k'}, {'date': '14/01/2015', 'age': '19', 'clubName': 'SM Caen', 'clubID': '1162', 'value': '€800k'}, {'date': '06/06/2015', 'age': '19', 'clubName': 'SM Caen', 'clubID': '1162', 'value': '€1.25m'}, {'date': '06/09/2015', 'age': '19', 'clubName': 'AS Monaco', 'clubID': '162', 'value': '€4.00m'}, {'date': '04/02/2016', 'age': '20', 'clubName': 'AS Monaco', 'clubID': '162', 'value': '€7.50m'}, {'date': '13/07/2016', 'age': '20', 'clubName': 'AS Monaco', 'clubID': '162', 'value': '€12.00m'}, {'date': '01/11/2016', 'age': '20', 'clubName': 'AS Monaco', 'clubID': '162', 'value': '€14.00m'}, {'date': '16/01/2017', 'age': '21', 'clubName': 'AS Monaco', 'clubID': '162', 'value': '€20.00m'}, {'date': '01/06/2017', 'age': '21', 'clubName': 'AS Monaco', 'clubID': '162', 'value': '€24.00m'}, {'date': '12/10/2017', 'age': '21', 'clubName': 'AS Monaco', 'clubID': '162', 'value': '€30.00m'}, {'date': '24/01/2018', 'age': '22', 'clubName': 'AS Monaco', 'clubID': '162', 'value': '€65.00m'}, {'date': '04/06/2018', 'age': '22', 'clubName': 'AS Monaco', 'clubID': '162', 'value': '€65.00m'}, {'date': '16/07/2018', 'age': '22', 'clubName': 'Atlético de Madrid', 'clubID': '13', 'value': '€70.00m'}, {'date': '21/12/2018', 'age': '23', 'clubName': 'Atlético de Madrid', 'clubID': '13', 'value': '€60.00m'}, {'date': '28/02/2019', 'age': '23', 'clubName': 'Atlético de Madrid', 'clubID': '13', 'value': '€50.00m'}, {'date': '11/06/2019', 'age': '23', 'clubName': 'Atlético de Madrid', 'clubID': '13', 'value': '€40.00m'}, {'date': '20/12/2019', 'age': '24', 'clubName': 'Atlético de Madrid', 'clubID': '13', 'value': '€30.00m'}, {'date': '08/04/2020', 'age': '24', 'clubName': 'Atlético de Madrid', 'clubID': '13', 'value': '€24.00m'}, {'date': '08/10/2020', 'age': '24', 'clubName': 'Atlético de Madrid', 'clubID': '13', 'value': '€18.00m'}, {'date': '23/11/2020', 'age': '25', 'clubName': 'Atlético de Madrid', 'clubID': '13', 'value': '€15.00m'}, {'date': '05/01/2021', 'age': '25', 'clubName': 'Atlético de Madrid', 'clubID': '13', 'value': '€20.00m'}, {'date': '19/03/2021', 'age': '25', 'clubName': 'Atlético de Madrid', 'clubID': '13', 'value': '€25.00m'}, {'date': '01/06/2021', 'age': '25', 'clubName': 'Atlético de Madrid', 'clubID': '13', 'value': '€25.00m'}, {'date': '13/10/2021', 'age': '25', 'clubName': 'Atlético de Madrid', 'clubID': '13', 'value': '€40.00m'}, {'date': '30/12/2021', 'age': '26', 'clubName': 'Atlético de Madrid', 'clubID': '13', 'value': '€40.00m'}, {'date': '03/06/2022', 'age': '26', 'clubName': 'Atlético de Madrid', 'clubID': '13', 'value': '€40.00m'}, {'date': '23/09/2022', 'age': '26', 'clubName': 'Atlético de Madrid', 'clubID': '13', 'value': '€35.00m'}, {'date': '07/11/2022', 'age': '26', 'clubName': 'Atlético de Madrid', 'clubID': '13', 'value': '€30.00m'}, {'date': '23/03/2023', 'age': '27', 'clubName': 'Atlético de Madrid', 'clubID': '13', 'value': '€25.00m'}, {'date': '13/06/2023', 'age': '27', 'clubName': 'Atlético de Madrid', 'clubID': '13', 'value': '€22.00m'}, {'date': '13/10/2023', 'age': '27', 'clubName': 'Atlético de Madrid', 'clubID': '13', 'value': '€15.00m'}, {'date': '22/12/2023', 'age': '28', 'clubName': 'Atlético de Madrid', 'clubID': '13', 'value': '€12.00m'}, {'date': '07/06/2024', 'age': '28', 'clubName': 'Atlético de Madrid', 'clubID': '13', 'value': '€10.00m'}, {'date': '11/10/2024', 'age': '28', 'clubName': 'Atlético de Madrid', 'clubID': '13', 'value': '€7.50m'}, {'date': '27/12/2024', 'age': '29', 'clubName': 'Atlético de Madrid', 'clubID': '13', 'value': '€5.00m'}, {'date': '09/06/2025', 'age': '29', 'clubName': 'Atlético de Madrid', 'clubID': '13', 'value': '€5.00m'}, {'date': '02/10/2025', 'age': '29', 'clubName': 'Girona FC', 'clubID': '12321', 'value': '€3.00m'}, {'date': '12/12/2025', 'age': '30', 'clubName': 'Girona FC', 'clubID': '12321', 'value': '€2.00m'}]}</t>
  </si>
  <si>
    <t>1995-11-12</t>
  </si>
  <si>
    <t>Hoarau</t>
  </si>
  <si>
    <t>{'marketValueHistory': [{'date': 'Aug 30, 2007', 'age': '23', 'clubName': 'Le Havre AC', 'clubID': '738', 'value': '€500k'}, {'date': 'Oct 1, 2007', 'age': '23', 'clubName': 'Le Havre AC', 'clubID': '738', 'value': '€1.00m'}, {'date': 'Dec 11, 2007', 'age': '23', 'clubName': 'Le Havre AC', 'clubID': '738', 'value': '€2.50m'}, {'date': 'Apr 9, 2008', 'age': '24', 'clubName': 'Le Havre AC', 'clubID': '738', 'value': '€4.00m'}, {'date': 'Dec 30, 2008', 'age': '24', 'clubName': 'Paris Saint-Germain', 'clubID': '583', 'value': '€7.50m'}, {'date': 'Apr 7, 2009', 'age': '25', 'clubName': 'Paris Saint-Germain', 'clubID': '583', 'value': '€8.50m'}, {'date': 'May 18, 2009', 'age': '25', 'clubName': 'Paris Saint-Germain', 'clubID': '583', 'value': '€11.00m'}, {'date': 'Dec 22, 2009', 'age': '25', 'clubName': 'Paris Saint-Germain', 'clubID': '583', 'value': '€10.50m'}, {'date': 'May 18, 2010', 'age': '26', 'clubName': 'Paris Saint-Germain', 'clubID': '583', 'value': '€11.00m'}, {'date': 'Dec 28, 2010', 'age': '26', 'clubName': 'Paris Saint-Germain', 'clubID': '583', 'value': '€11.50m'}, {'date': 'May 24, 2011', 'age': '27', 'clubName': 'Paris Saint-Germain', 'clubID': '583', 'value': '€11.00m'}, {'date': 'Dec 24, 2011', 'age': '27', 'clubName': 'Paris Saint-Germain', 'clubID': '583', 'value': '€9.50m'}, {'date': 'May 23, 2012', 'age': '28', 'clubName': 'Paris Saint-Germain', 'clubID': '583', 'value': '€9.00m'}, {'date': 'Jun 14, 2012', 'age': '28', 'clubName': 'Paris Saint-Germain', 'clubID': '583', 'value': '€8.00m'}, {'date': 'Aug 23, 2012', 'age': '28', 'clubName': 'Paris Saint-Germain', 'clubID': '583', 'value': '€6.50m'}, {'date': 'Jan 7, 2013', 'age': '28', 'clubName': 'Paris Saint-Germain', 'clubID': '583', 'value': '€5.00m'}, {'date': 'Jan 10, 2013', 'age': '28', 'clubName': 'Dalian Aerbin', 'clubID': '33304', 'value': '€3.50m'}, {'date': 'May 6, 2013', 'age': '29', 'clubName': 'Dalian Aerbin', 'clubID': '33304', 'value': '€3.00m'}, {'date': 'May 14, 2013', 'age': '29', 'clubName': 'Dalian Aerbin', 'clubID': '33304', 'value': '€1.75m'}, {'date': 'Jul 5, 2013', 'age': '29', 'clubName': 'Dalian Aerbin', 'clubID': '33304', 'value': '€1.50m'}, {'date': 'Aug 19, 2013', 'age': '29', 'clubName': 'Dalian Aerbin', 'clubID': '33304', 'value': '€1.25m'}, {'date': 'Sep 24, 2013', 'age': '29', 'clubName': 'Dalian Aerbin', 'clubID': '33304', 'value': '€1.00m'}, {'date': 'Jan 14, 2014', 'age': '29', 'clubName': 'FC Girondins Bordeaux', 'clubID': '40', 'value': '€1.50m'}, {'date': 'Sep 12, 2014', 'age': '30', 'clubName': 'BSC Young Boys', 'clubID': '452', 'value': '€1.00m'}, {'date': 'Dec 15, 2014', 'age': '30', 'clubName': 'BSC Young Boys', 'clubID': '452', 'value': '€1.50m'}, {'date': 'Apr 14, 2015', 'age': '31', 'clubName': 'BSC Young Boys', 'clubID': '452', 'value': '€2.50m'}, {'date': 'Jun 18, 2015', 'age': '31', 'clubName': 'BSC Young Boys', 'clubID': '452', 'value': '€2.50m'}, {'date': 'Dec 18, 2015', 'age': '31', 'clubName': 'BSC Young Boys', 'clubID': '452', 'value': '€2.50m'}, {'date': 'Apr 20, 2016', 'age': '32', 'clubName': 'BSC Young Boys', 'clubID': '452', 'value': '€2.00m'}, {'date': 'Jul 16, 2016', 'age': '32', 'clubName': 'BSC Young Boys', 'clubID': '452', 'value': '€2.00m'}, {'date': 'Dec 20, 2016', 'age': '32', 'clubName': 'BSC Young Boys', 'clubID': '452', 'value': '€2.00m'}, {'date': 'Jul 12, 2017', 'age': '33', 'clubName': 'BSC Young Boys', 'clubID': '452', 'value': '€2.00m'}, {'date': 'Jan 8, 2018', 'age': '33', 'clubName': 'BSC Young Boys', 'clubID': '452', 'value': '€1.50m'}, {'date': 'Apr 24, 2018', 'age': '34', 'clubName': 'BSC Young Boys', 'clubID': '452', 'value': '€1.50m'}, {'date': 'Jul 12, 2018', 'age': '34', 'clubName': 'BSC Young Boys', 'clubID': '452', 'value': '€1.50m'}, {'date': 'Jan 21, 2019', 'age': '34', 'clubName': 'BSC Young Boys', 'clubID': '452', 'value': '€1.50m'}, {'date': 'Apr 15, 2019', 'age': '35', 'clubName': 'BSC Young Boys', 'clubID': '452', 'value': '€1.50m'}, {'date': 'Jun 4, 2019', 'age': '35', 'clubName': 'BSC Young Boys', 'clubID': '452', 'value': '€1.50m'}, {'date': 'Jan 6, 2020', 'age': '35', 'clubName': 'BSC Young Boys', 'clubID': '452', 'value': '€1.00m'}, {'date': 'Apr 8, 2020', 'age': '36', 'clubName': 'BSC Young Boys', 'clubID': '452', 'value': '€800k'}, {'date': 'Jul 31, 2020', 'age': '36', 'clubName': 'BSC Young Boys', 'clubID': '452', 'value': '€800k'}, {'date': 'Dec 28, 2020', 'age': '36', 'clubName': 'FC Sion', 'clubID': '321', 'value': '€200k'}, {'date': 'Apr 15, 2021', 'age': '37', 'clubName': 'FC Sion', 'clubID': '321', 'value': '€100k'}, {'date': 'Jun 23, 2021', 'age': '37', 'clubName': 'FC Sion', 'clubID': '321', 'value': '€100k'}, {'date': 'Jan 3, 2022', 'age': '37', 'clubName': 'FC Sion', 'clubID': '321', 'value': '€100k'}, {'date': 'Jun 8, 2022', 'age': '38', 'clubName': 'FC Sion', 'clubID': '321', 'value': '€100k'}, {'date': 'Jul 1, 2022', 'age': '38', 'clubName': 'FC Sion', 'clubID': '321', 'value': '-'}]}</t>
  </si>
  <si>
    <t>1984-03-05</t>
  </si>
  <si>
    <t>Kondogbia</t>
  </si>
  <si>
    <t>{'marketValueHistory': [{'date': '22/07/2011', 'age': '18', 'clubName': 'RC Lens', 'clubID': '826', 'value': '€250k'}, {'date': '03/09/2011', 'age': '18', 'clubName': 'RC Lens', 'clubID': '826', 'value': '€750k'}, {'date': '24/12/2011', 'age': '18', 'clubName': 'RC Lens', 'clubID': '826', 'value': '€1.50m'}, {'date': '01/06/2012', 'age': '19', 'clubName': 'RC Lens', 'clubID': '826', 'value': '€3.00m'}, {'date': '07/08/2012', 'age': '19', 'clubName': 'Sevilla FC', 'clubID': '368', 'value': '€4.00m'}, {'date': '11/01/2013', 'age': '19', 'clubName': 'Sevilla FC', 'clubID': '368', 'value': '€5.00m'}, {'date': '12/06/2013', 'age': '20', 'clubName': 'Sevilla FC', 'clubID': '368', 'value': '€10.00m'}, {'date': '07/08/2013', 'age': '20', 'clubName': 'Sevilla FC', 'clubID': '368', 'value': '€15.00m'}, {'date': '13/09/2013', 'age': '20', 'clubName': 'AS Monaco', 'clubID': '162', 'value': '€18.00m'}, {'date': '14/01/2014', 'age': '20', 'clubName': 'AS Monaco', 'clubID': '162', 'value': '€16.00m'}, {'date': '07/08/2014', 'age': '21', 'clubName': 'AS Monaco', 'clubID': '162', 'value': '€15.50m'}, {'date': '14/01/2015', 'age': '21', 'clubName': 'AS Monaco', 'clubID': '162', 'value': '€14.00m'}, {'date': '06/06/2015', 'age': '22', 'clubName': 'AS Monaco', 'clubID': '162', 'value': '€16.00m'}, {'date': '23/09/2015', 'age': '22', 'clubName': 'Inter Milan', 'clubID': '46', 'value': '€24.00m'}, {'date': '04/01/2016', 'age': '22', 'clubName': 'Inter Milan', 'clubID': '46', 'value': '€24.00m'}, {'date': '15/07/2016', 'age': '23', 'clubName': 'Inter Milan', 'clubID': '46', 'value': '€24.00m'}, {'date': '14/10/2016', 'age': '23', 'clubName': 'Inter Milan', 'clubID': '46', 'value': '€20.00m'}, {'date': '02/01/2017', 'age': '23', 'clubName': 'Inter Milan', 'clubID': '46', 'value': '€19.00m'}, {'date': '08/06/2017', 'age': '24', 'clubName': 'Inter Milan', 'clubID': '46', 'value': '€18.00m'}, {'date': '01/01/2018', 'age': '24', 'clubName': 'Valencia CF', 'clubID': '1049', 'value': '€25.00m'}, {'date': '30/05/2018', 'age': '25', 'clubName': 'Valencia CF', 'clubID': '1049', 'value': '€30.00m'}, {'date': '21/12/2018', 'age': '25', 'clubName': 'Valencia CF', 'clubID': '1049', 'value': '€25.00m'}, {'date': '11/06/2019', 'age': '26', 'clubName': 'Valencia CF', 'clubID': '1049', 'value': '€30.00m'}, {'date': '20/12/2019', 'age': '26', 'clubName': 'Valencia CF', 'clubID': '1049', 'value': '€28.00m'}, {'date': '08/04/2020', 'age': '27', 'clubName': 'Valencia CF', 'clubID': '1049', 'value': '€22.50m'}, {'date': '08/10/2020', 'age': '27', 'clubName': 'Valencia CF', 'clubID': '1049', 'value': '€17.50m'}, {'date': '05/01/2021', 'age': '27', 'clubName': 'Atlético de Madrid', 'clubID': '13', 'value': '€15.00m'}, {'date': '10/06/2021', 'age': '28', 'clubName': 'Atlético de Madrid', 'clubID': '13', 'value': '€15.00m'}, {'date': '30/12/2021', 'age': '28', 'clubName': 'Atlético de Madrid', 'clubID': '13', 'value': '€15.00m'}, {'date': '03/06/2022', 'age': '29', 'clubName': 'Atlético de Madrid', 'clubID': '13', 'value': '€20.00m'}, {'date': '07/11/2022', 'age': '29', 'clubName': 'Atlético de Madrid', 'clubID': '13', 'value': '€20.00m'}, {'date': '23/03/2023', 'age': '30', 'clubName': 'Atlético de Madrid', 'clubID': '13', 'value': '€18.00m'}, {'date': '13/06/2023', 'age': '30', 'clubName': 'Atlético de Madrid', 'clubID': '13', 'value': '€14.00m'}, {'date': '18/12/2023', 'age': '30', 'clubName': 'Olympique Marseille', 'clubID': '244', 'value': '€15.00m'}, {'date': '03/06/2024', 'age': '31', 'clubName': 'Olympique Marseille', 'clubID': '244', 'value': '€12.00m'}, {'date': '07/10/2024', 'age': '31', 'clubName': 'Olympique Marseille', 'clubID': '244', 'value': '€9.00m'}, {'date': '10/12/2024', 'age': '31', 'clubName': 'Olympique Marseille', 'clubID': '244', 'value': '€8.00m'}, {'date': '03/06/2025', 'age': '32', 'clubName': 'Olympique Marseille', 'clubID': '244', 'value': '€7.00m'}, {'date': '15/12/2025', 'age': '32', 'clubName': 'Olympique Marseille', 'clubID': '244', 'value': '€5.00m'}, {'date': '27/03/2026', 'age': '33', 'clubName': 'Olympique Marseille', 'clubID': '244', 'value': '€4.00m'}]}</t>
  </si>
  <si>
    <t>1993-02-15</t>
  </si>
  <si>
    <t>Filipe Luis</t>
  </si>
  <si>
    <t>{'marketValueHistory': [{'date': 'Dec 31, 2006', 'age': '21', 'clubName': 'Deportivo de La Coruña', 'clubID': '897', 'value': '€650k'}, {'date': 'Aug 27, 2007', 'age': '22', 'clubName': 'Deportivo de La Coruña', 'clubID': '897', 'value': '€2.00m'}, {'date': 'Mar 19, 2008', 'age': '22', 'clubName': 'Deportivo de La Coruña', 'clubID': '897', 'value': '€2.20m'}, {'date': 'Jul 16, 2008', 'age': '22', 'clubName': 'Deportivo de La Coruña', 'clubID': '897', 'value': '€4.00m'}, {'date': 'Jan 21, 2009', 'age': '23', 'clubName': 'Deportivo de La Coruña', 'clubID': '897', 'value': '€5.00m'}, {'date': 'Mar 15, 2009', 'age': '23', 'clubName': 'Deportivo de La Coruña', 'clubID': '897', 'value': '€6.00m'}, {'date': 'Jul 22, 2009', 'age': '23', 'clubName': 'Deportivo de La Coruña', 'clubID': '897', 'value': '€10.00m'}, {'date': 'Dec 2, 2009', 'age': '24', 'clubName': 'Deportivo de La Coruña', 'clubID': '897', 'value': '€10.00m'}, {'date': 'Apr 11, 2010', 'age': '24', 'clubName': 'Deportivo de La Coruña', 'clubID': '897', 'value': '€10.00m'}, {'date': 'Aug 27, 2010', 'age': '25', 'clubName': 'Atlético de Madrid', 'clubID': '13', 'value': '€12.00m'}, {'date': 'Feb 4, 2011', 'age': '25', 'clubName': 'Atlético de Madrid', 'clubID': '13', 'value': '€9.00m'}, {'date': 'Jul 29, 2011', 'age': '25', 'clubName': 'Atlético de Madrid', 'clubID': '13', 'value': '€8.00m'}, {'date': 'Feb 3, 2012', 'age': '26', 'clubName': 'Atlético de Madrid', 'clubID': '13', 'value': '€8.00m'}, {'date': 'Aug 1, 2012', 'age': '26', 'clubName': 'Atlético de Madrid', 'clubID': '13', 'value': '€9.00m'}, {'date': 'Jan 10, 2013', 'age': '27', 'clubName': 'Atlético de Madrid', 'clubID': '13', 'value': '€12.00m'}, {'date': 'Jun 12, 2013', 'age': '27', 'clubName': 'Atlético de Madrid', 'clubID': '13', 'value': '€14.00m'}, {'date': 'Jan 23, 2014', 'age': '28', 'clubName': 'Atlético de Madrid', 'clubID': '13', 'value': '€15.00m'}, {'date': 'Aug 12, 2014', 'age': '29', 'clubName': 'Chelsea FC', 'clubID': '631', 'value': '€18.00m'}, {'date': 'Feb 12, 2015', 'age': '29', 'clubName': 'Chelsea FC', 'clubID': '631', 'value': '€18.00m'}, {'date': 'Jul 1, 2015', 'age': '29', 'clubName': 'Chelsea FC', 'clubID': '631', 'value': '€15.00m'}, {'date': 'Feb 22, 2016', 'age': '30', 'clubName': 'Atlético de Madrid', 'clubID': '13', 'value': '€15.00m'}, {'date': 'Jul 15, 2016', 'age': '30', 'clubName': 'Atlético de Madrid', 'clubID': '13', 'value': '€25.00m'}, {'date': 'Jan 24, 2017', 'age': '31', 'clubName': 'Atlético de Madrid', 'clubID': '13', 'value': '€22.00m'}, {'date': 'Jun 5, 2017', 'age': '31', 'clubName': 'Atlético de Madrid', 'clubID': '13', 'value': '€18.00m'}, {'date': 'Jan 1, 2018', 'age': '32', 'clubName': 'Atlético de Madrid', 'clubID': '13', 'value': '€18.00m'}, {'date': 'Mar 22, 2018', 'age': '32', 'clubName': 'Atlético de Madrid', 'clubID': '13', 'value': '€10.00m'}, {'date': 'May 30, 2018', 'age': '32', 'clubName': 'Atlético de Madrid', 'clubID': '13', 'value': '€8.00m'}, {'date': 'Dec 21, 2018', 'age': '33', 'clubName': 'Atlético de Madrid', 'clubID': '13', 'value': '€5.00m'}, {'date': 'Jun 11, 2019', 'age': '33', 'clubName': 'Atlético de Madrid', 'clubID': '13', 'value': '€3.00m'}, {'date': 'Nov 27, 2019', 'age': '34', 'clubName': 'CR Flamengo', 'clubID': '614', 'value': '€2.50m'}, {'date': 'Apr 8, 2020', 'age': '34', 'clubName': 'CR Flamengo', 'clubID': '614', 'value': '€2.00m'}, {'date': 'Sep 9, 2020', 'age': '35', 'clubName': 'CR Flamengo', 'clubID': '614', 'value': '€2.00m'}, {'date': 'Feb 9, 2021', 'age': '35', 'clubName': 'CR Flamengo', 'clubID': '614', 'value': '€1.50m'}, {'date': 'May 28, 2021', 'age': '35', 'clubName': 'CR Flamengo', 'clubID': '614', 'value': '€1.50m'}, {'date': 'Dec 17, 2021', 'age': '36', 'clubName': 'CR Flamengo', 'clubID': '614', 'value': '€1.00m'}, {'date': 'Apr 6, 2022', 'age': '36', 'clubName': 'CR Flamengo', 'clubID': '614', 'value': '€800k'}, {'date': 'Aug 19, 2022', 'age': '37', 'clubName': 'CR Flamengo', 'clubID': '614', 'value': '€500k'}, {'date': 'Nov 14, 2022', 'age': '37', 'clubName': 'CR Flamengo', 'clubID': '614', 'value': '€400k'}, {'date': 'Apr 7, 2023', 'age': '37', 'clubName': 'CR Flamengo', 'clubID': '614', 'value': '€350k'}, {'date': 'Jul 25, 2023', 'age': '37', 'clubName': 'CR Flamengo', 'clubID': '614', 'value': '€300k'}, {'date': 'Dec 11, 2023', 'age': '38', 'clubName': 'CR Flamengo', 'clubID': '614', 'value': '€300k'}, {'date': 'Jan 1, 2024', 'age': '38', 'clubName': 'Retired', 'clubID': '123', 'value': '-'}]}</t>
  </si>
  <si>
    <t>1985-08-09</t>
  </si>
  <si>
    <t>Ruben Dias</t>
  </si>
  <si>
    <t>{'marketValueHistory': [{'date': '31/07/2015', 'age': '18', 'clubName': 'SL Benfica B', 'clubID': '10330', 'value': '€25k'}, {'date': '14/03/2016', 'age': '18', 'clubName': 'SL Benfica B', 'clubID': '10330', 'value': '€350k'}, {'date': '30/09/2016', 'age': '19', 'clubName': 'SL Benfica B', 'clubID': '10330', 'value': '€800k'}, {'date': '30/06/2017', 'age': '20', 'clubName': 'SL Benfica B', 'clubID': '10330', 'value': '€1.00m'}, {'date': '08/09/2017', 'age': '20', 'clubName': 'SL Benfica', 'clubID': '294', 'value': '€1.00m'}, {'date': '06/11/2017', 'age': '20', 'clubName': 'SL Benfica', 'clubID': '294', 'value': '€2.50m'}, {'date': '07/02/2018', 'age': '20', 'clubName': 'SL Benfica', 'clubID': '294', 'value': '€7.00m'}, {'date': '16/04/2018', 'age': '20', 'clubName': 'SL Benfica', 'clubID': '294', 'value': '€14.00m'}, {'date': '13/06/2018', 'age': '21', 'clubName': 'SL Benfica', 'clubID': '294', 'value': '€22.00m'}, {'date': '01/11/2018', 'age': '21', 'clubName': 'SL Benfica', 'clubID': '294', 'value': '€28.00m'}, {'date': '11/01/2019', 'age': '21', 'clubName': 'SL Benfica', 'clubID': '294', 'value': '€28.00m'}, {'date': '07/06/2019', 'age': '22', 'clubName': 'SL Benfica', 'clubID': '294', 'value': '€32.00m'}, {'date': '30/12/2019', 'age': '22', 'clubName': 'SL Benfica', 'clubID': '294', 'value': '€38.00m'}, {'date': '08/04/2020', 'age': '22', 'clubName': 'SL Benfica', 'clubID': '294', 'value': '€30.50m'}, {'date': '17/08/2020', 'age': '23', 'clubName': 'SL Benfica', 'clubID': '294', 'value': '€35.00m'}, {'date': '13/10/2020', 'age': '23', 'clubName': 'Manchester City', 'clubID': '281', 'value': '€50.00m'}, {'date': '17/12/2020', 'age': '23', 'clubName': 'Manchester City', 'clubID': '281', 'value': '€60.00m'}, {'date': '18/03/2021', 'age': '23', 'clubName': 'Manchester City', 'clubID': '281', 'value': '€70.00m'}, {'date': '01/06/2021', 'age': '24', 'clubName': 'Manchester City', 'clubID': '281', 'value': '€75.00m'}, {'date': '23/12/2021', 'age': '24', 'clubName': 'Manchester City', 'clubID': '281', 'value': '€75.00m'}, {'date': '15/06/2022', 'age': '25', 'clubName': 'Manchester City', 'clubID': '281', 'value': '€75.00m'}, {'date': '03/11/2022', 'age': '25', 'clubName': 'Manchester City', 'clubID': '281', 'value': '€75.00m'}, {'date': '20/06/2023', 'age': '26', 'clubName': 'Manchester City', 'clubID': '281', 'value': '€80.00m'}, {'date': '19/12/2023', 'age': '26', 'clubName': 'Manchester City', 'clubID': '281', 'value': '€80.00m'}, {'date': '27/05/2024', 'age': '27', 'clubName': 'Manchester City', 'clubID': '281', 'value': '€80.00m'}, {'date': '16/12/2024', 'age': '27', 'clubName': 'Manchester City', 'clubID': '281', 'value': '€75.00m'}, {'date': '18/03/2025', 'age': '27', 'clubName': 'Manchester City', 'clubID': '281', 'value': '€70.00m'}, {'date': '30/05/2025', 'age': '28', 'clubName': 'Manchester City', 'clubID': '281', 'value': '€65.00m'}, {'date': '17/10/2025', 'age': '28', 'clubName': 'Manchester City', 'clubID': '281', 'value': '€60.00m'}, {'date': '09/12/2025', 'age': '28', 'clubName': 'Manchester City', 'clubID': '281', 'value': '€60.00m'}]}</t>
  </si>
  <si>
    <t>1997-05-14</t>
  </si>
  <si>
    <t>Lauper</t>
  </si>
  <si>
    <t>{'marketValueHistory': [{'date': 'Sep 29, 2015', 'age': '18', 'clubName': 'FC Thun U21', 'clubID': '10400', 'value': '€100k'}, {'date': 'Jul 16, 2016', 'age': '19', 'clubName': 'FC Thun', 'clubID': '938', 'value': '€100k'}, {'date': 'Oct 19, 2016', 'age': '19', 'clubName': 'FC Thun', 'clubID': '938', 'value': '€300k'}, {'date': 'Dec 20, 2016', 'age': '20', 'clubName': 'FC Thun', 'clubID': '938', 'value': '€300k'}, {'date': 'Apr 14, 2017', 'age': '20', 'clubName': 'FC Thun', 'clubID': '938', 'value': '€500k'}, {'date': 'Jul 12, 2017', 'age': '20', 'clubName': 'FC Thun', 'clubID': '938', 'value': '€800k'}, {'date': 'Jan 8, 2018', 'age': '21', 'clubName': 'FC Thun', 'clubID': '938', 'value': '€800k'}, {'date': 'Apr 24, 2018', 'age': '21', 'clubName': 'FC Thun', 'clubID': '938', 'value': '€800k'}, {'date': 'Jul 12, 2018', 'age': '21', 'clubName': 'BSC Young Boys', 'clubID': '452', 'value': '€1.50m'}, {'date': 'Jan 21, 2019', 'age': '22', 'clubName': 'BSC Young Boys', 'clubID': '452', 'value': '€3.00m'}, {'date': 'Apr 15, 2019', 'age': '22', 'clubName': 'BSC Young Boys', 'clubID': '452', 'value': '€3.00m'}, {'date': 'Jun 4, 2019', 'age': '22', 'clubName': 'BSC Young Boys', 'clubID': '452', 'value': '€3.00m'}, {'date': 'Jan 6, 2020', 'age': '23', 'clubName': 'BSC Young Boys', 'clubID': '452', 'value': '€3.00m'}, {'date': 'Apr 8, 2020', 'age': '23', 'clubName': 'BSC Young Boys', 'clubID': '452', 'value': '€2.40m'}, {'date': 'Jul 31, 2020', 'age': '23', 'clubName': 'BSC Young Boys', 'clubID': '452', 'value': '€2.40m'}, {'date': 'Dec 28, 2020', 'age': '24', 'clubName': 'BSC Young Boys', 'clubID': '452', 'value': '€1.50m'}, {'date': 'Apr 15, 2021', 'age': '24', 'clubName': 'BSC Young Boys', 'clubID': '452', 'value': '€2.50m'}, {'date': 'Jun 23, 2021', 'age': '24', 'clubName': 'BSC Young Boys', 'clubID': '452', 'value': '€3.00m'}, {'date': 'Jan 3, 2022', 'age': '25', 'clubName': 'BSC Young Boys', 'clubID': '452', 'value': '€3.00m'}, {'date': 'Mar 28, 2022', 'age': '25', 'clubName': 'BSC Young Boys', 'clubID': '452', 'value': '€2.00m'}, {'date': 'Jun 8, 2022', 'age': '25', 'clubName': 'BSC Young Boys', 'clubID': '452', 'value': '€1.50m'}, {'date': 'Nov 10, 2022', 'age': '26', 'clubName': 'BSC Young Boys', 'clubID': '452', 'value': '€1.50m'}, {'date': 'Jun 7, 2023', 'age': '26', 'clubName': 'BSC Young Boys', 'clubID': '452', 'value': '€1.70m'}, {'date': 'Oct 19, 2023', 'age': '26', 'clubName': 'BSC Young Boys', 'clubID': '452', 'value': '€1.50m'}, {'date': 'Dec 21, 2023', 'age': '27', 'clubName': 'BSC Young Boys', 'clubID': '452', 'value': '€1.00m'}, {'date': 'May 31, 2024', 'age': '27', 'clubName': 'BSC Young Boys', 'clubID': '452', 'value': '€800k'}, {'date': 'Sep 27, 2024', 'age': '27', 'clubName': 'BSC Young Boys', 'clubID': '452', 'value': '€900k'}, {'date': 'Dec 23, 2024', 'age': '28', 'clubName': 'BSC Young Boys', 'clubID': '452', 'value': '€900k'}, {'date': 'Jun 10, 2025', 'age': '28', 'clubName': 'BSC Young Boys', 'clubID': '452', 'value': '€900k'}, {'date': 'Dec 29, 2025', 'age': '29', 'clubName': 'BSC Young Boys', 'clubID': '452', 'value': '€800k'}]}</t>
  </si>
  <si>
    <t>1996-10-25</t>
  </si>
  <si>
    <t>Von Bergen</t>
  </si>
  <si>
    <t>{'marketValueHistory': [{'date': '04/10/2004', 'age': '21', 'clubName': 'Neuchâtel Xamax', 'clubID': '625', 'value': '€300k'}, {'date': '09/01/2005', 'age': '21', 'clubName': 'Neuchâtel Xamax', 'clubID': '625', 'value': '€950k'}, {'date': '26/08/2005', 'age': '22', 'clubName': 'FC Zürich', 'clubID': '260', 'value': '€1.00m'}, {'date': '15/03/2007', 'age': '23', 'clubName': 'FC Zürich', 'clubID': '260', 'value': '€1.30m'}, {'date': '14/08/2007', 'age': '24', 'clubName': 'FC Zürich', 'clubID': '260', 'value': '€1.50m'}, {'date': '01/01/2008', 'age': '24', 'clubName': 'Hertha BSC', 'clubID': '44', 'value': '€2.20m'}, {'date': '04/06/2008', 'age': '24', 'clubName': 'Hertha BSC', 'clubID': '44', 'value': '€4.00m'}, {'date': '21/01/2009', 'age': '25', 'clubName': 'Hertha BSC', 'clubID': '44', 'value': '€2.50m'}, {'date': '10/06/2009', 'age': '26', 'clubName': 'Hertha BSC', 'clubID': '44', 'value': '€3.00m'}, {'date': '29/08/2010', 'age': '27', 'clubName': 'AC Cesena', 'clubID': '1429', 'value': '€2.20m'}, {'date': '05/01/2011', 'age': '27', 'clubName': 'AC Cesena', 'clubID': '1429', 'value': '€2.00m'}, {'date': '21/06/2011', 'age': '28', 'clubName': 'AC Cesena', 'clubID': '1429', 'value': '€2.00m'}, {'date': '10/01/2012', 'age': '28', 'clubName': 'AC Cesena', 'clubID': '1429', 'value': '€1.80m'}, {'date': '07/06/2012', 'age': '28', 'clubName': 'AC Cesena', 'clubID': '1429', 'value': '€1.50m'}, {'date': '14/01/2013', 'age': '29', 'clubName': 'US Palermo', 'clubID': '458', 'value': '€1.20m'}, {'date': '19/06/2013', 'age': '30', 'clubName': 'US Palermo', 'clubID': '458', 'value': '€1.00m'}, {'date': '26/11/2013', 'age': '30', 'clubName': 'BSC Young Boys', 'clubID': '452', 'value': '€1.50m'}, {'date': '14/02/2014', 'age': '30', 'clubName': 'BSC Young Boys', 'clubID': '452', 'value': '€1.50m'}, {'date': '12/09/2014', 'age': '31', 'clubName': 'BSC Young Boys', 'clubID': '452', 'value': '€1.50m'}, {'date': '15/12/2014', 'age': '31', 'clubName': 'BSC Young Boys', 'clubID': '452', 'value': '€1.50m'}, {'date': '18/06/2015', 'age': '32', 'clubName': 'BSC Young Boys', 'clubID': '452', 'value': '€1.50m'}, {'date': '18/12/2015', 'age': '32', 'clubName': 'BSC Young Boys', 'clubID': '452', 'value': '€1.50m'}, {'date': '20/04/2016', 'age': '32', 'clubName': 'BSC Young Boys', 'clubID': '452', 'value': '€1.00m'}, {'date': '01/06/2016', 'age': '32', 'clubName': 'BSC Young Boys', 'clubID': '452', 'value': '€1.00m'}, {'date': '16/07/2016', 'age': '33', 'clubName': 'BSC Young Boys', 'clubID': '452', 'value': '€1.00m'}, {'date': '20/12/2016', 'age': '33', 'clubName': 'BSC Young Boys', 'clubID': '452', 'value': '€1.00m'}, {'date': '12/07/2017', 'age': '34', 'clubName': 'BSC Young Boys', 'clubID': '452', 'value': '€800k'}, {'date': '08/01/2018', 'age': '34', 'clubName': 'BSC Young Boys', 'clubID': '452', 'value': '€800k'}, {'date': '24/04/2018', 'age': '34', 'clubName': 'BSC Young Boys', 'clubID': '452', 'value': '€800k'}, {'date': '12/07/2018', 'age': '35', 'clubName': 'BSC Young Boys', 'clubID': '452', 'value': '€1.00m'}, {'date': '21/01/2019', 'age': '35', 'clubName': 'BSC Young Boys', 'clubID': '452', 'value': '€1.00m'}, {'date': '15/04/2019', 'age': '35', 'clubName': 'BSC Young Boys', 'clubID': '452', 'value': '€1.00m'}, {'date': '04/06/2019', 'age': '35', 'clubName': 'BSC Young Boys', 'clubID': '452', 'value': '€1.00m'}, {'date': '01/07/2019', 'age': '36', 'clubName': 'Retired', 'clubID': '123', 'value': '-'}]}</t>
  </si>
  <si>
    <t>1983-06-10</t>
  </si>
  <si>
    <t>Benaglio</t>
  </si>
  <si>
    <t>{'marketValueHistory': [{'date': 'Oct 4, 2004', 'age': '21', 'clubName': 'VfB Stuttgart', 'clubID': '79', 'value': '€200k'}, {'date': 'Feb 17, 2006', 'age': '22', 'clubName': 'CD Nacional', 'clubID': '982', 'value': '€1.00m'}, {'date': 'Oct 19, 2007', 'age': '24', 'clubName': 'CD Nacional', 'clubID': '982', 'value': '€2.00m'}, {'date': 'Mar 5, 2008', 'age': '24', 'clubName': 'VfL Wolfsburg', 'clubID': '82', 'value': '€3.00m'}, {'date': 'Jun 4, 2008', 'age': '24', 'clubName': 'VfL Wolfsburg', 'clubID': '82', 'value': '€5.00m'}, {'date': 'Jan 21, 2009', 'age': '25', 'clubName': 'VfL Wolfsburg', 'clubID': '82', 'value': '€7.00m'}, {'date': 'Jun 10, 2009', 'age': '25', 'clubName': 'VfL Wolfsburg', 'clubID': '82', 'value': '€10.00m'}, {'date': 'Nov 18, 2009', 'age': '26', 'clubName': 'VfL Wolfsburg', 'clubID': '82', 'value': '€11.50m'}, {'date': 'May 8, 2010', 'age': '26', 'clubName': 'VfL Wolfsburg', 'clubID': '82', 'value': '€10.00m'}, {'date': 'Jul 16, 2010', 'age': '26', 'clubName': 'VfL Wolfsburg', 'clubID': '82', 'value': '€11.50m'}, {'date': 'Jan 12, 2011', 'age': '27', 'clubName': 'VfL Wolfsburg', 'clubID': '82', 'value': '€11.50m'}, {'date': 'Jun 29, 2011', 'age': '27', 'clubName': 'VfL Wolfsburg', 'clubID': '82', 'value': '€7.50m'}, {'date': 'Oct 18, 2011', 'age': '28', 'clubName': 'VfL Wolfsburg', 'clubID': '82', 'value': '€5.00m'}, {'date': 'Jan 23, 2012', 'age': '28', 'clubName': 'VfL Wolfsburg', 'clubID': '82', 'value': '€5.00m'}, {'date': 'Jun 29, 2012', 'age': '28', 'clubName': 'VfL Wolfsburg', 'clubID': '82', 'value': '€5.00m'}, {'date': 'Jan 13, 2013', 'age': '29', 'clubName': 'VfL Wolfsburg', 'clubID': '82', 'value': '€5.00m'}, {'date': 'Jun 30, 2013', 'age': '29', 'clubName': 'VfL Wolfsburg', 'clubID': '82', 'value': '€5.75m'}, {'date': 'Feb 12, 2014', 'age': '30', 'clubName': 'VfL Wolfsburg', 'clubID': '82', 'value': '€6.00m'}, {'date': 'Jul 10, 2014', 'age': '30', 'clubName': 'VfL Wolfsburg', 'clubID': '82', 'value': '€6.00m'}, {'date': 'Feb 4, 2015', 'age': '31', 'clubName': 'VfL Wolfsburg', 'clubID': '82', 'value': '€6.00m'}, {'date': 'Jul 1, 2015', 'age': '31', 'clubName': 'VfL Wolfsburg', 'clubID': '82', 'value': '€6.00m'}, {'date': 'Feb 15, 2016', 'age': '32', 'clubName': 'VfL Wolfsburg', 'clubID': '82', 'value': '€5.00m'}, {'date': 'Jul 22, 2016', 'age': '32', 'clubName': 'VfL Wolfsburg', 'clubID': '82', 'value': '€3.50m'}, {'date': 'Oct 13, 2016', 'age': '33', 'clubName': 'VfL Wolfsburg', 'clubID': '82', 'value': '€2.00m'}, {'date': 'Feb 7, 2017', 'age': '33', 'clubName': 'VfL Wolfsburg', 'clubID': '82', 'value': '€2.00m'}, {'date': 'Jun 19, 2017', 'age': '33', 'clubName': 'VfL Wolfsburg', 'clubID': '82', 'value': '€1.00m'}, {'date': 'Jan 24, 2018', 'age': '34', 'clubName': 'AS Monaco', 'clubID': '162', 'value': '€1.00m'}, {'date': 'Jun 4, 2018', 'age': '34', 'clubName': 'AS Monaco', 'clubID': '162', 'value': '€1.00m'}, {'date': 'Dec 17, 2018', 'age': '35', 'clubName': 'AS Monaco', 'clubID': '162', 'value': '€1.00m'}, {'date': 'Jun 3, 2019', 'age': '35', 'clubName': 'AS Monaco', 'clubID': '162', 'value': '€500k'}, {'date': 'Dec 19, 2019', 'age': '36', 'clubName': 'AS Monaco', 'clubID': '162', 'value': '€250k'}, {'date': 'Aug 18, 2020', 'age': '36', 'clubName': 'Retired', 'clubID': '123', 'value': '-'}]}</t>
  </si>
  <si>
    <t>1983-09-08</t>
  </si>
  <si>
    <t>Bergwijn</t>
  </si>
  <si>
    <t>{'marketValueHistory': [{'date': '15/08/2014', 'age': '16', 'clubName': 'PSV Eindhoven U21', 'clubID': '383', 'value': '€100k'}, {'date': '16/02/2015', 'age': '17', 'clubName': 'PSV Eindhoven U21', 'clubID': '383', 'value': '€250k'}, {'date': '01/07/2015', 'age': '17', 'clubName': 'PSV Eindhoven U21', 'clubID': '383', 'value': '€400k'}, {'date': '05/02/2016', 'age': '18', 'clubName': 'PSV Eindhoven', 'clubID': '383', 'value': '€750k'}, {'date': '08/04/2016', 'age': '18', 'clubName': 'PSV Eindhoven', 'clubID': '383', 'value': '€1.50m'}, {'date': '15/07/2016', 'age': '18', 'clubName': 'PSV Eindhoven', 'clubID': '383', 'value': '€1.50m'}, {'date': '18/01/2017', 'age': '19', 'clubName': 'PSV Eindhoven', 'clubID': '383', 'value': '€2.00m'}, {'date': '07/06/2017', 'age': '19', 'clubName': 'PSV Eindhoven', 'clubID': '383', 'value': '€2.50m'}, {'date': '26/10/2017', 'age': '20', 'clubName': 'PSV Eindhoven', 'clubID': '383', 'value': '€4.00m'}, {'date': '17/01/2018', 'age': '20', 'clubName': 'PSV Eindhoven', 'clubID': '383', 'value': '€5.00m'}, {'date': '27/03/2018', 'age': '20', 'clubName': 'PSV Eindhoven', 'clubID': '383', 'value': '€8.00m'}, {'date': '12/06/2018', 'age': '20', 'clubName': 'PSV Eindhoven', 'clubID': '383', 'value': '€12.00m'}, {'date': '04/10/2018', 'age': '20', 'clubName': 'PSV Eindhoven', 'clubID': '383', 'value': '€20.00m'}, {'date': '28/12/2018', 'age': '21', 'clubName': 'PSV Eindhoven', 'clubID': '383', 'value': '€30.00m'}, {'date': '12/06/2019', 'age': '21', 'clubName': 'PSV Eindhoven', 'clubID': '383', 'value': '€35.00m'}, {'date': '18/12/2019', 'age': '22', 'clubName': 'PSV Eindhoven', 'clubID': '383', 'value': '€35.00m'}, {'date': '08/04/2020', 'age': '22', 'clubName': 'Tottenham Hotspur', 'clubID': '148', 'value': '€28.00m'}, {'date': '13/10/2020', 'age': '23', 'clubName': 'Tottenham Hotspur', 'clubID': '148', 'value': '€28.00m'}, {'date': '18/03/2021', 'age': '23', 'clubName': 'Tottenham Hotspur', 'clubID': '148', 'value': '€25.00m'}, {'date': '08/06/2021', 'age': '23', 'clubName': 'Tottenham Hotspur', 'clubID': '148', 'value': '€22.00m'}, {'date': '23/12/2021', 'age': '24', 'clubName': 'Tottenham Hotspur', 'clubID': '148', 'value': '€18.00m'}, {'date': '15/06/2022', 'age': '24', 'clubName': 'Tottenham Hotspur', 'clubID': '148', 'value': '€18.00m'}, {'date': '14/09/2022', 'age': '24', 'clubName': 'Ajax Amsterdam', 'clubID': '610', 'value': '€27.00m'}, {'date': '11/11/2022', 'age': '25', 'clubName': 'Ajax Amsterdam', 'clubID': '610', 'value': '€27.00m'}, {'date': '17/03/2023', 'age': '25', 'clubName': 'Ajax Amsterdam', 'clubID': '610', 'value': '€24.00m'}, {'date': '23/06/2023', 'age': '25', 'clubName': 'Ajax Amsterdam', 'clubID': '610', 'value': '€22.00m'}, {'date': '17/10/2023', 'age': '26', 'clubName': 'Ajax Amsterdam', 'clubID': '610', 'value': '€20.00m'}, {'date': '15/12/2023', 'age': '26', 'clubName': 'Ajax Amsterdam', 'clubID': '610', 'value': '€20.00m'}, {'date': '31/05/2024', 'age': '26', 'clubName': 'Ajax Amsterdam', 'clubID': '610', 'value': '€18.00m'}, {'date': '13/12/2024', 'age': '27', 'clubName': 'Al-Ittihad Club', 'clubID': '8023', 'value': '€15.00m'}, {'date': '27/05/2025', 'age': '27', 'clubName': 'Al-Ittihad Club', 'clubID': '8023', 'value': '€14.00m'}, {'date': '18/12/2025', 'age': '28', 'clubName': 'Al-Ittihad Club', 'clubID': '8023', 'value': '€12.00m'}]}</t>
  </si>
  <si>
    <t>1997-10-08</t>
  </si>
  <si>
    <t>Linnes</t>
  </si>
  <si>
    <t>{'marketValueHistory': [{'date': 'Jan 20, 2010', 'age': '18', 'clubName': 'Unknown', 'clubID': '75', 'value': '€50k'}, {'date': 'May 26, 2010', 'age': '18', 'clubName': 'Unknown', 'clubID': '75', 'value': '€100k'}, {'date': 'Dec 3, 2010', 'age': '19', 'clubName': 'Kongsvinger IL', 'clubID': '421', 'value': '€250k'}, {'date': 'Apr 12, 2012', 'age': '20', 'clubName': 'Molde FK', 'clubID': '687', 'value': '€250k'}, {'date': 'Jul 1, 2012', 'age': '20', 'clubName': 'Molde FK', 'clubID': '687', 'value': '€750k'}, {'date': 'Dec 29, 2012', 'age': '21', 'clubName': 'Molde FK', 'clubID': '687', 'value': '€1.00m'}, {'date': 'Jul 22, 2013', 'age': '21', 'clubName': 'Molde FK', 'clubID': '687', 'value': '€1.20m'}, {'date': 'Jan 2, 2014', 'age': '22', 'clubName': 'Molde FK', 'clubID': '687', 'value': '€1.60m'}, {'date': 'Dec 7, 2014', 'age': '23', 'clubName': 'Molde FK', 'clubID': '687', 'value': '€2.00m'}, {'date': 'Aug 19, 2015', 'age': '23', 'clubName': 'Molde FK', 'clubID': '687', 'value': '€1.90m'}, {'date': 'Dec 27, 2015', 'age': '24', 'clubName': 'Molde FK', 'clubID': '687', 'value': '€1.80m'}, {'date': 'Apr 7, 2016', 'age': '24', 'clubName': 'Galatasaray', 'clubID': '141', 'value': '€1.80m'}, {'date': 'Jul 15, 2016', 'age': '24', 'clubName': 'Galatasaray', 'clubID': '141', 'value': '€2.00m'}, {'date': 'Jan 10, 2017', 'age': '25', 'clubName': 'Galatasaray', 'clubID': '141', 'value': '€1.50m'}, {'date': 'Jun 9, 2017', 'age': '25', 'clubName': 'Galatasaray', 'clubID': '141', 'value': '€1.50m'}, {'date': 'Feb 12, 2018', 'age': '26', 'clubName': 'Galatasaray', 'clubID': '141', 'value': '€1.50m'}, {'date': 'May 29, 2018', 'age': '26', 'clubName': 'Galatasaray', 'clubID': '141', 'value': '€1.75m'}, {'date': 'Jan 4, 2019', 'age': '27', 'clubName': 'Galatasaray', 'clubID': '141', 'value': '€2.25m'}, {'date': 'Jun 4, 2019', 'age': '27', 'clubName': 'Galatasaray', 'clubID': '141', 'value': '€2.50m'}, {'date': 'Oct 4, 2019', 'age': '28', 'clubName': 'Galatasaray', 'clubID': '141', 'value': '€2.00m'}, {'date': 'Jan 3, 2020', 'age': '28', 'clubName': 'Galatasaray', 'clubID': '141', 'value': '€1.50m'}, {'date': 'Apr 8, 2020', 'age': '28', 'clubName': 'Galatasaray', 'clubID': '141', 'value': '€1.20m'}, {'date': 'Aug 4, 2020', 'age': '28', 'clubName': 'Galatasaray', 'clubID': '141', 'value': '€1.10m'}, {'date': 'Oct 12, 2020', 'age': '29', 'clubName': 'Galatasaray', 'clubID': '141', 'value': '€1.80m'}, {'date': 'Dec 23, 2020', 'age': '29', 'clubName': 'Galatasaray', 'clubID': '141', 'value': '€2.00m'}, {'date': 'Mar 16, 2021', 'age': '29', 'clubName': 'Galatasaray', 'clubID': '141', 'value': '€2.40m'}, {'date': 'May 21, 2021', 'age': '29', 'clubName': 'Galatasaray', 'clubID': '141', 'value': '€2.00m'}, {'date': 'Jan 3, 2022', 'age': '30', 'clubName': 'Molde FK', 'clubID': '687', 'value': '€1.20m'}, {'date': 'Dec 9, 2022', 'age': '31', 'clubName': 'Molde FK', 'clubID': '687', 'value': '€1.00m'}, {'date': 'Jun 29, 2023', 'age': '31', 'clubName': 'Molde FK', 'clubID': '687', 'value': '€900k'}, {'date': 'Dec 15, 2023', 'age': '32', 'clubName': 'Molde FK', 'clubID': '687', 'value': '€750k'}, {'date': 'Jun 12, 2024', 'age': '32', 'clubName': 'Molde FK', 'clubID': '687', 'value': '€600k'}, {'date': 'Sep 17, 2024', 'age': '32', 'clubName': 'Molde FK', 'clubID': '687', 'value': '€500k'}, {'date': 'Dec 12, 2024', 'age': '33', 'clubName': 'Molde FK', 'clubID': '687', 'value': '€450k'}, {'date': 'Jun 18, 2025', 'age': '33', 'clubName': 'Molde FK', 'clubID': '687', 'value': '€400k'}, {'date': 'Dec 15, 2025', 'age': '34', 'clubName': 'Molde FK', 'clubID': '687', 'value': '€300k'}]}</t>
  </si>
  <si>
    <t>1991-09-20</t>
  </si>
  <si>
    <t>Otamendi</t>
  </si>
  <si>
    <t>{'marketValueHistory': [{'date': '10/10/2007', 'age': '19', 'clubName': 'CA Vélez Sarsfield II', 'clubID': '1029', 'value': '€50k'}, {'date': '20/12/2008', 'age': '20', 'clubName': 'CA Vélez Sarsfield II', 'clubID': '1029', 'value': '€50k'}, {'date': '18/05/2009', 'age': '21', 'clubName': 'CA Vélez Sarsfield', 'clubID': '1029', 'value': '€1.70m'}, {'date': '06/10/2009', 'age': '21', 'clubName': 'CA Vélez Sarsfield', 'clubID': '1029', 'value': '€2.80m'}, {'date': '21/01/2010', 'age': '21', 'clubName': 'CA Vélez Sarsfield', 'clubID': '1029', 'value': '€4.50m'}, {'date': '20/04/2010', 'age': '22', 'clubName': 'CA Vélez Sarsfield', 'clubID': '1029', 'value': '€5.00m'}, {'date': '04/02/2011', 'age': '22', 'clubName': 'FC Porto', 'clubID': '720', 'value': '€4.70m'}, {'date': '15/06/2011', 'age': '23', 'clubName': 'FC Porto', 'clubID': '720', 'value': '€7.00m'}, {'date': '21/09/2011', 'age': '23', 'clubName': 'FC Porto', 'clubID': '720', 'value': '€8.00m'}, {'date': '02/02/2012', 'age': '23', 'clubName': 'FC Porto', 'clubID': '720', 'value': '€9.50m'}, {'date': '07/07/2012', 'age': '24', 'clubName': 'FC Porto', 'clubID': '720', 'value': '€9.50m'}, {'date': '27/03/2013', 'age': '25', 'clubName': 'FC Porto', 'clubID': '720', 'value': '€12.00m'}, {'date': '02/07/2013', 'age': '25', 'clubName': 'FC Porto', 'clubID': '720', 'value': '€13.00m'}, {'date': '28/03/2014', 'age': '26', 'clubName': 'Clube Atlético Mineiro', 'clubID': '330', 'value': '€12.00m'}, {'date': '20/07/2014', 'age': '26', 'clubName': 'Valencia CF', 'clubID': '1049', 'value': '€12.00m'}, {'date': '23/01/2015', 'age': '26', 'clubName': 'Valencia CF', 'clubID': '1049', 'value': '€18.00m'}, {'date': '01/07/2015', 'age': '27', 'clubName': 'Valencia CF', 'clubID': '1049', 'value': '€25.00m'}, {'date': '14/10/2015', 'age': '27', 'clubName': 'Manchester City', 'clubID': '281', 'value': '€32.00m'}, {'date': '09/02/2016', 'age': '27', 'clubName': 'Manchester City', 'clubID': '281', 'value': '€32.00m'}, {'date': '01/08/2016', 'age': '28', 'clubName': 'Manchester City', 'clubID': '281', 'value': '€32.00m'}, {'date': '20/02/2017', 'age': '29', 'clubName': 'Manchester City', 'clubID': '281', 'value': '€30.00m'}, {'date': '28/06/2017', 'age': '29', 'clubName': 'Manchester City', 'clubID': '281', 'value': '€30.00m'}, {'date': '02/01/2018', 'age': '29', 'clubName': 'Manchester City', 'clubID': '281', 'value': '€35.00m'}, {'date': '28/05/2018', 'age': '30', 'clubName': 'Manchester City', 'clubID': '281', 'value': '€35.00m'}, {'date': '19/12/2018', 'age': '30', 'clubName': 'Manchester City', 'clubID': '281', 'value': '€35.00m'}, {'date': '05/03/2019', 'age': '31', 'clubName': 'Manchester City', 'clubID': '281', 'value': '€30.00m'}, {'date': '13/06/2019', 'age': '31', 'clubName': 'Manchester City', 'clubID': '281', 'value': '€25.00m'}, {'date': '10/12/2019', 'age': '31', 'clubName': 'Manchester City', 'clubID': '281', 'value': '€18.00m'}, {'date': '08/04/2020', 'age': '32', 'clubName': 'Manchester City', 'clubID': '281', 'value': '€14.50m'}, {'date': '22/10/2020', 'age': '32', 'clubName': 'SL Benfica', 'clubID': '294', 'value': '€11.00m'}, {'date': '28/01/2021', 'age': '32', 'clubName': 'SL Benfica', 'clubID': '294', 'value': '€8.00m'}, {'date': '21/05/2021', 'age': '33', 'clubName': 'SL Benfica', 'clubID': '294', 'value': '€8.00m'}, {'date': '27/12/2021', 'age': '33', 'clubName': 'SL Benfica', 'clubID': '294', 'value': '€6.00m'}, {'date': '10/03/2022', 'age': '34', 'clubName': 'SL Benfica', 'clubID': '294', 'value': '€4.50m'}, {'date': '31/05/2022', 'age': '34', 'clubName': 'SL Benfica', 'clubID': '294', 'value': '€3.50m'}, {'date': '01/11/2022', 'age': '34', 'clubName': 'SL Benfica', 'clubID': '294', 'value': '€3.00m'}, {'date': '16/06/2023', 'age': '35', 'clubName': 'SL Benfica', 'clubID': '294', 'value': '€2.00m'}, {'date': '27/12/2023', 'age': '35', 'clubName': 'SL Benfica', 'clubID': '294', 'value': '€1.50m'}, {'date': '06/06/2024', 'age': '36', 'clubName': 'SL Benfica', 'clubID': '294', 'value': '€1.00m'}, {'date': '19/12/2024', 'age': '36', 'clubName': 'SL Benfica', 'clubID': '294', 'value': '€1.00m'}, {'date': '30/05/2025', 'age': '37', 'clubName': 'SL Benfica', 'clubID': '294', 'value': '€1.00m'}, {'date': '18/12/2025', 'age': '37', 'clubName': 'SL Benfica', 'clubID': '294', 'value': '€1.00m'}]}</t>
  </si>
  <si>
    <t>1988-02-12</t>
  </si>
  <si>
    <t>Uth</t>
  </si>
  <si>
    <t>{'marketValueHistory': [{'date': 'Jul 24, 2008', 'age': '16', 'clubName': 'Clube de Regatas Vasco da Gama', 'clubID': '978', 'value': '€1.00m'}, {'date': 'Sep 6, 2009', 'age': '17', 'clubName': 'Clube de Regatas Vasco da Gama', 'clubID': '978', 'value': '€600k'}, {'date': 'Dec 8, 2009', 'age': '17', 'clubName': 'Clube de Regatas Vasco da Gama', 'clubID': '978', 'value': '€1.00m'}, {'date': 'Apr 15, 2010', 'age': '17', 'clubName': 'Clube de Regatas Vasco da Gama', 'clubID': '978', 'value': '€2.50m'}, {'date': 'Aug 2, 2010', 'age': '18', 'clubName': 'Inter Milan', 'clubID': '46', 'value': '€4.50m'}, {'date': 'Jan 20, 2011', 'age': '18', 'clubName': 'Inter Milan', 'clubID': '46', 'value': '€7.00m'}, {'date': 'Jun 21, 2011', 'age': '19', 'clubName': 'Inter Milan', 'clubID': '46', 'value': '€7.00m'}, {'date': 'Jan 11, 2012', 'age': '19', 'clubName': 'Inter Milan', 'clubID': '46', 'value': '€8.00m'}, {'date': 'Feb 3, 2012', 'age': '19', 'clubName': 'RCD Espanyol Barcelona', 'clubID': '714', 'value': '€7.00m'}, {'date': 'Jul 3, 2012', 'age': '20', 'clubName': 'Inter Milan', 'clubID': '46', 'value': '€8.50m'}, {'date': 'Jan 15, 2013', 'age': '20', 'clubName': 'Inter Milan', 'clubID': '46', 'value': '€9.00m'}, {'date': 'Feb 3, 2013', 'age': '20', 'clubName': 'Liverpool FC', 'clubID': '31', 'value': '€10.00m'}, {'date': 'Jul 2, 2013', 'age': '21', 'clubName': 'Liverpool FC', 'clubID': '31', 'value': '€14.00m'}, {'date': 'Jan 15, 2014', 'age': '21', 'clubName': 'Liverpool FC', 'clubID': '31', 'value': '€16.00m'}, {'date': 'Aug 12, 2014', 'age': '22', 'clubName': 'Liverpool FC', 'clubID': '31', 'value': '€20.00m'}, {'date': 'Feb 12, 2015', 'age': '22', 'clubName': 'Liverpool FC', 'clubID': '31', 'value': '€25.00m'}, {'date': 'Jul 1, 2015', 'age': '23', 'clubName': 'Liverpool FC', 'clubID': '31', 'value': '€30.00m'}, {'date': 'Feb 9, 2016', 'age': '23', 'clubName': 'Liverpool FC', 'clubID': '31', 'value': '€32.00m'}, {'date': 'Aug 1, 2016', 'age': '24', 'clubName': 'Liverpool FC', 'clubID': '31', 'value': '€35.00m'}, {'date': 'Feb 20, 2017', 'age': '24', 'clubName': 'Liverpool FC', 'clubID': '31', 'value': '€40.00m'}, {'date': 'Jun 28, 2017', 'age': '25', 'clubName': 'Liverpool FC', 'clubID': '31', 'value': '€45.00m'}, {'date': 'Oct 23, 2017', 'age': '25', 'clubName': 'Liverpool FC', 'clubID': '31', 'value': '€65.00m'}, {'date': 'Jan 2, 2018', 'age': '25', 'clubName': 'Liverpool FC', 'clubID': '31', 'value': '€90.00m'}, {'date': 'Mar 22, 2018', 'age': '25', 'clubName': 'FC Barcelona', 'clubID': '131', 'value': '€100.00m'}, {'date': 'May 30, 2018', 'age': '25', 'clubName': 'FC Barcelona', 'clubID': '131', 'value': '€100.00m'}, {'date': 'Jul 16, 2018', 'age': '26', 'clubName': 'FC Barcelona', 'clubID': '131', 'value': '€120.00m'}, {'date': 'Oct 31, 2018', 'age': '26', 'clubName': 'FC Barcelona', 'clubID': '131', 'value': '€150.00m'}, {'date': 'Dec 21, 2018', 'age': '26', 'clubName': 'FC Barcelona', 'clubID': '131', 'value': '€140.00m'}, {'date': 'Feb 28, 2019', 'age': '26', 'clubName': 'FC Barcelona', 'clubID': '131', 'value': '€100.00m'}, {'date': 'Jun 11, 2019', 'age': '26', 'clubName': 'FC Barcelona', 'clubID': '131', 'value': '€90.00m'}, {'date': 'Dec 17, 2019', 'age': '27', 'clubName': 'Bayern Munich', 'clubID': '27', 'value': '€70.00m'}, {'date': 'Apr 8, 2020', 'age': '27', 'clubName': 'Bayern Munich', 'clubID': '27', 'value': '€56.00m'}, {'date': 'Oct 8, 2020', 'age': '28', 'clubName': 'FC Barcelona', 'clubID': '131', 'value': '€60.00m'}, {'date': 'Jan 5, 2021', 'age': '28', 'clubName': 'FC Barcelona', 'clubID': '131', 'value': '€50.00m'}, {'date': 'Mar 19, 2021', 'age': '28', 'clubName': 'FC Barcelona', 'clubID': '131', 'value': '€40.00m'}, {'date': 'Jun 10, 2021', 'age': '28', 'clubName': 'FC Barcelona', 'clubID': '131', 'value': '€30.00m'}, {'date': 'Oct 13, 2021', 'age': '29', 'clubName': 'FC Barcelona', 'clubID': '131', 'value': '€20.00m'}, {'date': 'Dec 30, 2021', 'age': '29', 'clubName': 'FC Barcelona', 'clubID': '131', 'value': '€18.00m'}, {'date': 'Mar 29, 2022', 'age': '29', 'clubName': 'Aston Villa', 'clubID': '405', 'value': '€20.00m'}, {'date': 'Jun 15, 2022', 'age': '30', 'clubName': 'Aston Villa', 'clubID': '405', 'value': '€20.00m'}, {'date': 'Nov 3, 2022', 'age': '30', 'clubName': 'Aston Villa', 'clubID': '405', 'value': '€18.00m'}, {'date': 'Mar 16, 2023', 'age': '30', 'clubName': 'Aston Villa', 'clubID': '405', 'value': '€14.00m'}, {'date': 'Jun 20, 2023', 'age': '31', 'clubName': 'Aston Villa', 'clubID': '405', 'value': '€10.00m'}, {'date': 'Nov 27, 2023', 'age': '31', 'clubName': 'Al-Duhail SC', 'clubID': '26091', 'value': '€9.00m'}, {'date': 'May 2, 2024', 'age': '31', 'clubName': 'Al-Duhail SC', 'clubID': '26091', 'value': '€7.50m'}, {'date': 'Dec 9, 2024', 'age': '32', 'clubName': 'Clube de Regatas Vasco da Gama', 'clubID': '978', 'value': '€6.00m'}, {'date': 'Jun 6, 2025', 'age': '32', 'clubName': 'Clube de Regatas Vasco da Gama', 'clubID': '978', 'value': '€4.50m'}, {'date': 'Sep 5, 2025', 'age': '33', 'clubName': 'Clube de Regatas Vasco da Gama', 'clubID': '978', 'value': '€4.00m'}, {'date': 'Dec 10, 2025', 'age': '33', 'clubName': 'Clube de Regatas Vasco da Gama', 'clubID': '978', 'value': '€3.50m'}, {'date': 'Apr 9, 2026', 'age': '33', 'clubName': 'Without Club', 'clubID': '515', 'value': '€2.50m'}]}</t>
  </si>
  <si>
    <t>{'marketValueHistory': [{'date': '22/04/2014', 'age': '18', 'clubName': 'FC Schalke 04 U19', 'clubID': '1463', 'value': '€300k'}, {'date': '10/07/2014', 'age': '18', 'clubName': 'FC Schalke 04 U19', 'clubID': '1463', 'value': '€500k'}, {'date': '04/02/2015', 'age': '19', 'clubName': 'FC Schalke 04 U19', 'clubID': '1463', 'value': '€1.00m'}, {'date': '29/03/2015', 'age': '19', 'clubName': 'FC Schalke 04 U19', 'clubID': '1463', 'value': '€1.50m'}, {'date': '01/07/2015', 'age': '19', 'clubName': 'FC Schalke 04', 'clubID': '33', 'value': '€4.00m'}, {'date': '16/10/2015', 'age': '19', 'clubName': 'FC Schalke 04', 'clubID': '33', 'value': '€8.00m'}, {'date': '15/02/2016', 'age': '20', 'clubName': 'FC Schalke 04', 'clubID': '33', 'value': '€18.00m'}, {'date': '01/06/2016', 'age': '20', 'clubName': 'FC Schalke 04', 'clubID': '33', 'value': '€18.00m'}, {'date': '22/07/2016', 'age': '20', 'clubName': 'FC Schalke 04', 'clubID': '33', 'value': '€30.00m'}, {'date': '20/02/2017', 'age': '21', 'clubName': 'Manchester City', 'clubID': '281', 'value': '€30.00m'}, {'date': '28/06/2017', 'age': '21', 'clubName': 'Manchester City', 'clubID': '281', 'value': '€35.00m'}, {'date': '23/10/2017', 'age': '21', 'clubName': 'Manchester City', 'clubID': '281', 'value': '€45.00m'}, {'date': '02/01/2018', 'age': '21', 'clubName': 'Manchester City', 'clubID': '281', 'value': '€75.00m'}, {'date': '28/05/2018', 'age': '22', 'clubName': 'Manchester City', 'clubID': '281', 'value': '€90.00m'}, {'date': '19/12/2018', 'age': '22', 'clubName': 'Manchester City', 'clubID': '281', 'value': '€100.00m'}, {'date': '13/06/2019', 'age': '23', 'clubName': 'Manchester City', 'clubID': '281', 'value': '€100.00m'}, {'date': '10/12/2019', 'age': '23', 'clubName': 'Manchester City', 'clubID': '281', 'value': '€100.00m'}, {'date': '08/04/2020', 'age': '24', 'clubName': 'Manchester City', 'clubID': '281', 'value': '€80.00m'}, {'date': '16/09/2020', 'age': '24', 'clubName': 'Bayern Munich', 'clubID': '27', 'value': '€70.00m'}, {'date': '10/02/2021', 'age': '25', 'clubName': 'Bayern Munich', 'clubID': '27', 'value': '€60.00m'}, {'date': '31/03/2021', 'age': '25', 'clubName': 'Bayern Munich', 'clubID': '27', 'value': '€70.00m'}, {'date': '01/06/2021', 'age': '25', 'clubName': 'Bayern Munich', 'clubID': '27', 'value': '€60.00m'}, {'date': '22/12/2021', 'age': '25', 'clubName': 'Bayern Munich', 'clubID': '27', 'value': '€70.00m'}, {'date': '09/06/2022', 'age': '26', 'clubName': 'Bayern Munich', 'clubID': '27', 'value': '€60.00m'}, {'date': '09/11/2022', 'age': '26', 'clubName': 'Bayern Munich', 'clubID': '27', 'value': '€70.00m'}, {'date': '22/06/2023', 'age': '27', 'clubName': 'Bayern Munich', 'clubID': '27', 'value': '€65.00m'}, {'date': '18/10/2023', 'age': '27', 'clubName': 'Bayern Munich', 'clubID': '27', 'value': '€75.00m'}, {'date': '14/12/2023', 'age': '27', 'clubName': 'Bayern Munich', 'clubID': '27', 'value': '€80.00m'}, {'date': '27/03/2024', 'age': '28', 'clubName': 'Bayern Munich', 'clubID': '27', 'value': '€70.00m'}, {'date': '29/05/2024', 'age': '28', 'clubName': 'Bayern Munich', 'clubID': '27', 'value': '€70.00m'}, {'date': '09/10/2024', 'age': '28', 'clubName': 'Bayern Munich', 'clubID': '27', 'value': '€60.00m'}, {'date': '20/12/2024', 'age': '28', 'clubName': 'Bayern Munich', 'clubID': '27', 'value': '€45.00m'}, {'date': '27/03/2025', 'age': '29', 'clubName': 'Bayern Munich', 'clubID': '27', 'value': '€38.00m'}, {'date': '05/06/2025', 'age': '29', 'clubName': 'Bayern Munich', 'clubID': '27', 'value': '€32.00m'}, {'date': '01/10/2025', 'age': '29', 'clubName': 'Galatasaray', 'clubID': '141', 'value': '€25.00m'}, {'date': '17/12/2025', 'age': '29', 'clubName': 'Galatasaray', 'clubID': '141', 'value': '€23.00m'}, {'date': '05/03/2026', 'age': '30', 'clubName': 'Galatasaray', 'clubID': '141', 'value': '€22.00m'}]}</t>
  </si>
  <si>
    <t>Nakamba</t>
  </si>
  <si>
    <t>{'marketValueHistory': [{'date': 'Aug 16, 2014', 'age': '20', 'clubName': 'Vitesse Arnhem', 'clubID': '499', 'value': '€100k'}, {'date': 'Feb 16, 2015', 'age': '21', 'clubName': 'Vitesse Arnhem', 'clubID': '499', 'value': '€100k'}, {'date': 'Jul 1, 2015', 'age': '21', 'clubName': 'Vitesse Arnhem', 'clubID': '499', 'value': '€250k'}, {'date': 'Nov 11, 2015', 'age': '21', 'clubName': 'Vitesse Arnhem', 'clubID': '499', 'value': '€500k'}, {'date': 'Feb 5, 2016', 'age': '22', 'clubName': 'Vitesse Arnhem', 'clubID': '499', 'value': '€1.00m'}, {'date': 'Apr 8, 2016', 'age': '22', 'clubName': 'Vitesse Arnhem', 'clubID': '499', 'value': '€2.00m'}, {'date': 'Jul 15, 2016', 'age': '22', 'clubName': 'Vitesse Arnhem', 'clubID': '499', 'value': '€2.00m'}, {'date': 'Jan 18, 2017', 'age': '22', 'clubName': 'Vitesse Arnhem', 'clubID': '499', 'value': '€2.00m'}, {'date': 'Jun 7, 2017', 'age': '23', 'clubName': 'Vitesse Arnhem', 'clubID': '499', 'value': '€3.00m'}, {'date': 'Oct 20, 2017', 'age': '23', 'clubName': 'Club Brugge KV', 'clubID': '2282', 'value': '€4.00m'}, {'date': 'Jan 9, 2018', 'age': '23', 'clubName': 'Club Brugge KV', 'clubID': '2282', 'value': '€6.50m'}, {'date': 'Jun 3, 2018', 'age': '24', 'clubName': 'Club Brugge KV', 'clubID': '2282', 'value': '€8.00m'}, {'date': 'Dec 27, 2018', 'age': '24', 'clubName': 'Club Brugge KV', 'clubID': '2282', 'value': '€9.00m'}, {'date': 'Jun 10, 2019', 'age': '25', 'clubName': 'Club Brugge KV', 'clubID': '2282', 'value': '€6.50m'}, {'date': 'Sep 12, 2019', 'age': '25', 'clubName': 'Aston Villa', 'clubID': '405', 'value': '€8.00m'}, {'date': 'Dec 10, 2019', 'age': '25', 'clubName': 'Aston Villa', 'clubID': '405', 'value': '€10.00m'}, {'date': 'Apr 8, 2020', 'age': '26', 'clubName': 'Aston Villa', 'clubID': '405', 'value': '€8.00m'}, {'date': 'Oct 13, 2020', 'age': '26', 'clubName': 'Aston Villa', 'clubID': '405', 'value': '€8.00m'}, {'date': 'Mar 18, 2021', 'age': '27', 'clubName': 'Aston Villa', 'clubID': '405', 'value': '€8.00m'}, {'date': 'Jun 8, 2021', 'age': '27', 'clubName': 'Aston Villa', 'clubID': '405', 'value': '€7.00m'}, {'date': 'Dec 23, 2021', 'age': '27', 'clubName': 'Aston Villa', 'clubID': '405', 'value': '€7.00m'}, {'date': 'Jun 15, 2022', 'age': '28', 'clubName': 'Aston Villa', 'clubID': '405', 'value': '€7.00m'}, {'date': 'Nov 3, 2022', 'age': '28', 'clubName': 'Aston Villa', 'clubID': '405', 'value': '€5.00m'}, {'date': 'Mar 24, 2023', 'age': '29', 'clubName': 'Luton Town', 'clubID': '1031', 'value': '€4.00m'}, {'date': 'Jun 1, 2023', 'age': '29', 'clubName': 'Aston Villa', 'clubID': '405', 'value': '€4.00m'}, {'date': 'Dec 19, 2023', 'age': '29', 'clubName': 'Luton Town', 'clubID': '1031', 'value': '€5.00m'}, {'date': 'May 27, 2024', 'age': '30', 'clubName': 'Luton Town', 'clubID': '1031', 'value': '€5.00m'}, {'date': 'Dec 30, 2024', 'age': '30', 'clubName': 'Luton Town', 'clubID': '1031', 'value': '€4.00m'}, {'date': 'May 27, 2025', 'age': '31', 'clubName': 'Luton Town', 'clubID': '1031', 'value': '€1.80m'}, {'date': 'Nov 26, 2025', 'age': '31', 'clubName': 'Luton Town', 'clubID': '1031', 'value': '€1.00m'}]}</t>
  </si>
  <si>
    <t>Zimbabwe</t>
  </si>
  <si>
    <t>1994-01-19</t>
  </si>
  <si>
    <t>Pereiro</t>
  </si>
  <si>
    <t>{'marketValueHistory': [{'date': '06/02/2014', 'age': '18', 'clubName': 'Club Nacional', 'clubID': '866', 'value': '€400k'}, {'date': '17/08/2014', 'age': '19', 'clubName': 'Club Nacional', 'clubID': '866', 'value': '€1.10m'}, {'date': '12/02/2015', 'age': '19', 'clubName': 'Club Nacional', 'clubID': '866', 'value': '€2.00m'}, {'date': '01/07/2015', 'age': '20', 'clubName': 'Club Nacional', 'clubID': '866', 'value': '€7.00m'}, {'date': '05/02/2016', 'age': '20', 'clubName': 'PSV Eindhoven', 'clubID': '383', 'value': '€7.00m'}, {'date': '15/07/2016', 'age': '21', 'clubName': 'PSV Eindhoven', 'clubID': '383', 'value': '€7.00m'}, {'date': '18/01/2017', 'age': '21', 'clubName': 'PSV Eindhoven', 'clubID': '383', 'value': '€8.00m'}, {'date': '07/06/2017', 'age': '21', 'clubName': 'PSV Eindhoven', 'clubID': '383', 'value': '€7.50m'}, {'date': '26/10/2017', 'age': '22', 'clubName': 'PSV Eindhoven', 'clubID': '383', 'value': '€10.00m'}, {'date': '17/01/2018', 'age': '22', 'clubName': 'PSV Eindhoven', 'clubID': '383', 'value': '€10.00m'}, {'date': '27/03/2018', 'age': '22', 'clubName': 'PSV Eindhoven', 'clubID': '383', 'value': '€8.00m'}, {'date': '12/06/2018', 'age': '23', 'clubName': 'PSV Eindhoven', 'clubID': '383', 'value': '€10.00m'}, {'date': '04/10/2018', 'age': '23', 'clubName': 'PSV Eindhoven', 'clubID': '383', 'value': '€15.00m'}, {'date': '28/12/2018', 'age': '23', 'clubName': 'PSV Eindhoven', 'clubID': '383', 'value': '€14.00m'}, {'date': '12/06/2019', 'age': '24', 'clubName': 'PSV Eindhoven', 'clubID': '383', 'value': '€12.00m'}, {'date': '18/12/2019', 'age': '24', 'clubName': 'PSV Eindhoven', 'clubID': '383', 'value': '€10.00m'}, {'date': '08/04/2020', 'age': '24', 'clubName': 'Cagliari Calcio', 'clubID': '1390', 'value': '€8.00m'}, {'date': '25/08/2020', 'age': '25', 'clubName': 'Cagliari Calcio', 'clubID': '1390', 'value': '€6.50m'}, {'date': '29/12/2020', 'age': '25', 'clubName': 'Cagliari Calcio', 'clubID': '1390', 'value': '€5.00m'}, {'date': '23/03/2021', 'age': '25', 'clubName': 'Cagliari Calcio', 'clubID': '1390', 'value': '€3.50m'}, {'date': '03/06/2021', 'age': '25', 'clubName': 'Cagliari Calcio', 'clubID': '1390', 'value': '€3.50m'}, {'date': '28/12/2021', 'age': '26', 'clubName': 'Cagliari Calcio', 'clubID': '1390', 'value': '€2.50m'}, {'date': '15/03/2022', 'age': '26', 'clubName': 'Cagliari Calcio', 'clubID': '1390', 'value': '€3.50m'}, {'date': '07/06/2022', 'age': '26', 'clubName': 'Cagliari Calcio', 'clubID': '1390', 'value': '€3.00m'}, {'date': '22/12/2022', 'age': '27', 'clubName': 'Cagliari Calcio', 'clubID': '1390', 'value': '€2.00m'}, {'date': '11/10/2023', 'age': '28', 'clubName': 'Cagliari Calcio', 'clubID': '1390', 'value': '€1.50m'}, {'date': '20/12/2023', 'age': '28', 'clubName': 'Cagliari Calcio', 'clubID': '1390', 'value': '€1.20m'}, {'date': '03/06/2024', 'age': '28', 'clubName': 'Ternana Calcio', 'clubID': '1103', 'value': '€1.00m'}, {'date': '18/12/2024', 'age': '29', 'clubName': 'Genoa CFC', 'clubID': '252', 'value': '€1.00m'}, {'date': '02/06/2025', 'age': '29', 'clubName': 'SSC Bari', 'clubID': '332', 'value': '€500k'}, {'date': '11/12/2025', 'age': '30', 'clubName': 'SSC Bari', 'clubID': '332', 'value': '€250k'}]}</t>
  </si>
  <si>
    <t>1995-06-11</t>
  </si>
  <si>
    <t>An. Miranchuk</t>
  </si>
  <si>
    <t>{'marketValueHistory': [{'date': 'Apr 28, 2013', 'age': '17', 'clubName': 'Lokomotiv Moscow II', 'clubID': '932', 'value': '€25k'}, {'date': 'Aug 25, 2015', 'age': '19', 'clubName': 'Lokomotiv Moscow II', 'clubID': '932', 'value': '€150k'}, {'date': 'Jul 9, 2016', 'age': '20', 'clubName': 'Levadia Tallinn', 'clubID': '5771', 'value': '€200k'}, {'date': 'Nov 7, 2016', 'age': '21', 'clubName': 'Levadia Tallinn', 'clubID': '5771', 'value': '€250k'}, {'date': 'Jun 1, 2017', 'age': '21', 'clubName': 'Lokomotiv Moscow II', 'clubID': '932', 'value': '€250k'}, {'date': 'Oct 2, 2017', 'age': '21', 'clubName': 'Lokomotiv Moscow', 'clubID': '932', 'value': '€500k'}, {'date': 'Dec 23, 2017', 'age': '22', 'clubName': 'Lokomotiv Moscow', 'clubID': '932', 'value': '€2.50m'}, {'date': 'Jun 6, 2018', 'age': '22', 'clubName': 'Lokomotiv Moscow', 'clubID': '932', 'value': '€8.00m'}, {'date': 'Dec 20, 2018', 'age': '23', 'clubName': 'Lokomotiv Moscow', 'clubID': '932', 'value': '€10.00m'}, {'date': 'Apr 24, 2019', 'age': '23', 'clubName': 'Lokomotiv Moscow', 'clubID': '932', 'value': '€12.50m'}, {'date': 'Jun 14, 2019', 'age': '23', 'clubName': 'Lokomotiv Moscow', 'clubID': '932', 'value': '€16.00m'}, {'date': 'Dec 23, 2019', 'age': '24', 'clubName': 'Lokomotiv Moscow', 'clubID': '932', 'value': '€16.00m'}, {'date': 'Apr 8, 2020', 'age': '24', 'clubName': 'Lokomotiv Moscow', 'clubID': '932', 'value': '€13.00m'}, {'date': 'Jul 29, 2020', 'age': '24', 'clubName': 'Lokomotiv Moscow', 'clubID': '932', 'value': '€12.00m'}, {'date': 'Dec 29, 2020', 'age': '25', 'clubName': 'Lokomotiv Moscow', 'clubID': '932', 'value': '€14.00m'}, {'date': 'Jun 2, 2021', 'age': '25', 'clubName': 'Lokomotiv Moscow', 'clubID': '932', 'value': '€12.00m'}, {'date': 'Sep 15, 2021', 'age': '25', 'clubName': 'Lokomotiv Moscow', 'clubID': '932', 'value': '€10.00m'}, {'date': 'Dec 29, 2021', 'age': '26', 'clubName': 'Lokomotiv Moscow', 'clubID': '932', 'value': '€7.50m'}, {'date': 'Jun 2, 2022', 'age': '26', 'clubName': 'Lokomotiv Moscow', 'clubID': '932', 'value': '€5.00m'}, {'date': 'Nov 21, 2022', 'age': '27', 'clubName': 'Lokomotiv Moscow', 'clubID': '932', 'value': '€5.00m'}, {'date': 'Jun 14, 2023', 'age': '27', 'clubName': 'Lokomotiv Moscow', 'clubID': '932', 'value': '€5.00m'}, {'date': 'Dec 13, 2023', 'age': '28', 'clubName': 'Lokomotiv Moscow', 'clubID': '932', 'value': '€5.00m'}, {'date': 'Jun 4, 2024', 'age': '28', 'clubName': 'Lokomotiv Moscow', 'clubID': '932', 'value': '€6.00m'}, {'date': 'Dec 23, 2024', 'age': '29', 'clubName': 'FC Sion', 'clubID': '321', 'value': '€3.50m'}, {'date': 'Mar 20, 2025', 'age': '29', 'clubName': 'FC Sion', 'clubID': '321', 'value': '€3.00m'}, {'date': 'Jun 10, 2025', 'age': '29', 'clubName': 'FC Sion', 'clubID': '321', 'value': '€2.50m'}, {'date': 'Dec 16, 2025', 'age': '30', 'clubName': 'Dynamo Moscow', 'clubID': '121', 'value': '€2.50m'}]}</t>
  </si>
  <si>
    <t>Soler</t>
  </si>
  <si>
    <t>{'marketValueHistory': [{'date': '04/10/2004', 'age': '17', 'clubName': 'Arsenal FC', 'clubID': '11', 'value': '€2.50m'}, {'date': '07/01/2005', 'age': '17', 'clubName': 'Arsenal FC', 'clubID': '11', 'value': '€7.50m'}, {'date': '17/10/2005', 'age': '18', 'clubName': 'Arsenal FC', 'clubID': '11', 'value': '€8.00m'}, {'date': '14/06/2006', 'age': '19', 'clubName': 'Arsenal FC', 'clubID': '11', 'value': '€13.50m'}, {'date': '25/04/2007', 'age': '19', 'clubName': 'Arsenal FC', 'clubID': '11', 'value': '€21.90m'}, {'date': '01/09/2007', 'age': '20', 'clubName': 'Arsenal FC', 'clubID': '11', 'value': '€22.00m'}, {'date': '04/02/2008', 'age': '20', 'clubName': 'Arsenal FC', 'clubID': '11', 'value': '€35.00m'}, {'date': '04/07/2008', 'age': '21', 'clubName': 'Arsenal FC', 'clubID': '11', 'value': '€38.00m'}, {'date': '23/02/2009', 'age': '21', 'clubName': 'Arsenal FC', 'clubID': '11', 'value': '€40.00m'}, {'date': '25/01/2010', 'age': '22', 'clubName': 'Arsenal FC', 'clubID': '11', 'value': '€55.00m'}, {'date': '13/08/2010', 'age': '23', 'clubName': 'Arsenal FC', 'clubID': '11', 'value': '€55.00m'}, {'date': '01/02/2011', 'age': '23', 'clubName': 'Arsenal FC', 'clubID': '11', 'value': '€55.00m'}, {'date': '08/08/2011', 'age': '24', 'clubName': 'Arsenal FC', 'clubID': '11', 'value': '€54.00m'}, {'date': '03/02/2012', 'age': '24', 'clubName': 'FC Barcelona', 'clubID': '131', 'value': '€55.00m'}, {'date': '07/08/2012', 'age': '25', 'clubName': 'FC Barcelona', 'clubID': '131', 'value': '€55.00m'}, {'date': '10/01/2013', 'age': '25', 'clubName': 'FC Barcelona', 'clubID': '131', 'value': '€55.00m'}, {'date': '12/06/2013', 'age': '26', 'clubName': 'FC Barcelona', 'clubID': '131', 'value': '€45.00m'}, {'date': '23/01/2014', 'age': '26', 'clubName': 'FC Barcelona', 'clubID': '131', 'value': '€50.00m'}, {'date': '12/08/2014', 'age': '27', 'clubName': 'Chelsea FC', 'clubID': '631', 'value': '€40.00m'}, {'date': '12/02/2015', 'age': '27', 'clubName': 'Chelsea FC', 'clubID': '631', 'value': '€50.00m'}, {'date': '01/07/2015', 'age': '28', 'clubName': 'Chelsea FC', 'clubID': '631', 'value': '€50.00m'}, {'date': '09/02/2016', 'age': '28', 'clubName': 'Chelsea FC', 'clubID': '631', 'value': '€45.00m'}, {'date': '01/06/2016', 'age': '29', 'clubName': 'Chelsea FC', 'clubID': '631', 'value': '€45.00m'}, {'date': '01/08/2016', 'age': '29', 'clubName': 'Chelsea FC', 'clubID': '631', 'value': '€45.00m'}, {'date': '20/02/2017', 'age': '29', 'clubName': 'Chelsea FC', 'clubID': '631', 'value': '€35.00m'}, {'date': '28/06/2017', 'age': '30', 'clubName': 'Chelsea FC', 'clubID': '631', 'value': '€35.00m'}, {'date': '02/01/2018', 'age': '30', 'clubName': 'Chelsea FC', 'clubID': '631', 'value': '€35.00m'}, {'date': '28/05/2018', 'age': '31', 'clubName': 'Chelsea FC', 'clubID': '631', 'value': '€30.00m'}, {'date': '17/10/2018', 'age': '31', 'clubName': 'Chelsea FC', 'clubID': '631', 'value': '€25.00m'}, {'date': '19/12/2018', 'age': '31', 'clubName': 'Chelsea FC', 'clubID': '631', 'value': '€25.00m'}, {'date': '07/03/2019', 'age': '31', 'clubName': 'AS Monaco', 'clubID': '162', 'value': '€20.00m'}, {'date': '03/06/2019', 'age': '32', 'clubName': 'AS Monaco', 'clubID': '162', 'value': '€15.00m'}, {'date': '27/09/2019', 'age': '32', 'clubName': 'AS Monaco', 'clubID': '162', 'value': '€12.00m'}, {'date': '19/12/2019', 'age': '32', 'clubName': 'AS Monaco', 'clubID': '162', 'value': '€10.00m'}, {'date': '13/03/2020', 'age': '32', 'clubName': 'AS Monaco', 'clubID': '162', 'value': '€8.00m'}, {'date': '08/04/2020', 'age': '32', 'clubName': 'AS Monaco', 'clubID': '162', 'value': '€6.50m'}, {'date': '12/10/2020', 'age': '33', 'clubName': 'AS Monaco', 'clubID': '162', 'value': '€6.50m'}, {'date': '09/04/2021', 'age': '33', 'clubName': 'AS Monaco', 'clubID': '162', 'value': '€5.00m'}, {'date': '04/06/2021', 'age': '34', 'clubName': 'AS Monaco', 'clubID': '162', 'value': '€5.00m'}, {'date': '16/12/2021', 'age': '34', 'clubName': 'AS Monaco', 'clubID': '162', 'value': '€3.50m'}, {'date': '30/05/2022', 'age': '35', 'clubName': 'AS Monaco', 'clubID': '162', 'value': '€2.50m'}, {'date': '22/12/2022', 'age': '35', 'clubName': 'Como 1907', 'clubID': '1047', 'value': '€1.50m'}, {'date': '12/06/2023', 'age': '36', 'clubName': 'Como 1907', 'clubID': '1047', 'value': '€1.00m'}, {'date': '01/07/2023', 'age': '36', 'clubName': 'Retired', 'clubID': '123', 'value': '-'}]}</t>
  </si>
  <si>
    <t>1987-05-04</t>
  </si>
  <si>
    <t>Pellegrini</t>
  </si>
  <si>
    <t>{'marketValueHistory': [{'date': 'Jun 24, 2014', 'age': '18', 'clubName': 'Roma U19', 'clubID': '11997', 'value': '€175k'}, {'date': 'Mar 2, 2015', 'age': '18', 'clubName': 'Roma U19', 'clubID': '11997', 'value': '€200k'}, {'date': 'Jun 17, 2015', 'age': '18', 'clubName': 'Roma U19', 'clubID': '11997', 'value': '€250k'}, {'date': 'Jan 4, 2016', 'age': '19', 'clubName': 'US Sassuolo', 'clubID': '6574', 'value': '€1.00m'}, {'date': 'Jul 15, 2016', 'age': '20', 'clubName': 'US Sassuolo', 'clubID': '6574', 'value': '€2.50m'}, {'date': 'Jan 2, 2017', 'age': '20', 'clubName': 'US Sassuolo', 'clubID': '6574', 'value': '€6.00m'}, {'date': 'Mar 28, 2017', 'age': '20', 'clubName': 'US Sassuolo', 'clubID': '6574', 'value': '€8.00m'}, {'date': 'Jun 8, 2017', 'age': '20', 'clubName': 'US Sassuolo', 'clubID': '6574', 'value': '€12.00m'}, {'date': 'Dec 29, 2017', 'age': '21', 'clubName': 'AS Roma', 'clubID': '12', 'value': '€16.00m'}, {'date': 'Mar 24, 2018', 'age': '21', 'clubName': 'AS Roma', 'clubID': '12', 'value': '€23.00m'}, {'date': 'Jun 7, 2018', 'age': '21', 'clubName': 'AS Roma', 'clubID': '12', 'value': '€28.00m'}, {'date': 'Dec 20, 2018', 'age': '22', 'clubName': 'AS Roma', 'clubID': '12', 'value': '€35.00m'}, {'date': 'Jun 6, 2019', 'age': '22', 'clubName': 'AS Roma', 'clubID': '12', 'value': '€35.00m'}, {'date': 'Oct 8, 2019', 'age': '23', 'clubName': 'AS Roma', 'clubID': '12', 'value': '€40.00m'}, {'date': 'Dec 12, 2019', 'age': '23', 'clubName': 'AS Roma', 'clubID': '12', 'value': '€40.00m'}, {'date': 'Apr 8, 2020', 'age': '23', 'clubName': 'AS Roma', 'clubID': '12', 'value': '€32.00m'}, {'date': 'Aug 25, 2020', 'age': '24', 'clubName': 'AS Roma', 'clubID': '12', 'value': '€32.00m'}, {'date': 'Dec 29, 2020', 'age': '24', 'clubName': 'AS Roma', 'clubID': '12', 'value': '€37.00m'}, {'date': 'May 25, 2021', 'age': '24', 'clubName': 'AS Roma', 'clubID': '12', 'value': '€40.00m'}, {'date': 'Oct 14, 2021', 'age': '25', 'clubName': 'AS Roma', 'clubID': '12', 'value': '€45.00m'}, {'date': 'Dec 28, 2021', 'age': '25', 'clubName': 'AS Roma', 'clubID': '12', 'value': '€45.00m'}, {'date': 'Jun 7, 2022', 'age': '25', 'clubName': 'AS Roma', 'clubID': '12', 'value': '€45.00m'}, {'date': 'Nov 11, 2022', 'age': '26', 'clubName': 'AS Roma', 'clubID': '12', 'value': '€45.00m'}, {'date': 'Mar 21, 2023', 'age': '26', 'clubName': 'AS Roma', 'clubID': '12', 'value': '€35.00m'}, {'date': 'Jun 15, 2023', 'age': '26', 'clubName': 'AS Roma', 'clubID': '12', 'value': '€35.00m'}, {'date': 'Oct 11, 2023', 'age': '27', 'clubName': 'AS Roma', 'clubID': '12', 'value': '€30.00m'}, {'date': 'Dec 20, 2023', 'age': '27', 'clubName': 'AS Roma', 'clubID': '12', 'value': '€25.00m'}, {'date': 'Jun 5, 2024', 'age': '27', 'clubName': 'AS Roma', 'clubID': '12', 'value': '€25.00m'}, {'date': 'Oct 18, 2024', 'age': '28', 'clubName': 'AS Roma', 'clubID': '12', 'value': '€22.00m'}, {'date': 'Dec 18, 2024', 'age': '28', 'clubName': 'AS Roma', 'clubID': '12', 'value': '€14.00m'}, {'date': 'Jun 17, 2025', 'age': '28', 'clubName': 'AS Roma', 'clubID': '12', 'value': '€9.00m'}, {'date': 'Dec 23, 2025', 'age': '29', 'clubName': 'AS Roma', 'clubID': '12', 'value': '€9.00m'}]}</t>
  </si>
  <si>
    <t>1996-06-19</t>
  </si>
  <si>
    <t>Joelinton</t>
  </si>
  <si>
    <t>{'marketValueHistory': [{'date': '01/02/2015', 'age': '18', 'clubName': 'Sport Club do Recife', 'clubID': '8718', 'value': '€750k'}, {'date': '31/05/2015', 'age': '18', 'clubName': 'Sport Club do Recife', 'clubID': '8718', 'value': '€1.25m'}, {'date': '15/02/2016', 'age': '19', 'clubName': 'TSG 1899 Hoffenheim', 'clubID': '533', 'value': '€1.25m'}, {'date': '01/07/2016', 'age': '19', 'clubName': 'Rapid Vienna', 'clubID': '170', 'value': '€1.25m'}, {'date': '22/12/2016', 'age': '20', 'clubName': 'Rapid Vienna', 'clubID': '170', 'value': '€1.25m'}, {'date': '02/06/2017', 'age': '20', 'clubName': 'Rapid Vienna', 'clubID': '170', 'value': '€1.25m'}, {'date': '02/01/2018', 'age': '21', 'clubName': 'Rapid Vienna', 'clubID': '170', 'value': '€1.25m'}, {'date': '14/06/2018', 'age': '21', 'clubName': 'Rapid Vienna', 'clubID': '170', 'value': '€1.25m'}, {'date': '22/08/2018', 'age': '22', 'clubName': 'TSG 1899 Hoffenheim', 'clubID': '533', 'value': '€2.50m'}, {'date': '22/10/2018', 'age': '22', 'clubName': 'TSG 1899 Hoffenheim', 'clubID': '533', 'value': '€7.00m'}, {'date': '18/12/2018', 'age': '22', 'clubName': 'TSG 1899 Hoffenheim', 'clubID': '533', 'value': '€15.00m'}, {'date': '06/03/2019', 'age': '22', 'clubName': 'TSG 1899 Hoffenheim', 'clubID': '533', 'value': '€35.00m'}, {'date': '05/06/2019', 'age': '22', 'clubName': 'TSG 1899 Hoffenheim', 'clubID': '533', 'value': '€35.00m'}, {'date': '10/12/2019', 'age': '23', 'clubName': 'Newcastle United', 'clubID': '762', 'value': '€30.00m'}, {'date': '09/03/2020', 'age': '23', 'clubName': 'Newcastle United', 'clubID': '762', 'value': '€25.00m'}, {'date': '08/04/2020', 'age': '23', 'clubName': 'Newcastle United', 'clubID': '762', 'value': '€20.00m'}, {'date': '13/10/2020', 'age': '24', 'clubName': 'Newcastle United', 'clubID': '762', 'value': '€20.00m'}, {'date': '18/03/2021', 'age': '24', 'clubName': 'Newcastle United', 'clubID': '762', 'value': '€17.00m'}, {'date': '08/06/2021', 'age': '24', 'clubName': 'Newcastle United', 'clubID': '762', 'value': '€17.00m'}, {'date': '23/12/2021', 'age': '25', 'clubName': 'Newcastle United', 'clubID': '762', 'value': '€15.00m'}, {'date': '29/03/2022', 'age': '25', 'clubName': 'Newcastle United', 'clubID': '762', 'value': '€18.00m'}, {'date': '15/06/2022', 'age': '25', 'clubName': 'Newcastle United', 'clubID': '762', 'value': '€20.00m'}, {'date': '15/09/2022', 'age': '26', 'clubName': 'Newcastle United', 'clubID': '762', 'value': '€28.00m'}, {'date': '03/11/2022', 'age': '26', 'clubName': 'Newcastle United', 'clubID': '762', 'value': '€32.00m'}, {'date': '16/03/2023', 'age': '26', 'clubName': 'Newcastle United', 'clubID': '762', 'value': '€38.00m'}, {'date': '20/06/2023', 'age': '26', 'clubName': 'Newcastle United', 'clubID': '762', 'value': '€42.00m'}, {'date': '19/12/2023', 'age': '27', 'clubName': 'Newcastle United', 'clubID': '762', 'value': '€42.00m'}, {'date': '27/05/2024', 'age': '27', 'clubName': 'Newcastle United', 'clubID': '762', 'value': '€40.00m'}, {'date': '16/12/2024', 'age': '28', 'clubName': 'Newcastle United', 'clubID': '762', 'value': '€40.00m'}, {'date': '30/05/2025', 'age': '28', 'clubName': 'Newcastle United', 'clubID': '762', 'value': '€35.00m'}, {'date': '09/12/2025', 'age': '29', 'clubName': 'Newcastle United', 'clubID': '762', 'value': '€30.00m'}]}</t>
  </si>
  <si>
    <t>1996-08-14</t>
  </si>
  <si>
    <t>Mahrez</t>
  </si>
  <si>
    <t>{'marketValueHistory': [{'date': 'Aug 8, 2011', 'age': '20', 'clubName': 'Le Havre AC', 'clubID': '738', 'value': '€100k'}, {'date': 'Sep 3, 2011', 'age': '20', 'clubName': 'Le Havre AC', 'clubID': '738', 'value': '€200k'}, {'date': 'Dec 25, 2011', 'age': '20', 'clubName': 'Le Havre AC', 'clubID': '738', 'value': '€200k'}, {'date': 'Jun 1, 2012', 'age': '21', 'clubName': 'Le Havre AC', 'clubID': '738', 'value': '€300k'}, {'date': 'Jan 4, 2013', 'age': '21', 'clubName': 'Le Havre AC', 'clubID': '738', 'value': '€500k'}, {'date': 'May 30, 2013', 'age': '22', 'clubName': 'Le Havre AC', 'clubID': '738', 'value': '€750k'}, {'date': 'Jan 13, 2014', 'age': '22', 'clubName': 'Leicester City', 'clubID': '1003', 'value': '€1.25m'}, {'date': 'Aug 12, 2014', 'age': '23', 'clubName': 'Leicester City', 'clubID': '1003', 'value': '€2.00m'}, {'date': 'Feb 12, 2015', 'age': '23', 'clubName': 'Leicester City', 'clubID': '1003', 'value': '€3.00m'}, {'date': 'Jul 1, 2015', 'age': '24', 'clubName': 'Leicester City', 'clubID': '1003', 'value': '€7.00m'}, {'date': 'Oct 14, 2015', 'age': '24', 'clubName': 'Leicester City', 'clubID': '1003', 'value': '€11.00m'}, {'date': 'Feb 9, 2016', 'age': '24', 'clubName': 'Leicester City', 'clubID': '1003', 'value': '€20.00m'}, {'date': 'Aug 1, 2016', 'age': '25', 'clubName': 'Leicester City', 'clubID': '1003', 'value': '€30.00m'}, {'date': 'Feb 20, 2017', 'age': '25', 'clubName': 'Leicester City', 'clubID': '1003', 'value': '€30.00m'}, {'date': 'Jun 28, 2017', 'age': '26', 'clubName': 'Leicester City', 'clubID': '1003', 'value': '€30.00m'}, {'date': 'Jan 2, 2018', 'age': '26', 'clubName': 'Leicester City', 'clubID': '1003', 'value': '€30.00m'}, {'date': 'Mar 23, 2018', 'age': '27', 'clubName': 'Leicester City', 'clubID': '1003', 'value': '€50.00m'}, {'date': 'May 28, 2018', 'age': '27', 'clubName': 'Leicester City', 'clubID': '1003', 'value': '€50.00m'}, {'date': 'Aug 13, 2018', 'age': '27', 'clubName': 'Manchester City', 'clubID': '281', 'value': '€60.00m'}, {'date': 'Dec 19, 2018', 'age': '27', 'clubName': 'Manchester City', 'clubID': '281', 'value': '€60.00m'}, {'date': 'Jun 13, 2019', 'age': '28', 'clubName': 'Manchester City', 'clubID': '281', 'value': '€60.00m'}, {'date': 'Dec 10, 2019', 'age': '28', 'clubName': 'Manchester City', 'clubID': '281', 'value': '€60.00m'}, {'date': 'Apr 8, 2020', 'age': '29', 'clubName': 'Manchester City', 'clubID': '281', 'value': '€48.00m'}, {'date': 'Oct 13, 2020', 'age': '29', 'clubName': 'Manchester City', 'clubID': '281', 'value': '€48.00m'}, {'date': 'Mar 18, 2021', 'age': '30', 'clubName': 'Manchester City', 'clubID': '281', 'value': '€42.00m'}, {'date': 'Jun 8, 2021', 'age': '30', 'clubName': 'Manchester City', 'clubID': '281', 'value': '€42.00m'}, {'date': 'Dec 23, 2021', 'age': '30', 'clubName': 'Manchester City', 'clubID': '281', 'value': '€40.00m'}, {'date': 'Jun 15, 2022', 'age': '31', 'clubName': 'Manchester City', 'clubID': '281', 'value': '€35.00m'}, {'date': 'Nov 3, 2022', 'age': '31', 'clubName': 'Manchester City', 'clubID': '281', 'value': '€30.00m'}, {'date': 'Jun 20, 2023', 'age': '32', 'clubName': 'Manchester City', 'clubID': '281', 'value': '€20.00m'}, {'date': 'Oct 24, 2023', 'age': '32', 'clubName': 'Al-Ahli SFC', 'clubID': '18487', 'value': '€18.00m'}, {'date': 'Dec 15, 2023', 'age': '32', 'clubName': 'Al-Ahli SFC', 'clubID': '18487', 'value': '€16.00m'}, {'date': 'Jun 4, 2024', 'age': '33', 'clubName': 'Al-Ahli SFC', 'clubID': '18487', 'value': '€12.00m'}, {'date': 'Dec 13, 2024', 'age': '33', 'clubName': 'Al-Ahli SFC', 'clubID': '18487', 'value': '€9.00m'}, {'date': 'May 27, 2025', 'age': '34', 'clubName': 'Al-Ahli SFC', 'clubID': '18487', 'value': '€8.00m'}, {'date': 'Dec 18, 2025', 'age': '34', 'clubName': 'Al-Ahli SFC', 'clubID': '18487', 'value': '€7.00m'}]}</t>
  </si>
  <si>
    <t>1991-02-21</t>
  </si>
  <si>
    <t>Thiago Alcantara</t>
  </si>
  <si>
    <t>{'marketValueHistory': [{'date': '23/11/2007', 'age': '16', 'clubName': 'FC Barcelona U19', 'clubID': '2470', 'value': '€100k'}, {'date': '20/08/2010', 'age': '19', 'clubName': 'FC Barcelona B', 'clubID': '2464', 'value': '€2.50m'}, {'date': '18/10/2010', 'age': '19', 'clubName': 'FC Barcelona B', 'clubID': '2464', 'value': '€3.00m'}, {'date': '09/12/2010', 'age': '19', 'clubName': 'FC Barcelona B', 'clubID': '2464', 'value': '€5.00m'}, {'date': '04/02/2011', 'age': '19', 'clubName': 'FC Barcelona B', 'clubID': '2464', 'value': '€5.00m'}, {'date': '20/07/2011', 'age': '20', 'clubName': 'FC Barcelona', 'clubID': '131', 'value': '€6.00m'}, {'date': '29/07/2011', 'age': '20', 'clubName': 'FC Barcelona', 'clubID': '131', 'value': '€10.00m'}, {'date': '03/09/2011', 'age': '20', 'clubName': 'FC Barcelona', 'clubID': '131', 'value': '€15.00m'}, {'date': '03/02/2012', 'age': '20', 'clubName': 'FC Barcelona', 'clubID': '131', 'value': '€20.00m'}, {'date': '07/08/2012', 'age': '21', 'clubName': 'FC Barcelona', 'clubID': '131', 'value': '€22.00m'}, {'date': '10/01/2013', 'age': '21', 'clubName': 'FC Barcelona', 'clubID': '131', 'value': '€22.00m'}, {'date': '12/06/2013', 'age': '22', 'clubName': 'FC Barcelona', 'clubID': '131', 'value': '€22.00m'}, {'date': '27/08/2013', 'age': '22', 'clubName': 'Bayern Munich', 'clubID': '27', 'value': '€25.00m'}, {'date': '12/02/2014', 'age': '22', 'clubName': 'Bayern Munich', 'clubID': '27', 'value': '€30.00m'}, {'date': '10/07/2014', 'age': '23', 'clubName': 'Bayern Munich', 'clubID': '27', 'value': '€30.00m'}, {'date': '03/11/2014', 'age': '23', 'clubName': 'Bayern Munich', 'clubID': '27', 'value': '€25.00m'}, {'date': '04/02/2015', 'age': '23', 'clubName': 'Bayern Munich', 'clubID': '27', 'value': '€25.00m'}, {'date': '01/07/2015', 'age': '24', 'clubName': 'Bayern Munich', 'clubID': '27', 'value': '€25.00m'}, {'date': '15/02/2016', 'age': '24', 'clubName': 'Bayern Munich', 'clubID': '27', 'value': '€25.00m'}, {'date': '01/06/2016', 'age': '25', 'clubName': 'Bayern Munich', 'clubID': '27', 'value': '€25.00m'}, {'date': '22/07/2016', 'age': '25', 'clubName': 'Bayern Munich', 'clubID': '27', 'value': '€22.00m'}, {'date': '07/02/2017', 'age': '25', 'clubName': 'Bayern Munich', 'clubID': '27', 'value': '€30.00m'}, {'date': '22/03/2017', 'age': '25', 'clubName': 'Bayern Munich', 'clubID': '27', 'value': '€40.00m'}, {'date': '19/06/2017', 'age': '26', 'clubName': 'Bayern Munich', 'clubID': '27', 'value': '€40.00m'}, {'date': '28/12/2017', 'age': '26', 'clubName': 'Bayern Munich', 'clubID': '27', 'value': '€50.00m'}, {'date': '04/04/2018', 'age': '26', 'clubName': 'Bayern Munich', 'clubID': '27', 'value': '€60.00m'}, {'date': '05/06/2018', 'age': '27', 'clubName': 'Bayern Munich', 'clubID': '27', 'value': '€60.00m'}, {'date': '18/12/2018', 'age': '27', 'clubName': 'Bayern Munich', 'clubID': '27', 'value': '€60.00m'}, {'date': '06/03/2019', 'age': '27', 'clubName': 'Bayern Munich', 'clubID': '27', 'value': '€70.00m'}, {'date': '05/06/2019', 'age': '28', 'clubName': 'Bayern Munich', 'clubID': '27', 'value': '€70.00m'}, {'date': '17/12/2019', 'age': '28', 'clubName': 'Bayern Munich', 'clubID': '27', 'value': '€60.00m'}, {'date': '08/04/2020', 'age': '28', 'clubName': 'Bayern Munich', 'clubID': '27', 'value': '€48.00m'}, {'date': '13/10/2020', 'age': '29', 'clubName': 'Liverpool FC', 'clubID': '31', 'value': '€48.00m'}, {'date': '18/03/2021', 'age': '29', 'clubName': 'Liverpool FC', 'clubID': '31', 'value': '€35.00m'}, {'date': '31/05/2021', 'age': '30', 'clubName': 'Liverpool FC', 'clubID': '31', 'value': '€30.00m'}, {'date': '05/10/2021', 'age': '30', 'clubName': 'Liverpool FC', 'clubID': '31', 'value': '€25.00m'}, {'date': '23/12/2021', 'age': '30', 'clubName': 'Liverpool FC', 'clubID': '31', 'value': '€22.00m'}, {'date': '15/06/2022', 'age': '31', 'clubName': 'Liverpool FC', 'clubID': '31', 'value': '€20.00m'}, {'date': '03/11/2022', 'age': '31', 'clubName': 'Liverpool FC', 'clubID': '31', 'value': '€18.00m'}, {'date': '20/06/2023', 'age': '32', 'clubName': 'Liverpool FC', 'clubID': '31', 'value': '€15.00m'}, {'date': '09/10/2023', 'age': '32', 'clubName': 'Liverpool FC', 'clubID': '31', 'value': '€12.00m'}, {'date': '19/12/2023', 'age': '32', 'clubName': 'Liverpool FC', 'clubID': '31', 'value': '€10.00m'}, {'date': '27/05/2024', 'age': '33', 'clubName': 'Liverpool FC', 'clubID': '31', 'value': '€10.00m'}, {'date': '08/07/2024', 'age': '33', 'clubName': 'Retired', 'clubID': '123', 'value': '-'}]}</t>
  </si>
  <si>
    <t>1991-04-11</t>
  </si>
  <si>
    <t>Lucas Vazquez</t>
  </si>
  <si>
    <t>{'marketValueHistory': [{'date': 'Aug 19, 2012', 'age': '21', 'clubName': 'Real Madrid Castilla', 'clubID': '6767', 'value': '€400k'}, {'date': 'Jan 22, 2013', 'age': '21', 'clubName': 'Real Madrid Castilla', 'clubID': '6767', 'value': '€400k'}, {'date': 'May 9, 2013', 'age': '21', 'clubName': 'Real Madrid Castilla', 'clubID': '6767', 'value': '€600k'}, {'date': 'Oct 8, 2013', 'age': '22', 'clubName': 'Real Madrid Castilla', 'clubID': '6767', 'value': '€600k'}, {'date': 'Feb 6, 2014', 'age': '22', 'clubName': 'Real Madrid Castilla', 'clubID': '6767', 'value': '€1.00m'}, {'date': 'Jul 12, 2014', 'age': '23', 'clubName': 'Real Madrid Castilla', 'clubID': '6767', 'value': '-'}, {'date': 'Oct 23, 2014', 'age': '23', 'clubName': 'RCD Espanyol Barcelona', 'clubID': '714', 'value': '€2.00m'}, {'date': 'Jan 23, 2015', 'age': '23', 'clubName': 'RCD Espanyol Barcelona', 'clubID': '714', 'value': '€3.00m'}, {'date': 'Apr 9, 2015', 'age': '23', 'clubName': 'RCD Espanyol Barcelona', 'clubID': '714', 'value': '€4.00m'}, {'date': 'Jul 1, 2015', 'age': '24', 'clubName': 'RCD Espanyol Barcelona', 'clubID': '714', 'value': '€5.00m'}, {'date': 'Feb 22, 2016', 'age': '24', 'clubName': 'Real Madrid', 'clubID': '418', 'value': '€5.00m'}, {'date': 'Apr 7, 2016', 'age': '24', 'clubName': 'Real Madrid', 'clubID': '418', 'value': '€7.50m'}, {'date': 'Jun 1, 2016', 'age': '24', 'clubName': 'Real Madrid', 'clubID': '418', 'value': '€10.00m'}, {'date': 'Jul 15, 2016', 'age': '25', 'clubName': 'Real Madrid', 'clubID': '418', 'value': '€10.00m'}, {'date': 'Jan 24, 2017', 'age': '25', 'clubName': 'Real Madrid', 'clubID': '418', 'value': '€15.00m'}, {'date': 'Jun 5, 2017', 'age': '25', 'clubName': 'Real Madrid', 'clubID': '418', 'value': '€15.00m'}, {'date': 'Jan 1, 2018', 'age': '26', 'clubName': 'Real Madrid', 'clubID': '418', 'value': '€15.00m'}, {'date': 'Mar 22, 2018', 'age': '26', 'clubName': 'Real Madrid', 'clubID': '418', 'value': '€25.00m'}, {'date': 'May 30, 2018', 'age': '26', 'clubName': 'Real Madrid', 'clubID': '418', 'value': '€25.00m'}, {'date': 'Dec 21, 2018', 'age': '27', 'clubName': 'Real Madrid', 'clubID': '418', 'value': '€25.00m'}, {'date': 'Jun 11, 2019', 'age': '27', 'clubName': 'Real Madrid', 'clubID': '418', 'value': '€25.00m'}, {'date': 'Dec 20, 2019', 'age': '28', 'clubName': 'Real Madrid', 'clubID': '418', 'value': '€20.00m'}, {'date': 'Apr 8, 2020', 'age': '28', 'clubName': 'Real Madrid', 'clubID': '418', 'value': '€16.00m'}, {'date': 'Oct 8, 2020', 'age': '29', 'clubName': 'Real Madrid', 'clubID': '418', 'value': '€10.00m'}, {'date': 'Jan 5, 2021', 'age': '29', 'clubName': 'Real Madrid', 'clubID': '418', 'value': '€15.00m'}, {'date': 'Jun 10, 2021', 'age': '29', 'clubName': 'Real Madrid', 'clubID': '418', 'value': '€15.00m'}, {'date': 'Dec 30, 2021', 'age': '30', 'clubName': 'Real Madrid', 'clubID': '418', 'value': '€12.00m'}, {'date': 'Jun 3, 2022', 'age': '30', 'clubName': 'Real Madrid', 'clubID': '418', 'value': '€12.00m'}, {'date': 'Nov 7, 2022', 'age': '31', 'clubName': 'Real Madrid', 'clubID': '418', 'value': '€9.00m'}, {'date': 'Jun 13, 2023', 'age': '31', 'clubName': 'Real Madrid', 'clubID': '418', 'value': '€8.00m'}, {'date': 'Oct 13, 2023', 'age': '32', 'clubName': 'Real Madrid', 'clubID': '418', 'value': '€6.00m'}, {'date': 'Dec 22, 2023', 'age': '32', 'clubName': 'Real Madrid', 'clubID': '418', 'value': '€5.00m'}, {'date': 'Jun 7, 2024', 'age': '32', 'clubName': 'Real Madrid', 'clubID': '418', 'value': '€4.00m'}, {'date': 'Dec 27, 2024', 'age': '33', 'clubName': 'Real Madrid', 'clubID': '418', 'value': '€3.50m'}, {'date': 'Jun 9, 2025', 'age': '33', 'clubName': 'Real Madrid', 'clubID': '418', 'value': '€3.00m'}, {'date': 'Dec 19, 2025', 'age': '34', 'clubName': 'Bayer 04 Leverkusen', 'clubID': '15', 'value': '€2.50m'}]}</t>
  </si>
  <si>
    <t>1991-07-01</t>
  </si>
  <si>
    <t>Zaniolo</t>
  </si>
  <si>
    <t>{'marketValueHistory': [{'date': '17/10/2016', 'age': '17', 'clubName': 'Virtus Entella Primavera', 'clubID': '27354', 'value': '€50k'}, {'date': '26/06/2017', 'age': '17', 'clubName': 'Virtus Entella Primavera', 'clubID': '27354', 'value': '€500k'}, {'date': '30/06/2018', 'age': '18', 'clubName': 'Inter Milan Primavera', 'clubID': '46', 'value': '€1.00m'}, {'date': '12/10/2018', 'age': '19', 'clubName': 'AS Roma', 'clubID': '12', 'value': '€3.50m'}, {'date': '20/12/2018', 'age': '19', 'clubName': 'AS Roma', 'clubID': '12', 'value': '€10.00m'}, {'date': '26/02/2019', 'age': '19', 'clubName': 'AS Roma', 'clubID': '12', 'value': '€40.00m'}, {'date': '06/06/2019', 'age': '19', 'clubName': 'AS Roma', 'clubID': '12', 'value': '€40.00m'}, {'date': '12/12/2019', 'age': '20', 'clubName': 'AS Roma', 'clubID': '12', 'value': '€50.00m'}, {'date': '08/04/2020', 'age': '20', 'clubName': 'AS Roma', 'clubID': '12', 'value': '€45.00m'}, {'date': '25/08/2020', 'age': '21', 'clubName': 'AS Roma', 'clubID': '12', 'value': '€55.00m'}, {'date': '29/10/2020', 'age': '21', 'clubName': 'AS Roma', 'clubID': '12', 'value': '€45.00m'}, {'date': '29/12/2020', 'age': '21', 'clubName': 'AS Roma', 'clubID': '12', 'value': '€45.00m'}, {'date': '03/06/2021', 'age': '21', 'clubName': 'AS Roma', 'clubID': '12', 'value': '€40.00m'}, {'date': '28/12/2021', 'age': '22', 'clubName': 'AS Roma', 'clubID': '12', 'value': '€33.00m'}, {'date': '07/06/2022', 'age': '22', 'clubName': 'AS Roma', 'clubID': '12', 'value': '€33.00m'}, {'date': '11/11/2022', 'age': '23', 'clubName': 'AS Roma', 'clubID': '12', 'value': '€30.00m'}, {'date': '14/03/2023', 'age': '23', 'clubName': 'Galatasaray', 'clubID': '141', 'value': '€28.00m'}, {'date': '08/06/2023', 'age': '23', 'clubName': 'Galatasaray', 'clubID': '141', 'value': '€27.00m'}, {'date': '19/12/2023', 'age': '24', 'clubName': 'Aston Villa', 'clubID': '405', 'value': '€25.00m'}, {'date': '14/03/2024', 'age': '24', 'clubName': 'Aston Villa', 'clubID': '405', 'value': '€20.00m'}, {'date': '27/05/2024', 'age': '24', 'clubName': 'Aston Villa', 'clubID': '405', 'value': '€20.00m'}, {'date': '18/12/2024', 'age': '25', 'clubName': 'Atalanta BC', 'clubID': '800', 'value': '€18.00m'}, {'date': '25/03/2025', 'age': '25', 'clubName': 'ACF Fiorentina', 'clubID': '430', 'value': '€16.00m'}, {'date': '17/06/2025', 'age': '25', 'clubName': 'ACF Fiorentina', 'clubID': '430', 'value': '€12.00m'}, {'date': '23/12/2025', 'age': '26', 'clubName': 'Udinese Calcio', 'clubID': '410', 'value': '€13.00m'}]}</t>
  </si>
  <si>
    <t>1999-07-02</t>
  </si>
  <si>
    <t>Fassnacht</t>
  </si>
  <si>
    <t>{'marketValueHistory': [{'date': 'Sep 12, 2014', 'age': '20', 'clubName': 'FC Tuggen', 'clubID': '3303', 'value': '€100k'}, {'date': 'Dec 18, 2015', 'age': '22', 'clubName': 'FC Winterthur', 'clubID': '242', 'value': '€200k'}, {'date': 'Jul 16, 2016', 'age': '22', 'clubName': 'FC Thun', 'clubID': '938', 'value': '€400k'}, {'date': 'Dec 20, 2016', 'age': '23', 'clubName': 'FC Thun', 'clubID': '938', 'value': '€600k'}, {'date': 'Apr 14, 2017', 'age': '23', 'clubName': 'FC Thun', 'clubID': '938', 'value': '€1.00m'}, {'date': 'Jul 12, 2017', 'age': '23', 'clubName': 'BSC Young Boys', 'clubID': '452', 'value': '€1.25m'}, {'date': 'Sep 29, 2017', 'age': '23', 'clubName': 'BSC Young Boys', 'clubID': '452', 'value': '€1.75m'}, {'date': 'Jan 8, 2018', 'age': '24', 'clubName': 'BSC Young Boys', 'clubID': '452', 'value': '€2.25m'}, {'date': 'Apr 24, 2018', 'age': '24', 'clubName': 'BSC Young Boys', 'clubID': '452', 'value': '€2.50m'}, {'date': 'Jul 12, 2018', 'age': '24', 'clubName': 'BSC Young Boys', 'clubID': '452', 'value': '€4.00m'}, {'date': 'Oct 19, 2018', 'age': '24', 'clubName': 'BSC Young Boys', 'clubID': '452', 'value': '€5.00m'}, {'date': 'Jan 21, 2019', 'age': '25', 'clubName': 'BSC Young Boys', 'clubID': '452', 'value': '€5.00m'}, {'date': 'Apr 15, 2019', 'age': '25', 'clubName': 'BSC Young Boys', 'clubID': '452', 'value': '€5.00m'}, {'date': 'Jun 4, 2019', 'age': '25', 'clubName': 'BSC Young Boys', 'clubID': '452', 'value': '€5.00m'}, {'date': 'Jan 6, 2020', 'age': '26', 'clubName': 'BSC Young Boys', 'clubID': '452', 'value': '€5.00m'}, {'date': 'Apr 8, 2020', 'age': '26', 'clubName': 'BSC Young Boys', 'clubID': '452', 'value': '€4.00m'}, {'date': 'Jul 31, 2020', 'age': '26', 'clubName': 'BSC Young Boys', 'clubID': '452', 'value': '€4.00m'}, {'date': 'Dec 28, 2020', 'age': '27', 'clubName': 'BSC Young Boys', 'clubID': '452', 'value': '€4.00m'}, {'date': 'Apr 15, 2021', 'age': '27', 'clubName': 'BSC Young Boys', 'clubID': '452', 'value': '€3.00m'}, {'date': 'May 25, 2021', 'age': '27', 'clubName': 'BSC Young Boys', 'clubID': '452', 'value': '€3.00m'}, {'date': 'Jun 23, 2021', 'age': '27', 'clubName': 'BSC Young Boys', 'clubID': '452', 'value': '€3.00m'}, {'date': 'Jan 3, 2022', 'age': '28', 'clubName': 'BSC Young Boys', 'clubID': '452', 'value': '€4.00m'}, {'date': 'Jun 8, 2022', 'age': '28', 'clubName': 'BSC Young Boys', 'clubID': '452', 'value': '€4.00m'}, {'date': 'Nov 10, 2022', 'age': '28', 'clubName': 'BSC Young Boys', 'clubID': '452', 'value': '€3.00m'}, {'date': 'Jun 7, 2023', 'age': '29', 'clubName': 'BSC Young Boys', 'clubID': '452', 'value': '€2.50m'}, {'date': 'Dec 21, 2023', 'age': '30', 'clubName': 'Norwich City', 'clubID': '1123', 'value': '€2.50m'}, {'date': 'May 24, 2024', 'age': '30', 'clubName': 'Norwich City', 'clubID': '1123', 'value': '€2.50m'}, {'date': 'Dec 30, 2024', 'age': '31', 'clubName': 'Norwich City', 'clubID': '1123', 'value': '€2.00m'}, {'date': 'Jun 10, 2025', 'age': '31', 'clubName': 'BSC Young Boys', 'clubID': '452', 'value': '€2.00m'}, {'date': 'Dec 29, 2025', 'age': '32', 'clubName': 'BSC Young Boys', 'clubID': '452', 'value': '€2.00m'}]}</t>
  </si>
  <si>
    <t>1993-11-11</t>
  </si>
  <si>
    <t>Embolo</t>
  </si>
  <si>
    <t>{'marketValueHistory': [{'date': '08/05/2014', 'age': '17', 'clubName': 'FC Basel 1893 U21', 'clubID': '5299', 'value': '€100k'}, {'date': '16/07/2014', 'age': '17', 'clubName': 'FC Basel 1893', 'clubID': '26', 'value': '€250k'}, {'date': '12/09/2014', 'age': '17', 'clubName': 'FC Basel 1893', 'clubID': '26', 'value': '€250k'}, {'date': '03/10/2014', 'age': '17', 'clubName': 'FC Basel 1893', 'clubID': '26', 'value': '€1.00m'}, {'date': '15/12/2014', 'age': '17', 'clubName': 'FC Basel 1893', 'clubID': '26', 'value': '€4.00m'}, {'date': '14/04/2015', 'age': '18', 'clubName': 'FC Basel 1893', 'clubID': '26', 'value': '€8.00m'}, {'date': '18/06/2015', 'age': '18', 'clubName': 'FC Basel 1893', 'clubID': '26', 'value': '€8.00m'}, {'date': '29/09/2015', 'age': '18', 'clubName': 'FC Basel 1893', 'clubID': '26', 'value': '€16.00m'}, {'date': '18/12/2015', 'age': '18', 'clubName': 'FC Basel 1893', 'clubID': '26', 'value': '€16.00m'}, {'date': '20/04/2016', 'age': '19', 'clubName': 'FC Basel 1893', 'clubID': '26', 'value': '€20.00m'}, {'date': '01/06/2016', 'age': '19', 'clubName': 'FC Basel 1893', 'clubID': '26', 'value': '€20.00m'}, {'date': '22/07/2016', 'age': '19', 'clubName': 'FC Schalke 04', 'clubID': '33', 'value': '€22.00m'}, {'date': '07/02/2017', 'age': '19', 'clubName': 'FC Schalke 04', 'clubID': '33', 'value': '€20.00m'}, {'date': '19/06/2017', 'age': '20', 'clubName': 'FC Schalke 04', 'clubID': '33', 'value': '€20.00m'}, {'date': '28/12/2017', 'age': '20', 'clubName': 'FC Schalke 04', 'clubID': '33', 'value': '€18.00m'}, {'date': '05/06/2018', 'age': '21', 'clubName': 'FC Schalke 04', 'clubID': '33', 'value': '€18.00m'}, {'date': '18/12/2018', 'age': '21', 'clubName': 'FC Schalke 04', 'clubID': '33', 'value': '€15.00m'}, {'date': '06/03/2019', 'age': '22', 'clubName': 'FC Schalke 04', 'clubID': '33', 'value': '€12.00m'}, {'date': '05/06/2019', 'age': '22', 'clubName': 'FC Schalke 04', 'clubID': '33', 'value': '€14.00m'}, {'date': '17/12/2019', 'age': '22', 'clubName': 'Borussia Mönchengladbach', 'clubID': '18', 'value': '€16.00m'}, {'date': '08/04/2020', 'age': '23', 'clubName': 'Borussia Mönchengladbach', 'clubID': '18', 'value': '€13.00m'}, {'date': '08/07/2020', 'age': '23', 'clubName': 'Borussia Mönchengladbach', 'clubID': '18', 'value': '€16.00m'}, {'date': '10/02/2021', 'age': '23', 'clubName': 'Borussia Mönchengladbach', 'clubID': '18', 'value': '€16.00m'}, {'date': '25/05/2021', 'age': '24', 'clubName': 'Borussia Mönchengladbach', 'clubID': '18', 'value': '€16.00m'}, {'date': '22/12/2021', 'age': '24', 'clubName': 'Borussia Mönchengladbach', 'clubID': '18', 'value': '€16.00m'}, {'date': '24/03/2022', 'age': '25', 'clubName': 'Borussia Mönchengladbach', 'clubID': '18', 'value': '€14.00m'}, {'date': '09/06/2022', 'age': '25', 'clubName': 'Borussia Mönchengladbach', 'clubID': '18', 'value': '€15.00m'}, {'date': '19/09/2022', 'age': '25', 'clubName': 'AS Monaco', 'clubID': '162', 'value': '€18.00m'}, {'date': '02/11/2022', 'age': '25', 'clubName': 'AS Monaco', 'clubID': '162', 'value': '€20.00m'}, {'date': '27/03/2023', 'age': '26', 'clubName': 'AS Monaco', 'clubID': '162', 'value': '€22.00m'}, {'date': '27/06/2023', 'age': '26', 'clubName': 'AS Monaco', 'clubID': '162', 'value': '€20.00m'}, {'date': '16/10/2023', 'age': '26', 'clubName': 'AS Monaco', 'clubID': '162', 'value': '€15.00m'}, {'date': '18/12/2023', 'age': '26', 'clubName': 'AS Monaco', 'clubID': '162', 'value': '€12.00m'}, {'date': '03/06/2024', 'age': '27', 'clubName': 'AS Monaco', 'clubID': '162', 'value': '€12.00m'}, {'date': '10/12/2024', 'age': '27', 'clubName': 'AS Monaco', 'clubID': '162', 'value': '€12.00m'}, {'date': '03/06/2025', 'age': '28', 'clubName': 'AS Monaco', 'clubID': '162', 'value': '€12.00m'}, {'date': '15/12/2025', 'age': '28', 'clubName': 'Stade Rennais FC', 'clubID': '273', 'value': '€12.00m'}]}</t>
  </si>
  <si>
    <t>1997-02-14</t>
  </si>
  <si>
    <t>Assale</t>
  </si>
  <si>
    <t>{'marketValueHistory': [{'date': 'Jun 23, 2015', 'age': '21', 'clubName': 'TP Mazembe', 'clubID': '8428', 'value': '€250k'}, {'date': 'Jul 12, 2017', 'age': '23', 'clubName': 'BSC Young Boys', 'clubID': '452', 'value': '€800k'}, {'date': 'Jan 8, 2018', 'age': '24', 'clubName': 'BSC Young Boys', 'clubID': '452', 'value': '€2.00m'}, {'date': 'Apr 24, 2018', 'age': '24', 'clubName': 'BSC Young Boys', 'clubID': '452', 'value': '€5.50m'}, {'date': 'Jul 12, 2018', 'age': '24', 'clubName': 'BSC Young Boys', 'clubID': '452', 'value': '€7.50m'}, {'date': 'Jan 21, 2019', 'age': '25', 'clubName': 'BSC Young Boys', 'clubID': '452', 'value': '€7.50m'}, {'date': 'Apr 15, 2019', 'age': '25', 'clubName': 'BSC Young Boys', 'clubID': '452', 'value': '€6.00m'}, {'date': 'Jun 4, 2019', 'age': '25', 'clubName': 'BSC Young Boys', 'clubID': '452', 'value': '€7.50m'}, {'date': 'Jan 6, 2020', 'age': '26', 'clubName': 'BSC Young Boys', 'clubID': '452', 'value': '€7.50m'}, {'date': 'Apr 8, 2020', 'age': '26', 'clubName': 'CD Leganés', 'clubID': '1244', 'value': '€6.00m'}, {'date': 'Jul 31, 2020', 'age': '26', 'clubName': 'BSC Young Boys', 'clubID': '452', 'value': '€6.00m'}, {'date': 'Oct 15, 2020', 'age': '26', 'clubName': 'Dijon FCO', 'clubID': '2969', 'value': '€6.00m'}, {'date': 'Jan 7, 2021', 'age': '27', 'clubName': 'Dijon FCO', 'clubID': '2969', 'value': '€4.50m'}, {'date': 'Apr 9, 2021', 'age': '27', 'clubName': 'Dijon FCO', 'clubID': '2969', 'value': '€3.50m'}, {'date': 'Jun 4, 2021', 'age': '27', 'clubName': 'Dijon FCO', 'clubID': '2969', 'value': '€2.50m'}, {'date': 'Dec 15, 2021', 'age': '28', 'clubName': 'SV Werder Bremen', 'clubID': '86', 'value': '€1.50m'}, {'date': 'Mar 23, 2022', 'age': '28', 'clubName': 'SV Werder Bremen', 'clubID': '86', 'value': '€900k'}, {'date': 'Jun 16, 2022', 'age': '28', 'clubName': 'SV Werder Bremen', 'clubID': '86', 'value': '€700k'}, {'date': 'Oct 28, 2022', 'age': '28', 'clubName': 'Dijon FCO', 'clubID': '2969', 'value': '€600k'}, {'date': 'Apr 6, 2023', 'age': '29', 'clubName': 'Dijon FCO', 'clubID': '2969', 'value': '€500k'}, {'date': 'Jun 16, 2023', 'age': '29', 'clubName': 'Dijon FCO', 'clubID': '2969', 'value': '€400k'}, {'date': 'Dec 8, 2023', 'age': '30', 'clubName': 'Dijon FCO', 'clubID': '2969', 'value': '€300k'}, {'date': 'Jun 14, 2024', 'age': '30', 'clubName': 'Dijon FCO', 'clubID': '2969', 'value': '€200k'}, {'date': 'Apr 4, 2025', 'age': '31', 'clubName': "Stade d'Abidjan", 'clubID': '1156', 'value': '-'}, {'date': 'Mar 13, 2026', 'age': '32', 'clubName': 'Without Club', 'clubID': '515', 'value': '€150k'}]}</t>
  </si>
  <si>
    <t>1993-11-13</t>
  </si>
  <si>
    <t>Jesus</t>
  </si>
  <si>
    <t>{'marketValueHistory': [{'date': '04/10/2004', 'age': '18', 'clubName': 'Sevilla FC', 'clubID': '368', 'value': '€50k'}, {'date': '12/10/2004', 'age': '18', 'clubName': 'Sevilla FC', 'clubID': '368', 'value': '€1.50m'}, {'date': '15/11/2004', 'age': '18', 'clubName': 'Sevilla FC', 'clubID': '368', 'value': '€2.50m'}, {'date': '12/10/2006', 'age': '20', 'clubName': 'Sevilla FC', 'clubID': '368', 'value': '€3.50m'}, {'date': '31/01/2007', 'age': '21', 'clubName': 'Sevilla FC', 'clubID': '368', 'value': '€7.00m'}, {'date': '04/02/2008', 'age': '22', 'clubName': 'Sevilla FC', 'clubID': '368', 'value': '€9.00m'}, {'date': '04/04/2008', 'age': '22', 'clubName': 'Sevilla FC', 'clubID': '368', 'value': '€10.00m'}, {'date': '14/07/2008', 'age': '22', 'clubName': 'Sevilla FC', 'clubID': '368', 'value': '€10.00m'}, {'date': '15/10/2008', 'age': '22', 'clubName': 'Sevilla FC', 'clubID': '368', 'value': '€14.00m'}, {'date': '25/01/2009', 'age': '23', 'clubName': 'Sevilla FC', 'clubID': '368', 'value': '€17.00m'}, {'date': '22/07/2009', 'age': '23', 'clubName': 'Sevilla FC', 'clubID': '368', 'value': '€22.00m'}, {'date': '03/12/2009', 'age': '24', 'clubName': 'Sevilla FC', 'clubID': '368', 'value': '€25.00m'}, {'date': '12/04/2010', 'age': '24', 'clubName': 'Sevilla FC', 'clubID': '368', 'value': '€28.00m'}, {'date': '27/08/2010', 'age': '24', 'clubName': 'Sevilla FC', 'clubID': '368', 'value': '€30.00m'}, {'date': '04/02/2011', 'age': '25', 'clubName': 'Sevilla FC', 'clubID': '368', 'value': '€25.00m'}, {'date': '29/07/2011', 'age': '25', 'clubName': 'Sevilla FC', 'clubID': '368', 'value': '€24.00m'}, {'date': '03/02/2012', 'age': '26', 'clubName': 'Sevilla FC', 'clubID': '368', 'value': '€20.00m'}, {'date': '07/08/2012', 'age': '26', 'clubName': 'Sevilla FC', 'clubID': '368', 'value': '€20.00m'}, {'date': '11/01/2013', 'age': '27', 'clubName': 'Sevilla FC', 'clubID': '368', 'value': '€20.00m'}, {'date': '12/06/2013', 'age': '27', 'clubName': 'Sevilla FC', 'clubID': '368', 'value': '€20.00m'}, {'date': '15/01/2014', 'age': '28', 'clubName': 'Manchester City', 'clubID': '281', 'value': '€20.00m'}, {'date': '12/08/2014', 'age': '28', 'clubName': 'Manchester City', 'clubID': '281', 'value': '€20.00m'}, {'date': '12/02/2015', 'age': '29', 'clubName': 'Manchester City', 'clubID': '281', 'value': '€20.00m'}, {'date': '01/07/2015', 'age': '29', 'clubName': 'Manchester City', 'clubID': '281', 'value': '€20.00m'}, {'date': '09/02/2016', 'age': '30', 'clubName': 'Manchester City', 'clubID': '281', 'value': '€20.00m'}, {'date': '01/08/2016', 'age': '30', 'clubName': 'Manchester City', 'clubID': '281', 'value': '€20.00m'}, {'date': '20/02/2017', 'age': '31', 'clubName': 'Manchester City', 'clubID': '281', 'value': '€15.00m'}, {'date': '28/06/2017', 'age': '31', 'clubName': 'Manchester City', 'clubID': '281', 'value': '€12.00m'}, {'date': '17/08/2017', 'age': '31', 'clubName': 'Sevilla FC', 'clubID': '368', 'value': '€9.00m'}, {'date': '01/01/2018', 'age': '32', 'clubName': 'Sevilla FC', 'clubID': '368', 'value': '€6.00m'}, {'date': '30/05/2018', 'age': '32', 'clubName': 'Sevilla FC', 'clubID': '368', 'value': '€5.00m'}, {'date': '21/12/2018', 'age': '33', 'clubName': 'Sevilla FC', 'clubID': '368', 'value': '€4.00m'}, {'date': '11/06/2019', 'age': '33', 'clubName': 'Sevilla FC', 'clubID': '368', 'value': '€4.00m'}, {'date': '20/12/2019', 'age': '34', 'clubName': 'Sevilla FC', 'clubID': '368', 'value': '€4.00m'}, {'date': '08/04/2020', 'age': '34', 'clubName': 'Sevilla FC', 'clubID': '368', 'value': '€3.20m'}, {'date': '08/10/2020', 'age': '34', 'clubName': 'Sevilla FC', 'clubID': '368', 'value': '€3.00m'}, {'date': '05/01/2021', 'age': '35', 'clubName': 'Sevilla FC', 'clubID': '368', 'value': '€3.00m'}, {'date': '10/06/2021', 'age': '35', 'clubName': 'Sevilla FC', 'clubID': '368', 'value': '€3.00m'}, {'date': '30/12/2021', 'age': '36', 'clubName': 'Sevilla FC', 'clubID': '368', 'value': '€3.00m'}, {'date': '03/06/2022', 'age': '36', 'clubName': 'Sevilla FC', 'clubID': '368', 'value': '€3.00m'}, {'date': '07/11/2022', 'age': '36', 'clubName': 'Sevilla FC', 'clubID': '368', 'value': '€3.00m'}, {'date': '13/06/2023', 'age': '37', 'clubName': 'Sevilla FC', 'clubID': '368', 'value': '€3.00m'}, {'date': '22/12/2023', 'age': '38', 'clubName': 'Sevilla FC', 'clubID': '368', 'value': '€3.00m'}, {'date': '07/06/2024', 'age': '38', 'clubName': 'Sevilla FC', 'clubID': '368', 'value': '€2.50m'}, {'date': '27/12/2024', 'age': '39', 'clubName': 'Sevilla FC', 'clubID': '368', 'value': '€2.50m'}, {'date': '01/01/2025', 'age': '39', 'clubName': 'Retired', 'clubID': '123', 'value': '-'}]}</t>
  </si>
  <si>
    <t>1985-11-21</t>
  </si>
  <si>
    <t>Mertens</t>
  </si>
  <si>
    <t>{'marketValueHistory': [{'date': 'Oct 7, 2007', 'age': '20', 'clubName': 'AGOVV Apeldoorn', 'clubID': '1389', 'value': '€300k'}, {'date': 'Jan 16, 2008', 'age': '20', 'clubName': 'AGOVV Apeldoorn', 'clubID': '1389', 'value': '€350k'}, {'date': 'Aug 14, 2008', 'age': '21', 'clubName': 'AGOVV Apeldoorn', 'clubID': '1389', 'value': '€550k'}, {'date': 'Jan 29, 2009', 'age': '21', 'clubName': 'AGOVV Apeldoorn', 'clubID': '1389', 'value': '€750k'}, {'date': 'Jan 7, 2010', 'age': '22', 'clubName': 'FC Utrecht', 'clubID': '200', 'value': '€2.50m'}, {'date': 'Aug 12, 2010', 'age': '23', 'clubName': 'FC Utrecht', 'clubID': '200', 'value': '€3.50m'}, {'date': 'Jan 17, 2011', 'age': '23', 'clubName': 'FC Utrecht', 'clubID': '200', 'value': '€4.50m'}, {'date': 'Jun 22, 2011', 'age': '24', 'clubName': 'FC Utrecht', 'clubID': '200', 'value': '€6.00m'}, {'date': 'Sep 3, 2011', 'age': '24', 'clubName': 'PSV Eindhoven', 'clubID': '383', 'value': '€8.50m'}, {'date': 'Jan 5, 2012', 'age': '24', 'clubName': 'PSV Eindhoven', 'clubID': '383', 'value': '€12.00m'}, {'date': 'May 28, 2013', 'age': '26', 'clubName': 'PSV Eindhoven', 'clubID': '383', 'value': '€13.00m'}, {'date': 'Sep 25, 2013', 'age': '26', 'clubName': 'SSC Napoli', 'clubID': '6195', 'value': '€10.00m'}, {'date': 'Jan 7, 2014', 'age': '26', 'clubName': 'SSC Napoli', 'clubID': '6195', 'value': '€10.00m'}, {'date': 'Mar 10, 2014', 'age': '26', 'clubName': 'SSC Napoli', 'clubID': '6195', 'value': '€14.00m'}, {'date': 'Jul 11, 2014', 'age': '27', 'clubName': 'SSC Napoli', 'clubID': '6195', 'value': '€20.00m'}, {'date': 'Jan 7, 2015', 'age': '27', 'clubName': 'SSC Napoli', 'clubID': '6195', 'value': '€18.00m'}, {'date': 'Jul 1, 2015', 'age': '28', 'clubName': 'SSC Napoli', 'clubID': '6195', 'value': '€18.00m'}, {'date': 'Jan 4, 2016', 'age': '28', 'clubName': 'SSC Napoli', 'clubID': '6195', 'value': '€17.00m'}, {'date': 'Jun 1, 2016', 'age': '29', 'clubName': 'SSC Napoli', 'clubID': '6195', 'value': '€16.00m'}, {'date': 'Jul 15, 2016', 'age': '29', 'clubName': 'SSC Napoli', 'clubID': '6195', 'value': '€16.00m'}, {'date': 'Jan 2, 2017', 'age': '29', 'clubName': 'SSC Napoli', 'clubID': '6195', 'value': '€20.00m'}, {'date': 'Mar 28, 2017', 'age': '29', 'clubName': 'SSC Napoli', 'clubID': '6195', 'value': '€25.00m'}, {'date': 'Jun 8, 2017', 'age': '30', 'clubName': 'SSC Napoli', 'clubID': '6195', 'value': '€28.00m'}, {'date': 'Dec 29, 2017', 'age': '30', 'clubName': 'SSC Napoli', 'clubID': '6195', 'value': '€32.00m'}, {'date': 'Jun 7, 2018', 'age': '31', 'clubName': 'SSC Napoli', 'clubID': '6195', 'value': '€30.00m'}, {'date': 'Dec 20, 2018', 'age': '31', 'clubName': 'SSC Napoli', 'clubID': '6195', 'value': '€30.00m'}, {'date': 'Jun 6, 2019', 'age': '32', 'clubName': 'SSC Napoli', 'clubID': '6195', 'value': '€25.00m'}, {'date': 'Dec 12, 2019', 'age': '32', 'clubName': 'SSC Napoli', 'clubID': '6195', 'value': '€25.00m'}, {'date': 'Apr 8, 2020', 'age': '32', 'clubName': 'SSC Napoli', 'clubID': '6195', 'value': '€20.00m'}, {'date': 'Aug 25, 2020', 'age': '33', 'clubName': 'SSC Napoli', 'clubID': '6195', 'value': '€18.00m'}, {'date': 'Dec 29, 2020', 'age': '33', 'clubName': 'SSC Napoli', 'clubID': '6195', 'value': '€15.00m'}, {'date': 'Mar 23, 2021', 'age': '33', 'clubName': 'SSC Napoli', 'clubID': '6195', 'value': '€12.00m'}, {'date': 'May 26, 2021', 'age': '34', 'clubName': 'SSC Napoli', 'clubID': '6195', 'value': '€9.00m'}, {'date': 'Oct 14, 2021', 'age': '34', 'clubName': 'SSC Napoli', 'clubID': '6195', 'value': '€7.00m'}, {'date': 'Dec 28, 2021', 'age': '34', 'clubName': 'SSC Napoli', 'clubID': '6195', 'value': '€5.00m'}, {'date': 'Jun 7, 2022', 'age': '35', 'clubName': 'SSC Napoli', 'clubID': '6195', 'value': '€4.00m'}, {'date': 'Oct 27, 2022', 'age': '35', 'clubName': 'Galatasaray', 'clubID': '141', 'value': '€3.40m'}, {'date': 'Mar 14, 2023', 'age': '35', 'clubName': 'Galatasaray', 'clubID': '141', 'value': '€3.30m'}, {'date': 'Jun 8, 2023', 'age': '36', 'clubName': 'Galatasaray', 'clubID': '141', 'value': '€3.00m'}, {'date': 'Sep 27, 2023', 'age': '36', 'clubName': 'Galatasaray', 'clubID': '141', 'value': '€2.60m'}, {'date': 'Dec 21, 2023', 'age': '36', 'clubName': 'Galatasaray', 'clubID': '141', 'value': '€2.00m'}, {'date': 'Mar 15, 2024', 'age': '36', 'clubName': 'Galatasaray', 'clubID': '141', 'value': '€1.80m'}, {'date': 'May 31, 2024', 'age': '37', 'clubName': 'Galatasaray', 'clubID': '141', 'value': '€1.80m'}, {'date': 'Oct 4, 2024', 'age': '37', 'clubName': 'Galatasaray', 'clubID': '141', 'value': '€1.80m'}, {'date': 'Dec 23, 2024', 'age': '37', 'clubName': 'Galatasaray', 'clubID': '141', 'value': '€1.80m'}, {'date': 'Mar 20, 2025', 'age': '37', 'clubName': 'Galatasaray', 'clubID': '141', 'value': '€1.50m'}, {'date': 'Jun 18, 2025', 'age': '38', 'clubName': 'Galatasaray', 'clubID': '141', 'value': '€1.20m'}, {'date': 'Jul 1, 2025', 'age': '38', 'clubName': 'Retired', 'clubID': '123', 'value': '-'}]}</t>
  </si>
  <si>
    <t>1987-05-06</t>
  </si>
  <si>
    <t>McKennie</t>
  </si>
  <si>
    <t>{'marketValueHistory': [{'date': '19/06/2017', 'age': '18', 'clubName': 'FC Schalke 04 U19', 'clubID': '1463', 'value': '€100k'}, {'date': '18/10/2017', 'age': '19', 'clubName': 'FC Schalke 04', 'clubID': '33', 'value': '€2.00m'}, {'date': '28/12/2017', 'age': '19', 'clubName': 'FC Schalke 04', 'clubID': '33', 'value': '€4.50m'}, {'date': '05/06/2018', 'age': '19', 'clubName': 'FC Schalke 04', 'clubID': '33', 'value': '€6.50m'}, {'date': '22/10/2018', 'age': '20', 'clubName': 'FC Schalke 04', 'clubID': '33', 'value': '€12.00m'}, {'date': '18/12/2018', 'age': '20', 'clubName': 'FC Schalke 04', 'clubID': '33', 'value': '€15.00m'}, {'date': '06/03/2019', 'age': '20', 'clubName': 'FC Schalke 04', 'clubID': '33', 'value': '€20.00m'}, {'date': '05/06/2019', 'age': '20', 'clubName': 'FC Schalke 04', 'clubID': '33', 'value': '€20.00m'}, {'date': '17/12/2019', 'age': '21', 'clubName': 'FC Schalke 04', 'clubID': '33', 'value': '€22.00m'}, {'date': '08/04/2020', 'age': '21', 'clubName': 'FC Schalke 04', 'clubID': '33', 'value': '€20.00m'}, {'date': '29/10/2020', 'age': '22', 'clubName': 'Juventus FC', 'clubID': '506', 'value': '€22.00m'}, {'date': '29/12/2020', 'age': '22', 'clubName': 'Juventus FC', 'clubID': '506', 'value': '€25.00m'}, {'date': '03/06/2021', 'age': '22', 'clubName': 'Juventus FC', 'clubID': '506', 'value': '€25.00m'}, {'date': '28/12/2021', 'age': '23', 'clubName': 'Juventus FC', 'clubID': '506', 'value': '€25.00m'}, {'date': '07/06/2022', 'age': '23', 'clubName': 'Juventus FC', 'clubID': '506', 'value': '€25.00m'}, {'date': '11/11/2022', 'age': '24', 'clubName': 'Juventus FC', 'clubID': '506', 'value': '€21.00m'}, {'date': '20/06/2023', 'age': '24', 'clubName': 'Leeds United', 'clubID': '399', 'value': '€18.00m'}, {'date': '11/10/2023', 'age': '25', 'clubName': 'Juventus FC', 'clubID': '506', 'value': '€20.00m'}, {'date': '20/12/2023', 'age': '25', 'clubName': 'Juventus FC', 'clubID': '506', 'value': '€23.00m'}, {'date': '12/03/2024', 'age': '25', 'clubName': 'Juventus FC', 'clubID': '506', 'value': '€25.00m'}, {'date': '05/06/2024', 'age': '25', 'clubName': 'Juventus FC', 'clubID': '506', 'value': '€28.00m'}, {'date': '18/10/2024', 'age': '26', 'clubName': 'Juventus FC', 'clubID': '506', 'value': '€24.00m'}, {'date': '18/12/2024', 'age': '26', 'clubName': 'Juventus FC', 'clubID': '506', 'value': '€24.00m'}, {'date': '17/06/2025', 'age': '26', 'clubName': 'Juventus FC', 'clubID': '506', 'value': '€22.00m'}, {'date': '23/12/2025', 'age': '27', 'clubName': 'Juventus FC', 'clubID': '506', 'value': '€22.00m'}, {'date': '24/03/2026', 'age': '27', 'clubName': 'Juventus FC', 'clubID': '506', 'value': '€30.00m'}]}</t>
  </si>
  <si>
    <t>1998-08-28</t>
  </si>
  <si>
    <t>Hakimi</t>
  </si>
  <si>
    <t>{'marketValueHistory': [{'date': 'Sep 4, 2016', 'age': '17', 'clubName': 'Real Madrid Castilla', 'clubID': '6767', 'value': '€250k'}, {'date': 'Feb 2, 2017', 'age': '18', 'clubName': 'Real Madrid Castilla', 'clubID': '6767', 'value': '€250k'}, {'date': 'Mar 31, 2017', 'age': '18', 'clubName': 'Real Madrid Castilla', 'clubID': '6767', 'value': '€300k'}, {'date': 'Jun 30, 2017', 'age': '18', 'clubName': 'Real Madrid Castilla', 'clubID': '6767', 'value': '€300k'}, {'date': 'Jan 1, 2018', 'age': '19', 'clubName': 'Real Madrid', 'clubID': '418', 'value': '€5.00m'}, {'date': 'May 30, 2018', 'age': '19', 'clubName': 'Real Madrid', 'clubID': '418', 'value': '€5.00m'}, {'date': 'Jul 16, 2018', 'age': '19', 'clubName': 'Borussia Dortmund', 'clubID': '16', 'value': '€7.50m'}, {'date': 'Oct 22, 2018', 'age': '19', 'clubName': 'Borussia Dortmund', 'clubID': '16', 'value': '€11.00m'}, {'date': 'Dec 18, 2018', 'age': '20', 'clubName': 'Borussia Dortmund', 'clubID': '16', 'value': '€25.00m'}, {'date': 'Mar 6, 2019', 'age': '20', 'clubName': 'Borussia Dortmund', 'clubID': '16', 'value': '€30.00m'}, {'date': 'Jun 5, 2019', 'age': '20', 'clubName': 'Borussia Dortmund', 'clubID': '16', 'value': '€30.00m'}, {'date': 'Dec 17, 2019', 'age': '21', 'clubName': 'Borussia Dortmund', 'clubID': '16', 'value': '€45.00m'}, {'date': 'Mar 11, 2020', 'age': '21', 'clubName': 'Borussia Dortmund', 'clubID': '16', 'value': '€60.00m'}, {'date': 'Apr 8, 2020', 'age': '21', 'clubName': 'Borussia Dortmund', 'clubID': '16', 'value': '€54.00m'}, {'date': 'Oct 29, 2020', 'age': '21', 'clubName': 'Inter Milan', 'clubID': '46', 'value': '€50.00m'}, {'date': 'Dec 29, 2020', 'age': '22', 'clubName': 'Inter Milan', 'clubID': '46', 'value': '€50.00m'}, {'date': 'Jun 3, 2021', 'age': '22', 'clubName': 'Inter Milan', 'clubID': '46', 'value': '€60.00m'}, {'date': 'Oct 8, 2021', 'age': '22', 'clubName': 'Paris Saint-Germain', 'clubID': '583', 'value': '€70.00m'}, {'date': 'Dec 16, 2021', 'age': '23', 'clubName': 'Paris Saint-Germain', 'clubID': '583', 'value': '€70.00m'}, {'date': 'May 30, 2022', 'age': '23', 'clubName': 'Paris Saint-Germain', 'clubID': '583', 'value': '€65.00m'}, {'date': 'Nov 2, 2022', 'age': '23', 'clubName': 'Paris Saint-Germain', 'clubID': '583', 'value': '€65.00m'}, {'date': 'Dec 23, 2022', 'age': '24', 'clubName': 'Paris Saint-Germain', 'clubID': '583', 'value': '€70.00m'}, {'date': 'Jun 27, 2023', 'age': '24', 'clubName': 'Paris Saint-Germain', 'clubID': '583', 'value': '€65.00m'}, {'date': 'Dec 18, 2023', 'age': '25', 'clubName': 'Paris Saint-Germain', 'clubID': '583', 'value': '€65.00m'}, {'date': 'Jun 3, 2024', 'age': '25', 'clubName': 'Paris Saint-Germain', 'clubID': '583', 'value': '€60.00m'}, {'date': 'Dec 10, 2024', 'age': '26', 'clubName': 'Paris Saint-Germain', 'clubID': '583', 'value': '€60.00m'}, {'date': 'Mar 24, 2025', 'age': '26', 'clubName': 'Paris Saint-Germain', 'clubID': '583', 'value': '€65.00m'}, {'date': 'Jun 3, 2025', 'age': '26', 'clubName': 'Paris Saint-Germain', 'clubID': '583', 'value': '€80.00m'}, {'date': 'Dec 15, 2025', 'age': '27', 'clubName': 'Paris Saint-Germain', 'clubID': '583', 'value': '€80.00m'}]}</t>
  </si>
  <si>
    <t>1998-11-04</t>
  </si>
  <si>
    <t>Demirbay</t>
  </si>
  <si>
    <t>{'marketValueHistory': [{'date': '05/07/2012', 'age': '19', 'clubName': 'Borussia Dortmund II', 'clubID': '17', 'value': '€100k'}, {'date': '28/12/2012', 'age': '19', 'clubName': 'Borussia Dortmund II', 'clubID': '17', 'value': '€200k'}, {'date': '28/06/2013', 'age': '19', 'clubName': 'Borussia Dortmund II', 'clubID': '17', 'value': '€350k'}, {'date': '10/07/2014', 'age': '21', 'clubName': 'Hamburger SV', 'clubID': '41', 'value': '€350k'}, {'date': '01/10/2014', 'age': '21', 'clubName': '1.FC Kaiserslautern', 'clubID': '2', 'value': '€700k'}, {'date': '13/01/2015', 'age': '21', 'clubName': '1.FC Kaiserslautern', 'clubID': '2', 'value': '€1.00m'}, {'date': '01/07/2015', 'age': '21', 'clubName': 'Hamburger SV', 'clubID': '41', 'value': '€1.30m'}, {'date': '11/02/2016', 'age': '22', 'clubName': 'Fortuna Düsseldorf', 'clubID': '38', 'value': '€1.30m'}, {'date': '22/07/2016', 'age': '23', 'clubName': 'TSG 1899 Hoffenheim', 'clubID': '533', 'value': '€1.75m'}, {'date': '07/02/2017', 'age': '23', 'clubName': 'TSG 1899 Hoffenheim', 'clubID': '533', 'value': '€4.50m'}, {'date': '19/06/2017', 'age': '23', 'clubName': 'TSG 1899 Hoffenheim', 'clubID': '533', 'value': '€10.00m'}, {'date': '28/12/2017', 'age': '24', 'clubName': 'TSG 1899 Hoffenheim', 'clubID': '533', 'value': '€12.00m'}, {'date': '05/06/2018', 'age': '24', 'clubName': 'TSG 1899 Hoffenheim', 'clubID': '533', 'value': '€12.00m'}, {'date': '18/12/2018', 'age': '25', 'clubName': 'TSG 1899 Hoffenheim', 'clubID': '533', 'value': '€20.00m'}, {'date': '06/03/2019', 'age': '25', 'clubName': 'TSG 1899 Hoffenheim', 'clubID': '533', 'value': '€25.00m'}, {'date': '05/06/2019', 'age': '25', 'clubName': 'TSG 1899 Hoffenheim', 'clubID': '533', 'value': '€32.00m'}, {'date': '17/12/2019', 'age': '26', 'clubName': 'Bayer 04 Leverkusen', 'clubID': '15', 'value': '€30.00m'}, {'date': '08/04/2020', 'age': '26', 'clubName': 'Bayer 04 Leverkusen', 'clubID': '15', 'value': '€24.00m'}, {'date': '26/11/2020', 'age': '27', 'clubName': 'Bayer 04 Leverkusen', 'clubID': '15', 'value': '€18.00m'}, {'date': '10/02/2021', 'age': '27', 'clubName': 'Bayer 04 Leverkusen', 'clubID': '15', 'value': '€18.00m'}, {'date': '09/06/2021', 'age': '27', 'clubName': 'Bayer 04 Leverkusen', 'clubID': '15', 'value': '€18.00m'}, {'date': '22/12/2021', 'age': '28', 'clubName': 'Bayer 04 Leverkusen', 'clubID': '15', 'value': '€15.00m'}, {'date': '09/06/2022', 'age': '28', 'clubName': 'Bayer 04 Leverkusen', 'clubID': '15', 'value': '€15.00m'}, {'date': '09/11/2022', 'age': '29', 'clubName': 'Bayer 04 Leverkusen', 'clubID': '15', 'value': '€12.00m'}, {'date': '29/03/2023', 'age': '29', 'clubName': 'Bayer 04 Leverkusen', 'clubID': '15', 'value': '€9.00m'}, {'date': '22/06/2023', 'age': '29', 'clubName': 'Bayer 04 Leverkusen', 'clubID': '15', 'value': '€6.00m'}, {'date': '27/09/2023', 'age': '30', 'clubName': 'Galatasaray', 'clubID': '141', 'value': '€6.00m'}, {'date': '21/12/2023', 'age': '30', 'clubName': 'Galatasaray', 'clubID': '141', 'value': '€4.70m'}, {'date': '15/03/2024', 'age': '30', 'clubName': 'Galatasaray', 'clubID': '141', 'value': '€4.70m'}, {'date': '31/05/2024', 'age': '30', 'clubName': 'Galatasaray', 'clubID': '141', 'value': '€4.80m'}, {'date': '04/10/2024', 'age': '31', 'clubName': 'Galatasaray', 'clubID': '141', 'value': '€4.40m'}, {'date': '23/12/2024', 'age': '31', 'clubName': 'Galatasaray', 'clubID': '141', 'value': '€3.80m'}, {'date': '20/03/2025', 'age': '31', 'clubName': 'Galatasaray', 'clubID': '141', 'value': '€3.00m'}, {'date': '18/06/2025', 'age': '31', 'clubName': 'Galatasaray', 'clubID': '141', 'value': '€2.30m'}, {'date': '01/10/2025', 'age': '32', 'clubName': 'Eyüpspor', 'clubID': '7160', 'value': '€2.00m'}, {'date': '17/12/2025', 'age': '32', 'clubName': 'Eyüpspor', 'clubID': '7160', 'value': '€1.50m'}, {'date': '05/03/2026', 'age': '32', 'clubName': 'Kasimpasa', 'clubID': '10484', 'value': '€1.20m'}]}</t>
  </si>
  <si>
    <t>1993-07-03</t>
  </si>
  <si>
    <t>Rafa Silva</t>
  </si>
  <si>
    <t>{'marketValueHistory': [{'date': 'Oct 8, 2013', 'age': '20', 'clubName': 'SC Braga', 'clubID': '1075', 'value': '€1.50m'}, {'date': 'Feb 26, 2014', 'age': '20', 'clubName': 'SC Braga', 'clubID': '1075', 'value': '€4.00m'}, {'date': 'Jul 25, 2014', 'age': '21', 'clubName': 'SC Braga', 'clubID': '1075', 'value': '€6.50m'}, {'date': 'Feb 17, 2015', 'age': '21', 'clubName': 'SC Braga', 'clubID': '1075', 'value': '€7.50m'}, {'date': 'Jul 1, 2015', 'age': '22', 'clubName': 'SC Braga', 'clubID': '1075', 'value': '€8.00m'}, {'date': 'Feb 24, 2016', 'age': '22', 'clubName': 'SC Braga', 'clubID': '1075', 'value': '€11.00m'}, {'date': 'Jun 1, 2016', 'age': '23', 'clubName': 'SC Braga', 'clubID': '1075', 'value': '€15.00m'}, {'date': 'Jul 29, 2016', 'age': '23', 'clubName': 'SC Braga', 'clubID': '1075', 'value': '€15.00m'}, {'date': 'Feb 22, 2017', 'age': '23', 'clubName': 'SL Benfica', 'clubID': '294', 'value': '€15.00m'}, {'date': 'Jun 26, 2017', 'age': '24', 'clubName': 'SL Benfica', 'clubID': '294', 'value': '€15.00m'}, {'date': 'Nov 6, 2017', 'age': '24', 'clubName': 'SL Benfica', 'clubID': '294', 'value': '€10.00m'}, {'date': 'Feb 7, 2018', 'age': '24', 'clubName': 'SL Benfica', 'clubID': '294', 'value': '€8.00m'}, {'date': 'Jun 13, 2018', 'age': '25', 'clubName': 'SL Benfica', 'clubID': '294', 'value': '€12.00m'}, {'date': 'Nov 1, 2018', 'age': '25', 'clubName': 'SL Benfica', 'clubID': '294', 'value': '€15.00m'}, {'date': 'Jan 11, 2019', 'age': '25', 'clubName': 'SL Benfica', 'clubID': '294', 'value': '€20.00m'}, {'date': 'Mar 18, 2019', 'age': '25', 'clubName': 'SL Benfica', 'clubID': '294', 'value': '€22.00m'}, {'date': 'Jun 7, 2019', 'age': '26', 'clubName': 'SL Benfica', 'clubID': '294', 'value': '€28.00m'}, {'date': 'Dec 30, 2019', 'age': '26', 'clubName': 'SL Benfica', 'clubID': '294', 'value': '€30.00m'}, {'date': 'Apr 8, 2020', 'age': '26', 'clubName': 'SL Benfica', 'clubID': '294', 'value': '€24.00m'}, {'date': 'Aug 17, 2020', 'age': '27', 'clubName': 'SL Benfica', 'clubID': '294', 'value': '€24.00m'}, {'date': 'Jan 28, 2021', 'age': '27', 'clubName': 'SL Benfica', 'clubID': '294', 'value': '€23.00m'}, {'date': 'Jun 1, 2021', 'age': '28', 'clubName': 'SL Benfica', 'clubID': '294', 'value': '€23.00m'}, {'date': 'Sep 21, 2021', 'age': '28', 'clubName': 'SL Benfica', 'clubID': '294', 'value': '€24.00m'}, {'date': 'Dec 27, 2021', 'age': '28', 'clubName': 'SL Benfica', 'clubID': '294', 'value': '€28.00m'}, {'date': 'Mar 10, 2022', 'age': '28', 'clubName': 'SL Benfica', 'clubID': '294', 'value': '€25.00m'}, {'date': 'May 31, 2022', 'age': '29', 'clubName': 'SL Benfica', 'clubID': '294', 'value': '€20.00m'}, {'date': 'Nov 1, 2022', 'age': '29', 'clubName': 'SL Benfica', 'clubID': '294', 'value': '€23.00m'}, {'date': 'Jun 16, 2023', 'age': '30', 'clubName': 'SL Benfica', 'clubID': '294', 'value': '€22.00m'}, {'date': 'Dec 27, 2023', 'age': '30', 'clubName': 'SL Benfica', 'clubID': '294', 'value': '€18.00m'}, {'date': 'Jun 6, 2024', 'age': '31', 'clubName': 'SL Benfica', 'clubID': '294', 'value': '€14.00m'}, {'date': 'Oct 4, 2024', 'age': '31', 'clubName': 'Besiktas JK', 'clubID': '114', 'value': '€14.00m'}, {'date': 'Dec 23, 2024', 'age': '31', 'clubName': 'Besiktas JK', 'clubID': '114', 'value': '€12.00m'}, {'date': 'Mar 20, 2025', 'age': '31', 'clubName': 'Besiktas JK', 'clubID': '114', 'value': '€10.00m'}, {'date': 'Jun 18, 2025', 'age': '32', 'clubName': 'Besiktas JK', 'clubID': '114', 'value': '€9.00m'}, {'date': 'Oct 1, 2025', 'age': '32', 'clubName': 'Besiktas JK', 'clubID': '114', 'value': '€7.00m'}, {'date': 'Dec 17, 2025', 'age': '32', 'clubName': 'Besiktas JK', 'clubID': '114', 'value': '€5.00m'}]}</t>
  </si>
  <si>
    <t>1993-05-17</t>
  </si>
  <si>
    <t>Kovalenko</t>
  </si>
  <si>
    <t>{'marketValueHistory': [{'date': '03/04/2015', 'age': '19', 'clubName': 'Shakhtar Donetsk II', 'clubID': '8963', 'value': '€400k'}, {'date': '07/06/2015', 'age': '19', 'clubName': 'Shakhtar Donetsk II', 'clubID': '8963', 'value': '€1.00m'}, {'date': '18/12/2015', 'age': '19', 'clubName': 'Shakhtar Donetsk', 'clubID': '660', 'value': '€2.00m'}, {'date': '01/06/2016', 'age': '20', 'clubName': 'Shakhtar Donetsk', 'clubID': '660', 'value': '€4.50m'}, {'date': '21/07/2016', 'age': '20', 'clubName': 'Shakhtar Donetsk', 'clubID': '660', 'value': '€5.00m'}, {'date': '03/01/2017', 'age': '20', 'clubName': 'Shakhtar Donetsk', 'clubID': '660', 'value': '€6.00m'}, {'date': '26/06/2017', 'age': '21', 'clubName': 'Shakhtar Donetsk', 'clubID': '660', 'value': '€6.00m'}, {'date': '12/01/2018', 'age': '21', 'clubName': 'Shakhtar Donetsk', 'clubID': '660', 'value': '€5.00m'}, {'date': '06/08/2018', 'age': '22', 'clubName': 'Shakhtar Donetsk', 'clubID': '660', 'value': '€4.50m'}, {'date': '22/03/2019', 'age': '23', 'clubName': 'Shakhtar Donetsk', 'clubID': '660', 'value': '€4.50m'}, {'date': '20/06/2019', 'age': '23', 'clubName': 'Shakhtar Donetsk', 'clubID': '660', 'value': '€6.00m'}, {'date': '08/01/2020', 'age': '23', 'clubName': 'Shakhtar Donetsk', 'clubID': '660', 'value': '€6.00m'}, {'date': '08/04/2020', 'age': '24', 'clubName': 'Shakhtar Donetsk', 'clubID': '660', 'value': '€4.80m'}, {'date': '04/09/2020', 'age': '24', 'clubName': 'Shakhtar Donetsk', 'clubID': '660', 'value': '€4.50m'}, {'date': '14/01/2021', 'age': '24', 'clubName': 'Shakhtar Donetsk', 'clubID': '660', 'value': '€6.00m'}, {'date': '27/05/2021', 'age': '25', 'clubName': 'Atalanta BC', 'clubID': '800', 'value': '€5.00m'}, {'date': '14/10/2021', 'age': '25', 'clubName': 'Spezia Calcio', 'clubID': '3522', 'value': '€4.00m'}, {'date': '28/12/2021', 'age': '25', 'clubName': 'Spezia Calcio', 'clubID': '3522', 'value': '€3.50m'}, {'date': '07/06/2022', 'age': '26', 'clubName': 'Spezia Calcio', 'clubID': '3522', 'value': '€3.00m'}, {'date': '27/09/2022', 'age': '26', 'clubName': 'Spezia Calcio', 'clubID': '3522', 'value': '€2.30m'}, {'date': '11/11/2022', 'age': '26', 'clubName': 'Spezia Calcio', 'clubID': '3522', 'value': '€2.00m'}, {'date': '15/06/2023', 'age': '27', 'clubName': 'Spezia Calcio', 'clubID': '3522', 'value': '€1.50m'}, {'date': '20/12/2023', 'age': '27', 'clubName': 'FC Empoli', 'clubID': '749', 'value': '€1.70m'}, {'date': '05/06/2024', 'age': '28', 'clubName': 'FC Empoli', 'clubID': '749', 'value': '€1.50m'}, {'date': '16/10/2024', 'age': '28', 'clubName': 'Without Club', 'clubID': '515', 'value': '€1.20m'}, {'date': '25/03/2025', 'age': '29', 'clubName': 'FC Empoli', 'clubID': '749', 'value': '€1.00m'}, {'date': '17/06/2025', 'age': '29', 'clubName': 'FC Empoli', 'clubID': '749', 'value': '€1.00m'}, {'date': '08/10/2025', 'age': '29', 'clubName': 'Aris Limassol', 'clubID': '10586', 'value': '€900k'}, {'date': '23/12/2025', 'age': '29', 'clubName': 'Aris Limassol', 'clubID': '10586', 'value': '€800k'}, {'date': '02/03/2026', 'age': '30', 'clubName': 'Olympiakos Nicosia', 'clubID': '1402', 'value': '€700k'}]}</t>
  </si>
  <si>
    <t>Rafinha</t>
  </si>
  <si>
    <t>{'marketValueHistory': [{'date': 'Jan 17, 2011', 'age': '17', 'clubName': 'FC Barcelona B', 'clubID': '2464', 'value': '€500k'}, {'date': 'Aug 8, 2011', 'age': '18', 'clubName': 'FC Barcelona B', 'clubID': '2464', 'value': '€500k'}, {'date': 'Mar 1, 2012', 'age': '19', 'clubName': 'FC Barcelona B', 'clubID': '2464', 'value': '€2.00m'}, {'date': 'Aug 7, 2012', 'age': '19', 'clubName': 'FC Barcelona B', 'clubID': '2464', 'value': '€4.00m'}, {'date': 'Dec 2, 2012', 'age': '19', 'clubName': 'FC Barcelona B', 'clubID': '2464', 'value': '€5.00m'}, {'date': 'Jan 22, 2013', 'age': '19', 'clubName': 'FC Barcelona B', 'clubID': '2464', 'value': '€5.00m'}, {'date': 'May 9, 2013', 'age': '20', 'clubName': 'FC Barcelona B', 'clubID': '2464', 'value': '€7.50m'}, {'date': 'Jul 25, 2013', 'age': '20', 'clubName': 'Celta de Vigo', 'clubID': '940', 'value': '€7.50m'}, {'date': 'Jan 23, 2014', 'age': '20', 'clubName': 'Celta de Vigo', 'clubID': '940', 'value': '€7.50m'}, {'date': 'Jul 20, 2014', 'age': '21', 'clubName': 'FC Barcelona', 'clubID': '131', 'value': '€12.00m'}, {'date': 'Jan 23, 2015', 'age': '21', 'clubName': 'FC Barcelona', 'clubID': '131', 'value': '€12.00m'}, {'date': 'Jul 1, 2015', 'age': '22', 'clubName': 'FC Barcelona', 'clubID': '131', 'value': '€12.00m'}, {'date': 'Feb 22, 2016', 'age': '23', 'clubName': 'FC Barcelona', 'clubID': '131', 'value': '€12.00m'}, {'date': 'Jul 15, 2016', 'age': '23', 'clubName': 'FC Barcelona', 'clubID': '131', 'value': '€12.00m'}, {'date': 'Jan 24, 2017', 'age': '23', 'clubName': 'FC Barcelona', 'clubID': '131', 'value': '€15.00m'}, {'date': 'Jun 5, 2017', 'age': '24', 'clubName': 'FC Barcelona', 'clubID': '131', 'value': '€15.00m'}, {'date': 'Jan 1, 2018', 'age': '24', 'clubName': 'FC Barcelona', 'clubID': '131', 'value': '€15.00m'}, {'date': 'Jun 7, 2018', 'age': '25', 'clubName': 'Inter Milan', 'clubID': '46', 'value': '€28.00m'}, {'date': 'Dec 21, 2018', 'age': '25', 'clubName': 'FC Barcelona', 'clubID': '131', 'value': '€18.00m'}, {'date': 'Feb 28, 2019', 'age': '26', 'clubName': 'FC Barcelona', 'clubID': '131', 'value': '€15.00m'}, {'date': 'Jun 11, 2019', 'age': '26', 'clubName': 'FC Barcelona', 'clubID': '131', 'value': '€15.00m'}, {'date': 'Dec 20, 2019', 'age': '26', 'clubName': 'Celta de Vigo', 'clubID': '940', 'value': '€12.00m'}, {'date': 'Apr 8, 2020', 'age': '27', 'clubName': 'Celta de Vigo', 'clubID': '940', 'value': '€9.50m'}, {'date': 'Oct 15, 2020', 'age': '27', 'clubName': 'Paris Saint-Germain', 'clubID': '583', 'value': '€9.50m'}, {'date': 'Jan 7, 2021', 'age': '27', 'clubName': 'Paris Saint-Germain', 'clubID': '583', 'value': '€15.00m'}, {'date': 'Jun 4, 2021', 'age': '28', 'clubName': 'Paris Saint-Germain', 'clubID': '583', 'value': '€15.00m'}, {'date': 'Oct 8, 2021', 'age': '28', 'clubName': 'Paris Saint-Germain', 'clubID': '583', 'value': '€12.00m'}, {'date': 'Dec 16, 2021', 'age': '28', 'clubName': 'Paris Saint-Germain', 'clubID': '583', 'value': '€12.00m'}, {'date': 'Mar 21, 2022', 'age': '29', 'clubName': 'Real Sociedad', 'clubID': '681', 'value': '€10.00m'}, {'date': 'Jun 3, 2022', 'age': '29', 'clubName': 'Real Sociedad', 'clubID': '681', 'value': '€9.00m'}, {'date': 'Nov 10, 2022', 'age': '29', 'clubName': 'Al-Arabi SC', 'clubID': '1230', 'value': '€4.50m'}, {'date': 'May 30, 2023', 'age': '30', 'clubName': 'Al-Arabi SC', 'clubID': '1230', 'value': '€4.00m'}, {'date': 'Nov 27, 2023', 'age': '30', 'clubName': 'Al-Arabi SC', 'clubID': '1230', 'value': '€4.00m'}, {'date': 'May 2, 2024', 'age': '31', 'clubName': 'Al-Arabi SC', 'clubID': '1230', 'value': '€3.80m'}, {'date': 'Oct 16, 2024', 'age': '31', 'clubName': 'Without Club', 'clubID': '515', 'value': '€3.00m'}, {'date': 'Apr 4, 2025', 'age': '32', 'clubName': 'Without Club', 'clubID': '515', 'value': '€2.00m'}, {'date': 'Oct 21, 2025', 'age': '32', 'clubName': 'Without Club', 'clubID': '515', 'value': '€1.20m'}, {'date': 'Dec 22, 2025', 'age': '32', 'clubName': 'Retired', 'clubID': '123', 'value': '-'}]}</t>
  </si>
  <si>
    <t>1993-02-12</t>
  </si>
  <si>
    <t>Mendyl</t>
  </si>
  <si>
    <t>{'marketValueHistory': [{'date': '05/11/2016', 'age': '19', 'clubName': 'LOSC Lille B', 'clubID': '1082', 'value': '€250k'}, {'date': '12/10/2017', 'age': '19', 'clubName': 'LOSC Lille', 'clubID': '1082', 'value': '€250k'}, {'date': '24/01/2018', 'age': '20', 'clubName': 'LOSC Lille', 'clubID': '1082', 'value': '€600k'}, {'date': '04/06/2018', 'age': '20', 'clubName': 'LOSC Lille', 'clubID': '1082', 'value': '€600k'}, {'date': '22/08/2018', 'age': '20', 'clubName': 'FC Schalke 04', 'clubID': '33', 'value': '€6.00m'}, {'date': '18/12/2018', 'age': '21', 'clubName': 'FC Schalke 04', 'clubID': '33', 'value': '€7.00m'}, {'date': '05/06/2019', 'age': '21', 'clubName': 'FC Schalke 04', 'clubID': '33', 'value': '€4.00m'}, {'date': '19/12/2019', 'age': '22', 'clubName': 'Dijon FCO', 'clubID': '2969', 'value': '€3.50m'}, {'date': '08/04/2020', 'age': '22', 'clubName': 'Dijon FCO', 'clubID': '2969', 'value': '€2.80m'}, {'date': '10/02/2021', 'age': '23', 'clubName': 'FC Schalke 04', 'clubID': '33', 'value': '€1.80m'}, {'date': '09/06/2021', 'age': '23', 'clubName': 'FC Schalke 04', 'clubID': '33', 'value': '€1.00m'}, {'date': '12/10/2021', 'age': '23', 'clubName': 'Gaziantep FK', 'clubID': '2832', 'value': '€1.00m'}, {'date': '04/01/2022', 'age': '24', 'clubName': 'Gaziantep FK', 'clubID': '2832', 'value': '€1.00m'}, {'date': '31/03/2022', 'age': '24', 'clubName': 'Gaziantep FK', 'clubID': '2832', 'value': '€1.00m'}, {'date': '01/06/2022', 'age': '24', 'clubName': 'Gaziantep FK', 'clubID': '2832', 'value': '€800k'}, {'date': '04/11/2022', 'age': '25', 'clubName': 'Oud-Heverlee Leuven', 'clubID': '2727', 'value': '€800k'}, {'date': '09/06/2023', 'age': '25', 'clubName': 'Oud-Heverlee Leuven', 'clubID': '2727', 'value': '€1.00m'}, {'date': '23/10/2023', 'age': '26', 'clubName': 'Oud-Heverlee Leuven', 'clubID': '2727', 'value': '€1.50m'}, {'date': '19/12/2023', 'age': '26', 'clubName': 'Oud-Heverlee Leuven', 'clubID': '2727', 'value': '€1.80m'}, {'date': '22/03/2024', 'age': '26', 'clubName': 'Oud-Heverlee Leuven', 'clubID': '2727', 'value': '€1.30m'}, {'date': '04/06/2024', 'age': '26', 'clubName': 'Oud-Heverlee Leuven', 'clubID': '2727', 'value': '€1.30m'}, {'date': '11/12/2024', 'age': '27', 'clubName': 'Oud-Heverlee Leuven', 'clubID': '2727', 'value': '€1.00m'}, {'date': '23/05/2025', 'age': '27', 'clubName': 'Aris Thessaloniki', 'clubID': '605', 'value': '€1.00m'}, {'date': '12/12/2025', 'age': '28', 'clubName': 'Aris Thessaloniki', 'clubID': '605', 'value': '€900k'}]}</t>
  </si>
  <si>
    <t>1997-10-21</t>
  </si>
  <si>
    <t>Meunier</t>
  </si>
  <si>
    <t>{'marketValueHistory': [{'date': 'Jan 25, 2011', 'age': '19', 'clubName': 'Royal Excelsior Virton', 'clubID': '1199', 'value': '€300k'}, {'date': 'Aug 12, 2011', 'age': '19', 'clubName': 'Club Brugge KV', 'clubID': '2282', 'value': '€700k'}, {'date': 'Jan 5, 2012', 'age': '20', 'clubName': 'Club Brugge KV', 'clubID': '2282', 'value': '€1.50m'}, {'date': 'Oct 16, 2012', 'age': '21', 'clubName': 'Club Brugge KV', 'clubID': '2282', 'value': '€2.00m'}, {'date': 'Jun 25, 2013', 'age': '21', 'clubName': 'Club Brugge KV', 'clubID': '2282', 'value': '€2.20m'}, {'date': 'Feb 10, 2014', 'age': '22', 'clubName': 'Club Brugge KV', 'clubID': '2282', 'value': '€3.50m'}, {'date': 'Jun 28, 2014', 'age': '22', 'clubName': 'Club Brugge KV', 'clubID': '2282', 'value': '€3.50m'}, {'date': 'Jan 7, 2015', 'age': '23', 'clubName': 'Club Brugge KV', 'clubID': '2282', 'value': '€3.50m'}, {'date': 'Mar 24, 2015', 'age': '23', 'clubName': 'Club Brugge KV', 'clubID': '2282', 'value': '€4.50m'}, {'date': 'Jun 24, 2015', 'age': '23', 'clubName': 'Club Brugge KV', 'clubID': '2282', 'value': '€6.00m'}, {'date': 'Oct 22, 2015', 'age': '24', 'clubName': 'Club Brugge KV', 'clubID': '2282', 'value': '€7.00m'}, {'date': 'Feb 7, 2016', 'age': '24', 'clubName': 'Club Brugge KV', 'clubID': '2282', 'value': '€7.00m'}, {'date': 'Apr 14, 2016', 'age': '24', 'clubName': 'Club Brugge KV', 'clubID': '2282', 'value': '€6.00m'}, {'date': 'Jun 1, 2016', 'age': '24', 'clubName': 'Club Brugge KV', 'clubID': '2282', 'value': '€6.00m'}, {'date': 'Jul 13, 2016', 'age': '24', 'clubName': 'Paris Saint-Germain', 'clubID': '583', 'value': '€6.00m'}, {'date': 'Jan 16, 2017', 'age': '25', 'clubName': 'Paris Saint-Germain', 'clubID': '583', 'value': '€7.50m'}, {'date': 'Jun 1, 2017', 'age': '25', 'clubName': 'Paris Saint-Germain', 'clubID': '583', 'value': '€9.00m'}, {'date': 'Jan 24, 2018', 'age': '26', 'clubName': 'Paris Saint-Germain', 'clubID': '583', 'value': '€15.00m'}, {'date': 'Jun 4, 2018', 'age': '26', 'clubName': 'Paris Saint-Germain', 'clubID': '583', 'value': '€15.00m'}, {'date': 'Oct 24, 2018', 'age': '27', 'clubName': 'Paris Saint-Germain', 'clubID': '583', 'value': '€25.00m'}, {'date': 'Dec 17, 2018', 'age': '27', 'clubName': 'Paris Saint-Germain', 'clubID': '583', 'value': '€35.00m'}, {'date': 'Jun 3, 2019', 'age': '27', 'clubName': 'Paris Saint-Germain', 'clubID': '583', 'value': '€30.00m'}, {'date': 'Dec 19, 2019', 'age': '28', 'clubName': 'Paris Saint-Germain', 'clubID': '583', 'value': '€30.00m'}, {'date': 'Apr 8, 2020', 'age': '28', 'clubName': 'Paris Saint-Germain', 'clubID': '583', 'value': '€24.00m'}, {'date': 'Nov 26, 2020', 'age': '29', 'clubName': 'Borussia Dortmund', 'clubID': '16', 'value': '€18.00m'}, {'date': 'Feb 10, 2021', 'age': '29', 'clubName': 'Borussia Dortmund', 'clubID': '16', 'value': '€18.00m'}, {'date': 'Mar 31, 2021', 'age': '29', 'clubName': 'Borussia Dortmund', 'clubID': '16', 'value': '€12.00m'}, {'date': 'May 26, 2021', 'age': '29', 'clubName': 'Borussia Dortmund', 'clubID': '16', 'value': '€12.00m'}, {'date': 'Dec 22, 2021', 'age': '30', 'clubName': 'Borussia Dortmund', 'clubID': '16', 'value': '€9.00m'}, {'date': 'Jun 9, 2022', 'age': '30', 'clubName': 'Borussia Dortmund', 'clubID': '16', 'value': '€6.50m'}, {'date': 'Nov 9, 2022', 'age': '31', 'clubName': 'Borussia Dortmund', 'clubID': '16', 'value': '€6.50m'}, {'date': 'Jun 22, 2023', 'age': '31', 'clubName': 'Borussia Dortmund', 'clubID': '16', 'value': '€5.00m'}, {'date': 'Oct 18, 2023', 'age': '32', 'clubName': 'Borussia Dortmund', 'clubID': '16', 'value': '€3.00m'}, {'date': 'Dec 14, 2023', 'age': '32', 'clubName': 'Borussia Dortmund', 'clubID': '16', 'value': '€2.50m'}, {'date': 'Mar 15, 2024', 'age': '32', 'clubName': 'Trabzonspor', 'clubID': '449', 'value': '€2.50m'}, {'date': 'May 31, 2024', 'age': '32', 'clubName': 'Trabzonspor', 'clubID': '449', 'value': '€2.50m'}, {'date': 'Dec 10, 2024', 'age': '33', 'clubName': 'LOSC Lille', 'clubID': '1082', 'value': '€2.00m'}, {'date': 'Jun 3, 2025', 'age': '33', 'clubName': 'LOSC Lille', 'clubID': '1082', 'value': '€2.00m'}, {'date': 'Dec 15, 2025', 'age': '34', 'clubName': 'LOSC Lille', 'clubID': '1082', 'value': '€1.80m'}]}</t>
  </si>
  <si>
    <t>1991-09-12</t>
  </si>
  <si>
    <t>Gimenez</t>
  </si>
  <si>
    <t>{'marketValueHistory': [{'date': '11/03/2013', 'age': '18', 'clubName': 'Danubio FC', 'clubID': '1306', 'value': '€100k'}, {'date': '25/07/2013', 'age': '18', 'clubName': 'Atlético de Madrid', 'clubID': '13', 'value': '€1.00m'}, {'date': '23/01/2014', 'age': '19', 'clubName': 'Atlético de Madrid', 'clubID': '13', 'value': '€2.00m'}, {'date': '20/07/2014', 'age': '19', 'clubName': 'Atlético de Madrid', 'clubID': '13', 'value': '€5.00m'}, {'date': '23/01/2015', 'age': '20', 'clubName': 'Atlético de Madrid', 'clubID': '13', 'value': '€15.00m'}, {'date': '01/07/2015', 'age': '20', 'clubName': 'Atlético de Madrid', 'clubID': '13', 'value': '€15.00m'}, {'date': '22/11/2015', 'age': '20', 'clubName': 'Atlético de Madrid', 'clubID': '13', 'value': '€18.00m'}, {'date': '22/02/2016', 'age': '21', 'clubName': 'Atlético de Madrid', 'clubID': '13', 'value': '€25.00m'}, {'date': '15/07/2016', 'age': '21', 'clubName': 'Atlético de Madrid', 'clubID': '13', 'value': '€30.00m'}, {'date': '24/01/2017', 'age': '22', 'clubName': 'Atlético de Madrid', 'clubID': '13', 'value': '€28.00m'}, {'date': '05/06/2017', 'age': '22', 'clubName': 'Atlético de Madrid', 'clubID': '13', 'value': '€28.00m'}, {'date': '01/01/2018', 'age': '22', 'clubName': 'Atlético de Madrid', 'clubID': '13', 'value': '€35.00m'}, {'date': '30/05/2018', 'age': '23', 'clubName': 'Atlético de Madrid', 'clubID': '13', 'value': '€45.00m'}, {'date': '16/07/2018', 'age': '23', 'clubName': 'Atlético de Madrid', 'clubID': '13', 'value': '€50.00m'}, {'date': '21/12/2018', 'age': '23', 'clubName': 'Atlético de Madrid', 'clubID': '13', 'value': '€50.00m'}, {'date': '28/02/2019', 'age': '24', 'clubName': 'Atlético de Madrid', 'clubID': '13', 'value': '€70.00m'}, {'date': '11/06/2019', 'age': '24', 'clubName': 'Atlético de Madrid', 'clubID': '13', 'value': '€70.00m'}, {'date': '20/12/2019', 'age': '24', 'clubName': 'Atlético de Madrid', 'clubID': '13', 'value': '€70.00m'}, {'date': '08/04/2020', 'age': '25', 'clubName': 'Atlético de Madrid', 'clubID': '13', 'value': '€56.00m'}, {'date': '08/10/2020', 'age': '25', 'clubName': 'Atlético de Madrid', 'clubID': '13', 'value': '€70.00m'}, {'date': '05/01/2021', 'age': '25', 'clubName': 'Atlético de Madrid', 'clubID': '13', 'value': '€65.00m'}, {'date': '19/03/2021', 'age': '26', 'clubName': 'Atlético de Madrid', 'clubID': '13', 'value': '€60.00m'}, {'date': '10/06/2021', 'age': '26', 'clubName': 'Atlético de Madrid', 'clubID': '13', 'value': '€60.00m'}, {'date': '30/12/2021', 'age': '26', 'clubName': 'Atlético de Madrid', 'clubID': '13', 'value': '€50.00m'}, {'date': '03/06/2022', 'age': '27', 'clubName': 'Atlético de Madrid', 'clubID': '13', 'value': '€50.00m'}, {'date': '23/09/2022', 'age': '27', 'clubName': 'Atlético de Madrid', 'clubID': '13', 'value': '€45.00m'}, {'date': '07/11/2022', 'age': '27', 'clubName': 'Atlético de Madrid', 'clubID': '13', 'value': '€40.00m'}, {'date': '23/03/2023', 'age': '28', 'clubName': 'Atlético de Madrid', 'clubID': '13', 'value': '€35.00m'}, {'date': '13/06/2023', 'age': '28', 'clubName': 'Atlético de Madrid', 'clubID': '13', 'value': '€35.00m'}, {'date': '22/12/2023', 'age': '28', 'clubName': 'Atlético de Madrid', 'clubID': '13', 'value': '€30.00m'}, {'date': '21/03/2024', 'age': '29', 'clubName': 'Atlético de Madrid', 'clubID': '13', 'value': '€25.00m'}, {'date': '07/06/2024', 'age': '29', 'clubName': 'Atlético de Madrid', 'clubID': '13', 'value': '€22.00m'}, {'date': '27/12/2024', 'age': '29', 'clubName': 'Atlético de Madrid', 'clubID': '13', 'value': '€20.00m'}, {'date': '09/06/2025', 'age': '30', 'clubName': 'Atlético de Madrid', 'clubID': '13', 'value': '€20.00m'}, {'date': '02/10/2025', 'age': '30', 'clubName': 'Atlético de Madrid', 'clubID': '13', 'value': '€15.00m'}, {'date': '12/12/2025', 'age': '30', 'clubName': 'Atlético de Madrid', 'clubID': '13', 'value': '€14.00m'}, {'date': '16/03/2026', 'age': '31', 'clubName': 'Atlético de Madrid', 'clubID': '13', 'value': '€12.00m'}]}</t>
  </si>
  <si>
    <t>1995-01-20</t>
  </si>
  <si>
    <t>Kovarik</t>
  </si>
  <si>
    <t>{'marketValueHistory': [{'date': 'Aug 28, 2008', 'age': '20', 'clubName': 'SK Dynamo Ceske Budejovice', 'clubID': '1321', 'value': '€250k'}, {'date': 'Oct 20, 2010', 'age': '22', 'clubName': 'FK Baumit Jablonec', 'clubID': '1322', 'value': '€400k'}, {'date': 'Aug 15, 2011', 'age': '23', 'clubName': 'FK Baumit Jablonec', 'clubID': '1322', 'value': '€700k'}, {'date': 'Dec 25, 2011', 'age': '23', 'clubName': 'FK Baumit Jablonec', 'clubID': '1322', 'value': '€900k'}, {'date': 'Sep 15, 2012', 'age': '24', 'clubName': 'FK Baumit Jablonec', 'clubID': '1322', 'value': '€900k'}, {'date': 'Jul 25, 2013', 'age': '25', 'clubName': 'FC Viktoria Plzen', 'clubID': '941', 'value': '€1.00m'}, {'date': 'Aug 7, 2014', 'age': '26', 'clubName': 'FC Viktoria Plzen', 'clubID': '941', 'value': '€1.00m'}, {'date': 'Jan 17, 2015', 'age': '26', 'clubName': 'FC Viktoria Plzen', 'clubID': '941', 'value': '€800k'}, {'date': 'Oct 14, 2015', 'age': '27', 'clubName': 'FC Viktoria Plzen', 'clubID': '941', 'value': '€1.00m'}, {'date': 'Mar 18, 2016', 'age': '27', 'clubName': 'FC Viktoria Plzen', 'clubID': '941', 'value': '€1.25m'}, {'date': 'Aug 3, 2016', 'age': '28', 'clubName': 'FC Viktoria Plzen', 'clubID': '941', 'value': '€1.50m'}, {'date': 'Dec 19, 2016', 'age': '28', 'clubName': 'FC Viktoria Plzen', 'clubID': '941', 'value': '€1.30m'}, {'date': 'Apr 15, 2017', 'age': '28', 'clubName': 'FC Viktoria Plzen', 'clubID': '941', 'value': '€1.20m'}, {'date': 'Jun 10, 2017', 'age': '28', 'clubName': 'FC Viktoria Plzen', 'clubID': '941', 'value': '€1.00m'}, {'date': 'Oct 7, 2017', 'age': '29', 'clubName': 'FC Viktoria Plzen', 'clubID': '941', 'value': '€900k'}, {'date': 'Dec 21, 2017', 'age': '29', 'clubName': 'FC Viktoria Plzen', 'clubID': '941', 'value': '€700k'}, {'date': 'Jul 14, 2018', 'age': '30', 'clubName': 'FC Viktoria Plzen', 'clubID': '941', 'value': '€750k'}, {'date': 'Dec 30, 2018', 'age': '30', 'clubName': 'FC Viktoria Plzen', 'clubID': '941', 'value': '€900k'}, {'date': 'Jun 25, 2019', 'age': '31', 'clubName': 'FC Viktoria Plzen', 'clubID': '941', 'value': '€1.00m'}, {'date': 'Dec 7, 2019', 'age': '31', 'clubName': 'FC Viktoria Plzen', 'clubID': '941', 'value': '€1.00m'}, {'date': 'Apr 8, 2020', 'age': '31', 'clubName': 'FC Viktoria Plzen', 'clubID': '941', 'value': '€800k'}, {'date': 'Jul 10, 2020', 'age': '32', 'clubName': 'FC Viktoria Plzen', 'clubID': '941', 'value': '€1.20m'}, {'date': 'Dec 27, 2020', 'age': '32', 'clubName': 'FC Viktoria Plzen', 'clubID': '941', 'value': '€1.00m'}, {'date': 'Jun 25, 2021', 'age': '33', 'clubName': 'FC Viktoria Plzen', 'clubID': '941', 'value': '€800k'}, {'date': 'Oct 12, 2021', 'age': '33', 'clubName': 'Bohemians Prague 1905', 'clubID': '715', 'value': '€500k'}, {'date': 'Dec 26, 2021', 'age': '33', 'clubName': 'Bohemians Prague 1905', 'clubID': '715', 'value': '€350k'}, {'date': 'Jun 22, 2022', 'age': '34', 'clubName': 'Bohemians Prague 1905', 'clubID': '715', 'value': '€250k'}, {'date': 'Dec 13, 2022', 'age': '34', 'clubName': 'Bohemians Prague 1905', 'clubID': '715', 'value': '€225k'}, {'date': 'Dec 14, 2022', 'age': '34', 'clubName': 'Bohemians Prague 1905', 'clubID': '715', 'value': '€225k'}, {'date': 'Jun 20, 2023', 'age': '35', 'clubName': 'Bohemians Prague 1905', 'clubID': '715', 'value': '€225k'}, {'date': 'Dec 20, 2023', 'age': '35', 'clubName': 'Bohemians Prague 1905', 'clubID': '715', 'value': '€200k'}, {'date': 'Mar 27, 2024', 'age': '35', 'clubName': 'Bohemians Prague 1905', 'clubID': '715', 'value': '€150k'}, {'date': 'Jun 5, 2024', 'age': '35', 'clubName': 'Bohemians Prague 1905', 'clubID': '715', 'value': '€125k'}, {'date': 'Dec 20, 2024', 'age': '36', 'clubName': 'Bohemians Prague 1905', 'clubID': '715', 'value': '€100k'}, {'date': 'Jun 17, 2025', 'age': '36', 'clubName': 'Bohemians Prague 1905', 'clubID': '715', 'value': '€100k'}, {'date': 'Dec 22, 2025', 'age': '37', 'clubName': 'Bohemians Prague 1905', 'clubID': '715', 'value': '€75k'}, {'date': 'Mar 24, 2026', 'age': '37', 'clubName': 'Bohemians Prague 1905', 'clubID': '715', 'value': '€50k'}]}</t>
  </si>
  <si>
    <t>1988-06-19</t>
  </si>
  <si>
    <t>Reguilon</t>
  </si>
  <si>
    <t>{'marketValueHistory': [{'date': '01/08/2016', 'age': '19', 'clubName': 'Real Madrid Castilla', 'clubID': '6767', 'value': '€200k'}, {'date': '27/10/2016', 'age': '19', 'clubName': 'UD Logroñés', 'clubID': '24420', 'value': '€300k'}, {'date': '02/02/2017', 'age': '20', 'clubName': 'UD Logroñés', 'clubID': '24420', 'value': '€300k'}, {'date': '30/06/2017', 'age': '20', 'clubName': 'Real Madrid Castilla', 'clubID': '6767', 'value': '€300k'}, {'date': '01/01/2018', 'age': '21', 'clubName': 'Real Madrid Castilla', 'clubID': '6767', 'value': '€300k'}, {'date': '30/05/2018', 'age': '21', 'clubName': 'Real Madrid Castilla', 'clubID': '6767', 'value': '€300k'}, {'date': '09/08/2018', 'age': '21', 'clubName': 'Real Madrid', 'clubID': '418', 'value': '€1.00m'}, {'date': '31/10/2018', 'age': '21', 'clubName': 'Real Madrid', 'clubID': '418', 'value': '€5.00m'}, {'date': '21/12/2018', 'age': '22', 'clubName': 'Real Madrid', 'clubID': '418', 'value': '€7.50m'}, {'date': '28/02/2019', 'age': '22', 'clubName': 'Real Madrid', 'clubID': '418', 'value': '€15.00m'}, {'date': '11/06/2019', 'age': '22', 'clubName': 'Real Madrid', 'clubID': '418', 'value': '€15.00m'}, {'date': '10/09/2019', 'age': '22', 'clubName': 'Sevilla FC', 'clubID': '368', 'value': '€22.00m'}, {'date': '20/12/2019', 'age': '23', 'clubName': 'Sevilla FC', 'clubID': '368', 'value': '€22.00m'}, {'date': '05/03/2020', 'age': '23', 'clubName': 'Sevilla FC', 'clubID': '368', 'value': '€25.00m'}, {'date': '08/04/2020', 'age': '23', 'clubName': 'Sevilla FC', 'clubID': '368', 'value': '€20.00m'}, {'date': '23/07/2020', 'age': '23', 'clubName': 'Sevilla FC', 'clubID': '368', 'value': '€25.00m'}, {'date': '13/10/2020', 'age': '23', 'clubName': 'Tottenham Hotspur', 'clubID': '148', 'value': '€28.00m'}, {'date': '18/03/2021', 'age': '24', 'clubName': 'Tottenham Hotspur', 'clubID': '148', 'value': '€25.00m'}, {'date': '08/06/2021', 'age': '24', 'clubName': 'Tottenham Hotspur', 'clubID': '148', 'value': '€25.00m'}, {'date': '23/12/2021', 'age': '25', 'clubName': 'Tottenham Hotspur', 'clubID': '148', 'value': '€28.00m'}, {'date': '15/06/2022', 'age': '25', 'clubName': 'Tottenham Hotspur', 'clubID': '148', 'value': '€25.00m'}, {'date': '07/11/2022', 'age': '25', 'clubName': 'Atlético de Madrid', 'clubID': '13', 'value': '€20.00m'}, {'date': '23/03/2023', 'age': '26', 'clubName': 'Atlético de Madrid', 'clubID': '13', 'value': '€15.00m'}, {'date': '13/06/2023', 'age': '26', 'clubName': 'Atlético de Madrid', 'clubID': '13', 'value': '€10.00m'}, {'date': '19/12/2023', 'age': '27', 'clubName': 'Manchester United', 'clubID': '985', 'value': '€10.00m'}, {'date': '27/05/2024', 'age': '27', 'clubName': 'Brentford FC', 'clubID': '1148', 'value': '€12.00m'}, {'date': '16/12/2024', 'age': '28', 'clubName': 'Tottenham Hotspur', 'clubID': '148', 'value': '€11.00m'}, {'date': '18/03/2025', 'age': '28', 'clubName': 'Tottenham Hotspur', 'clubID': '148', 'value': '€8.00m'}, {'date': '30/05/2025', 'age': '28', 'clubName': 'Tottenham Hotspur', 'clubID': '148', 'value': '€6.00m'}, {'date': '21/10/2025', 'age': '28', 'clubName': 'Without Club', 'clubID': '515', 'value': '€5.00m'}, {'date': '07/04/2026', 'age': '29', 'clubName': 'Inter Miami CF', 'clubID': '69261', 'value': '€4.00m'}]}</t>
  </si>
  <si>
    <t>D'Ambrosio</t>
  </si>
  <si>
    <t>{'marketValueHistory': [{'date': 'Feb 10, 2010', 'age': '21', 'clubName': 'Torino FC', 'clubID': '416', 'value': '€300k'}, {'date': 'Oct 11, 2010', 'age': '22', 'clubName': 'Torino FC', 'clubID': '416', 'value': '€450k'}, {'date': 'Jun 17, 2011', 'age': '22', 'clubName': 'Torino FC', 'clubID': '416', 'value': '€400k'}, {'date': 'Jan 1, 2012', 'age': '23', 'clubName': 'Torino FC', 'clubID': '416', 'value': '€350k'}, {'date': 'Jun 12, 2012', 'age': '23', 'clubName': 'Torino FC', 'clubID': '416', 'value': '€450k'}, {'date': 'Jan 14, 2013', 'age': '24', 'clubName': 'Torino FC', 'clubID': '416', 'value': '€800k'}, {'date': 'Jun 19, 2013', 'age': '24', 'clubName': 'Torino FC', 'clubID': '416', 'value': '€2.50m'}, {'date': 'Jan 7, 2014', 'age': '25', 'clubName': 'Torino FC', 'clubID': '416', 'value': '€5.00m'}, {'date': 'Jul 1, 2014', 'age': '25', 'clubName': 'Inter Milan', 'clubID': '46', 'value': '€4.80m'}, {'date': 'Jan 7, 2015', 'age': '26', 'clubName': 'Inter Milan', 'clubID': '46', 'value': '€5.00m'}, {'date': 'Jul 1, 2015', 'age': '26', 'clubName': 'Inter Milan', 'clubID': '46', 'value': '€5.50m'}, {'date': 'Jan 4, 2016', 'age': '27', 'clubName': 'Inter Milan', 'clubID': '46', 'value': '€5.50m'}, {'date': 'Apr 1, 2016', 'age': '27', 'clubName': 'Inter Milan', 'clubID': '46', 'value': '€6.50m'}, {'date': 'Jul 15, 2016', 'age': '27', 'clubName': 'Inter Milan', 'clubID': '46', 'value': '€8.00m'}, {'date': 'Jan 2, 2017', 'age': '28', 'clubName': 'Inter Milan', 'clubID': '46', 'value': '€8.00m'}, {'date': 'Mar 28, 2017', 'age': '28', 'clubName': 'Inter Milan', 'clubID': '46', 'value': '€10.00m'}, {'date': 'Jun 8, 2017', 'age': '28', 'clubName': 'Inter Milan', 'clubID': '46', 'value': '€10.00m'}, {'date': 'Dec 29, 2017', 'age': '29', 'clubName': 'Inter Milan', 'clubID': '46', 'value': '€13.00m'}, {'date': 'Jun 7, 2018', 'age': '29', 'clubName': 'Inter Milan', 'clubID': '46', 'value': '€12.00m'}, {'date': 'Dec 20, 2018', 'age': '30', 'clubName': 'Inter Milan', 'clubID': '46', 'value': '€12.00m'}, {'date': 'Jun 6, 2019', 'age': '30', 'clubName': 'Inter Milan', 'clubID': '46', 'value': '€13.00m'}, {'date': 'Dec 12, 2019', 'age': '31', 'clubName': 'Inter Milan', 'clubID': '46', 'value': '€13.00m'}, {'date': 'Apr 8, 2020', 'age': '31', 'clubName': 'Inter Milan', 'clubID': '46', 'value': '€10.50m'}, {'date': 'Aug 25, 2020', 'age': '31', 'clubName': 'Inter Milan', 'clubID': '46', 'value': '€10.00m'}, {'date': 'Dec 29, 2020', 'age': '32', 'clubName': 'Inter Milan', 'clubID': '46', 'value': '€8.00m'}, {'date': 'Jun 3, 2021', 'age': '32', 'clubName': 'Inter Milan', 'clubID': '46', 'value': '€5.00m'}, {'date': 'Dec 28, 2021', 'age': '33', 'clubName': 'Inter Milan', 'clubID': '46', 'value': '€3.50m'}, {'date': 'Jun 7, 2022', 'age': '33', 'clubName': 'Inter Milan', 'clubID': '46', 'value': '€3.00m'}, {'date': 'Nov 11, 2022', 'age': '34', 'clubName': 'Inter Milan', 'clubID': '46', 'value': '€2.00m'}, {'date': 'Jun 15, 2023', 'age': '34', 'clubName': 'Inter Milan', 'clubID': '46', 'value': '€1.50m'}, {'date': 'Dec 20, 2023', 'age': '35', 'clubName': 'AC Monza', 'clubID': '2919', 'value': '€1.00m'}, {'date': 'Jun 5, 2024', 'age': '35', 'clubName': 'AC Monza', 'clubID': '2919', 'value': '€1.00m'}, {'date': 'Dec 18, 2024', 'age': '36', 'clubName': 'AC Monza', 'clubID': '2919', 'value': '€800k'}, {'date': 'Jun 17, 2025', 'age': '36', 'clubName': 'AC Monza', 'clubID': '2919', 'value': '€700k'}, {'date': 'Jul 1, 2025', 'age': '36', 'clubName': 'Retired', 'clubID': '123', 'value': '-'}]}</t>
  </si>
  <si>
    <t>1988-09-09</t>
  </si>
  <si>
    <t>Raggi</t>
  </si>
  <si>
    <t>Vogt</t>
  </si>
  <si>
    <t>1946-12-30</t>
  </si>
  <si>
    <t>Rakitskyy</t>
  </si>
  <si>
    <t>{'marketValueHistory': [{'date': '10/10/2008', 'age': '19', 'clubName': 'Shakhtar Donetsk II', 'clubID': '8963', 'value': '€50k'}, {'date': '12/01/2009', 'age': '19', 'clubName': 'Shakhtar Donetsk II', 'clubID': '8963', 'value': '€150k'}, {'date': '04/02/2009', 'age': '19', 'clubName': 'Shakhtar Donetsk II', 'clubID': '8963', 'value': '€100k'}, {'date': '21/09/2009', 'age': '20', 'clubName': 'Shakhtar Donetsk', 'clubID': '660', 'value': '€800k'}, {'date': '16/02/2010', 'age': '20', 'clubName': 'Shakhtar Donetsk', 'clubID': '660', 'value': '€3.25m'}, {'date': '28/08/2010', 'age': '21', 'clubName': 'Shakhtar Donetsk', 'clubID': '660', 'value': '€4.50m'}, {'date': '02/01/2011', 'age': '21', 'clubName': 'Shakhtar Donetsk', 'clubID': '660', 'value': '€5.50m'}, {'date': '11/03/2011', 'age': '21', 'clubName': 'Shakhtar Donetsk', 'clubID': '660', 'value': '€8.00m'}, {'date': '02/07/2012', 'age': '22', 'clubName': 'Shakhtar Donetsk', 'clubID': '660', 'value': '€10.00m'}, {'date': '22/01/2013', 'age': '23', 'clubName': 'Shakhtar Donetsk', 'clubID': '660', 'value': '€12.00m'}, {'date': '30/06/2014', 'age': '24', 'clubName': 'Shakhtar Donetsk', 'clubID': '660', 'value': '€12.00m'}, {'date': '25/12/2014', 'age': '25', 'clubName': 'Shakhtar Donetsk', 'clubID': '660', 'value': '€12.00m'}, {'date': '07/06/2015', 'age': '25', 'clubName': 'Shakhtar Donetsk', 'clubID': '660', 'value': '€10.00m'}, {'date': '18/12/2015', 'age': '26', 'clubName': 'Shakhtar Donetsk', 'clubID': '660', 'value': '€10.00m'}, {'date': '01/06/2016', 'age': '26', 'clubName': 'Shakhtar Donetsk', 'clubID': '660', 'value': '€10.00m'}, {'date': '21/07/2016', 'age': '26', 'clubName': 'Shakhtar Donetsk', 'clubID': '660', 'value': '€10.00m'}, {'date': '03/01/2017', 'age': '27', 'clubName': 'Shakhtar Donetsk', 'clubID': '660', 'value': '€10.00m'}, {'date': '26/06/2017', 'age': '27', 'clubName': 'Shakhtar Donetsk', 'clubID': '660', 'value': '€9.00m'}, {'date': '12/01/2018', 'age': '28', 'clubName': 'Shakhtar Donetsk', 'clubID': '660', 'value': '€8.50m'}, {'date': '06/08/2018', 'age': '29', 'clubName': 'Shakhtar Donetsk', 'clubID': '660', 'value': '€8.50m'}, {'date': '10/12/2018', 'age': '29', 'clubName': 'Shakhtar Donetsk', 'clubID': '660', 'value': '€7.50m'}, {'date': '24/04/2019', 'age': '29', 'clubName': 'Zenit St. Petersburg', 'clubID': '964', 'value': '€8.00m'}, {'date': '14/06/2019', 'age': '29', 'clubName': 'Zenit St. Petersburg', 'clubID': '964', 'value': '€10.00m'}, {'date': '23/12/2019', 'age': '30', 'clubName': 'Zenit St. Petersburg', 'clubID': '964', 'value': '€10.00m'}, {'date': '08/04/2020', 'age': '30', 'clubName': 'Zenit St. Petersburg', 'clubID': '964', 'value': '€8.00m'}, {'date': '29/07/2020', 'age': '30', 'clubName': 'Zenit St. Petersburg', 'clubID': '964', 'value': '€8.00m'}, {'date': '29/12/2020', 'age': '31', 'clubName': 'Zenit St. Petersburg', 'clubID': '964', 'value': '€7.00m'}, {'date': '02/06/2021', 'age': '31', 'clubName': 'Zenit St. Petersburg', 'clubID': '964', 'value': '€6.00m'}, {'date': '29/12/2021', 'age': '32', 'clubName': 'Zenit St. Petersburg', 'clubID': '964', 'value': '€6.00m'}, {'date': '18/05/2022', 'age': '32', 'clubName': 'Without Club', 'clubID': '515', 'value': '€6.00m'}, {'date': '13/09/2022', 'age': '33', 'clubName': 'Adana Demirspor', 'clubID': '3840', 'value': '€4.50m'}, {'date': '27/10/2022', 'age': '33', 'clubName': 'Adana Demirspor', 'clubID': '3840', 'value': '€3.00m'}, {'date': '21/06/2023', 'age': '33', 'clubName': 'Shakhtar Donetsk', 'clubID': '660', 'value': '€2.00m'}, {'date': '11/12/2023', 'age': '34', 'clubName': 'Shakhtar Donetsk', 'clubID': '660', 'value': '€1.50m'}, {'date': '06/06/2024', 'age': '34', 'clubName': 'Shakhtar Donetsk', 'clubID': '660', 'value': '€1.00m'}, {'date': '16/10/2024', 'age': '35', 'clubName': 'Without Club', 'clubID': '515', 'value': '€700k'}, {'date': '28/03/2025', 'age': '35', 'clubName': 'Chornomorets Odesa', 'clubID': '6992', 'value': '€400k'}, {'date': '10/06/2025', 'age': '35', 'clubName': 'Chornomorets Odesa', 'clubID': '6992', 'value': '€300k'}, {'date': '18/12/2025', 'age': '36', 'clubName': 'Chornomorets Odesa', 'clubID': '6992', 'value': '€250k'}, {'date': '09/04/2026', 'age': '36', 'clubName': 'Without Club', 'clubID': '515', 'value': '€200k'}]}</t>
  </si>
  <si>
    <t>Varane</t>
  </si>
  <si>
    <t>{'marketValueHistory': [{'date': 'Feb 4, 2011', 'age': '17', 'clubName': 'RC Lens', 'clubID': '826', 'value': '€1.00m'}, {'date': 'May 24, 2011', 'age': '18', 'clubName': 'RC Lens', 'clubID': '826', 'value': '€2.50m'}, {'date': 'May 30, 2011', 'age': '18', 'clubName': 'RC Lens', 'clubID': '826', 'value': '€4.00m'}, {'date': 'Jul 29, 2011', 'age': '18', 'clubName': 'Real Madrid', 'clubID': '418', 'value': '€8.00m'}, {'date': 'Feb 3, 2012', 'age': '18', 'clubName': 'Real Madrid', 'clubID': '418', 'value': '€8.00m'}, {'date': 'Aug 7, 2012', 'age': '19', 'clubName': 'Real Madrid', 'clubID': '418', 'value': '€10.00m'}, {'date': 'Jan 10, 2013', 'age': '19', 'clubName': 'Real Madrid', 'clubID': '418', 'value': '€10.00m'}, {'date': 'Feb 5, 2013', 'age': '19', 'clubName': 'Real Madrid', 'clubID': '418', 'value': '€15.00m'}, {'date': 'Mar 7, 2013', 'age': '19', 'clubName': 'Real Madrid', 'clubID': '418', 'value': '€20.00m'}, {'date': 'Jun 12, 2013', 'age': '20', 'clubName': 'Real Madrid', 'clubID': '418', 'value': '€25.00m'}, {'date': 'Jan 23, 2014', 'age': '20', 'clubName': 'Real Madrid', 'clubID': '418', 'value': '€24.00m'}, {'date': 'Jul 20, 2014', 'age': '21', 'clubName': 'Real Madrid', 'clubID': '418', 'value': '€25.00m'}, {'date': 'Jan 23, 2015', 'age': '21', 'clubName': 'Real Madrid', 'clubID': '418', 'value': '€25.00m'}, {'date': 'Jul 1, 2015', 'age': '22', 'clubName': 'Real Madrid', 'clubID': '418', 'value': '€25.00m'}, {'date': 'Nov 22, 2015', 'age': '22', 'clubName': 'Real Madrid', 'clubID': '418', 'value': '€30.00m'}, {'date': 'Feb 22, 2016', 'age': '22', 'clubName': 'Real Madrid', 'clubID': '418', 'value': '€30.00m'}, {'date': 'Jul 15, 2016', 'age': '23', 'clubName': 'Real Madrid', 'clubID': '418', 'value': '€30.00m'}, {'date': 'Jan 24, 2017', 'age': '23', 'clubName': 'Real Madrid', 'clubID': '418', 'value': '€35.00m'}, {'date': 'Jun 5, 2017', 'age': '24', 'clubName': 'Real Madrid', 'clubID': '418', 'value': '€35.00m'}, {'date': 'Jan 1, 2018', 'age': '24', 'clubName': 'Real Madrid', 'clubID': '418', 'value': '€40.00m'}, {'date': 'Mar 22, 2018', 'age': '24', 'clubName': 'Real Madrid', 'clubID': '418', 'value': '€60.00m'}, {'date': 'May 30, 2018', 'age': '25', 'clubName': 'Real Madrid', 'clubID': '418', 'value': '€70.00m'}, {'date': 'Jul 15, 2018', 'age': '25', 'clubName': 'Real Madrid', 'clubID': '418', 'value': '€80.00m'}, {'date': 'Dec 21, 2018', 'age': '25', 'clubName': 'Real Madrid', 'clubID': '418', 'value': '€80.00m'}, {'date': 'Jun 11, 2019', 'age': '26', 'clubName': 'Real Madrid', 'clubID': '418', 'value': '€70.00m'}, {'date': 'Dec 20, 2019', 'age': '26', 'clubName': 'Real Madrid', 'clubID': '418', 'value': '€80.00m'}, {'date': 'Apr 8, 2020', 'age': '26', 'clubName': 'Real Madrid', 'clubID': '418', 'value': '€64.00m'}, {'date': 'Oct 8, 2020', 'age': '27', 'clubName': 'Real Madrid', 'clubID': '418', 'value': '€70.00m'}, {'date': 'Jan 5, 2021', 'age': '27', 'clubName': 'Real Madrid', 'clubID': '418', 'value': '€70.00m'}, {'date': 'Jun 1, 2021', 'age': '28', 'clubName': 'Real Madrid', 'clubID': '418', 'value': '€70.00m'}, {'date': 'Dec 23, 2021', 'age': '28', 'clubName': 'Manchester United', 'clubID': '985', 'value': '€65.00m'}, {'date': 'Mar 29, 2022', 'age': '28', 'clubName': 'Manchester United', 'clubID': '985', 'value': '€60.00m'}, {'date': 'Jun 15, 2022', 'age': '29', 'clubName': 'Manchester United', 'clubID': '985', 'value': '€48.00m'}, {'date': 'Nov 3, 2022', 'age': '29', 'clubName': 'Manchester United', 'clubID': '985', 'value': '€40.00m'}, {'date': 'Jun 20, 2023', 'age': '30', 'clubName': 'Manchester United', 'clubID': '985', 'value': '€35.00m'}, {'date': 'Dec 19, 2023', 'age': '30', 'clubName': 'Manchester United', 'clubID': '985', 'value': '€25.00m'}, {'date': 'May 27, 2024', 'age': '31', 'clubName': 'Manchester United', 'clubID': '985', 'value': '€20.00m'}, {'date': 'Sep 25, 2024', 'age': '31', 'clubName': 'Retired', 'clubID': '123', 'value': '-'}]}</t>
  </si>
  <si>
    <t>1993-04-25</t>
  </si>
  <si>
    <t>Jardel</t>
  </si>
  <si>
    <t>{'marketValueHistory': [{'date': '04/10/2004', 'age': '31', 'clubName': "CA Newell's Old Boys", 'clubID': '1286', 'value': '€4.00m'}, {'date': '19/08/2006', 'age': '32', 'clubName': 'SC Beira-Mar', 'clubID': '1436', 'value': '€2.00m'}, {'date': '10/04/2008', 'age': '34', 'clubName': 'Without Club', 'clubID': '515', 'value': '€300k'}, {'date': '06/01/2010', 'age': '36', 'clubName': 'Without Club', 'clubID': '515', 'value': '-'}, {'date': '28/12/2010', 'age': '37', 'clubName': 'Atlético Rio Negro Clube', 'clubID': '34982', 'value': '€100k'}, {'date': '24/07/2011', 'age': '37', 'clubName': 'Atlético Rio Negro Clube', 'clubID': '34982', 'value': '-'}]}</t>
  </si>
  <si>
    <t>1973-09-18</t>
  </si>
  <si>
    <t>Ozan Kabak</t>
  </si>
  <si>
    <t>{'marketValueHistory': [{'date': 'Jul 4, 2017', 'age': '17', 'clubName': 'Galatasaray U21', 'clubID': '11502', 'value': '€100k'}, {'date': 'Jun 30, 2018', 'age': '18', 'clubName': 'Galatasaray U21', 'clubID': '11502', 'value': '€150k'}, {'date': 'Oct 11, 2018', 'age': '18', 'clubName': 'Galatasaray', 'clubID': '141', 'value': '€500k'}, {'date': 'Jan 4, 2019', 'age': '18', 'clubName': 'Galatasaray', 'clubID': '141', 'value': '€6.50m'}, {'date': 'Mar 6, 2019', 'age': '18', 'clubName': 'VfB Stuttgart', 'clubID': '79', 'value': '€10.00m'}, {'date': 'Jun 5, 2019', 'age': '19', 'clubName': 'VfB Stuttgart', 'clubID': '79', 'value': '€15.00m'}, {'date': 'Dec 17, 2019', 'age': '19', 'clubName': 'FC Schalke 04', 'clubID': '33', 'value': '€22.00m'}, {'date': 'Mar 11, 2020', 'age': '19', 'clubName': 'FC Schalke 04', 'clubID': '33', 'value': '€32.00m'}, {'date': 'Apr 8, 2020', 'age': '20', 'clubName': 'FC Schalke 04', 'clubID': '33', 'value': '€29.00m'}, {'date': 'Nov 26, 2020', 'age': '20', 'clubName': 'FC Schalke 04', 'clubID': '33', 'value': '€25.00m'}, {'date': 'Mar 18, 2021', 'age': '20', 'clubName': 'Liverpool FC', 'clubID': '31', 'value': '€25.00m'}, {'date': 'May 25, 2021', 'age': '21', 'clubName': 'Liverpool FC', 'clubID': '31', 'value': '€25.00m'}, {'date': 'Oct 5, 2021', 'age': '21', 'clubName': 'Norwich City', 'clubID': '1123', 'value': '€17.00m'}, {'date': 'Dec 23, 2021', 'age': '21', 'clubName': 'Norwich City', 'clubID': '1123', 'value': '€15.00m'}, {'date': 'Mar 29, 2022', 'age': '22', 'clubName': 'Norwich City', 'clubID': '1123', 'value': '€13.00m'}, {'date': 'Jun 15, 2022', 'age': '22', 'clubName': 'Norwich City', 'clubID': '1123', 'value': '€10.00m'}, {'date': 'Nov 9, 2022', 'age': '22', 'clubName': 'TSG 1899 Hoffenheim', 'clubID': '533', 'value': '€10.00m'}, {'date': 'Jun 22, 2023', 'age': '23', 'clubName': 'TSG 1899 Hoffenheim', 'clubID': '533', 'value': '€10.00m'}, {'date': 'Oct 18, 2023', 'age': '23', 'clubName': 'TSG 1899 Hoffenheim', 'clubID': '533', 'value': '€13.00m'}, {'date': 'Dec 14, 2023', 'age': '23', 'clubName': 'TSG 1899 Hoffenheim', 'clubID': '533', 'value': '€13.00m'}, {'date': 'Mar 27, 2024', 'age': '24', 'clubName': 'TSG 1899 Hoffenheim', 'clubID': '533', 'value': '€10.00m'}, {'date': 'May 29, 2024', 'age': '24', 'clubName': 'TSG 1899 Hoffenheim', 'clubID': '533', 'value': '€10.00m'}, {'date': 'Dec 20, 2024', 'age': '24', 'clubName': 'TSG 1899 Hoffenheim', 'clubID': '533', 'value': '€7.50m'}, {'date': 'Jun 5, 2025', 'age': '25', 'clubName': 'TSG 1899 Hoffenheim', 'clubID': '533', 'value': '€5.00m'}, {'date': 'Dec 19, 2025', 'age': '25', 'clubName': 'TSG 1899 Hoffenheim', 'clubID': '533', 'value': '€5.00m'}, {'date': 'Mar 20, 2026', 'age': '25', 'clubName': 'TSG 1899 Hoffenheim', 'clubID': '533', 'value': '€10.00m'}]}</t>
  </si>
  <si>
    <t>Serdar Aziz</t>
  </si>
  <si>
    <t>{'marketValueHistory': [{'date': '13/02/2007', 'age': '16', 'clubName': 'Bursaspor U21', 'clubID': '15021', 'value': '€150k'}, {'date': '23/05/2007', 'age': '16', 'clubName': 'Bursaspor U21', 'clubID': '15021', 'value': '€150k'}, {'date': '04/06/2007', 'age': '16', 'clubName': 'Bursaspor U21', 'clubID': '15021', 'value': '€50k'}, {'date': '13/06/2008', 'age': '17', 'clubName': 'Bursaspor U21', 'clubID': '15021', 'value': '€50k'}, {'date': '03/01/2009', 'age': '18', 'clubName': 'Bursaspor', 'clubID': '20', 'value': '€150k'}, {'date': '02/07/2009', 'age': '18', 'clubName': 'Bursaspor', 'clubID': '20', 'value': '€400k'}, {'date': '11/01/2010', 'age': '19', 'clubName': 'Bursaspor', 'clubID': '20', 'value': '€350k'}, {'date': '22/06/2010', 'age': '19', 'clubName': 'Bursaspor', 'clubID': '20', 'value': '€400k'}, {'date': '21/01/2011', 'age': '20', 'clubName': 'Bursaspor', 'clubID': '20', 'value': '€750k'}, {'date': '01/07/2011', 'age': '20', 'clubName': 'Bursaspor', 'clubID': '20', 'value': '€2.20m'}, {'date': '09/01/2012', 'age': '21', 'clubName': 'Bursaspor', 'clubID': '20', 'value': '€3.80m'}, {'date': '19/06/2012', 'age': '21', 'clubName': 'Bursaspor', 'clubID': '20', 'value': '€4.00m'}, {'date': '06/01/2013', 'age': '22', 'clubName': 'Bursaspor', 'clubID': '20', 'value': '€3.80m'}, {'date': '14/06/2013', 'age': '22', 'clubName': 'Bursaspor', 'clubID': '20', 'value': '€3.80m'}, {'date': '27/01/2014', 'age': '23', 'clubName': 'Bursaspor', 'clubID': '20', 'value': '€3.80m'}, {'date': '23/07/2014', 'age': '23', 'clubName': 'Bursaspor', 'clubID': '20', 'value': '€3.50m'}, {'date': '26/01/2015', 'age': '24', 'clubName': 'Bursaspor', 'clubID': '20', 'value': '€4.00m'}, {'date': '25/06/2015', 'age': '24', 'clubName': 'Bursaspor', 'clubID': '20', 'value': '€4.75m'}, {'date': '18/01/2016', 'age': '25', 'clubName': 'Bursaspor', 'clubID': '20', 'value': '€5.00m'}, {'date': '15/07/2016', 'age': '25', 'clubName': 'Galatasaray', 'clubID': '141', 'value': '€5.00m'}, {'date': '10/01/2017', 'age': '26', 'clubName': 'Galatasaray', 'clubID': '141', 'value': '€4.50m'}, {'date': '09/06/2017', 'age': '26', 'clubName': 'Galatasaray', 'clubID': '141', 'value': '€4.00m'}, {'date': '12/02/2018', 'age': '27', 'clubName': 'Galatasaray', 'clubID': '141', 'value': '€3.00m'}, {'date': '29/05/2018', 'age': '27', 'clubName': 'Galatasaray', 'clubID': '141', 'value': '€3.50m'}, {'date': '04/01/2019', 'age': '28', 'clubName': 'Galatasaray', 'clubID': '141', 'value': '€3.50m'}, {'date': '04/06/2019', 'age': '28', 'clubName': 'Fenerbahce', 'clubID': '36', 'value': '€2.50m'}, {'date': '04/10/2019', 'age': '28', 'clubName': 'Fenerbahce', 'clubID': '36', 'value': '€2.00m'}, {'date': '03/01/2020', 'age': '29', 'clubName': 'Fenerbahce', 'clubID': '36', 'value': '€2.60m'}, {'date': '08/04/2020', 'age': '29', 'clubName': 'Fenerbahce', 'clubID': '36', 'value': '€2.00m'}, {'date': '04/08/2020', 'age': '29', 'clubName': 'Fenerbahce', 'clubID': '36', 'value': '€2.00m'}, {'date': '23/12/2020', 'age': '30', 'clubName': 'Fenerbahce', 'clubID': '36', 'value': '€2.00m'}, {'date': '16/03/2021', 'age': '30', 'clubName': 'Fenerbahce', 'clubID': '36', 'value': '€2.00m'}, {'date': '21/05/2021', 'age': '30', 'clubName': 'Fenerbahce', 'clubID': '36', 'value': '€2.50m'}, {'date': '12/10/2021', 'age': '30', 'clubName': 'Fenerbahce', 'clubID': '36', 'value': '€2.60m'}, {'date': '04/01/2022', 'age': '31', 'clubName': 'Fenerbahce', 'clubID': '36', 'value': '€2.30m'}, {'date': '31/03/2022', 'age': '31', 'clubName': 'Fenerbahce', 'clubID': '36', 'value': '€2.50m'}, {'date': '01/06/2022', 'age': '31', 'clubName': 'Fenerbahce', 'clubID': '36', 'value': '€2.50m'}, {'date': '27/10/2022', 'age': '32', 'clubName': 'Fenerbahce', 'clubID': '36', 'value': '€2.30m'}, {'date': '14/03/2023', 'age': '32', 'clubName': 'Fenerbahce', 'clubID': '36', 'value': '€1.90m'}, {'date': '08/06/2023', 'age': '32', 'clubName': 'Fenerbahce', 'clubID': '36', 'value': '€1.70m'}, {'date': '27/09/2023', 'age': '32', 'clubName': 'Fenerbahce', 'clubID': '36', 'value': '€1.70m'}, {'date': '21/12/2023', 'age': '33', 'clubName': 'Fenerbahce', 'clubID': '36', 'value': '€1.20m'}, {'date': '15/03/2024', 'age': '33', 'clubName': 'Fenerbahce', 'clubID': '36', 'value': '€900k'}, {'date': '31/05/2024', 'age': '33', 'clubName': 'Fenerbahce', 'clubID': '36', 'value': '€600k'}, {'date': '04/10/2024', 'age': '33', 'clubName': 'Fenerbahce', 'clubID': '36', 'value': '€350k'}, {'date': '23/12/2024', 'age': '34', 'clubName': 'Fenerbahce', 'clubID': '36', 'value': '€200k'}, {'date': '20/03/2025', 'age': '34', 'clubName': 'Fenerbahce', 'clubID': '36', 'value': '€100k'}, {'date': '18/06/2025', 'age': '34', 'clubName': 'Fenerbahce', 'clubID': '36', 'value': '€100k'}, {'date': '21/10/2025', 'age': '34', 'clubName': 'Without Club', 'clubID': '515', 'value': '€75k'}, {'date': '09/04/2026', 'age': '35', 'clubName': 'Without Club', 'clubID': '515', 'value': '€50k'}]}</t>
  </si>
  <si>
    <t>1990-10-23</t>
  </si>
  <si>
    <t>Naldo</t>
  </si>
  <si>
    <t>{'marketValueHistory': [{'date': 'Oct 4, 2004', 'age': '19', 'clubName': 'Manchester United', 'clubID': '985', 'value': '€18.00m'}, {'date': 'Feb 11, 2005', 'age': '20', 'clubName': 'Manchester United', 'clubID': '985', 'value': '€22.80m'}, {'date': 'Oct 18, 2005', 'age': '20', 'clubName': 'Manchester United', 'clubID': '985', 'value': '€26.50m'}, {'date': 'Jun 14, 2006', 'age': '21', 'clubName': 'Manchester United', 'clubID': '985', 'value': '€25.00m'}, {'date': 'Apr 25, 2007', 'age': '22', 'clubName': 'Manchester United', 'clubID': '985', 'value': '€34.00m'}, {'date': 'Feb 4, 2008', 'age': '22', 'clubName': 'Manchester United', 'clubID': '985', 'value': '€50.00m'}, {'date': 'Apr 8, 2008', 'age': '23', 'clubName': 'Manchester United', 'clubID': '985', 'value': '€55.00m'}, {'date': 'Jul 4, 2008', 'age': '23', 'clubName': 'Manchester United', 'clubID': '985', 'value': '€60.00m'}, {'date': 'Jul 22, 2009', 'age': '24', 'clubName': 'Real Madrid', 'clubID': '418', 'value': '€70.00m'}, {'date': 'Dec 3, 2009', 'age': '24', 'clubName': 'Real Madrid', 'clubID': '418', 'value': '€70.00m'}, {'date': 'Jan 7, 2010', 'age': '24', 'clubName': 'Real Madrid', 'clubID': '418', 'value': '€75.00m'}, {'date': 'Apr 12, 2010', 'age': '25', 'clubName': 'Real Madrid', 'clubID': '418', 'value': '€75.00m'}, {'date': 'Aug 27, 2010', 'age': '25', 'clubName': 'Real Madrid', 'clubID': '418', 'value': '€90.00m'}, {'date': 'Feb 4, 2011', 'age': '25', 'clubName': 'Real Madrid', 'clubID': '418', 'value': '€90.00m'}, {'date': 'Jul 29, 2011', 'age': '26', 'clubName': 'Real Madrid', 'clubID': '418', 'value': '€90.00m'}, {'date': 'Feb 3, 2012', 'age': '26', 'clubName': 'Real Madrid', 'clubID': '418', 'value': '€90.00m'}, {'date': 'Aug 7, 2012', 'age': '27', 'clubName': 'Real Madrid', 'clubID': '418', 'value': '€100.00m'}, {'date': 'Jan 10, 2013', 'age': '27', 'clubName': 'Real Madrid', 'clubID': '418', 'value': '€100.00m'}, {'date': 'Jun 12, 2013', 'age': '28', 'clubName': 'Real Madrid', 'clubID': '418', 'value': '€100.00m'}, {'date': 'Jan 23, 2014', 'age': '28', 'clubName': 'Real Madrid', 'clubID': '418', 'value': '€100.00m'}, {'date': 'Jul 20, 2014', 'age': '29', 'clubName': 'Real Madrid', 'clubID': '418', 'value': '€100.00m'}, {'date': 'Oct 22, 2014', 'age': '29', 'clubName': 'Real Madrid', 'clubID': '418', 'value': '€120.00m'}, {'date': 'Jan 23, 2015', 'age': '29', 'clubName': 'Real Madrid', 'clubID': '418', 'value': '€120.00m'}, {'date': 'Jul 1, 2015', 'age': '30', 'clubName': 'Real Madrid', 'clubID': '418', 'value': '€120.00m'}, {'date': 'Nov 22, 2015', 'age': '30', 'clubName': 'Real Madrid', 'clubID': '418', 'value': '€110.00m'}, {'date': 'Feb 22, 2016', 'age': '31', 'clubName': 'Real Madrid', 'clubID': '418', 'value': '€110.00m'}, {'date': 'Jun 1, 2016', 'age': '31', 'clubName': 'Real Madrid', 'clubID': '418', 'value': '€110.00m'}, {'date': 'Jul 15, 2016', 'age': '31', 'clubName': 'Real Madrid', 'clubID': '418', 'value': '€110.00m'}, {'date': 'Jan 24, 2017', 'age': '31', 'clubName': 'Real Madrid', 'clubID': '418', 'value': '€100.00m'}, {'date': 'Jun 5, 2017', 'age': '32', 'clubName': 'Real Madrid', 'clubID': '418', 'value': '€100.00m'}, {'date': 'Jan 1, 2018', 'age': '32', 'clubName': 'Real Madrid', 'clubID': '418', 'value': '€120.00m'}, {'date': 'May 30, 2018', 'age': '33', 'clubName': 'Real Madrid', 'clubID': '418', 'value': '€100.00m'}, {'date': 'Dec 20, 2018', 'age': '33', 'clubName': 'Juventus FC', 'clubID': '506', 'value': '€100.00m'}, {'date': 'Jun 6, 2019', 'age': '34', 'clubName': 'Juventus FC', 'clubID': '506', 'value': '€90.00m'}, {'date': 'Dec 12, 2019', 'age': '34', 'clubName': 'Juventus FC', 'clubID': '506', 'value': '€75.00m'}, {'date': 'Apr 8, 2020', 'age': '35', 'clubName': 'Juventus FC', 'clubID': '506', 'value': '€60.00m'}, {'date': 'Aug 25, 2020', 'age': '35', 'clubName': 'Juventus FC', 'clubID': '506', 'value': '€60.00m'}, {'date': 'Dec 29, 2020', 'age': '35', 'clubName': 'Juventus FC', 'clubID': '506', 'value': '€60.00m'}, {'date': 'Mar 23, 2021', 'age': '36', 'clubName': 'Juventus FC', 'clubID': '506', 'value': '€50.00m'}, {'date': 'Jun 1, 2021', 'age': '36', 'clubName': 'Juventus FC', 'clubID': '506', 'value': '€45.00m'}, {'date': 'Dec 23, 2021', 'age': '36', 'clubName': 'Manchester United', 'clubID': '985', 'value': '€35.00m'}, {'date': 'Jun 15, 2022', 'age': '37', 'clubName': 'Manchester United', 'clubID': '985', 'value': '€30.00m'}, {'date': 'Sep 15, 2022', 'age': '37', 'clubName': 'Manchester United', 'clubID': '985', 'value': '€20.00m'}, {'date': 'Nov 3, 2022', 'age': '37', 'clubName': 'Manchester United', 'clubID': '985', 'value': '€20.00m'}, {'date': 'Jun 12, 2023', 'age': '38', 'clubName': 'Al-Nassr FC', 'clubID': '18544', 'value': '€15.00m'}, {'date': 'Dec 15, 2023', 'age': '38', 'clubName': 'Al-Nassr FC', 'clubID': '18544', 'value': '€15.00m'}, {'date': 'Jun 4, 2024', 'age': '39', 'clubName': 'Al-Nassr FC', 'clubID': '18544', 'value': '€15.00m'}, {'date': 'Dec 13, 2024', 'age': '39', 'clubName': 'Al-Nassr FC', 'clubID': '18544', 'value': '€12.00m'}, {'date': 'May 27, 2025', 'age': '40', 'clubName': 'Al-Nassr FC', 'clubID': '18544', 'value': '€12.00m'}, {'date': 'Dec 18, 2025', 'age': '40', 'clubName': 'Al-Nassr FC', 'clubID': '18544', 'value': '€12.00m'}]}</t>
  </si>
  <si>
    <t>Von Ballmoos</t>
  </si>
  <si>
    <t>{'marketValueHistory': [{'date': '02/07/2013', 'age': '18', 'clubName': 'BSC Young Boys', 'clubID': '452', 'value': '€50k'}, {'date': '14/02/2014', 'age': '19', 'clubName': 'BSC Young Boys', 'clubID': '452', 'value': '€50k'}, {'date': '16/07/2014', 'age': '19', 'clubName': 'BSC Young Boys', 'clubID': '452', 'value': '€50k'}, {'date': '12/09/2014', 'age': '19', 'clubName': 'BSC Young Boys', 'clubID': '452', 'value': '€50k'}, {'date': '15/12/2014', 'age': '19', 'clubName': 'BSC Young Boys', 'clubID': '452', 'value': '€50k'}, {'date': '18/06/2015', 'age': '20', 'clubName': 'BSC Young Boys', 'clubID': '452', 'value': '€50k'}, {'date': '18/12/2015', 'age': '20', 'clubName': 'FC Winterthur', 'clubID': '242', 'value': '€350k'}, {'date': '16/07/2016', 'age': '21', 'clubName': 'FC Winterthur', 'clubID': '242', 'value': '€500k'}, {'date': '20/12/2016', 'age': '21', 'clubName': 'FC Winterthur', 'clubID': '242', 'value': '€500k'}, {'date': '12/07/2017', 'age': '22', 'clubName': 'BSC Young Boys', 'clubID': '452', 'value': '€500k'}, {'date': '29/09/2017', 'age': '22', 'clubName': 'BSC Young Boys', 'clubID': '452', 'value': '€750k'}, {'date': '08/01/2018', 'age': '23', 'clubName': 'BSC Young Boys', 'clubID': '452', 'value': '€1.00m'}, {'date': '24/04/2018', 'age': '23', 'clubName': 'BSC Young Boys', 'clubID': '452', 'value': '€1.50m'}, {'date': '12/07/2018', 'age': '23', 'clubName': 'BSC Young Boys', 'clubID': '452', 'value': '€1.50m'}, {'date': '21/01/2019', 'age': '24', 'clubName': 'BSC Young Boys', 'clubID': '452', 'value': '€2.50m'}, {'date': '15/04/2019', 'age': '24', 'clubName': 'BSC Young Boys', 'clubID': '452', 'value': '€2.50m'}, {'date': '04/06/2019', 'age': '24', 'clubName': 'BSC Young Boys', 'clubID': '452', 'value': '€2.50m'}, {'date': '07/10/2019', 'age': '24', 'clubName': 'BSC Young Boys', 'clubID': '452', 'value': '€3.50m'}, {'date': '06/01/2020', 'age': '25', 'clubName': 'BSC Young Boys', 'clubID': '452', 'value': '€3.50m'}, {'date': '08/04/2020', 'age': '25', 'clubName': 'BSC Young Boys', 'clubID': '452', 'value': '€2.80m'}, {'date': '31/07/2020', 'age': '25', 'clubName': 'BSC Young Boys', 'clubID': '452', 'value': '€2.80m'}, {'date': '28/12/2020', 'age': '25', 'clubName': 'BSC Young Boys', 'clubID': '452', 'value': '€3.00m'}, {'date': '23/06/2021', 'age': '26', 'clubName': 'BSC Young Boys', 'clubID': '452', 'value': '€3.00m'}, {'date': '03/01/2022', 'age': '27', 'clubName': 'BSC Young Boys', 'clubID': '452', 'value': '€3.00m'}, {'date': '08/06/2022', 'age': '27', 'clubName': 'BSC Young Boys', 'clubID': '452', 'value': '€2.50m'}, {'date': '10/11/2022', 'age': '27', 'clubName': 'BSC Young Boys', 'clubID': '452', 'value': '€2.50m'}, {'date': '07/06/2023', 'age': '28', 'clubName': 'BSC Young Boys', 'clubID': '452', 'value': '€2.50m'}, {'date': '19/10/2023', 'age': '28', 'clubName': 'BSC Young Boys', 'clubID': '452', 'value': '€1.50m'}, {'date': '21/12/2023', 'age': '28', 'clubName': 'BSC Young Boys', 'clubID': '452', 'value': '€1.50m'}, {'date': '31/05/2024', 'age': '29', 'clubName': 'BSC Young Boys', 'clubID': '452', 'value': '€1.50m'}, {'date': '23/12/2024', 'age': '29', 'clubName': 'BSC Young Boys', 'clubID': '452', 'value': '€1.20m'}, {'date': '20/03/2025', 'age': '30', 'clubName': 'BSC Young Boys', 'clubID': '452', 'value': '€700k'}, {'date': '10/06/2025', 'age': '30', 'clubName': 'BSC Young Boys', 'clubID': '452', 'value': '€600k'}, {'date': '02/10/2025', 'age': '30', 'clubName': 'FC Lugano', 'clubID': '2790', 'value': '€800k'}, {'date': '29/12/2025', 'age': '30', 'clubName': 'FC Lugano', 'clubID': '2790', 'value': '€800k'}, {'date': '17/03/2026', 'age': '31', 'clubName': 'FC Lugano', 'clubID': '2790', 'value': '€600k'}]}</t>
  </si>
  <si>
    <t>1994-12-30</t>
  </si>
  <si>
    <t>Hruska</t>
  </si>
  <si>
    <t>{'marketValueHistory': [{'date': 'Aug 28, 2008', 'age': '22', 'clubName': 'FK Viktoria Zizkov', 'clubID': '892', 'value': '€300k'}, {'date': 'Mar 17, 2009', 'age': '23', 'clubName': '1.FK Pribram', 'clubID': '2598', 'value': '€400k'}, {'date': 'Oct 26, 2010', 'age': '24', 'clubName': '1.FK Pribram', 'clubID': '2598', 'value': '€500k'}, {'date': 'Aug 12, 2011', 'age': '25', 'clubName': '1.FK Pribram', 'clubID': '2598', 'value': '€700k'}, {'date': 'Dec 24, 2011', 'age': '26', 'clubName': '1.FK Pribram', 'clubID': '2598', 'value': '€800k'}, {'date': 'Oct 30, 2012', 'age': '26', 'clubName': '1.FK Pribram', 'clubID': '2598', 'value': '€800k'}, {'date': 'Sep 24, 2013', 'age': '27', 'clubName': '1.FK Pribram', 'clubID': '2598', 'value': '€800k'}, {'date': 'May 8, 2014', 'age': '28', 'clubName': '1.FK Pribram', 'clubID': '2598', 'value': '€600k'}, {'date': 'Sep 3, 2014', 'age': '28', 'clubName': 'FK Mlada Boleslav', 'clubID': '5546', 'value': '€600k'}, {'date': 'Jan 17, 2015', 'age': '29', 'clubName': 'FK Mlada Boleslav', 'clubID': '5546', 'value': '€750k'}, {'date': 'Oct 15, 2015', 'age': '29', 'clubName': '1.FK Pribram', 'clubID': '2598', 'value': '€750k'}, {'date': 'Aug 3, 2016', 'age': '30', 'clubName': '1.FK Pribram', 'clubID': '2598', 'value': '€600k'}, {'date': 'Oct 16, 2016', 'age': '30', 'clubName': '1.FK Pribram', 'clubID': '2598', 'value': '€400k'}, {'date': 'Dec 19, 2016', 'age': '31', 'clubName': '1.FK Pribram', 'clubID': '2598', 'value': '€400k'}, {'date': 'Jun 10, 2017', 'age': '31', 'clubName': '1.FK Pribram', 'clubID': '2598', 'value': '€350k'}, {'date': 'Oct 7, 2017', 'age': '31', 'clubName': 'FC Viktoria Plzen', 'clubID': '941', 'value': '€400k'}, {'date': 'Dec 21, 2017', 'age': '32', 'clubName': 'FC Viktoria Plzen', 'clubID': '941', 'value': '€400k'}, {'date': 'Jul 14, 2018', 'age': '32', 'clubName': 'FC Viktoria Plzen', 'clubID': '941', 'value': '€500k'}, {'date': 'Oct 29, 2018', 'age': '32', 'clubName': 'FC Viktoria Plzen', 'clubID': '941', 'value': '€750k'}, {'date': 'Dec 30, 2018', 'age': '33', 'clubName': 'FC Viktoria Plzen', 'clubID': '941', 'value': '€850k'}, {'date': 'Jun 25, 2019', 'age': '33', 'clubName': 'FC Viktoria Plzen', 'clubID': '941', 'value': '€850k'}, {'date': 'Dec 7, 2019', 'age': '34', 'clubName': 'FC Viktoria Plzen', 'clubID': '941', 'value': '€850k'}, {'date': 'Apr 8, 2020', 'age': '34', 'clubName': 'FC Viktoria Plzen', 'clubID': '941', 'value': '€675k'}, {'date': 'Jul 10, 2020', 'age': '34', 'clubName': 'FC Viktoria Plzen', 'clubID': '941', 'value': '€675k'}, {'date': 'Dec 27, 2020', 'age': '35', 'clubName': 'FC Viktoria Plzen', 'clubID': '941', 'value': '€500k'}, {'date': 'Apr 19, 2021', 'age': '35', 'clubName': 'FC Viktoria Plzen', 'clubID': '941', 'value': '€300k'}, {'date': 'Jun 25, 2021', 'age': '35', 'clubName': 'FC Viktoria Plzen', 'clubID': '941', 'value': '€200k'}, {'date': 'Dec 26, 2021', 'age': '36', 'clubName': 'FC Viktoria Plzen', 'clubID': '941', 'value': '€150k'}, {'date': 'Jun 22, 2022', 'age': '36', 'clubName': 'FC Viktoria Plzen', 'clubID': '941', 'value': '€50k'}, {'date': 'Jul 1, 2022', 'age': '36', 'clubName': 'Retired', 'clubID': '123', 'value': '-'}]}</t>
  </si>
  <si>
    <t>1985-11-23</t>
  </si>
  <si>
    <t>Vidal</t>
  </si>
  <si>
    <t>{'marketValueHistory': [{'date': '02/05/2007', 'age': '19', 'clubName': 'CSD Colo-Colo', 'clubID': '2433', 'value': '€5.00m'}, {'date': '01/01/2008', 'age': '20', 'clubName': 'Bayer 04 Leverkusen', 'clubID': '15', 'value': '€7.50m'}, {'date': '26/03/2010', 'age': '22', 'clubName': 'Bayer 04 Leverkusen', 'clubID': '15', 'value': '€9.00m'}, {'date': '16/07/2010', 'age': '23', 'clubName': 'Bayer 04 Leverkusen', 'clubID': '15', 'value': '€11.00m'}, {'date': '23/11/2010', 'age': '23', 'clubName': 'Bayer 04 Leverkusen', 'clubID': '15', 'value': '€14.00m'}, {'date': '12/01/2011', 'age': '23', 'clubName': 'Bayer 04 Leverkusen', 'clubID': '15', 'value': '€17.00m'}, {'date': '29/06/2011', 'age': '24', 'clubName': 'Bayer 04 Leverkusen', 'clubID': '15', 'value': '€20.00m'}, {'date': '11/01/2012', 'age': '24', 'clubName': 'Juventus FC', 'clubID': '506', 'value': '€20.00m'}, {'date': '08/06/2012', 'age': '25', 'clubName': 'Juventus FC', 'clubID': '506', 'value': '€24.00m'}, {'date': '07/11/2012', 'age': '25', 'clubName': 'Juventus FC', 'clubID': '506', 'value': '€28.00m'}, {'date': '15/01/2013', 'age': '25', 'clubName': 'Juventus FC', 'clubID': '506', 'value': '€30.00m'}, {'date': '19/06/2013', 'age': '26', 'clubName': 'Juventus FC', 'clubID': '506', 'value': '€35.00m'}, {'date': '25/09/2013', 'age': '26', 'clubName': 'Juventus FC', 'clubID': '506', 'value': '€40.00m'}, {'date': '07/01/2014', 'age': '26', 'clubName': 'Juventus FC', 'clubID': '506', 'value': '€44.00m'}, {'date': '11/07/2014', 'age': '27', 'clubName': 'Juventus FC', 'clubID': '506', 'value': '€45.00m'}, {'date': '07/01/2015', 'age': '27', 'clubName': 'Juventus FC', 'clubID': '506', 'value': '€42.00m'}, {'date': '01/07/2015', 'age': '28', 'clubName': 'Juventus FC', 'clubID': '506', 'value': '€42.00m'}, {'date': '15/02/2016', 'age': '28', 'clubName': 'Bayern Munich', 'clubID': '27', 'value': '€37.00m'}, {'date': '22/07/2016', 'age': '29', 'clubName': 'Bayern Munich', 'clubID': '27', 'value': '€40.00m'}, {'date': '07/02/2017', 'age': '29', 'clubName': 'Bayern Munich', 'clubID': '27', 'value': '€37.00m'}, {'date': '19/06/2017', 'age': '30', 'clubName': 'Bayern Munich', 'clubID': '27', 'value': '€35.00m'}, {'date': '28/12/2017', 'age': '30', 'clubName': 'Bayern Munich', 'clubID': '27', 'value': '€35.00m'}, {'date': '05/06/2018', 'age': '31', 'clubName': 'Bayern Munich', 'clubID': '27', 'value': '€35.00m'}, {'date': '31/10/2018', 'age': '31', 'clubName': 'FC Barcelona', 'clubID': '131', 'value': '€25.00m'}, {'date': '21/12/2018', 'age': '31', 'clubName': 'FC Barcelona', 'clubID': '131', 'value': '€20.00m'}, {'date': '28/02/2019', 'age': '31', 'clubName': 'FC Barcelona', 'clubID': '131', 'value': '€18.00m'}, {'date': '11/06/2019', 'age': '32', 'clubName': 'FC Barcelona', 'clubID': '131', 'value': '€15.00m'}, {'date': '20/12/2019', 'age': '32', 'clubName': 'FC Barcelona', 'clubID': '131', 'value': '€14.00m'}, {'date': '08/04/2020', 'age': '32', 'clubName': 'FC Barcelona', 'clubID': '131', 'value': '€11.00m'}, {'date': '29/10/2020', 'age': '33', 'clubName': 'Inter Milan', 'clubID': '46', 'value': '€10.00m'}, {'date': '29/12/2020', 'age': '33', 'clubName': 'Inter Milan', 'clubID': '46', 'value': '€8.00m'}, {'date': '23/03/2021', 'age': '33', 'clubName': 'Inter Milan', 'clubID': '46', 'value': '€6.00m'}, {'date': '03/06/2021', 'age': '34', 'clubName': 'Inter Milan', 'clubID': '46', 'value': '€3.50m'}, {'date': '28/12/2021', 'age': '34', 'clubName': 'Inter Milan', 'clubID': '46', 'value': '€2.50m'}, {'date': '07/06/2022', 'age': '35', 'clubName': 'Inter Milan', 'clubID': '46', 'value': '€2.00m'}, {'date': '19/08/2022', 'age': '35', 'clubName': 'CR Flamengo', 'clubID': '614', 'value': '€2.00m'}, {'date': '14/11/2022', 'age': '35', 'clubName': 'CR Flamengo', 'clubID': '614', 'value': '€1.70m'}, {'date': '07/04/2023', 'age': '35', 'clubName': 'CR Flamengo', 'clubID': '614', 'value': '€1.20m'}, {'date': '25/07/2023', 'age': '36', 'clubName': 'Club Athletico Paranaense', 'clubID': '679', 'value': '€700k'}, {'date': '11/12/2023', 'age': '36', 'clubName': 'Club Athletico Paranaense', 'clubID': '679', 'value': '€600k'}, {'date': '29/03/2024', 'age': '36', 'clubName': 'CSD Colo-Colo', 'clubID': '2433', 'value': '€400k'}, {'date': '13/06/2024', 'age': '37', 'clubName': 'CSD Colo-Colo', 'clubID': '2433', 'value': '€300k'}, {'date': '12/11/2024', 'age': '37', 'clubName': 'CSD Colo-Colo', 'clubID': '2433', 'value': '€300k'}, {'date': '30/06/2025', 'age': '38', 'clubName': 'CSD Colo-Colo', 'clubID': '2433', 'value': '€250k'}, {'date': '10/12/2025', 'age': '38', 'clubName': 'CSD Colo-Colo', 'clubID': '2433', 'value': '€175k'}]}</t>
  </si>
  <si>
    <t>1987-05-22</t>
  </si>
  <si>
    <t>Alcacer</t>
  </si>
  <si>
    <t>{'marketValueHistory': [{'date': 'Aug 7, 2012', 'age': '18', 'clubName': 'Valencia CF', 'clubID': '1049', 'value': '€2.50m'}, {'date': 'Jan 11, 2013', 'age': '19', 'clubName': 'Getafe CF', 'clubID': '3709', 'value': '€2.00m'}, {'date': 'Jun 12, 2013', 'age': '19', 'clubName': 'Getafe CF', 'clubID': '3709', 'value': '€2.00m'}, {'date': 'Jul 25, 2013', 'age': '19', 'clubName': 'Valencia CF', 'clubID': '1049', 'value': '€3.00m'}, {'date': 'Jan 23, 2014', 'age': '20', 'clubName': 'Valencia CF', 'clubID': '1049', 'value': '€3.00m'}, {'date': 'Mar 3, 2014', 'age': '20', 'clubName': 'Valencia CF', 'clubID': '1049', 'value': '€6.00m'}, {'date': 'Jul 20, 2014', 'age': '20', 'clubName': 'Valencia CF', 'clubID': '1049', 'value': '€12.00m'}, {'date': 'Oct 22, 2014', 'age': '21', 'clubName': 'Valencia CF', 'clubID': '1049', 'value': '€20.00m'}, {'date': 'Jan 23, 2015', 'age': '21', 'clubName': 'Valencia CF', 'clubID': '1049', 'value': '€20.00m'}, {'date': 'Jul 1, 2015', 'age': '21', 'clubName': 'Valencia CF', 'clubID': '1049', 'value': '€20.00m'}, {'date': 'Nov 22, 2015', 'age': '22', 'clubName': 'Valencia CF', 'clubID': '1049', 'value': '€25.00m'}, {'date': 'Feb 22, 2016', 'age': '22', 'clubName': 'Valencia CF', 'clubID': '1049', 'value': '€25.00m'}, {'date': 'Jul 15, 2016', 'age': '22', 'clubName': 'Valencia CF', 'clubID': '1049', 'value': '€25.00m'}, {'date': 'Jan 24, 2017', 'age': '23', 'clubName': 'FC Barcelona', 'clubID': '131', 'value': '€20.00m'}, {'date': 'Jun 5, 2017', 'age': '23', 'clubName': 'FC Barcelona', 'clubID': '131', 'value': '€18.00m'}, {'date': 'Jan 1, 2018', 'age': '24', 'clubName': 'FC Barcelona', 'clubID': '131', 'value': '€18.00m'}, {'date': 'Mar 22, 2018', 'age': '24', 'clubName': 'FC Barcelona', 'clubID': '131', 'value': '€15.00m'}, {'date': 'May 30, 2018', 'age': '24', 'clubName': 'FC Barcelona', 'clubID': '131', 'value': '€15.00m'}, {'date': 'Oct 22, 2018', 'age': '25', 'clubName': 'Borussia Dortmund', 'clubID': '16', 'value': '€30.00m'}, {'date': 'Dec 18, 2018', 'age': '25', 'clubName': 'Borussia Dortmund', 'clubID': '16', 'value': '€40.00m'}, {'date': 'Jun 5, 2019', 'age': '25', 'clubName': 'Borussia Dortmund', 'clubID': '16', 'value': '€37.00m'}, {'date': 'Oct 2, 2019', 'age': '26', 'clubName': 'Borussia Dortmund', 'clubID': '16', 'value': '€50.00m'}, {'date': 'Dec 17, 2019', 'age': '26', 'clubName': 'Borussia Dortmund', 'clubID': '16', 'value': '€42.00m'}, {'date': 'Mar 5, 2020', 'age': '26', 'clubName': 'Villarreal CF', 'clubID': '1050', 'value': '€35.00m'}, {'date': 'Apr 8, 2020', 'age': '26', 'clubName': 'Villarreal CF', 'clubID': '1050', 'value': '€28.00m'}, {'date': 'Oct 8, 2020', 'age': '27', 'clubName': 'Villarreal CF', 'clubID': '1050', 'value': '€25.00m'}, {'date': 'Jan 5, 2021', 'age': '27', 'clubName': 'Villarreal CF', 'clubID': '1050', 'value': '€25.00m'}, {'date': 'Mar 19, 2021', 'age': '27', 'clubName': 'Villarreal CF', 'clubID': '1050', 'value': '€22.00m'}, {'date': 'Jun 10, 2021', 'age': '27', 'clubName': 'Villarreal CF', 'clubID': '1050', 'value': '€22.00m'}, {'date': 'Oct 13, 2021', 'age': '28', 'clubName': 'Villarreal CF', 'clubID': '1050', 'value': '€15.00m'}, {'date': 'Dec 30, 2021', 'age': '28', 'clubName': 'Villarreal CF', 'clubID': '1050', 'value': '€12.00m'}, {'date': 'Jun 3, 2022', 'age': '28', 'clubName': 'Villarreal CF', 'clubID': '1050', 'value': '€9.00m'}, {'date': 'Dec 15, 2022', 'age': '29', 'clubName': 'Sharjah FC', 'clubID': '13613', 'value': '€8.00m'}, {'date': 'May 31, 2023', 'age': '29', 'clubName': 'Sharjah FC', 'clubID': '13613', 'value': '€7.50m'}, {'date': 'Oct 12, 2023', 'age': '30', 'clubName': 'Emirates Club', 'clubID': '15542', 'value': '€7.00m'}, {'date': 'Mar 8, 2024', 'age': '30', 'clubName': 'Emirates Club', 'clubID': '15542', 'value': '€6.00m'}, {'date': 'Jun 3, 2024', 'age': '30', 'clubName': 'Emirates Club', 'clubID': '15542', 'value': '€5.00m'}, {'date': 'Nov 18, 2024', 'age': '31', 'clubName': 'Sharjah FC', 'clubID': '13613', 'value': '€4.00m'}, {'date': 'May 29, 2025', 'age': '31', 'clubName': 'Sharjah FC', 'clubID': '13613', 'value': '€3.00m'}, {'date': 'Jul 1, 2025', 'age': '31', 'clubName': 'Retired', 'clubID': '123', 'value': '-'}]}</t>
  </si>
  <si>
    <t>1993-08-30</t>
  </si>
  <si>
    <t>Sigurdsson</t>
  </si>
  <si>
    <t>{'marketValueHistory': [{'date': '08/01/2009', 'age': '19', 'clubName': 'Reading FC', 'clubID': '1032', 'value': '€50k'}, {'date': '22/09/2009', 'age': '20', 'clubName': 'Reading FC', 'clubID': '1032', 'value': '€150k'}, {'date': '04/04/2010', 'age': '20', 'clubName': 'Reading FC', 'clubID': '1032', 'value': '€1.25m'}, {'date': '31/08/2010', 'age': '20', 'clubName': 'TSG 1899 Hoffenheim', 'clubID': '533', 'value': '€5.00m'}, {'date': '12/01/2011', 'age': '21', 'clubName': 'TSG 1899 Hoffenheim', 'clubID': '533', 'value': '€6.00m'}, {'date': '29/06/2011', 'age': '21', 'clubName': 'TSG 1899 Hoffenheim', 'clubID': '533', 'value': '€7.50m'}, {'date': '05/01/2012', 'age': '22', 'clubName': 'Swansea City', 'clubID': '2288', 'value': '€6.00m'}, {'date': '24/06/2012', 'age': '22', 'clubName': 'Swansea City', 'clubID': '2288', 'value': '€8.50m'}, {'date': '09/09/2012', 'age': '23', 'clubName': 'Tottenham Hotspur', 'clubID': '148', 'value': '€10.00m'}, {'date': '28/01/2013', 'age': '23', 'clubName': 'Tottenham Hotspur', 'clubID': '148', 'value': '€8.00m'}, {'date': '02/07/2013', 'age': '23', 'clubName': 'Tottenham Hotspur', 'clubID': '148', 'value': '€8.00m'}, {'date': '15/01/2014', 'age': '24', 'clubName': 'Tottenham Hotspur', 'clubID': '148', 'value': '€8.00m'}, {'date': '12/08/2014', 'age': '24', 'clubName': 'Swansea City', 'clubID': '2288', 'value': '€10.00m'}, {'date': '12/02/2015', 'age': '25', 'clubName': 'Swansea City', 'clubID': '2288', 'value': '€11.00m'}, {'date': '01/07/2015', 'age': '25', 'clubName': 'Swansea City', 'clubID': '2288', 'value': '€11.00m'}, {'date': '09/02/2016', 'age': '26', 'clubName': 'Swansea City', 'clubID': '2288', 'value': '€11.00m'}, {'date': '01/06/2016', 'age': '26', 'clubName': 'Swansea City', 'clubID': '2288', 'value': '€13.00m'}, {'date': '01/08/2016', 'age': '26', 'clubName': 'Swansea City', 'clubID': '2288', 'value': '€17.00m'}, {'date': '20/02/2017', 'age': '27', 'clubName': 'Swansea City', 'clubID': '2288', 'value': '€20.00m'}, {'date': '28/06/2017', 'age': '27', 'clubName': 'Swansea City', 'clubID': '2288', 'value': '€25.00m'}, {'date': '23/10/2017', 'age': '28', 'clubName': 'Everton FC', 'clubID': '29', 'value': '€30.00m'}, {'date': '02/01/2018', 'age': '28', 'clubName': 'Everton FC', 'clubID': '29', 'value': '€30.00m'}, {'date': '28/05/2018', 'age': '28', 'clubName': 'Everton FC', 'clubID': '29', 'value': '€30.00m'}, {'date': '19/12/2018', 'age': '29', 'clubName': 'Everton FC', 'clubID': '29', 'value': '€30.00m'}, {'date': '13/06/2019', 'age': '29', 'clubName': 'Everton FC', 'clubID': '29', 'value': '€35.00m'}, {'date': '10/12/2019', 'age': '30', 'clubName': 'Everton FC', 'clubID': '29', 'value': '€28.00m'}, {'date': '08/04/2020', 'age': '30', 'clubName': 'Everton FC', 'clubID': '29', 'value': '€22.50m'}, {'date': '30/07/2020', 'age': '30', 'clubName': 'Everton FC', 'clubID': '29', 'value': '€18.00m'}, {'date': '13/10/2020', 'age': '31', 'clubName': 'Everton FC', 'clubID': '29', 'value': '€18.00m'}, {'date': '18/03/2021', 'age': '31', 'clubName': 'Everton FC', 'clubID': '29', 'value': '€15.00m'}, {'date': '08/06/2021', 'age': '31', 'clubName': 'Everton FC', 'clubID': '29', 'value': '€13.00m'}, {'date': '05/10/2021', 'age': '32', 'clubName': 'Everton FC', 'clubID': '29', 'value': '€3.00m'}, {'date': '23/12/2021', 'age': '32', 'clubName': 'Everton FC', 'clubID': '29', 'value': '€3.00m'}, {'date': '29/03/2022', 'age': '32', 'clubName': 'Everton FC', 'clubID': '29', 'value': '-'}, {'date': '19/09/2023', 'age': '34', 'clubName': 'Lyngby Boldklub', 'clubID': '369', 'value': '€1.00m'}, {'date': '21/12/2023', 'age': '34', 'clubName': 'Lyngby Boldklub', 'clubID': '369', 'value': '€750k'}, {'date': '08/11/2024', 'age': '35', 'clubName': 'Valur Reykjavík', 'clubID': '1033', 'value': '€500k'}, {'date': '25/06/2025', 'age': '35', 'clubName': 'Víkingur Reykjavík', 'clubID': '5849', 'value': '€400k'}, {'date': '08/12/2025', 'age': '36', 'clubName': 'Víkingur Reykjavík', 'clubID': '5849', 'value': '€350k'}]}</t>
  </si>
  <si>
    <t>Iceland</t>
  </si>
  <si>
    <t>1989-09-08</t>
  </si>
  <si>
    <t>Correa</t>
  </si>
  <si>
    <t>Muller</t>
  </si>
  <si>
    <t>{'marketValueHistory': [{'date': '22/08/2008', 'age': '18', 'clubName': 'FC Bayern Munich II', 'clubID': '27', 'value': '€100k'}, {'date': '23/09/2008', 'age': '19', 'clubName': 'FC Bayern Munich II', 'clubID': '27', 'value': '€250k'}, {'date': '21/01/2009', 'age': '19', 'clubName': 'FC Bayern Munich II', 'clubID': '27', 'value': '€350k'}, {'date': '10/06/2009', 'age': '19', 'clubName': 'FC Bayern Munich II', 'clubID': '27', 'value': '€750k'}, {'date': '30/08/2009', 'age': '19', 'clubName': 'Bayern Munich', 'clubID': '27', 'value': '€1.50m'}, {'date': '18/11/2009', 'age': '20', 'clubName': 'Bayern Munich', 'clubID': '27', 'value': '€5.00m'}, {'date': '07/03/2010', 'age': '20', 'clubName': 'Bayern Munich', 'clubID': '27', 'value': '€8.00m'}, {'date': '08/05/2010', 'age': '20', 'clubName': 'Bayern Munich', 'clubID': '27', 'value': '€10.00m'}, {'date': '16/07/2010', 'age': '20', 'clubName': 'Bayern Munich', 'clubID': '27', 'value': '€23.00m'}, {'date': '12/01/2011', 'age': '21', 'clubName': 'Bayern Munich', 'clubID': '27', 'value': '€23.00m'}, {'date': '29/06/2011', 'age': '21', 'clubName': 'Bayern Munich', 'clubID': '27', 'value': '€28.00m'}, {'date': '01/09/2011', 'age': '21', 'clubName': 'Bayern Munich', 'clubID': '27', 'value': '€33.00m'}, {'date': '23/01/2012', 'age': '22', 'clubName': 'Bayern Munich', 'clubID': '27', 'value': '€35.00m'}, {'date': '29/06/2012', 'age': '22', 'clubName': 'Bayern Munich', 'clubID': '27', 'value': '€32.00m'}, {'date': '13/01/2013', 'age': '23', 'clubName': 'Bayern Munich', 'clubID': '27', 'value': '€37.00m'}, {'date': '30/06/2013', 'age': '23', 'clubName': 'Bayern Munich', 'clubID': '27', 'value': '€45.00m'}, {'date': '10/07/2014', 'age': '24', 'clubName': 'Bayern Munich', 'clubID': '27', 'value': '€50.00m'}, {'date': '04/02/2015', 'age': '25', 'clubName': 'Bayern Munich', 'clubID': '27', 'value': '€55.00m'}, {'date': '01/07/2015', 'age': '25', 'clubName': 'Bayern Munich', 'clubID': '27', 'value': '€55.00m'}, {'date': '16/10/2015', 'age': '26', 'clubName': 'Bayern Munich', 'clubID': '27', 'value': '€75.00m'}, {'date': '15/02/2016', 'age': '26', 'clubName': 'Bayern Munich', 'clubID': '27', 'value': '€75.00m'}, {'date': '01/06/2016', 'age': '26', 'clubName': 'Bayern Munich', 'clubID': '27', 'value': '€75.00m'}, {'date': '22/07/2016', 'age': '26', 'clubName': 'Bayern Munich', 'clubID': '27', 'value': '€75.00m'}, {'date': '07/02/2017', 'age': '27', 'clubName': 'Bayern Munich', 'clubID': '27', 'value': '€60.00m'}, {'date': '19/06/2017', 'age': '27', 'clubName': 'Bayern Munich', 'clubID': '27', 'value': '€50.00m'}, {'date': '28/12/2017', 'age': '28', 'clubName': 'Bayern Munich', 'clubID': '27', 'value': '€45.00m'}, {'date': '04/04/2018', 'age': '28', 'clubName': 'Bayern Munich', 'clubID': '27', 'value': '€55.00m'}, {'date': '05/06/2018', 'age': '28', 'clubName': 'Bayern Munich', 'clubID': '27', 'value': '€60.00m'}, {'date': '16/07/2018', 'age': '28', 'clubName': 'Bayern Munich', 'clubID': '27', 'value': '€55.00m'}, {'date': '22/10/2018', 'age': '29', 'clubName': 'Bayern Munich', 'clubID': '27', 'value': '€50.00m'}, {'date': '18/12/2018', 'age': '29', 'clubName': 'Bayern Munich', 'clubID': '27', 'value': '€40.00m'}, {'date': '05/06/2019', 'age': '29', 'clubName': 'Bayern Munich', 'clubID': '27', 'value': '€35.00m'}, {'date': '17/12/2019', 'age': '30', 'clubName': 'Bayern Munich', 'clubID': '27', 'value': '€32.00m'}, {'date': '08/04/2020', 'age': '30', 'clubName': 'Bayern Munich', 'clubID': '27', 'value': '€25.50m'}, {'date': '08/07/2020', 'age': '30', 'clubName': 'Bayern Munich', 'clubID': '27', 'value': '€30.00m'}, {'date': '16/09/2020', 'age': '31', 'clubName': 'Bayern Munich', 'clubID': '27', 'value': '€35.00m'}, {'date': '10/02/2021', 'age': '31', 'clubName': 'Bayern Munich', 'clubID': '27', 'value': '€35.00m'}, {'date': '01/06/2021', 'age': '31', 'clubName': 'Bayern Munich', 'clubID': '27', 'value': '€30.00m'}, {'date': '22/12/2021', 'age': '32', 'clubName': 'Bayern Munich', 'clubID': '27', 'value': '€25.00m'}, {'date': '09/06/2022', 'age': '32', 'clubName': 'Bayern Munich', 'clubID': '27', 'value': '€22.00m'}, {'date': '09/11/2022', 'age': '33', 'clubName': 'Bayern Munich', 'clubID': '27', 'value': '€18.00m'}, {'date': '22/06/2023', 'age': '33', 'clubName': 'Bayern Munich', 'clubID': '27', 'value': '€12.00m'}, {'date': '14/12/2023', 'age': '34', 'clubName': 'Bayern Munich', 'clubID': '27', 'value': '€10.00m'}, {'date': '29/05/2024', 'age': '34', 'clubName': 'Bayern Munich', 'clubID': '27', 'value': '€8.00m'}, {'date': '20/12/2024', 'age': '35', 'clubName': 'Bayern Munich', 'clubID': '27', 'value': '€6.00m'}, {'date': '05/06/2025', 'age': '35', 'clubName': 'Bayern Munich', 'clubID': '27', 'value': '€6.00m'}, {'date': '11/12/2025', 'age': '36', 'clubName': 'Vancouver Whitecaps FC', 'clubID': '6321', 'value': '€5.00m'}]}</t>
  </si>
  <si>
    <t>1989-09-13</t>
  </si>
  <si>
    <t>Chernov</t>
  </si>
  <si>
    <t>{'marketValueHistory': [{'date': 'Jan 23, 2012', 'age': '19', 'clubName': 'Tom Tomsk', 'clubID': '3691', 'value': '€50k'}, {'date': 'Sep 13, 2013', 'age': '20', 'clubName': 'Khimik Dzerzhinsk', 'clubID': '20923', 'value': '€75k'}, {'date': 'Dec 27, 2013', 'age': '21', 'clubName': 'Khimik Dzerzhinsk', 'clubID': '20923', 'value': '€75k'}, {'date': 'Jun 29, 2014', 'age': '21', 'clubName': 'Khimik Dzerzhinsk', 'clubID': '20923', 'value': '€150k'}, {'date': 'Jun 11, 2015', 'age': '22', 'clubName': 'Khimik Dzerzhinsk', 'clubID': '20923', 'value': '€250k'}, {'date': 'Jan 10, 2016', 'age': '23', 'clubName': 'Tom Tomsk', 'clubID': '3691', 'value': '€250k'}, {'date': 'Apr 21, 2016', 'age': '23', 'clubName': 'Zenit 2 St. Petersburg', 'clubID': '16950', 'value': '€400k'}, {'date': 'Dec 24, 2016', 'age': '24', 'clubName': 'Zenit 2 St. Petersburg', 'clubID': '16950', 'value': '€600k'}, {'date': 'Jun 1, 2017', 'age': '24', 'clubName': 'Zenit St. Petersburg', 'clubID': '964', 'value': '€600k'}, {'date': 'Oct 2, 2017', 'age': '24', 'clubName': 'FC Tosno', 'clubID': '40426', 'value': '€800k'}, {'date': 'Dec 23, 2017', 'age': '25', 'clubName': 'FC Tosno', 'clubID': '40426', 'value': '€1.00m'}, {'date': 'Jun 6, 2018', 'age': '25', 'clubName': 'FC Tosno', 'clubID': '40426', 'value': '€1.00m'}, {'date': 'Dec 20, 2018', 'age': '26', 'clubName': 'Zenit St. Petersburg', 'clubID': '964', 'value': '€1.20m'}, {'date': 'Jun 14, 2019', 'age': '26', 'clubName': 'FC Rostov', 'clubID': '1083', 'value': '€2.00m'}, {'date': 'Dec 23, 2019', 'age': '27', 'clubName': 'FC Rostov', 'clubID': '1083', 'value': '€2.80m'}, {'date': 'Apr 8, 2020', 'age': '27', 'clubName': 'FC Rostov', 'clubID': '1083', 'value': '€2.20m'}, {'date': 'Jul 29, 2020', 'age': '27', 'clubName': 'FC Rostov', 'clubID': '1083', 'value': '€2.80m'}, {'date': 'Dec 29, 2020', 'age': '28', 'clubName': 'FC Krasnodar', 'clubID': '16704', 'value': '€2.80m'}, {'date': 'Jun 2, 2021', 'age': '28', 'clubName': 'FC Krasnodar', 'clubID': '16704', 'value': '€2.50m'}, {'date': 'Sep 15, 2021', 'age': '28', 'clubName': 'FC Krasnodar', 'clubID': '16704', 'value': '€2.00m'}, {'date': 'Dec 29, 2021', 'age': '29', 'clubName': 'FC Krasnodar', 'clubID': '16704', 'value': '€1.20m'}, {'date': 'Jun 2, 2022', 'age': '29', 'clubName': 'FC Krasnodar', 'clubID': '16704', 'value': '€1.00m'}, {'date': 'Nov 21, 2022', 'age': '30', 'clubName': 'FC Rostov', 'clubID': '1083', 'value': '€1.20m'}, {'date': 'Jun 14, 2023', 'age': '30', 'clubName': 'FC Rostov', 'clubID': '1083', 'value': '€1.00m'}, {'date': 'Dec 13, 2023', 'age': '31', 'clubName': 'FC Rostov', 'clubID': '1083', 'value': '€800k'}, {'date': 'Jun 4, 2024', 'age': '31', 'clubName': 'FC Rostov', 'clubID': '1083', 'value': '€700k'}, {'date': 'Dec 12, 2024', 'age': '32', 'clubName': 'FC Rostov', 'clubID': '1083', 'value': '€500k'}, {'date': 'Jun 2, 2025', 'age': '32', 'clubName': 'Baltika Kaliningrad', 'clubID': '2741', 'value': '€400k'}, {'date': 'Dec 16, 2025', 'age': '33', 'clubName': 'FC Rostov', 'clubID': '1083', 'value': '€300k'}]}</t>
  </si>
  <si>
    <t>1992-10-23</t>
  </si>
  <si>
    <t>Oliver Torres</t>
  </si>
  <si>
    <t>{'marketValueHistory': [{'date': '01/08/2012', 'age': '17', 'clubName': 'Atlético Madrileño', 'clubID': '3679', 'value': '€3.00m'}, {'date': '10/01/2013', 'age': '18', 'clubName': 'Atlético Madrileño', 'clubID': '3679', 'value': '€3.00m'}, {'date': '12/06/2013', 'age': '18', 'clubName': 'Atlético Madrileño', 'clubID': '3679', 'value': '€4.00m'}, {'date': '25/07/2013', 'age': '18', 'clubName': 'Atlético de Madrid', 'clubID': '13', 'value': '€8.00m'}, {'date': '23/01/2014', 'age': '19', 'clubName': 'Atlético de Madrid', 'clubID': '13', 'value': '€8.00m'}, {'date': '17/02/2015', 'age': '20', 'clubName': 'FC Porto', 'clubID': '720', 'value': '€11.00m'}, {'date': '01/07/2015', 'age': '20', 'clubName': 'Atlético de Madrid', 'clubID': '13', 'value': '€14.00m'}, {'date': '22/02/2016', 'age': '21', 'clubName': 'Atlético de Madrid', 'clubID': '13', 'value': '€14.00m'}, {'date': '15/07/2016', 'age': '21', 'clubName': 'Atlético de Madrid', 'clubID': '13', 'value': '€14.00m'}, {'date': '22/02/2017', 'age': '22', 'clubName': 'FC Porto', 'clubID': '720', 'value': '€14.00m'}, {'date': '26/06/2017', 'age': '22', 'clubName': 'FC Porto', 'clubID': '720', 'value': '€14.00m'}, {'date': '07/02/2018', 'age': '23', 'clubName': 'FC Porto', 'clubID': '720', 'value': '€12.00m'}, {'date': '13/06/2018', 'age': '23', 'clubName': 'FC Porto', 'clubID': '720', 'value': '€12.00m'}, {'date': '11/01/2019', 'age': '24', 'clubName': 'FC Porto', 'clubID': '720', 'value': '€14.00m'}, {'date': '18/03/2019', 'age': '24', 'clubName': 'FC Porto', 'clubID': '720', 'value': '€17.00m'}, {'date': '07/06/2019', 'age': '24', 'clubName': 'FC Porto', 'clubID': '720', 'value': '€17.00m'}, {'date': '20/12/2019', 'age': '25', 'clubName': 'Sevilla FC', 'clubID': '368', 'value': '€17.00m'}, {'date': '08/04/2020', 'age': '25', 'clubName': 'Sevilla FC', 'clubID': '368', 'value': '€13.50m'}, {'date': '08/10/2020', 'age': '25', 'clubName': 'Sevilla FC', 'clubID': '368', 'value': '€14.00m'}, {'date': '05/01/2021', 'age': '26', 'clubName': 'Sevilla FC', 'clubID': '368', 'value': '€13.00m'}, {'date': '10/06/2021', 'age': '26', 'clubName': 'Sevilla FC', 'clubID': '368', 'value': '€13.00m'}, {'date': '13/10/2021', 'age': '26', 'clubName': 'Sevilla FC', 'clubID': '368', 'value': '€9.00m'}, {'date': '30/12/2021', 'age': '27', 'clubName': 'Sevilla FC', 'clubID': '368', 'value': '€9.00m'}, {'date': '03/06/2022', 'age': '27', 'clubName': 'Sevilla FC', 'clubID': '368', 'value': '€8.00m'}, {'date': '07/11/2022', 'age': '27', 'clubName': 'Sevilla FC', 'clubID': '368', 'value': '€9.00m'}, {'date': '13/06/2023', 'age': '28', 'clubName': 'Sevilla FC', 'clubID': '368', 'value': '€9.00m'}, {'date': '13/10/2023', 'age': '28', 'clubName': 'Sevilla FC', 'clubID': '368', 'value': '€6.00m'}, {'date': '22/12/2023', 'age': '29', 'clubName': 'Sevilla FC', 'clubID': '368', 'value': '€6.00m'}, {'date': '07/06/2024', 'age': '29', 'clubName': 'Sevilla FC', 'clubID': '368', 'value': '€6.00m'}, {'date': '11/12/2024', 'age': '30', 'clubName': 'CF Monterrey', 'clubID': '2407', 'value': '€5.00m'}, {'date': '31/03/2025', 'age': '30', 'clubName': 'CF Monterrey', 'clubID': '2407', 'value': '€4.50m'}, {'date': '26/05/2025', 'age': '30', 'clubName': 'CF Monterrey', 'clubID': '2407', 'value': '€4.00m'}, {'date': '29/12/2025', 'age': '31', 'clubName': 'CF Monterrey', 'clubID': '2407', 'value': '€3.50m'}]}</t>
  </si>
  <si>
    <t>1994-11-10</t>
  </si>
  <si>
    <t>Cermak</t>
  </si>
  <si>
    <t>{'marketValueHistory': [{'date': 'Apr 19, 2013', 'age': '18', 'clubName': 'AC Sparta Prague', 'clubID': '197', 'value': '€100k'}, {'date': 'Oct 14, 2015', 'age': '21', 'clubName': 'FK Mlada Boleslav', 'clubID': '5546', 'value': '€350k'}, {'date': 'Mar 18, 2016', 'age': '21', 'clubName': 'FK Mlada Boleslav', 'clubID': '5546', 'value': '€500k'}, {'date': 'Aug 3, 2016', 'age': '21', 'clubName': 'AC Sparta Prague', 'clubID': '197', 'value': '€900k'}, {'date': 'Oct 16, 2016', 'age': '22', 'clubName': 'AC Sparta Prague', 'clubID': '197', 'value': '€1.10m'}, {'date': 'Dec 19, 2016', 'age': '22', 'clubName': 'AC Sparta Prague', 'clubID': '197', 'value': '€1.10m'}, {'date': 'Apr 15, 2017', 'age': '22', 'clubName': 'AC Sparta Prague', 'clubID': '197', 'value': '€1.25m'}, {'date': 'Jun 10, 2017', 'age': '22', 'clubName': 'AC Sparta Prague', 'clubID': '197', 'value': '€1.25m'}, {'date': 'Dec 21, 2017', 'age': '23', 'clubName': 'FC Viktoria Plzen', 'clubID': '941', 'value': '€1.25m'}, {'date': 'Jul 14, 2018', 'age': '23', 'clubName': 'FC Viktoria Plzen', 'clubID': '941', 'value': '€1.40m'}, {'date': 'Dec 30, 2018', 'age': '24', 'clubName': 'FC Viktoria Plzen', 'clubID': '941', 'value': '€1.50m'}, {'date': 'Jun 25, 2019', 'age': '24', 'clubName': 'FC Viktoria Plzen', 'clubID': '941', 'value': '€1.25m'}, {'date': 'Dec 7, 2019', 'age': '25', 'clubName': 'FC Viktoria Plzen', 'clubID': '941', 'value': '€1.25m'}, {'date': 'Apr 8, 2020', 'age': '25', 'clubName': 'FC Viktoria Plzen', 'clubID': '941', 'value': '€1.00m'}, {'date': 'Jul 10, 2020', 'age': '25', 'clubName': 'FC Viktoria Plzen', 'clubID': '941', 'value': '€2.00m'}, {'date': 'Dec 27, 2020', 'age': '26', 'clubName': 'FC Viktoria Plzen', 'clubID': '941', 'value': '€2.00m'}, {'date': 'Jun 25, 2021', 'age': '26', 'clubName': 'FC Viktoria Plzen', 'clubID': '941', 'value': '€1.80m'}, {'date': 'Dec 26, 2021', 'age': '27', 'clubName': 'FC Viktoria Plzen', 'clubID': '941', 'value': '€1.50m'}, {'date': 'Jun 22, 2022', 'age': '27', 'clubName': 'FC Viktoria Plzen', 'clubID': '941', 'value': '€1.20m'}, {'date': 'Sep 29, 2022', 'age': '27', 'clubName': 'FC Viktoria Plzen', 'clubID': '941', 'value': '€800k'}, {'date': 'Dec 14, 2022', 'age': '28', 'clubName': 'FC Viktoria Plzen', 'clubID': '941', 'value': '€700k'}, {'date': 'Jun 20, 2023', 'age': '28', 'clubName': 'Bohemians Prague 1905', 'clubID': '715', 'value': '€500k'}, {'date': 'Dec 27, 2023', 'age': '29', 'clubName': 'DAC Dunajska Streda', 'clubID': '4529', 'value': '€475k'}, {'date': 'Mar 28, 2024', 'age': '29', 'clubName': 'DAC Dunajska Streda', 'clubID': '4529', 'value': '€450k'}, {'date': 'Jun 7, 2024', 'age': '29', 'clubName': 'DAC Dunajska Streda', 'clubID': '4529', 'value': '€350k'}, {'date': 'Dec 20, 2024', 'age': '30', 'clubName': 'Bohemians Prague 1905', 'clubID': '715', 'value': '€300k'}, {'date': 'Apr 1, 2025', 'age': '30', 'clubName': 'Bohemians Prague 1905', 'clubID': '715', 'value': '€250k'}, {'date': 'Jun 17, 2025', 'age': '30', 'clubName': 'Bohemians Prague 1905', 'clubID': '715', 'value': '€225k'}, {'date': 'Dec 22, 2025', 'age': '31', 'clubName': 'Bohemians Prague 1905', 'clubID': '715', 'value': '€225k'}]}</t>
  </si>
  <si>
    <t>1994-10-01</t>
  </si>
  <si>
    <t>Andre Simoes</t>
  </si>
  <si>
    <t>{'marketValueHistory': [{'date': '25/09/2011', 'age': '21', 'clubName': 'CD Santa Clara', 'clubID': '2423', 'value': '€250k'}, {'date': '25/06/2012', 'age': '22', 'clubName': 'CD Santa Clara', 'clubID': '2423', 'value': '€400k'}, {'date': '05/11/2013', 'age': '23', 'clubName': 'Moreirense FC', 'clubID': '979', 'value': '€350k'}, {'date': '25/07/2014', 'age': '24', 'clubName': 'Moreirense FC', 'clubID': '979', 'value': '€600k'}, {'date': '17/02/2015', 'age': '25', 'clubName': 'Moreirense FC', 'clubID': '979', 'value': '€1.40m'}, {'date': '01/07/2015', 'age': '25', 'clubName': 'AEK Athens', 'clubID': '2441', 'value': '€1.80m'}, {'date': '27/09/2015', 'age': '25', 'clubName': 'AEK Athens', 'clubID': '2441', 'value': '€1.75m'}, {'date': '21/02/2016', 'age': '26', 'clubName': 'AEK Athens', 'clubID': '2441', 'value': '€2.00m'}, {'date': '21/06/2016', 'age': '26', 'clubName': 'AEK Athens', 'clubID': '2441', 'value': '€2.50m'}, {'date': '21/12/2016', 'age': '27', 'clubName': 'AEK Athens', 'clubID': '2441', 'value': '€2.50m'}, {'date': '11/05/2017', 'age': '27', 'clubName': 'AEK Athens', 'clubID': '2441', 'value': '€2.50m'}, {'date': '18/12/2017', 'age': '28', 'clubName': 'AEK Athens', 'clubID': '2441', 'value': '€3.00m'}, {'date': '22/05/2018', 'age': '28', 'clubName': 'AEK Athens', 'clubID': '2441', 'value': '€4.00m'}, {'date': '07/12/2018', 'age': '28', 'clubName': 'AEK Athens', 'clubID': '2441', 'value': '€3.50m'}, {'date': '07/02/2019', 'age': '29', 'clubName': 'AEK Athens', 'clubID': '2441', 'value': '€2.50m'}, {'date': '21/05/2019', 'age': '29', 'clubName': 'AEK Athens', 'clubID': '2441', 'value': '€2.00m'}, {'date': '23/09/2019', 'age': '29', 'clubName': 'AEK Athens', 'clubID': '2441', 'value': '€1.50m'}, {'date': '18/12/2019', 'age': '30', 'clubName': 'AEK Athens', 'clubID': '2441', 'value': '€1.50m'}, {'date': '08/04/2020', 'age': '30', 'clubName': 'AEK Athens', 'clubID': '2441', 'value': '€1.20m'}, {'date': '04/08/2020', 'age': '30', 'clubName': 'AEK Athens', 'clubID': '2441', 'value': '€1.50m'}, {'date': '12/02/2021', 'age': '31', 'clubName': 'AEK Athens', 'clubID': '2441', 'value': '€1.50m'}, {'date': '01/11/2021', 'age': '31', 'clubName': 'AEK Athens', 'clubID': '2441', 'value': '€1.20m'}, {'date': '22/02/2022', 'age': '32', 'clubName': 'AEK Athens', 'clubID': '2441', 'value': '€900k'}, {'date': '09/06/2022', 'age': '32', 'clubName': 'AEK Athens', 'clubID': '2441', 'value': '€600k'}, {'date': '01/11/2022', 'age': '32', 'clubName': 'FC Famalicão', 'clubID': '3329', 'value': '€300k'}, {'date': '16/06/2023', 'age': '33', 'clubName': 'FC Famalicão', 'clubID': '3329', 'value': '€200k'}, {'date': '14/12/2023', 'age': '33', 'clubName': 'Leixões SC', 'clubID': '3345', 'value': '€75k'}, {'date': '20/06/2024', 'age': '34', 'clubName': 'Leixões SC', 'clubID': '3345', 'value': '€75k'}, {'date': '16/12/2024', 'age': '35', 'clubName': 'Leixões SC', 'clubID': '3345', 'value': '€50k'}, {'date': '23/06/2025', 'age': '35', 'clubName': 'Leixões SC', 'clubID': '3345', 'value': '€50k'}, {'date': '01/07/2025', 'age': '35', 'clubName': 'Retired', 'clubID': '123', 'value': '-'}]}</t>
  </si>
  <si>
    <t>1989-12-16</t>
  </si>
  <si>
    <t>Camara</t>
  </si>
  <si>
    <t>{'marketValueHistory': [{'date': 'Jan 30, 2018', 'age': '18', 'clubName': 'FC Liefering', 'clubID': '37024', 'value': '€200k'}, {'date': 'Jun 13, 2018', 'age': '18', 'clubName': 'FC Liefering', 'clubID': '37024', 'value': '€400k'}, {'date': 'Dec 1, 2018', 'age': '18', 'clubName': 'FC Liefering', 'clubID': '37024', 'value': '€400k'}, {'date': 'Jun 3, 2019', 'age': '19', 'clubName': 'TSV Hartberg', 'clubID': '4467', 'value': '€600k'}, {'date': 'Dec 16, 2019', 'age': '19', 'clubName': 'Red Bull Salzburg', 'clubID': '409', 'value': '€1.50m'}, {'date': 'Apr 8, 2020', 'age': '20', 'clubName': 'Red Bull Salzburg', 'clubID': '409', 'value': '€1.30m'}, {'date': 'Jul 22, 2020', 'age': '20', 'clubName': 'Red Bull Salzburg', 'clubID': '409', 'value': '€5.00m'}, {'date': 'Dec 21, 2020', 'age': '20', 'clubName': 'Red Bull Salzburg', 'clubID': '409', 'value': '€10.00m'}, {'date': 'Jun 2, 2021', 'age': '21', 'clubName': 'Red Bull Salzburg', 'clubID': '409', 'value': '€10.00m'}, {'date': 'Sep 6, 2021', 'age': '21', 'clubName': 'Red Bull Salzburg', 'clubID': '409', 'value': '€16.00m'}, {'date': 'Dec 16, 2021', 'age': '21', 'clubName': 'Red Bull Salzburg', 'clubID': '409', 'value': '€23.00m'}, {'date': 'May 27, 2022', 'age': '22', 'clubName': 'Red Bull Salzburg', 'clubID': '409', 'value': '€27.00m'}, {'date': 'Nov 2, 2022', 'age': '22', 'clubName': 'AS Monaco', 'clubID': '162', 'value': '€25.00m'}, {'date': 'Mar 27, 2023', 'age': '23', 'clubName': 'AS Monaco', 'clubID': '162', 'value': '€28.00m'}, {'date': 'Jun 27, 2023', 'age': '23', 'clubName': 'AS Monaco', 'clubID': '162', 'value': '€30.00m'}, {'date': 'Dec 18, 2023', 'age': '23', 'clubName': 'AS Monaco', 'clubID': '162', 'value': '€25.00m'}, {'date': 'Jun 3, 2024', 'age': '24', 'clubName': 'AS Monaco', 'clubID': '162', 'value': '€20.00m'}, {'date': 'Dec 10, 2024', 'age': '24', 'clubName': 'Al-Sadd SC', 'clubID': '656', 'value': '€16.00m'}, {'date': 'May 28, 2025', 'age': '25', 'clubName': 'Al-Sadd SC', 'clubID': '656', 'value': '€14.00m'}, {'date': 'Dec 30, 2025', 'age': '25', 'clubName': 'Al-Sadd SC', 'clubID': '656', 'value': '€11.00m'}]}</t>
  </si>
  <si>
    <t>2000-01-06</t>
  </si>
  <si>
    <t>Belfodil</t>
  </si>
  <si>
    <t>{'marketValueHistory': [{'date': '30/08/2009', 'age': '17', 'clubName': 'Olympique Lyon', 'clubID': '1041', 'value': '€250k'}, {'date': '04/09/2009', 'age': '17', 'clubName': 'Olympique Lyon', 'clubID': '1041', 'value': '€400k'}, {'date': '22/12/2009', 'age': '17', 'clubName': 'Olympique Lyon', 'clubID': '1041', 'value': '€450k'}, {'date': '18/05/2010', 'age': '18', 'clubName': 'Olympique Lyon', 'clubID': '1041', 'value': '€500k'}, {'date': '24/05/2011', 'age': '19', 'clubName': 'Olympique Lyon', 'clubID': '1041', 'value': '€500k'}, {'date': '25/09/2011', 'age': '19', 'clubName': 'Olympique Lyon', 'clubID': '1041', 'value': '€750k'}, {'date': '24/12/2011', 'age': '19', 'clubName': 'Olympique Lyon', 'clubID': '1041', 'value': '€900k'}, {'date': '02/02/2012', 'age': '20', 'clubName': 'Bologna FC 1909', 'clubID': '1025', 'value': '€2.50m'}, {'date': '07/06/2012', 'age': '20', 'clubName': 'Bologna FC 1909', 'clubID': '1025', 'value': '€2.50m'}, {'date': '14/01/2013', 'age': '21', 'clubName': 'Parma FC', 'clubID': '130', 'value': '€4.50m'}, {'date': '19/06/2013', 'age': '21', 'clubName': 'Parma FC', 'clubID': '130', 'value': '€10.00m'}, {'date': '25/07/2013', 'age': '21', 'clubName': 'Inter Milan', 'clubID': '46', 'value': '€13.00m'}, {'date': '07/01/2014', 'age': '21', 'clubName': 'Inter Milan', 'clubID': '46', 'value': '€11.00m'}, {'date': '01/07/2014', 'age': '22', 'clubName': 'Parma FC', 'clubID': '130', 'value': '€7.00m'}, {'date': '07/01/2015', 'age': '22', 'clubName': 'Parma FC', 'clubID': '130', 'value': '€4.00m'}, {'date': '20/10/2016', 'age': '24', 'clubName': 'Standard Liège', 'clubID': '3057', 'value': '€3.00m'}, {'date': '21/01/2017', 'age': '25', 'clubName': 'Standard Liège', 'clubID': '3057', 'value': '€6.00m'}, {'date': '06/06/2017', 'age': '25', 'clubName': 'Standard Liège', 'clubID': '3057', 'value': '€6.00m'}, {'date': '28/12/2017', 'age': '25', 'clubName': 'SV Werder Bremen', 'clubID': '86', 'value': '€4.00m'}, {'date': '05/06/2018', 'age': '26', 'clubName': 'SV Werder Bremen', 'clubID': '86', 'value': '€5.50m'}, {'date': '18/12/2018', 'age': '26', 'clubName': 'TSG 1899 Hoffenheim', 'clubID': '533', 'value': '€7.00m'}, {'date': '05/06/2019', 'age': '27', 'clubName': 'TSG 1899 Hoffenheim', 'clubID': '533', 'value': '€15.00m'}, {'date': '17/12/2019', 'age': '27', 'clubName': 'TSG 1899 Hoffenheim', 'clubID': '533', 'value': '€15.00m'}, {'date': '08/04/2020', 'age': '28', 'clubName': 'TSG 1899 Hoffenheim', 'clubID': '533', 'value': '€12.00m'}, {'date': '16/09/2020', 'age': '28', 'clubName': 'TSG 1899 Hoffenheim', 'clubID': '533', 'value': '€7.50m'}, {'date': '10/02/2021', 'age': '29', 'clubName': 'TSG 1899 Hoffenheim', 'clubID': '533', 'value': '€5.00m'}, {'date': '09/06/2021', 'age': '29', 'clubName': 'TSG 1899 Hoffenheim', 'clubID': '533', 'value': '€2.80m'}, {'date': '07/10/2021', 'age': '29', 'clubName': 'Hertha BSC', 'clubID': '44', 'value': '€1.50m'}, {'date': '22/12/2021', 'age': '29', 'clubName': 'Hertha BSC', 'clubID': '44', 'value': '€1.70m'}, {'date': '09/06/2022', 'age': '30', 'clubName': 'Hertha BSC', 'clubID': '44', 'value': '€2.20m'}, {'date': '06/11/2022', 'age': '30', 'clubName': 'Al-Gharafa SC', 'clubID': '6297', 'value': '€1.80m'}, {'date': '30/05/2023', 'age': '31', 'clubName': 'Al-Gharafa SC', 'clubID': '6297', 'value': '€1.70m'}, {'date': '27/12/2023', 'age': '31', 'clubName': 'Sabah FK', 'clubID': '63993', 'value': '€900k'}, {'date': '12/06/2024', 'age': '32', 'clubName': 'Sabah FK', 'clubID': '63993', 'value': '€600k'}, {'date': '16/10/2024', 'age': '32', 'clubName': 'Without Club', 'clubID': '515', 'value': '€400k'}, {'date': '12/06/2025', 'age': '33', 'clubName': 'FK IMT Belgrad', 'clubID': '32113', 'value': '€350k'}, {'date': '21/10/2025', 'age': '33', 'clubName': 'Without Club', 'clubID': '515', 'value': '€300k'}, {'date': '09/04/2026', 'age': '34', 'clubName': 'Without Club', 'clubID': '515', 'value': '€250k'}]}</t>
  </si>
  <si>
    <t>1992-01-12</t>
  </si>
  <si>
    <t>Arias</t>
  </si>
  <si>
    <t>{'marketValueHistory': [{'date': 'Jun 21, 2019', 'age': '21', 'clubName': 'Boyacá Patriotas FC', 'clubID': '18231', 'value': '€650k'}, {'date': 'Feb 28, 2020', 'age': '22', 'clubName': 'Boyacá Patriotas FC', 'clubID': '18231', 'value': '€900k'}, {'date': 'Apr 8, 2020', 'age': '22', 'clubName': 'Boyacá Patriotas FC', 'clubID': '18231', 'value': '€725k'}, {'date': 'Jan 16, 2021', 'age': '23', 'clubName': 'CD América de Cali', 'clubID': '2352', 'value': '€850k'}, {'date': 'Jun 7, 2021', 'age': '23', 'clubName': 'Independiente Santa Fe', 'clubID': '11648', 'value': '€1.00m'}, {'date': 'Dec 17, 2021', 'age': '24', 'clubName': 'Fluminense Football Club', 'clubID': '2462', 'value': '€1.00m'}, {'date': 'Apr 6, 2022', 'age': '24', 'clubName': 'Fluminense Football Club', 'clubID': '2462', 'value': '€1.00m'}, {'date': 'Aug 19, 2022', 'age': '24', 'clubName': 'Fluminense Football Club', 'clubID': '2462', 'value': '€4.00m'}, {'date': 'Nov 14, 2022', 'age': '25', 'clubName': 'Fluminense Football Club', 'clubID': '2462', 'value': '€7.00m'}, {'date': 'Apr 7, 2023', 'age': '25', 'clubName': 'Fluminense Football Club', 'clubID': '2462', 'value': '€8.00m'}, {'date': 'Jul 25, 2023', 'age': '25', 'clubName': 'Fluminense Football Club', 'clubID': '2462', 'value': '€8.00m'}, {'date': 'Dec 11, 2023', 'age': '26', 'clubName': 'Fluminense Football Club', 'clubID': '2462', 'value': '€10.00m'}, {'date': 'Mar 28, 2024', 'age': '26', 'clubName': 'Fluminense Football Club', 'clubID': '2462', 'value': '€12.00m'}, {'date': 'Jun 17, 2024', 'age': '26', 'clubName': 'Fluminense Football Club', 'clubID': '2462', 'value': '€14.00m'}, {'date': 'Sep 27, 2024', 'age': '27', 'clubName': 'Fluminense Football Club', 'clubID': '2462', 'value': '€15.00m'}, {'date': 'Dec 9, 2024', 'age': '27', 'clubName': 'Fluminense Football Club', 'clubID': '2462', 'value': '€16.00m'}, {'date': 'Jun 6, 2025', 'age': '27', 'clubName': 'Fluminense Football Club', 'clubID': '2462', 'value': '€17.00m'}, {'date': 'Dec 9, 2025', 'age': '28', 'clubName': 'Wolverhampton Wanderers', 'clubID': '543', 'value': '€15.00m'}]}</t>
  </si>
  <si>
    <t>1997-09-21</t>
  </si>
  <si>
    <t>Zagadou</t>
  </si>
  <si>
    <t>{'marketValueHistory': [{'date': '04/05/2017', 'age': '17', 'clubName': 'Paris Saint-Germain B', 'clubID': '8512', 'value': '€125k'}, {'date': '18/10/2017', 'age': '18', 'clubName': 'Borussia Dortmund', 'clubID': '16', 'value': '€2.50m'}, {'date': '28/12/2017', 'age': '18', 'clubName': 'Borussia Dortmund', 'clubID': '16', 'value': '€5.00m'}, {'date': '05/06/2018', 'age': '19', 'clubName': 'Borussia Dortmund', 'clubID': '16', 'value': '€5.00m'}, {'date': '22/10/2018', 'age': '19', 'clubName': 'Borussia Dortmund', 'clubID': '16', 'value': '€8.00m'}, {'date': '18/12/2018', 'age': '19', 'clubName': 'Borussia Dortmund', 'clubID': '16', 'value': '€20.00m'}, {'date': '06/03/2019', 'age': '19', 'clubName': 'Borussia Dortmund', 'clubID': '16', 'value': '€30.00m'}, {'date': '05/06/2019', 'age': '20', 'clubName': 'Borussia Dortmund', 'clubID': '16', 'value': '€28.00m'}, {'date': '17/12/2019', 'age': '20', 'clubName': 'Borussia Dortmund', 'clubID': '16', 'value': '€28.00m'}, {'date': '11/03/2020', 'age': '20', 'clubName': 'Borussia Dortmund', 'clubID': '16', 'value': '€35.00m'}, {'date': '08/04/2020', 'age': '20', 'clubName': 'Borussia Dortmund', 'clubID': '16', 'value': '€31.50m'}, {'date': '10/02/2021', 'age': '21', 'clubName': 'Borussia Dortmund', 'clubID': '16', 'value': '€22.00m'}, {'date': '31/03/2021', 'age': '21', 'clubName': 'Borussia Dortmund', 'clubID': '16', 'value': '€18.00m'}, {'date': '09/06/2021', 'age': '22', 'clubName': 'Borussia Dortmund', 'clubID': '16', 'value': '€18.00m'}, {'date': '07/10/2021', 'age': '22', 'clubName': 'Borussia Dortmund', 'clubID': '16', 'value': '€14.00m'}, {'date': '22/12/2021', 'age': '22', 'clubName': 'Borussia Dortmund', 'clubID': '16', 'value': '€14.00m'}, {'date': '24/03/2022', 'age': '22', 'clubName': 'Borussia Dortmund', 'clubID': '16', 'value': '€9.00m'}, {'date': '09/06/2022', 'age': '23', 'clubName': 'Borussia Dortmund', 'clubID': '16', 'value': '€9.00m'}, {'date': '21/09/2022', 'age': '23', 'clubName': 'VfB Stuttgart', 'clubID': '79', 'value': '€5.00m'}, {'date': '09/11/2022', 'age': '23', 'clubName': 'VfB Stuttgart', 'clubID': '79', 'value': '€5.00m'}, {'date': '29/03/2023', 'age': '23', 'clubName': 'VfB Stuttgart', 'clubID': '79', 'value': '€3.50m'}, {'date': '22/06/2023', 'age': '24', 'clubName': 'VfB Stuttgart', 'clubID': '79', 'value': '€2.50m'}, {'date': '18/10/2023', 'age': '24', 'clubName': 'VfB Stuttgart', 'clubID': '79', 'value': '€5.50m'}, {'date': '14/12/2023', 'age': '24', 'clubName': 'VfB Stuttgart', 'clubID': '79', 'value': '€10.00m'}, {'date': '29/05/2024', 'age': '24', 'clubName': 'VfB Stuttgart', 'clubID': '79', 'value': '€10.00m'}, {'date': '20/12/2024', 'age': '25', 'clubName': 'VfB Stuttgart', 'clubID': '79', 'value': '€6.00m'}, {'date': '05/06/2025', 'age': '26', 'clubName': 'VfB Stuttgart', 'clubID': '79', 'value': '€2.00m'}, {'date': '19/12/2025', 'age': '26', 'clubName': 'VfB Stuttgart', 'clubID': '79', 'value': '€2.00m'}]}</t>
  </si>
  <si>
    <t>1999-06-03</t>
  </si>
  <si>
    <t>Batshuayi</t>
  </si>
  <si>
    <t>{'marketValueHistory': [{'date': 'Jul 11, 2011', 'age': '17', 'clubName': 'Standard Liège', 'clubID': '3057', 'value': '€50k'}, {'date': 'Aug 12, 2011', 'age': '17', 'clubName': 'Standard Liège', 'clubID': '3057', 'value': '€400k'}, {'date': 'Jan 5, 2012', 'age': '18', 'clubName': 'Standard Liège', 'clubID': '3057', 'value': '€600k'}, {'date': 'Apr 3, 2012', 'age': '18', 'clubName': 'Standard Liège', 'clubID': '3057', 'value': '€1.50m'}, {'date': 'Jan 9, 2013', 'age': '19', 'clubName': 'Standard Liège', 'clubID': '3057', 'value': '€2.00m'}, {'date': 'Jun 25, 2013', 'age': '19', 'clubName': 'Standard Liège', 'clubID': '3057', 'value': '€3.50m'}, {'date': 'Oct 8, 2013', 'age': '20', 'clubName': 'Standard Liège', 'clubID': '3057', 'value': '€5.00m'}, {'date': 'Feb 10, 2014', 'age': '20', 'clubName': 'Standard Liège', 'clubID': '3057', 'value': '€8.00m'}, {'date': 'Jun 28, 2014', 'age': '20', 'clubName': 'Standard Liège', 'clubID': '3057', 'value': '€8.00m'}, {'date': 'Aug 7, 2014', 'age': '20', 'clubName': 'Olympique Marseille', 'clubID': '244', 'value': '€8.00m'}, {'date': 'Jan 14, 2015', 'age': '21', 'clubName': 'Olympique Marseille', 'clubID': '244', 'value': '€7.50m'}, {'date': 'Jun 6, 2015', 'age': '21', 'clubName': 'Olympique Marseille', 'clubID': '244', 'value': '€8.00m'}, {'date': 'Sep 6, 2015', 'age': '21', 'clubName': 'Olympique Marseille', 'clubID': '244', 'value': '€9.00m'}, {'date': 'Feb 4, 2016', 'age': '22', 'clubName': 'Olympique Marseille', 'clubID': '244', 'value': '€14.00m'}, {'date': 'Jun 1, 2016', 'age': '22', 'clubName': 'Olympique Marseille', 'clubID': '244', 'value': '€15.00m'}, {'date': 'Aug 1, 2016', 'age': '22', 'clubName': 'Chelsea FC', 'clubID': '631', 'value': '€25.00m'}, {'date': 'Feb 20, 2017', 'age': '23', 'clubName': 'Chelsea FC', 'clubID': '631', 'value': '€25.00m'}, {'date': 'Jun 28, 2017', 'age': '23', 'clubName': 'Chelsea FC', 'clubID': '631', 'value': '€25.00m'}, {'date': 'Jan 2, 2018', 'age': '24', 'clubName': 'Chelsea FC', 'clubID': '631', 'value': '€25.00m'}, {'date': 'Apr 4, 2018', 'age': '24', 'clubName': 'Borussia Dortmund', 'clubID': '16', 'value': '€40.00m'}, {'date': 'Jun 5, 2018', 'age': '24', 'clubName': 'Borussia Dortmund', 'clubID': '16', 'value': '€40.00m'}, {'date': 'Dec 21, 2018', 'age': '25', 'clubName': 'Valencia CF', 'clubID': '1049', 'value': '€30.00m'}, {'date': 'Jun 13, 2019', 'age': '25', 'clubName': 'Crystal Palace', 'clubID': '873', 'value': '€30.00m'}, {'date': 'Sep 12, 2019', 'age': '25', 'clubName': 'Chelsea FC', 'clubID': '631', 'value': '€25.00m'}, {'date': 'Dec 10, 2019', 'age': '26', 'clubName': 'Chelsea FC', 'clubID': '631', 'value': '€22.00m'}, {'date': 'Apr 8, 2020', 'age': '26', 'clubName': 'Chelsea FC', 'clubID': '631', 'value': '€17.50m'}, {'date': 'Jul 30, 2020', 'age': '26', 'clubName': 'Chelsea FC', 'clubID': '631', 'value': '€14.00m'}, {'date': 'Oct 13, 2020', 'age': '27', 'clubName': 'Crystal Palace', 'clubID': '873', 'value': '€12.00m'}, {'date': 'Mar 18, 2021', 'age': '27', 'clubName': 'Crystal Palace', 'clubID': '873', 'value': '€10.00m'}, {'date': 'May 26, 2021', 'age': '27', 'clubName': 'Crystal Palace', 'clubID': '873', 'value': '€10.00m'}, {'date': 'Oct 12, 2021', 'age': '28', 'clubName': 'Besiktas JK', 'clubID': '114', 'value': '€10.00m'}, {'date': 'Jan 4, 2022', 'age': '28', 'clubName': 'Besiktas JK', 'clubID': '114', 'value': '€10.00m'}, {'date': 'Mar 31, 2022', 'age': '28', 'clubName': 'Besiktas JK', 'clubID': '114', 'value': '€10.00m'}, {'date': 'Jun 1, 2022', 'age': '28', 'clubName': 'Besiktas JK', 'clubID': '114', 'value': '€10.00m'}, {'date': 'Sep 13, 2022', 'age': '28', 'clubName': 'Fenerbahce', 'clubID': '36', 'value': '€9.50m'}, {'date': 'Oct 27, 2022', 'age': '29', 'clubName': 'Fenerbahce', 'clubID': '36', 'value': '€10.00m'}, {'date': 'Mar 14, 2023', 'age': '29', 'clubName': 'Fenerbahce', 'clubID': '36', 'value': '€10.00m'}, {'date': 'Jun 8, 2023', 'age': '29', 'clubName': 'Fenerbahce', 'clubID': '36', 'value': '€10.00m'}, {'date': 'Sep 27, 2023', 'age': '29', 'clubName': 'Fenerbahce', 'clubID': '36', 'value': '€9.00m'}, {'date': 'Dec 21, 2023', 'age': '30', 'clubName': 'Fenerbahce', 'clubID': '36', 'value': '€7.50m'}, {'date': 'Mar 15, 2024', 'age': '30', 'clubName': 'Fenerbahce', 'clubID': '36', 'value': '€8.00m'}, {'date': 'May 31, 2024', 'age': '30', 'clubName': 'Fenerbahce', 'clubID': '36', 'value': '€8.50m'}, {'date': 'Oct 4, 2024', 'age': '31', 'clubName': 'Galatasaray', 'clubID': '141', 'value': '€8.00m'}, {'date': 'Dec 23, 2024', 'age': '31', 'clubName': 'Galatasaray', 'clubID': '141', 'value': '€7.00m'}, {'date': 'Mar 27, 2025', 'age': '31', 'clubName': 'Eintracht Frankfurt', 'clubID': '24', 'value': '€5.00m'}, {'date': 'Jun 5, 2025', 'age': '31', 'clubName': 'Eintracht Frankfurt', 'clubID': '24', 'value': '€4.00m'}, {'date': 'Dec 19, 2025', 'age': '32', 'clubName': 'Eintracht Frankfurt', 'clubID': '24', 'value': '€3.00m'}]}</t>
  </si>
  <si>
    <t>1993-10-02</t>
  </si>
  <si>
    <t>Sulejmani</t>
  </si>
  <si>
    <t>{'marketValueHistory': [{'date': '21/02/2006', 'age': '17', 'clubName': 'FK Partizan Belgrade', 'clubID': '669', 'value': '€150k'}, {'date': '22/02/2006', 'age': '17', 'clubName': 'FK Partizan Belgrade', 'clubID': '669', 'value': '€450k'}, {'date': '20/09/2007', 'age': '18', 'clubName': 'SC Heerenveen', 'clubID': '306', 'value': '€1.00m'}, {'date': '24/09/2007', 'age': '18', 'clubName': 'SC Heerenveen', 'clubID': '306', 'value': '€1.50m'}, {'date': '15/02/2008', 'age': '19', 'clubName': 'SC Heerenveen', 'clubID': '306', 'value': '€2.50m'}, {'date': '14/04/2008', 'age': '19', 'clubName': 'SC Heerenveen', 'clubID': '306', 'value': '€4.00m'}, {'date': '06/07/2008', 'age': '19', 'clubName': 'Ajax Amsterdam', 'clubID': '610', 'value': '€8.50m'}, {'date': '30/12/2009', 'age': '21', 'clubName': 'Ajax Amsterdam', 'clubID': '610', 'value': '€7.00m'}, {'date': '10/05/2010', 'age': '21', 'clubName': 'Ajax Amsterdam', 'clubID': '610', 'value': '€6.00m'}, {'date': '01/08/2010', 'age': '21', 'clubName': 'Ajax Amsterdam', 'clubID': '610', 'value': '€4.50m'}, {'date': '15/06/2011', 'age': '22', 'clubName': 'Ajax Amsterdam', 'clubID': '610', 'value': '€5.50m'}, {'date': '05/01/2012', 'age': '23', 'clubName': 'Ajax Amsterdam', 'clubID': '610', 'value': '€7.00m'}, {'date': '09/01/2013', 'age': '24', 'clubName': 'Ajax Amsterdam', 'clubID': '610', 'value': '€5.50m'}, {'date': '28/05/2013', 'age': '24', 'clubName': 'Ajax Amsterdam', 'clubID': '610', 'value': '€2.50m'}, {'date': '25/07/2014', 'age': '25', 'clubName': 'SL Benfica', 'clubID': '294', 'value': '€4.00m'}, {'date': '17/02/2015', 'age': '26', 'clubName': 'SL Benfica', 'clubID': '294', 'value': '€3.30m'}, {'date': '01/07/2015', 'age': '26', 'clubName': 'BSC Young Boys', 'clubID': '452', 'value': '€3.00m'}, {'date': '18/12/2015', 'age': '27', 'clubName': 'BSC Young Boys', 'clubID': '452', 'value': '€3.00m'}, {'date': '16/07/2016', 'age': '27', 'clubName': 'BSC Young Boys', 'clubID': '452', 'value': '€3.00m'}, {'date': '20/12/2016', 'age': '28', 'clubName': 'BSC Young Boys', 'clubID': '452', 'value': '€2.50m'}, {'date': '12/07/2017', 'age': '28', 'clubName': 'BSC Young Boys', 'clubID': '452', 'value': '€2.50m'}, {'date': '08/01/2018', 'age': '29', 'clubName': 'BSC Young Boys', 'clubID': '452', 'value': '€2.25m'}, {'date': '24/04/2018', 'age': '29', 'clubName': 'BSC Young Boys', 'clubID': '452', 'value': '€3.00m'}, {'date': '12/07/2018', 'age': '29', 'clubName': 'BSC Young Boys', 'clubID': '452', 'value': '€4.50m'}, {'date': '21/01/2019', 'age': '30', 'clubName': 'BSC Young Boys', 'clubID': '452', 'value': '€4.50m'}, {'date': '15/04/2019', 'age': '30', 'clubName': 'BSC Young Boys', 'clubID': '452', 'value': '€4.50m'}, {'date': '04/06/2019', 'age': '30', 'clubName': 'BSC Young Boys', 'clubID': '452', 'value': '€4.50m'}, {'date': '06/01/2020', 'age': '31', 'clubName': 'BSC Young Boys', 'clubID': '452', 'value': '€4.50m'}, {'date': '08/04/2020', 'age': '31', 'clubName': 'BSC Young Boys', 'clubID': '452', 'value': '€3.50m'}, {'date': '31/07/2020', 'age': '31', 'clubName': 'BSC Young Boys', 'clubID': '452', 'value': '€3.50m'}, {'date': '28/12/2020', 'age': '32', 'clubName': 'BSC Young Boys', 'clubID': '452', 'value': '€1.50m'}, {'date': '15/04/2021', 'age': '32', 'clubName': 'BSC Young Boys', 'clubID': '452', 'value': '€1.00m'}, {'date': '23/06/2021', 'age': '32', 'clubName': 'BSC Young Boys', 'clubID': '452', 'value': '€800k'}, {'date': '03/01/2022', 'age': '33', 'clubName': 'BSC Young Boys', 'clubID': '452', 'value': '€400k'}, {'date': '08/06/2022', 'age': '33', 'clubName': 'BSC Young Boys', 'clubID': '452', 'value': '€400k'}, {'date': '29/12/2022', 'age': '34', 'clubName': 'Without Club', 'clubID': '515', 'value': '€300k'}, {'date': '28/03/2023', 'age': '34', 'clubName': 'Without Club', 'clubID': '515', 'value': '€200k'}, {'date': '07/03/2024', 'age': '35', 'clubName': 'Zeleznicar Indjija', 'clubID': '94939', 'value': '-'}]}</t>
  </si>
  <si>
    <t>1988-12-05</t>
  </si>
  <si>
    <t>Sylla</t>
  </si>
  <si>
    <t>{'marketValueHistory': [{'date': 'Jul 20, 2022', 'age': '19', 'clubName': 'Club Brugge KV', 'clubID': '2282', 'value': '€200k'}, {'date': 'Sep 7, 2022', 'age': '19', 'clubName': 'Club Brugge KV', 'clubID': '2282', 'value': '€1.50m'}, {'date': 'Nov 4, 2022', 'age': '19', 'clubName': 'Club Brugge KV', 'clubID': '2282', 'value': '€9.00m'}, {'date': 'Jun 9, 2023', 'age': '20', 'clubName': 'Club Brugge KV', 'clubID': '2282', 'value': '€8.00m'}, {'date': 'Oct 16, 2023', 'age': '20', 'clubName': 'RC Strasbourg Alsace', 'clubID': '667', 'value': '€15.00m'}, {'date': 'Dec 18, 2023', 'age': '20', 'clubName': 'RC Strasbourg Alsace', 'clubID': '667', 'value': '€12.00m'}, {'date': 'Jun 3, 2024', 'age': '21', 'clubName': 'RC Strasbourg Alsace', 'clubID': '667', 'value': '€12.00m'}, {'date': 'Dec 10, 2024', 'age': '21', 'clubName': 'RC Strasbourg Alsace', 'clubID': '667', 'value': '€12.00m'}, {'date': 'Jun 3, 2025', 'age': '22', 'clubName': 'RC Strasbourg Alsace', 'clubID': '667', 'value': '€10.00m'}, {'date': 'Oct 10, 2025', 'age': '22', 'clubName': 'RC Strasbourg Alsace', 'clubID': '667', 'value': '€5.00m'}, {'date': 'Dec 15, 2025', 'age': '22', 'clubName': 'RC Strasbourg Alsace', 'clubID': '667', 'value': '€3.00m'}]}</t>
  </si>
  <si>
    <t>2002-12-25</t>
  </si>
  <si>
    <t>Falcao</t>
  </si>
  <si>
    <t>{'marketValueHistory': [{'date': 'Sep 24, 2007', 'age': '21', 'clubName': 'CA River Plate', 'clubID': '15108', 'value': '€2.25m'}, {'date': 'Dec 27, 2007', 'age': '21', 'clubName': 'CA River Plate', 'clubID': '15108', 'value': '€3.75m'}, {'date': 'Mar 31, 2008', 'age': '22', 'clubName': 'CA River Plate', 'clubID': '15108', 'value': '€5.10m'}, {'date': 'Aug 25, 2008', 'age': '22', 'clubName': 'CA River Plate', 'clubID': '15108', 'value': '€6.50m'}, {'date': 'Dec 20, 2008', 'age': '22', 'clubName': 'CA River Plate', 'clubID': '15108', 'value': '€6.50m'}, {'date': 'May 14, 2009', 'age': '23', 'clubName': 'CA River Plate', 'clubID': '15108', 'value': '€6.50m'}, {'date': 'Feb 3, 2010', 'age': '23', 'clubName': 'FC Porto', 'clubID': '720', 'value': '€8.00m'}, {'date': 'Jun 10, 2010', 'age': '24', 'clubName': 'FC Porto', 'clubID': '720', 'value': '€12.20m'}, {'date': 'Feb 4, 2011', 'age': '24', 'clubName': 'FC Porto', 'clubID': '720', 'value': '€17.50m'}, {'date': 'Jun 15, 2011', 'age': '25', 'clubName': 'FC Porto', 'clubID': '720', 'value': '€25.00m'}, {'date': 'Sep 3, 2011', 'age': '25', 'clubName': 'Atlético de Madrid', 'clubID': '13', 'value': '€30.00m'}, {'date': 'Feb 3, 2012', 'age': '25', 'clubName': 'Atlético de Madrid', 'clubID': '13', 'value': '€35.00m'}, {'date': 'Apr 14, 2012', 'age': '26', 'clubName': 'Atlético de Madrid', 'clubID': '13', 'value': '€40.00m'}, {'date': 'Aug 1, 2012', 'age': '26', 'clubName': 'Atlético de Madrid', 'clubID': '13', 'value': '€50.00m'}, {'date': 'Jan 10, 2013', 'age': '26', 'clubName': 'Atlético de Madrid', 'clubID': '13', 'value': '€60.00m'}, {'date': 'Jun 12, 2013', 'age': '27', 'clubName': 'Atlético de Madrid', 'clubID': '13', 'value': '€60.00m'}, {'date': 'Jan 14, 2014', 'age': '27', 'clubName': 'AS Monaco', 'clubID': '162', 'value': '€60.00m'}, {'date': 'Aug 7, 2014', 'age': '28', 'clubName': 'AS Monaco', 'clubID': '162', 'value': '€55.00m'}, {'date': 'Feb 12, 2015', 'age': '29', 'clubName': 'Manchester United', 'clubID': '985', 'value': '€45.00m'}, {'date': 'Jul 1, 2015', 'age': '29', 'clubName': 'AS Monaco', 'clubID': '162', 'value': '€35.00m'}, {'date': 'Feb 9, 2016', 'age': '29', 'clubName': 'Chelsea FC', 'clubID': '631', 'value': '€23.00m'}, {'date': 'Jul 13, 2016', 'age': '30', 'clubName': 'AS Monaco', 'clubID': '162', 'value': '€15.00m'}, {'date': 'Jan 16, 2017', 'age': '30', 'clubName': 'AS Monaco', 'clubID': '162', 'value': '€15.00m'}, {'date': 'Jun 1, 2017', 'age': '31', 'clubName': 'AS Monaco', 'clubID': '162', 'value': '€15.00m'}, {'date': 'Jan 24, 2018', 'age': '31', 'clubName': 'AS Monaco', 'clubID': '162', 'value': '€15.00m'}, {'date': 'Jun 4, 2018', 'age': '32', 'clubName': 'AS Monaco', 'clubID': '162', 'value': '€12.00m'}, {'date': 'Dec 17, 2018', 'age': '32', 'clubName': 'AS Monaco', 'clubID': '162', 'value': '€12.00m'}, {'date': 'Jun 3, 2019', 'age': '33', 'clubName': 'AS Monaco', 'clubID': '162', 'value': '€10.00m'}, {'date': 'Oct 4, 2019', 'age': '33', 'clubName': 'Galatasaray', 'clubID': '141', 'value': '€8.00m'}, {'date': 'Jan 3, 2020', 'age': '33', 'clubName': 'Galatasaray', 'clubID': '141', 'value': '€6.00m'}, {'date': 'Apr 8, 2020', 'age': '34', 'clubName': 'Galatasaray', 'clubID': '141', 'value': '€4.80m'}, {'date': 'Aug 4, 2020', 'age': '34', 'clubName': 'Galatasaray', 'clubID': '141', 'value': '€4.20m'}, {'date': 'Dec 23, 2020', 'age': '34', 'clubName': 'Galatasaray', 'clubID': '141', 'value': '€3.50m'}, {'date': 'Mar 16, 2021', 'age': '35', 'clubName': 'Galatasaray', 'clubID': '141', 'value': '€2.50m'}, {'date': 'May 21, 2021', 'age': '35', 'clubName': 'Galatasaray', 'clubID': '141', 'value': '€2.20m'}, {'date': 'Dec 30, 2021', 'age': '35', 'clubName': 'Rayo Vallecano', 'clubID': '367', 'value': '€2.00m'}, {'date': 'Jun 3, 2022', 'age': '36', 'clubName': 'Rayo Vallecano', 'clubID': '367', 'value': '€2.00m'}, {'date': 'Nov 7, 2022', 'age': '36', 'clubName': 'Rayo Vallecano', 'clubID': '367', 'value': '€2.00m'}, {'date': 'Jun 13, 2023', 'age': '37', 'clubName': 'Rayo Vallecano', 'clubID': '367', 'value': '€2.00m'}, {'date': 'Oct 13, 2023', 'age': '37', 'clubName': 'Rayo Vallecano', 'clubID': '367', 'value': '€1.50m'}, {'date': 'Dec 22, 2023', 'age': '37', 'clubName': 'Rayo Vallecano', 'clubID': '367', 'value': '€1.20m'}, {'date': 'Mar 21, 2024', 'age': '38', 'clubName': 'Rayo Vallecano', 'clubID': '367', 'value': '€900k'}, {'date': 'Jun 7, 2024', 'age': '38', 'clubName': 'Rayo Vallecano', 'clubID': '367', 'value': '€800k'}, {'date': 'Sep 23, 2024', 'age': '38', 'clubName': 'Millonarios FC', 'clubID': '2350', 'value': '€400k'}, {'date': 'Dec 10, 2024', 'age': '38', 'clubName': 'Millonarios FC', 'clubID': '2350', 'value': '€300k'}, {'date': 'Apr 7, 2025', 'age': '39', 'clubName': 'Millonarios FC', 'clubID': '2350', 'value': '€250k'}, {'date': 'Jun 20, 2025', 'age': '39', 'clubName': 'Millonarios FC', 'clubID': '2350', 'value': '€150k'}, {'date': 'Oct 21, 2025', 'age': '39', 'clubName': 'Without Club', 'clubID': '515', 'value': '€100k'}]}</t>
  </si>
  <si>
    <t>Venezuela</t>
  </si>
  <si>
    <t>1986-02-10</t>
  </si>
  <si>
    <t>Oikonomou</t>
  </si>
  <si>
    <t>{'marketValueHistory': [{'date': '22/02/2011', 'age': '18', 'clubName': 'PAS Giannina', 'clubID': '2671', 'value': '€50k'}, {'date': '30/06/2011', 'age': '18', 'clubName': 'PAS Giannina', 'clubID': '2671', 'value': '€100k'}, {'date': '11/03/2012', 'age': '19', 'clubName': 'PAS Giannina', 'clubID': '2671', 'value': '€100k'}, {'date': '21/09/2012', 'age': '19', 'clubName': 'PAS Giannina', 'clubID': '2671', 'value': '€100k'}, {'date': '10/02/2013', 'age': '20', 'clubName': 'PAS Giannina', 'clubID': '2671', 'value': '€250k'}, {'date': '22/07/2013', 'age': '20', 'clubName': 'Cagliari Calcio', 'clubID': '1390', 'value': '€400k'}, {'date': '07/01/2014', 'age': '21', 'clubName': 'Cagliari Calcio', 'clubID': '1390', 'value': '€400k'}, {'date': '01/07/2014', 'age': '21', 'clubName': 'Bologna FC 1909', 'clubID': '1025', 'value': '€300k'}, {'date': '10/02/2015', 'age': '22', 'clubName': 'Bologna FC 1909', 'clubID': '1025', 'value': '€1.00m'}, {'date': '29/06/2015', 'age': '22', 'clubName': 'Bologna FC 1909', 'clubID': '1025', 'value': '€1.70m'}, {'date': '04/01/2016', 'age': '23', 'clubName': 'Bologna FC 1909', 'clubID': '1025', 'value': '€2.50m'}, {'date': '15/07/2016', 'age': '23', 'clubName': 'Bologna FC 1909', 'clubID': '1025', 'value': '€2.50m'}, {'date': '02/01/2017', 'age': '24', 'clubName': 'Bologna FC 1909', 'clubID': '1025', 'value': '€2.00m'}, {'date': '08/06/2017', 'age': '24', 'clubName': 'Bologna FC 1909', 'clubID': '1025', 'value': '€1.80m'}, {'date': '29/12/2017', 'age': '25', 'clubName': 'SPAL 2013', 'clubID': '2722', 'value': '€1.50m'}, {'date': '18/06/2018', 'age': '25', 'clubName': 'FC Bari 1908', 'clubID': '332', 'value': '€1.00m'}, {'date': '07/12/2018', 'age': '26', 'clubName': 'AEK Athens', 'clubID': '2441', 'value': '€1.00m'}, {'date': '21/05/2019', 'age': '26', 'clubName': 'AEK Athens', 'clubID': '2441', 'value': '€1.00m'}, {'date': '18/12/2019', 'age': '27', 'clubName': 'AEK Athens', 'clubID': '2441', 'value': '€1.00m'}, {'date': '08/04/2020', 'age': '27', 'clubName': 'AEK Athens', 'clubID': '2441', 'value': '€800k'}, {'date': '04/08/2020', 'age': '27', 'clubName': 'AEK Athens', 'clubID': '2441', 'value': '€700k'}, {'date': '23/12/2020', 'age': '28', 'clubName': 'FC Copenhagen', 'clubID': '190', 'value': '€500k'}, {'date': '04/06/2021', 'age': '28', 'clubName': 'FC Copenhagen', 'clubID': '190', 'value': '€500k'}, {'date': '28/12/2021', 'age': '29', 'clubName': 'FC Copenhagen', 'clubID': '190', 'value': '€400k'}, {'date': '20/06/2022', 'age': '29', 'clubName': 'FC Copenhagen', 'clubID': '190', 'value': '€400k'}, {'date': '13/09/2022', 'age': '29', 'clubName': 'FC Copenhagen', 'clubID': '190', 'value': '€300k'}, {'date': '15/06/2023', 'age': '30', 'clubName': 'UC Sampdoria', 'clubID': '1038', 'value': '€300k'}, {'date': '20/12/2023', 'age': '31', 'clubName': 'Panetolikos', 'clubID': '6418', 'value': '€250k'}, {'date': '30/05/2024', 'age': '31', 'clubName': 'Panetolikos', 'clubID': '6418', 'value': '€250k'}, {'date': '01/07/2024', 'age': '31', 'clubName': 'Retired', 'clubID': '123', 'value': '-'}]}</t>
  </si>
  <si>
    <t>1992-10-06</t>
  </si>
  <si>
    <t>Zinchenko</t>
  </si>
  <si>
    <t>{'marketValueHistory': [{'date': 'Mar 20, 2015', 'age': '18', 'clubName': 'FC Ufa', 'clubID': '28095', 'value': '€800k'}, {'date': 'Jun 18, 2015', 'age': '18', 'clubName': 'FC Ufa', 'clubID': '28095', 'value': '€650k'}, {'date': 'Jan 6, 2016', 'age': '19', 'clubName': 'FC Ufa', 'clubID': '28095', 'value': '€4.00m'}, {'date': 'Jun 1, 2016', 'age': '19', 'clubName': 'FC Ufa', 'clubID': '28095', 'value': '€4.00m'}, {'date': 'Aug 1, 2016', 'age': '19', 'clubName': 'Manchester City', 'clubID': '281', 'value': '€4.00m'}, {'date': 'Jan 18, 2017', 'age': '20', 'clubName': 'PSV Eindhoven', 'clubID': '383', 'value': '€4.50m'}, {'date': 'Jun 7, 2017', 'age': '20', 'clubName': 'PSV Eindhoven', 'clubID': '383', 'value': '€4.50m'}, {'date': 'Jan 2, 2018', 'age': '21', 'clubName': 'Manchester City', 'clubID': '281', 'value': '€4.50m'}, {'date': 'Mar 23, 2018', 'age': '21', 'clubName': 'Manchester City', 'clubID': '281', 'value': '€6.00m'}, {'date': 'May 28, 2018', 'age': '21', 'clubName': 'Manchester City', 'clubID': '281', 'value': '€7.00m'}, {'date': 'Aug 10, 2018', 'age': '21', 'clubName': 'Manchester City', 'clubID': '281', 'value': '€15.00m'}, {'date': 'Dec 19, 2018', 'age': '22', 'clubName': 'Manchester City', 'clubID': '281', 'value': '€15.00m'}, {'date': 'Jun 13, 2019', 'age': '22', 'clubName': 'Manchester City', 'clubID': '281', 'value': '€20.00m'}, {'date': 'Sep 12, 2019', 'age': '22', 'clubName': 'Manchester City', 'clubID': '281', 'value': '€30.00m'}, {'date': 'Dec 10, 2019', 'age': '22', 'clubName': 'Manchester City', 'clubID': '281', 'value': '€30.00m'}, {'date': 'Apr 8, 2020', 'age': '23', 'clubName': 'Manchester City', 'clubID': '281', 'value': '€24.00m'}, {'date': 'Oct 13, 2020', 'age': '23', 'clubName': 'Manchester City', 'clubID': '281', 'value': '€20.00m'}, {'date': 'Mar 18, 2021', 'age': '24', 'clubName': 'Manchester City', 'clubID': '281', 'value': '€20.00m'}, {'date': 'May 27, 2021', 'age': '24', 'clubName': 'Manchester City', 'clubID': '281', 'value': '€25.00m'}, {'date': 'Jul 15, 2021', 'age': '24', 'clubName': 'Manchester City', 'clubID': '281', 'value': '€28.00m'}, {'date': 'Dec 23, 2021', 'age': '25', 'clubName': 'Manchester City', 'clubID': '281', 'value': '€25.00m'}, {'date': 'Jun 15, 2022', 'age': '25', 'clubName': 'Manchester City', 'clubID': '281', 'value': '€25.00m'}, {'date': 'Sep 15, 2022', 'age': '25', 'clubName': 'Arsenal FC', 'clubID': '11', 'value': '€32.00m'}, {'date': 'Nov 3, 2022', 'age': '25', 'clubName': 'Arsenal FC', 'clubID': '11', 'value': '€32.00m'}, {'date': 'Mar 16, 2023', 'age': '26', 'clubName': 'Arsenal FC', 'clubID': '11', 'value': '€40.00m'}, {'date': 'Jun 20, 2023', 'age': '26', 'clubName': 'Arsenal FC', 'clubID': '11', 'value': '€42.00m'}, {'date': 'Dec 19, 2023', 'age': '27', 'clubName': 'Arsenal FC', 'clubID': '11', 'value': '€42.00m'}, {'date': 'May 27, 2024', 'age': '27', 'clubName': 'Arsenal FC', 'clubID': '11', 'value': '€38.00m'}, {'date': 'Oct 1, 2024', 'age': '27', 'clubName': 'Arsenal FC', 'clubID': '11', 'value': '€35.00m'}, {'date': 'Dec 16, 2024', 'age': '28', 'clubName': 'Arsenal FC', 'clubID': '11', 'value': '€30.00m'}, {'date': 'Mar 18, 2025', 'age': '28', 'clubName': 'Arsenal FC', 'clubID': '11', 'value': '€22.00m'}, {'date': 'May 30, 2025', 'age': '28', 'clubName': 'Arsenal FC', 'clubID': '11', 'value': '€20.00m'}, {'date': 'Oct 17, 2025', 'age': '28', 'clubName': 'Nottingham Forest', 'clubID': '703', 'value': '€18.00m'}, {'date': 'Dec 9, 2025', 'age': '28', 'clubName': 'Nottingham Forest', 'clubID': '703', 'value': '€15.00m'}, {'date': 'Mar 11, 2026', 'age': '29', 'clubName': 'Ajax Amsterdam', 'clubID': '610', 'value': '€10.00m'}]}</t>
  </si>
  <si>
    <t>1996-12-15</t>
  </si>
  <si>
    <t>James Rodriguez</t>
  </si>
  <si>
    <t>{'marketValueHistory': [{'date': '12/03/2009', 'age': '17', 'clubName': 'CA Banfield', 'clubID': '830', 'value': '€250k'}, {'date': '27/05/2009', 'age': '17', 'clubName': 'CA Banfield', 'clubID': '830', 'value': '€400k'}, {'date': '06/10/2009', 'age': '18', 'clubName': 'CA Banfield', 'clubID': '830', 'value': '€1.00m'}, {'date': '21/01/2010', 'age': '18', 'clubName': 'CA Banfield', 'clubID': '830', 'value': '€2.00m'}, {'date': '20/04/2010', 'age': '18', 'clubName': 'CA Banfield', 'clubID': '830', 'value': '€2.50m'}, {'date': '14/07/2010', 'age': '19', 'clubName': 'FC Porto', 'clubID': '720', 'value': '€4.50m'}, {'date': '15/06/2011', 'age': '19', 'clubName': 'FC Porto', 'clubID': '720', 'value': '€7.00m'}, {'date': '21/09/2011', 'age': '20', 'clubName': 'FC Porto', 'clubID': '720', 'value': '€9.70m'}, {'date': '02/02/2012', 'age': '20', 'clubName': 'FC Porto', 'clubID': '720', 'value': '€13.00m'}, {'date': '07/07/2012', 'age': '20', 'clubName': 'FC Porto', 'clubID': '720', 'value': '€18.00m'}, {'date': '04/04/2013', 'age': '21', 'clubName': 'FC Porto', 'clubID': '720', 'value': '€23.00m'}, {'date': '02/07/2013', 'age': '21', 'clubName': 'AS Monaco', 'clubID': '162', 'value': '€32.00m'}, {'date': '14/01/2014', 'age': '22', 'clubName': 'AS Monaco', 'clubID': '162', 'value': '€35.00m'}, {'date': '22/07/2014', 'age': '23', 'clubName': 'Real Madrid', 'clubID': '418', 'value': '€60.00m'}, {'date': '23/01/2015', 'age': '23', 'clubName': 'Real Madrid', 'clubID': '418', 'value': '€60.00m'}, {'date': '01/07/2015', 'age': '23', 'clubName': 'Real Madrid', 'clubID': '418', 'value': '€80.00m'}, {'date': '22/02/2016', 'age': '24', 'clubName': 'Real Madrid', 'clubID': '418', 'value': '€80.00m'}, {'date': '07/04/2016', 'age': '24', 'clubName': 'Real Madrid', 'clubID': '418', 'value': '€70.00m'}, {'date': '15/07/2016', 'age': '25', 'clubName': 'Real Madrid', 'clubID': '418', 'value': '€70.00m'}, {'date': '24/01/2017', 'age': '25', 'clubName': 'Real Madrid', 'clubID': '418', 'value': '€50.00m'}, {'date': '05/06/2017', 'age': '25', 'clubName': 'Real Madrid', 'clubID': '418', 'value': '€50.00m'}, {'date': '28/12/2017', 'age': '26', 'clubName': 'Bayern Munich', 'clubID': '27', 'value': '€50.00m'}, {'date': '04/04/2018', 'age': '26', 'clubName': 'Bayern Munich', 'clubID': '27', 'value': '€65.00m'}, {'date': '05/06/2018', 'age': '26', 'clubName': 'Bayern Munich', 'clubID': '27', 'value': '€70.00m'}, {'date': '16/07/2018', 'age': '27', 'clubName': 'Bayern Munich', 'clubID': '27', 'value': '€80.00m'}, {'date': '18/12/2018', 'age': '27', 'clubName': 'Bayern Munich', 'clubID': '27', 'value': '€65.00m'}, {'date': '05/06/2019', 'age': '27', 'clubName': 'Bayern Munich', 'clubID': '27', 'value': '€50.00m'}, {'date': '20/12/2019', 'age': '28', 'clubName': 'Real Madrid', 'clubID': '418', 'value': '€40.00m'}, {'date': '08/04/2020', 'age': '28', 'clubName': 'Real Madrid', 'clubID': '418', 'value': '€32.00m'}, {'date': '13/10/2020', 'age': '29', 'clubName': 'Everton FC', 'clubID': '29', 'value': '€35.00m'}, {'date': '18/03/2021', 'age': '29', 'clubName': 'Everton FC', 'clubID': '29', 'value': '€30.00m'}, {'date': '08/06/2021', 'age': '29', 'clubName': 'Everton FC', 'clubID': '29', 'value': '€28.00m'}, {'date': '05/10/2021', 'age': '30', 'clubName': 'Al-Rayyan SC', 'clubID': '3229', 'value': '€20.00m'}, {'date': '10/01/2022', 'age': '30', 'clubName': 'Al-Rayyan SC', 'clubID': '3229', 'value': '€15.00m'}, {'date': '25/05/2022', 'age': '30', 'clubName': 'Al-Rayyan SC', 'clubID': '3229', 'value': '€13.00m'}, {'date': '07/11/2022', 'age': '31', 'clubName': 'Olympiacos Piraeus', 'clubID': '683', 'value': '€9.00m'}, {'date': '22/05/2023', 'age': '31', 'clubName': 'Without Club', 'clubID': '515', 'value': '€6.00m'}, {'date': '11/12/2023', 'age': '32', 'clubName': 'São Paulo Futebol Clube', 'clubID': '585', 'value': '€5.00m'}, {'date': '28/03/2024', 'age': '32', 'clubName': 'São Paulo Futebol Clube', 'clubID': '585', 'value': '€4.50m'}, {'date': '17/06/2024', 'age': '32', 'clubName': 'São Paulo Futebol Clube', 'clubID': '585', 'value': '€3.50m'}, {'date': '19/07/2024', 'age': '33', 'clubName': 'São Paulo Futebol Clube', 'clubID': '585', 'value': '€5.00m'}, {'date': '27/12/2024', 'age': '33', 'clubName': 'Rayo Vallecano', 'clubID': '367', 'value': '€2.50m'}, {'date': '26/05/2025', 'age': '33', 'clubName': 'Club León FC', 'clubID': '4941', 'value': '€2.50m'}, {'date': '29/12/2025', 'age': '34', 'clubName': 'Club León FC', 'clubID': '4941', 'value': '€2.00m'}]}</t>
  </si>
  <si>
    <t>1991-07-12</t>
  </si>
  <si>
    <t>Emre Can</t>
  </si>
  <si>
    <t>{'marketValueHistory': [{'date': 'Jul 2, 2011', 'age': '17', 'clubName': 'FC Bayern Munich II', 'clubID': '27', 'value': '€150k'}, {'date': 'Jan 9, 2012', 'age': '17', 'clubName': 'FC Bayern Munich II', 'clubID': '27', 'value': '€200k'}, {'date': 'Feb 3, 2012', 'age': '18', 'clubName': 'FC Bayern Munich II', 'clubID': '27', 'value': '€400k'}, {'date': 'Mar 5, 2012', 'age': '18', 'clubName': 'FC Bayern Munich II', 'clubID': '27', 'value': '€600k'}, {'date': 'Aug 26, 2012', 'age': '18', 'clubName': 'Bayern Munich', 'clubID': '27', 'value': '€1.50m'}, {'date': 'Jan 13, 2013', 'age': '19', 'clubName': 'Bayern Munich', 'clubID': '27', 'value': '€1.50m'}, {'date': 'Jun 30, 2013', 'age': '19', 'clubName': 'Bayern Munich', 'clubID': '27', 'value': '€1.50m'}, {'date': 'Aug 27, 2013', 'age': '19', 'clubName': 'Bayer 04 Leverkusen', 'clubID': '15', 'value': '€5.00m'}, {'date': 'Feb 12, 2014', 'age': '20', 'clubName': 'Bayer 04 Leverkusen', 'clubID': '15', 'value': '€7.50m'}, {'date': 'Aug 12, 2014', 'age': '20', 'clubName': 'Liverpool FC', 'clubID': '31', 'value': '€12.00m'}, {'date': 'Feb 12, 2015', 'age': '21', 'clubName': 'Liverpool FC', 'clubID': '31', 'value': '€12.00m'}, {'date': 'Jul 1, 2015', 'age': '21', 'clubName': 'Liverpool FC', 'clubID': '31', 'value': '€15.00m'}, {'date': 'Feb 9, 2016', 'age': '22', 'clubName': 'Liverpool FC', 'clubID': '31', 'value': '€15.00m'}, {'date': 'Jun 1, 2016', 'age': '22', 'clubName': 'Liverpool FC', 'clubID': '31', 'value': '€18.00m'}, {'date': 'Aug 1, 2016', 'age': '22', 'clubName': 'Liverpool FC', 'clubID': '31', 'value': '€18.00m'}, {'date': 'Feb 20, 2017', 'age': '23', 'clubName': 'Liverpool FC', 'clubID': '31', 'value': '€15.00m'}, {'date': 'Jun 28, 2017', 'age': '23', 'clubName': 'Liverpool FC', 'clubID': '31', 'value': '€15.00m'}, {'date': 'Oct 23, 2017', 'age': '23', 'clubName': 'Liverpool FC', 'clubID': '31', 'value': '€22.00m'}, {'date': 'Jan 2, 2018', 'age': '23', 'clubName': 'Liverpool FC', 'clubID': '31', 'value': '€28.00m'}, {'date': 'May 28, 2018', 'age': '24', 'clubName': 'Liverpool FC', 'clubID': '31', 'value': '€30.00m'}, {'date': 'Dec 20, 2018', 'age': '24', 'clubName': 'Juventus FC', 'clubID': '506', 'value': '€30.00m'}, {'date': 'Jun 6, 2019', 'age': '25', 'clubName': 'Juventus FC', 'clubID': '506', 'value': '€40.00m'}, {'date': 'Oct 8, 2019', 'age': '25', 'clubName': 'Juventus FC', 'clubID': '506', 'value': '€33.00m'}, {'date': 'Dec 12, 2019', 'age': '25', 'clubName': 'Juventus FC', 'clubID': '506', 'value': '€30.00m'}, {'date': 'Apr 8, 2020', 'age': '26', 'clubName': 'Borussia Dortmund', 'clubID': '16', 'value': '€24.00m'}, {'date': 'Sep 16, 2020', 'age': '26', 'clubName': 'Borussia Dortmund', 'clubID': '16', 'value': '€26.00m'}, {'date': 'Feb 10, 2021', 'age': '27', 'clubName': 'Borussia Dortmund', 'clubID': '16', 'value': '€26.00m'}, {'date': 'Jun 1, 2021', 'age': '27', 'clubName': 'Borussia Dortmund', 'clubID': '16', 'value': '€26.00m'}, {'date': 'Dec 22, 2021', 'age': '27', 'clubName': 'Borussia Dortmund', 'clubID': '16', 'value': '€22.00m'}, {'date': 'Mar 24, 2022', 'age': '28', 'clubName': 'Borussia Dortmund', 'clubID': '16', 'value': '€16.00m'}, {'date': 'Jun 9, 2022', 'age': '28', 'clubName': 'Borussia Dortmund', 'clubID': '16', 'value': '€16.00m'}, {'date': 'Sep 21, 2022', 'age': '28', 'clubName': 'Borussia Dortmund', 'clubID': '16', 'value': '€14.00m'}, {'date': 'Nov 9, 2022', 'age': '28', 'clubName': 'Borussia Dortmund', 'clubID': '16', 'value': '€14.00m'}, {'date': 'Jun 22, 2023', 'age': '29', 'clubName': 'Borussia Dortmund', 'clubID': '16', 'value': '€14.00m'}, {'date': 'Dec 14, 2023', 'age': '29', 'clubName': 'Borussia Dortmund', 'clubID': '16', 'value': '€12.00m'}, {'date': 'May 29, 2024', 'age': '30', 'clubName': 'Borussia Dortmund', 'clubID': '16', 'value': '€10.00m'}, {'date': 'Dec 20, 2024', 'age': '30', 'clubName': 'Borussia Dortmund', 'clubID': '16', 'value': '€7.00m'}, {'date': 'Jun 5, 2025', 'age': '31', 'clubName': 'Borussia Dortmund', 'clubID': '16', 'value': '€7.00m'}, {'date': 'Dec 19, 2025', 'age': '31', 'clubName': 'Borussia Dortmund', 'clubID': '16', 'value': '€6.00m'}, {'date': 'Mar 20, 2026', 'age': '32', 'clubName': 'Borussia Dortmund', 'clubID': '16', 'value': '€4.00m'}]}</t>
  </si>
  <si>
    <t>1994-01-12</t>
  </si>
  <si>
    <t>Sidibe</t>
  </si>
  <si>
    <t>{'marketValueHistory': [{'date': '30/05/2011', 'age': '18', 'clubName': 'ESTAC Troyes', 'clubID': '1095', 'value': '€300k'}, {'date': '25/12/2011', 'age': '19', 'clubName': 'ESTAC Troyes', 'clubID': '1095', 'value': '€750k'}, {'date': '01/06/2012', 'age': '19', 'clubName': 'ESTAC Troyes', 'clubID': '1095', 'value': '€1.75m'}, {'date': '23/08/2012', 'age': '20', 'clubName': 'LOSC Lille', 'clubID': '1082', 'value': '€2.50m'}, {'date': '07/01/2013', 'age': '20', 'clubName': 'LOSC Lille', 'clubID': '1082', 'value': '€2.50m'}, {'date': '30/05/2013', 'age': '20', 'clubName': 'LOSC Lille', 'clubID': '1082', 'value': '€3.00m'}, {'date': '14/01/2014', 'age': '21', 'clubName': 'LOSC Lille', 'clubID': '1082', 'value': '€2.50m'}, {'date': '07/08/2014', 'age': '22', 'clubName': 'LOSC Lille', 'clubID': '1082', 'value': '€2.50m'}, {'date': '14/01/2015', 'age': '22', 'clubName': 'LOSC Lille', 'clubID': '1082', 'value': '€2.50m'}, {'date': '06/06/2015', 'age': '22', 'clubName': 'LOSC Lille', 'clubID': '1082', 'value': '€3.50m'}, {'date': '04/02/2016', 'age': '23', 'clubName': 'LOSC Lille', 'clubID': '1082', 'value': '€4.00m'}, {'date': '13/07/2016', 'age': '23', 'clubName': 'AS Monaco', 'clubID': '162', 'value': '€10.00m'}, {'date': '01/11/2016', 'age': '24', 'clubName': 'AS Monaco', 'clubID': '162', 'value': '€12.00m'}, {'date': '16/01/2017', 'age': '24', 'clubName': 'AS Monaco', 'clubID': '162', 'value': '€14.00m'}, {'date': '01/06/2017', 'age': '24', 'clubName': 'AS Monaco', 'clubID': '162', 'value': '€18.00m'}, {'date': '24/01/2018', 'age': '25', 'clubName': 'AS Monaco', 'clubID': '162', 'value': '€23.00m'}, {'date': '04/06/2018', 'age': '25', 'clubName': 'AS Monaco', 'clubID': '162', 'value': '€23.00m'}, {'date': '24/10/2018', 'age': '26', 'clubName': 'AS Monaco', 'clubID': '162', 'value': '€18.00m'}, {'date': '17/12/2018', 'age': '26', 'clubName': 'AS Monaco', 'clubID': '162', 'value': '€16.00m'}, {'date': '03/06/2019', 'age': '26', 'clubName': 'AS Monaco', 'clubID': '162', 'value': '€15.00m'}, {'date': '12/09/2019', 'age': '27', 'clubName': 'Everton FC', 'clubID': '29', 'value': '€12.00m'}, {'date': '10/12/2019', 'age': '27', 'clubName': 'Everton FC', 'clubID': '29', 'value': '€12.00m'}, {'date': '08/04/2020', 'age': '27', 'clubName': 'Everton FC', 'clubID': '29', 'value': '€9.50m'}, {'date': '12/10/2020', 'age': '28', 'clubName': 'AS Monaco', 'clubID': '162', 'value': '€10.00m'}, {'date': '07/01/2021', 'age': '28', 'clubName': 'AS Monaco', 'clubID': '162', 'value': '€7.00m'}, {'date': '04/06/2021', 'age': '28', 'clubName': 'AS Monaco', 'clubID': '162', 'value': '€8.00m'}, {'date': '16/12/2021', 'age': '29', 'clubName': 'AS Monaco', 'clubID': '162', 'value': '€8.00m'}, {'date': '30/05/2022', 'age': '29', 'clubName': 'AS Monaco', 'clubID': '162', 'value': '€8.00m'}, {'date': '07/11/2022', 'age': '30', 'clubName': 'AEK Athens', 'clubID': '2441', 'value': '€4.00m'}, {'date': '27/02/2023', 'age': '30', 'clubName': 'AEK Athens', 'clubID': '2441', 'value': '€3.00m'}, {'date': '22/05/2023', 'age': '30', 'clubName': 'AEK Athens', 'clubID': '2441', 'value': '€2.50m'}, {'date': '21/09/2023', 'age': '31', 'clubName': 'AEK Athens', 'clubID': '2441', 'value': '€2.00m'}, {'date': '20/12/2023', 'age': '31', 'clubName': 'AEK Athens', 'clubID': '2441', 'value': '€2.00m'}, {'date': '06/03/2024', 'age': '31', 'clubName': 'AEK Athens', 'clubID': '2441', 'value': '€1.80m'}, {'date': '30/05/2024', 'age': '31', 'clubName': 'AEK Athens', 'clubID': '2441', 'value': '€1.50m'}, {'date': '10/12/2024', 'age': '32', 'clubName': 'FC Toulouse', 'clubID': '415', 'value': '€1.20m'}, {'date': '03/06/2025', 'age': '32', 'clubName': 'FC Toulouse', 'clubID': '415', 'value': '€1.00m'}, {'date': '15/12/2025', 'age': '33', 'clubName': 'FC Toulouse', 'clubID': '415', 'value': '€1.00m'}]}</t>
  </si>
  <si>
    <t>1992-07-29</t>
  </si>
  <si>
    <t>Lamela</t>
  </si>
  <si>
    <t>{'marketValueHistory': [{'date': 'Oct 6, 2009', 'age': '17', 'clubName': 'CA River Plate II', 'clubID': '15108', 'value': '€100k'}, {'date': 'Apr 20, 2010', 'age': '18', 'clubName': 'CA River Plate II', 'clubID': '15108', 'value': '€100k'}, {'date': 'Jan 1, 2011', 'age': '18', 'clubName': 'CA River Plate', 'clubID': '15108', 'value': '€4.00m'}, {'date': 'Jun 28, 2011', 'age': '19', 'clubName': 'CA River Plate', 'clubID': '15108', 'value': '€5.00m'}, {'date': 'Sep 21, 2011', 'age': '19', 'clubName': 'AS Roma', 'clubID': '12', 'value': '€12.50m'}, {'date': 'Jan 11, 2012', 'age': '19', 'clubName': 'AS Roma', 'clubID': '12', 'value': '€13.00m'}, {'date': 'Jun 8, 2012', 'age': '20', 'clubName': 'AS Roma', 'clubID': '12', 'value': '€14.50m'}, {'date': 'Nov 7, 2012', 'age': '20', 'clubName': 'AS Roma', 'clubID': '12', 'value': '€18.00m'}, {'date': 'Jan 14, 2013', 'age': '20', 'clubName': 'AS Roma', 'clubID': '12', 'value': '€22.00m'}, {'date': 'Jun 19, 2013', 'age': '21', 'clubName': 'AS Roma', 'clubID': '12', 'value': '€23.00m'}, {'date': 'Sep 18, 2013', 'age': '21', 'clubName': 'Tottenham Hotspur', 'clubID': '148', 'value': '€30.00m'}, {'date': 'Jan 15, 2014', 'age': '21', 'clubName': 'Tottenham Hotspur', 'clubID': '148', 'value': '€24.00m'}, {'date': 'Aug 12, 2014', 'age': '22', 'clubName': 'Tottenham Hotspur', 'clubID': '148', 'value': '€24.00m'}, {'date': 'Feb 12, 2015', 'age': '22', 'clubName': 'Tottenham Hotspur', 'clubID': '148', 'value': '€22.00m'}, {'date': 'Jul 1, 2015', 'age': '23', 'clubName': 'Tottenham Hotspur', 'clubID': '148', 'value': '€22.00m'}, {'date': 'Feb 9, 2016', 'age': '23', 'clubName': 'Tottenham Hotspur', 'clubID': '148', 'value': '€24.00m'}, {'date': 'Aug 1, 2016', 'age': '24', 'clubName': 'Tottenham Hotspur', 'clubID': '148', 'value': '€26.00m'}, {'date': 'Feb 20, 2017', 'age': '24', 'clubName': 'Tottenham Hotspur', 'clubID': '148', 'value': '€26.00m'}, {'date': 'Jun 28, 2017', 'age': '25', 'clubName': 'Tottenham Hotspur', 'clubID': '148', 'value': '€25.00m'}, {'date': 'Jan 2, 2018', 'age': '25', 'clubName': 'Tottenham Hotspur', 'clubID': '148', 'value': '€25.00m'}, {'date': 'May 28, 2018', 'age': '26', 'clubName': 'Tottenham Hotspur', 'clubID': '148', 'value': '€20.00m'}, {'date': 'Dec 19, 2018', 'age': '26', 'clubName': 'Tottenham Hotspur', 'clubID': '148', 'value': '€20.00m'}, {'date': 'Jun 13, 2019', 'age': '27', 'clubName': 'Tottenham Hotspur', 'clubID': '148', 'value': '€18.00m'}, {'date': 'Sep 12, 2019', 'age': '27', 'clubName': 'Tottenham Hotspur', 'clubID': '148', 'value': '€22.00m'}, {'date': 'Dec 10, 2019', 'age': '27', 'clubName': 'Tottenham Hotspur', 'clubID': '148', 'value': '€22.00m'}, {'date': 'Mar 9, 2020', 'age': '28', 'clubName': 'Tottenham Hotspur', 'clubID': '148', 'value': '€20.00m'}, {'date': 'Apr 8, 2020', 'age': '28', 'clubName': 'Tottenham Hotspur', 'clubID': '148', 'value': '€16.00m'}, {'date': 'Oct 13, 2020', 'age': '28', 'clubName': 'Tottenham Hotspur', 'clubID': '148', 'value': '€16.00m'}, {'date': 'Mar 18, 2021', 'age': '29', 'clubName': 'Tottenham Hotspur', 'clubID': '148', 'value': '€16.00m'}, {'date': 'Jun 8, 2021', 'age': '29', 'clubName': 'Tottenham Hotspur', 'clubID': '148', 'value': '€16.00m'}, {'date': 'Oct 13, 2021', 'age': '29', 'clubName': 'Sevilla FC', 'clubID': '368', 'value': '€20.00m'}, {'date': 'Dec 30, 2021', 'age': '29', 'clubName': 'Sevilla FC', 'clubID': '368', 'value': '€20.00m'}, {'date': 'Jun 3, 2022', 'age': '30', 'clubName': 'Sevilla FC', 'clubID': '368', 'value': '€16.00m'}, {'date': 'Nov 7, 2022', 'age': '30', 'clubName': 'Sevilla FC', 'clubID': '368', 'value': '€14.00m'}, {'date': 'Mar 23, 2023', 'age': '31', 'clubName': 'Sevilla FC', 'clubID': '368', 'value': '€10.00m'}, {'date': 'Jun 13, 2023', 'age': '31', 'clubName': 'Sevilla FC', 'clubID': '368', 'value': '€9.00m'}, {'date': 'Oct 13, 2023', 'age': '31', 'clubName': 'Sevilla FC', 'clubID': '368', 'value': '€7.00m'}, {'date': 'Dec 22, 2023', 'age': '31', 'clubName': 'Sevilla FC', 'clubID': '368', 'value': '€5.00m'}, {'date': 'Mar 21, 2024', 'age': '32', 'clubName': 'Sevilla FC', 'clubID': '368', 'value': '€3.00m'}, {'date': 'Jun 7, 2024', 'age': '32', 'clubName': 'Sevilla FC', 'clubID': '368', 'value': '€2.00m'}, {'date': 'Sep 26, 2024', 'age': '32', 'clubName': 'AEK Athens', 'clubID': '2441', 'value': '€1.80m'}, {'date': 'Dec 18, 2024', 'age': '32', 'clubName': 'AEK Athens', 'clubID': '2441', 'value': '€1.50m'}, {'date': 'May 23, 2025', 'age': '33', 'clubName': 'AEK Athens', 'clubID': '2441', 'value': '€1.20m'}, {'date': 'Aug 14, 2025', 'age': '33', 'clubName': 'Retired', 'clubID': '123', 'value': '-'}]}</t>
  </si>
  <si>
    <t>1992-03-04</t>
  </si>
  <si>
    <t>Derdiyok</t>
  </si>
  <si>
    <t>{'marketValueHistory': [{'date': '09/03/2007', 'age': '18', 'clubName': 'FC Basel 1893', 'clubID': '26', 'value': '€50k'}, {'date': '25/05/2007', 'age': '18', 'clubName': 'FC Basel 1893', 'clubID': '26', 'value': '€350k'}, {'date': '04/10/2007', 'age': '19', 'clubName': 'FC Basel 1893', 'clubID': '26', 'value': '€550k'}, {'date': '09/02/2008', 'age': '19', 'clubName': 'FC Basel 1893', 'clubID': '26', 'value': '€950k'}, {'date': '19/03/2008', 'age': '19', 'clubName': 'FC Basel 1893', 'clubID': '26', 'value': '€1.20m'}, {'date': '21/06/2008', 'age': '20', 'clubName': 'FC Basel 1893', 'clubID': '26', 'value': '€2.00m'}, {'date': '31/10/2008', 'age': '20', 'clubName': 'FC Basel 1893', 'clubID': '26', 'value': '€3.00m'}, {'date': '27/06/2009', 'age': '21', 'clubName': 'FC Basel 1893', 'clubID': '26', 'value': '€5.00m'}, {'date': '18/11/2009', 'age': '21', 'clubName': 'Bayer 04 Leverkusen', 'clubID': '15', 'value': '€6.50m'}, {'date': '07/03/2010', 'age': '21', 'clubName': 'Bayer 04 Leverkusen', 'clubID': '15', 'value': '€8.00m'}, {'date': '08/05/2010', 'age': '21', 'clubName': 'Bayer 04 Leverkusen', 'clubID': '15', 'value': '€9.00m'}, {'date': '30/08/2010', 'age': '22', 'clubName': 'Bayer 04 Leverkusen', 'clubID': '15', 'value': '€10.00m'}, {'date': '12/01/2011', 'age': '22', 'clubName': 'Bayer 04 Leverkusen', 'clubID': '15', 'value': '€10.00m'}, {'date': '29/06/2011', 'age': '23', 'clubName': 'Bayer 04 Leverkusen', 'clubID': '15', 'value': '€10.00m'}, {'date': '23/01/2012', 'age': '23', 'clubName': 'Bayer 04 Leverkusen', 'clubID': '15', 'value': '€10.00m'}, {'date': '29/06/2012', 'age': '24', 'clubName': 'Bayer 04 Leverkusen', 'clubID': '15', 'value': '€7.50m'}, {'date': '13/01/2013', 'age': '24', 'clubName': 'TSG 1899 Hoffenheim', 'clubID': '533', 'value': '€4.00m'}, {'date': '30/06/2013', 'age': '25', 'clubName': 'TSG 1899 Hoffenheim', 'clubID': '533', 'value': '€3.00m'}, {'date': '27/08/2013', 'age': '25', 'clubName': 'TSG 1899 Hoffenheim', 'clubID': '533', 'value': '€2.50m'}, {'date': '23/07/2014', 'age': '26', 'clubName': 'Kasimpasa', 'clubID': '10484', 'value': '€2.50m'}, {'date': '26/01/2015', 'age': '26', 'clubName': 'Kasimpasa', 'clubID': '10484', 'value': '€2.00m'}, {'date': '25/06/2015', 'age': '27', 'clubName': 'Kasimpasa', 'clubID': '10484', 'value': '€1.50m'}, {'date': '18/01/2016', 'age': '27', 'clubName': 'Kasimpasa', 'clubID': '10484', 'value': '€4.25m'}, {'date': '01/06/2016', 'age': '27', 'clubName': 'Kasimpasa', 'clubID': '10484', 'value': '€4.60m'}, {'date': '15/07/2016', 'age': '28', 'clubName': 'Kasimpasa', 'clubID': '10484', 'value': '€4.60m'}, {'date': '10/01/2017', 'age': '28', 'clubName': 'Galatasaray', 'clubID': '141', 'value': '€5.50m'}, {'date': '09/06/2017', 'age': '28', 'clubName': 'Galatasaray', 'clubID': '141', 'value': '€4.50m'}, {'date': '12/02/2018', 'age': '29', 'clubName': 'Galatasaray', 'clubID': '141', 'value': '€3.25m'}, {'date': '29/05/2018', 'age': '29', 'clubName': 'Galatasaray', 'clubID': '141', 'value': '€2.00m'}, {'date': '04/01/2019', 'age': '30', 'clubName': 'Galatasaray', 'clubID': '141', 'value': '€2.00m'}, {'date': '27/03/2019', 'age': '30', 'clubName': 'Galatasaray', 'clubID': '141', 'value': '€1.00m'}, {'date': '04/06/2019', 'age': '30', 'clubName': 'Galatasaray', 'clubID': '141', 'value': '€600k'}, {'date': '03/01/2020', 'age': '31', 'clubName': 'Göztepe', 'clubID': '1467', 'value': '€350k'}, {'date': '08/04/2020', 'age': '31', 'clubName': 'Pakhtakor Tashkent', 'clubID': '3718', 'value': '€300k'}, {'date': '01/09/2020', 'age': '32', 'clubName': 'Pakhtakor Tashkent', 'clubID': '3718', 'value': '€400k'}, {'date': '28/12/2020', 'age': '32', 'clubName': 'Pakhtakor Tashkent', 'clubID': '3718', 'value': '€400k'}, {'date': '15/07/2021', 'age': '33', 'clubName': 'Pakhtakor Tashkent', 'clubID': '3718', 'value': '€350k'}, {'date': '17/01/2022', 'age': '33', 'clubName': 'MKE Ankaragücü', 'clubID': '868', 'value': '€300k'}, {'date': '17/03/2022', 'age': '33', 'clubName': 'MKE Ankaragücü', 'clubID': '868', 'value': '€250k'}, {'date': '10/06/2022', 'age': '33', 'clubName': 'MKE Ankaragücü', 'clubID': '868', 'value': '€200k'}, {'date': '27/10/2022', 'age': '34', 'clubName': 'MKE Ankaragücü', 'clubID': '868', 'value': '€100k'}, {'date': '21/12/2023', 'age': '35', 'clubName': 'FC Schaffhausen', 'clubID': '1277', 'value': '€50k'}, {'date': '01/01/2024', 'age': '35', 'clubName': 'Retired', 'clubID': '123', 'value': '-'}]}</t>
  </si>
  <si>
    <t>1988-06-12</t>
  </si>
  <si>
    <t>Cuadrado</t>
  </si>
  <si>
    <t>{'marketValueHistory': [{'date': 'Aug 6, 2009', 'age': '21', 'clubName': 'Udinese Calcio', 'clubID': '410', 'value': '€50k'}, {'date': 'Jan 27, 2010', 'age': '21', 'clubName': 'Udinese Calcio', 'clubID': '410', 'value': '€800k'}, {'date': 'Jun 21, 2011', 'age': '23', 'clubName': 'Udinese Calcio', 'clubID': '410', 'value': '€800k'}, {'date': 'Jan 10, 2012', 'age': '23', 'clubName': 'US Lecce', 'clubID': '1005', 'value': '€1.20m'}, {'date': 'Jun 7, 2012', 'age': '24', 'clubName': 'US Lecce', 'clubID': '1005', 'value': '€4.00m'}, {'date': 'Jul 29, 2012', 'age': '24', 'clubName': 'ACF Fiorentina', 'clubID': '430', 'value': '€6.00m'}, {'date': 'Jan 15, 2013', 'age': '24', 'clubName': 'ACF Fiorentina', 'clubID': '430', 'value': '€10.00m'}, {'date': 'Jun 19, 2013', 'age': '25', 'clubName': 'ACF Fiorentina', 'clubID': '430', 'value': '€15.00m'}, {'date': 'Sep 25, 2013', 'age': '25', 'clubName': 'ACF Fiorentina', 'clubID': '430', 'value': '€18.00m'}, {'date': 'Nov 11, 2013', 'age': '25', 'clubName': 'ACF Fiorentina', 'clubID': '430', 'value': '€24.00m'}, {'date': 'Jan 7, 2014', 'age': '25', 'clubName': 'ACF Fiorentina', 'clubID': '430', 'value': '€24.00m'}, {'date': 'Jul 11, 2014', 'age': '26', 'clubName': 'ACF Fiorentina', 'clubID': '430', 'value': '€32.00m'}, {'date': 'Jan 7, 2015', 'age': '26', 'clubName': 'ACF Fiorentina', 'clubID': '430', 'value': '€32.00m'}, {'date': 'Jul 1, 2015', 'age': '27', 'clubName': 'Chelsea FC', 'clubID': '631', 'value': '€30.00m'}, {'date': 'Jan 4, 2016', 'age': '27', 'clubName': 'Juventus FC', 'clubID': '506', 'value': '€25.00m'}, {'date': 'Aug 1, 2016', 'age': '28', 'clubName': 'Chelsea FC', 'clubID': '631', 'value': '€25.00m'}, {'date': 'Jan 2, 2017', 'age': '28', 'clubName': 'Juventus FC', 'clubID': '506', 'value': '€25.00m'}, {'date': 'Jun 8, 2017', 'age': '29', 'clubName': 'Juventus FC', 'clubID': '506', 'value': '€25.00m'}, {'date': 'Dec 29, 2017', 'age': '29', 'clubName': 'Juventus FC', 'clubID': '506', 'value': '€28.00m'}, {'date': 'Jun 7, 2018', 'age': '30', 'clubName': 'Juventus FC', 'clubID': '506', 'value': '€28.00m'}, {'date': 'Dec 20, 2018', 'age': '30', 'clubName': 'Juventus FC', 'clubID': '506', 'value': '€25.00m'}, {'date': 'Jun 6, 2019', 'age': '31', 'clubName': 'Juventus FC', 'clubID': '506', 'value': '€18.00m'}, {'date': 'Dec 12, 2019', 'age': '31', 'clubName': 'Juventus FC', 'clubID': '506', 'value': '€18.00m'}, {'date': 'Apr 8, 2020', 'age': '31', 'clubName': 'Juventus FC', 'clubID': '506', 'value': '€14.50m'}, {'date': 'Aug 25, 2020', 'age': '32', 'clubName': 'Juventus FC', 'clubID': '506', 'value': '€15.00m'}, {'date': 'Dec 29, 2020', 'age': '32', 'clubName': 'Juventus FC', 'clubID': '506', 'value': '€18.00m'}, {'date': 'Jun 3, 2021', 'age': '33', 'clubName': 'Juventus FC', 'clubID': '506', 'value': '€16.00m'}, {'date': 'Dec 28, 2021', 'age': '33', 'clubName': 'Juventus FC', 'clubID': '506', 'value': '€10.00m'}, {'date': 'Jun 7, 2022', 'age': '34', 'clubName': 'Juventus FC', 'clubID': '506', 'value': '€8.00m'}, {'date': 'Nov 11, 2022', 'age': '34', 'clubName': 'Juventus FC', 'clubID': '506', 'value': '€5.00m'}, {'date': 'Jun 15, 2023', 'age': '35', 'clubName': 'Juventus FC', 'clubID': '506', 'value': '€4.00m'}, {'date': 'Dec 20, 2023', 'age': '35', 'clubName': 'Inter Milan', 'clubID': '46', 'value': '€2.00m'}, {'date': 'Mar 12, 2024', 'age': '35', 'clubName': 'Inter Milan', 'clubID': '46', 'value': '€1.50m'}, {'date': 'Jun 5, 2024', 'age': '36', 'clubName': 'Inter Milan', 'clubID': '46', 'value': '€1.00m'}, {'date': 'Dec 18, 2024', 'age': '36', 'clubName': 'Atalanta BC', 'clubID': '800', 'value': '€1.00m'}, {'date': 'Jun 17, 2025', 'age': '37', 'clubName': 'Atalanta BC', 'clubID': '800', 'value': '€1.00m'}, {'date': 'Dec 23, 2025', 'age': '37', 'clubName': 'Pisa Sporting Club', 'clubID': '4172', 'value': '€1.00m'}]}</t>
  </si>
  <si>
    <t>1988-05-26</t>
  </si>
  <si>
    <t>Belhanda</t>
  </si>
  <si>
    <t>{'marketValueHistory': [{'date': '04/09/2009', 'age': '19', 'clubName': 'Montpellier HSC', 'clubID': '969', 'value': '€500k'}, {'date': '22/12/2009', 'age': '19', 'clubName': 'Montpellier HSC', 'clubID': '969', 'value': '€1.50m'}, {'date': '17/01/2010', 'age': '19', 'clubName': 'Montpellier HSC', 'clubID': '969', 'value': '€1.80m'}, {'date': '18/05/2010', 'age': '20', 'clubName': 'Montpellier HSC', 'clubID': '969', 'value': '€2.40m'}, {'date': '28/12/2010', 'age': '20', 'clubName': 'Montpellier HSC', 'clubID': '969', 'value': '€2.70m'}, {'date': '24/05/2011', 'age': '21', 'clubName': 'Montpellier HSC', 'clubID': '969', 'value': '€3.00m'}, {'date': '25/08/2011', 'age': '21', 'clubName': 'Montpellier HSC', 'clubID': '969', 'value': '€6.00m'}, {'date': '24/12/2011', 'age': '21', 'clubName': 'Montpellier HSC', 'clubID': '969', 'value': '€7.75m'}, {'date': '02/02/2012', 'age': '21', 'clubName': 'Montpellier HSC', 'clubID': '969', 'value': '€8.00m'}, {'date': '23/05/2012', 'age': '22', 'clubName': 'Montpellier HSC', 'clubID': '969', 'value': '€12.00m'}, {'date': '14/06/2012', 'age': '22', 'clubName': 'Montpellier HSC', 'clubID': '969', 'value': '€14.00m'}, {'date': '07/01/2013', 'age': '22', 'clubName': 'Montpellier HSC', 'clubID': '969', 'value': '€14.00m'}, {'date': '30/05/2013', 'age': '23', 'clubName': 'Montpellier HSC', 'clubID': '969', 'value': '€14.00m'}, {'date': '13/09/2013', 'age': '23', 'clubName': 'Dynamo Kyiv', 'clubID': '338', 'value': '€12.00m'}, {'date': '02/01/2014', 'age': '23', 'clubName': 'Dynamo Kyiv', 'clubID': '338', 'value': '€11.00m'}, {'date': '30/06/2014', 'age': '24', 'clubName': 'Dynamo Kyiv', 'clubID': '338', 'value': '€9.00m'}, {'date': '25/12/2014', 'age': '24', 'clubName': 'Dynamo Kyiv', 'clubID': '338', 'value': '€9.00m'}, {'date': '07/06/2015', 'age': '25', 'clubName': 'Dynamo Kyiv', 'clubID': '338', 'value': '€9.00m'}, {'date': '18/12/2015', 'age': '25', 'clubName': 'Dynamo Kyiv', 'clubID': '338', 'value': '€7.50m'}, {'date': '21/07/2016', 'age': '26', 'clubName': 'Dynamo Kyiv', 'clubID': '338', 'value': '€7.50m'}, {'date': '16/01/2017', 'age': '26', 'clubName': 'OGC Nice', 'clubID': '417', 'value': '€9.00m'}, {'date': '01/06/2017', 'age': '27', 'clubName': 'OGC Nice', 'clubID': '417', 'value': '€9.00m'}, {'date': '12/02/2018', 'age': '27', 'clubName': 'Galatasaray', 'clubID': '141', 'value': '€7.50m'}, {'date': '29/05/2018', 'age': '28', 'clubName': 'Galatasaray', 'clubID': '141', 'value': '€7.00m'}, {'date': '11/10/2018', 'age': '28', 'clubName': 'Galatasaray', 'clubID': '141', 'value': '€6.00m'}, {'date': '04/01/2019', 'age': '28', 'clubName': 'Galatasaray', 'clubID': '141', 'value': '€5.00m'}, {'date': '04/06/2019', 'age': '29', 'clubName': 'Galatasaray', 'clubID': '141', 'value': '€5.50m'}, {'date': '03/01/2020', 'age': '29', 'clubName': 'Galatasaray', 'clubID': '141', 'value': '€5.00m'}, {'date': '08/04/2020', 'age': '30', 'clubName': 'Galatasaray', 'clubID': '141', 'value': '€4.00m'}, {'date': '04/08/2020', 'age': '30', 'clubName': 'Galatasaray', 'clubID': '141', 'value': '€4.00m'}, {'date': '12/10/2020', 'age': '30', 'clubName': 'Galatasaray', 'clubID': '141', 'value': '€4.70m'}, {'date': '23/12/2020', 'age': '30', 'clubName': 'Galatasaray', 'clubID': '141', 'value': '€4.30m'}, {'date': '16/03/2021', 'age': '31', 'clubName': 'Without Club', 'clubID': '515', 'value': '€4.00m'}, {'date': '12/10/2021', 'age': '31', 'clubName': 'Adana Demirspor', 'clubID': '3840', 'value': '€3.00m'}, {'date': '04/01/2022', 'age': '31', 'clubName': 'Adana Demirspor', 'clubID': '3840', 'value': '€2.30m'}, {'date': '31/03/2022', 'age': '32', 'clubName': 'Adana Demirspor', 'clubID': '3840', 'value': '€2.00m'}, {'date': '01/06/2022', 'age': '32', 'clubName': 'Adana Demirspor', 'clubID': '3840', 'value': '€1.50m'}, {'date': '27/10/2022', 'age': '32', 'clubName': 'Adana Demirspor', 'clubID': '3840', 'value': '€2.00m'}, {'date': '14/03/2023', 'age': '33', 'clubName': 'Adana Demirspor', 'clubID': '3840', 'value': '€2.00m'}, {'date': '08/06/2023', 'age': '33', 'clubName': 'Adana Demirspor', 'clubID': '3840', 'value': '€2.00m'}, {'date': '27/09/2023', 'age': '33', 'clubName': 'Adana Demirspor', 'clubID': '3840', 'value': '€2.00m'}, {'date': '21/12/2023', 'age': '33', 'clubName': 'Adana Demirspor', 'clubID': '3840', 'value': '€1.70m'}, {'date': '02/05/2024', 'age': '34', 'clubName': 'Al-Shamal SC', 'clubID': '10775', 'value': '€1.50m'}, {'date': '10/12/2024', 'age': '34', 'clubName': 'Al-Shamal SC', 'clubID': '10775', 'value': '€1.20m'}, {'date': '28/05/2025', 'age': '35', 'clubName': 'Al-Shamal SC', 'clubID': '10775', 'value': '€1.00m'}, {'date': '30/12/2025', 'age': '35', 'clubName': 'Al-Shamal SC', 'clubID': '10775', 'value': '€800k'}]}</t>
  </si>
  <si>
    <t>1990-02-25</t>
  </si>
  <si>
    <t>Goretzka</t>
  </si>
  <si>
    <t>{'marketValueHistory': [{'date': 'Jul 5, 2012', 'age': '17', 'clubName': 'VfL Bochum', 'clubID': '80', 'value': '€600k'}, {'date': 'Aug 26, 2012', 'age': '17', 'clubName': 'VfL Bochum', 'clubID': '80', 'value': '€1.00m'}, {'date': 'Jan 4, 2013', 'age': '17', 'clubName': 'VfL Bochum', 'clubID': '80', 'value': '€3.50m'}, {'date': 'Jun 29, 2013', 'age': '18', 'clubName': 'VfL Bochum', 'clubID': '80', 'value': '€4.50m'}, {'date': 'Jul 10, 2014', 'age': '19', 'clubName': 'FC Schalke 04', 'clubID': '33', 'value': '€7.50m'}, {'date': 'Feb 4, 2015', 'age': '19', 'clubName': 'FC Schalke 04', 'clubID': '33', 'value': '€7.50m'}, {'date': 'Jul 1, 2015', 'age': '20', 'clubName': 'FC Schalke 04', 'clubID': '33', 'value': '€7.50m'}, {'date': 'Oct 16, 2015', 'age': '20', 'clubName': 'FC Schalke 04', 'clubID': '33', 'value': '€10.00m'}, {'date': 'Feb 15, 2016', 'age': '21', 'clubName': 'FC Schalke 04', 'clubID': '33', 'value': '€13.00m'}, {'date': 'Jul 22, 2016', 'age': '21', 'clubName': 'FC Schalke 04', 'clubID': '33', 'value': '€15.00m'}, {'date': 'Feb 7, 2017', 'age': '22', 'clubName': 'FC Schalke 04', 'clubID': '33', 'value': '€18.00m'}, {'date': 'Mar 22, 2017', 'age': '22', 'clubName': 'FC Schalke 04', 'clubID': '33', 'value': '€20.00m'}, {'date': 'Jun 19, 2017', 'age': '22', 'clubName': 'FC Schalke 04', 'clubID': '33', 'value': '€23.00m'}, {'date': 'Dec 28, 2017', 'age': '22', 'clubName': 'FC Schalke 04', 'clubID': '33', 'value': '€40.00m'}, {'date': 'Jun 5, 2018', 'age': '23', 'clubName': 'FC Schalke 04', 'clubID': '33', 'value': '€40.00m'}, {'date': 'Dec 18, 2018', 'age': '23', 'clubName': 'Bayern Munich', 'clubID': '27', 'value': '€40.00m'}, {'date': 'Mar 6, 2019', 'age': '24', 'clubName': 'Bayern Munich', 'clubID': '27', 'value': '€50.00m'}, {'date': 'Jun 5, 2019', 'age': '24', 'clubName': 'Bayern Munich', 'clubID': '27', 'value': '€50.00m'}, {'date': 'Dec 17, 2019', 'age': '24', 'clubName': 'Bayern Munich', 'clubID': '27', 'value': '€50.00m'}, {'date': 'Apr 8, 2020', 'age': '25', 'clubName': 'Bayern Munich', 'clubID': '27', 'value': '€40.00m'}, {'date': 'Jul 8, 2020', 'age': '25', 'clubName': 'Bayern Munich', 'clubID': '27', 'value': '€50.00m'}, {'date': 'Sep 16, 2020', 'age': '25', 'clubName': 'Bayern Munich', 'clubID': '27', 'value': '€60.00m'}, {'date': 'Feb 10, 2021', 'age': '26', 'clubName': 'Bayern Munich', 'clubID': '27', 'value': '€70.00m'}, {'date': 'Jun 1, 2021', 'age': '26', 'clubName': 'Bayern Munich', 'clubID': '27', 'value': '€70.00m'}, {'date': 'Dec 22, 2021', 'age': '26', 'clubName': 'Bayern Munich', 'clubID': '27', 'value': '€70.00m'}, {'date': 'Jun 9, 2022', 'age': '27', 'clubName': 'Bayern Munich', 'clubID': '27', 'value': '€65.00m'}, {'date': 'Nov 9, 2022', 'age': '27', 'clubName': 'Bayern Munich', 'clubID': '27', 'value': '€65.00m'}, {'date': 'Jun 22, 2023', 'age': '28', 'clubName': 'Bayern Munich', 'clubID': '27', 'value': '€45.00m'}, {'date': 'Dec 14, 2023', 'age': '28', 'clubName': 'Bayern Munich', 'clubID': '27', 'value': '€40.00m'}, {'date': 'Mar 27, 2024', 'age': '29', 'clubName': 'Bayern Munich', 'clubID': '27', 'value': '€30.00m'}, {'date': 'May 29, 2024', 'age': '29', 'clubName': 'Bayern Munich', 'clubID': '27', 'value': '€30.00m'}, {'date': 'Oct 9, 2024', 'age': '29', 'clubName': 'Bayern Munich', 'clubID': '27', 'value': '€22.00m'}, {'date': 'Dec 20, 2024', 'age': '29', 'clubName': 'Bayern Munich', 'clubID': '27', 'value': '€22.00m'}, {'date': 'Jun 5, 2025', 'age': '30', 'clubName': 'Bayern Munich', 'clubID': '27', 'value': '€22.00m'}, {'date': 'Dec 19, 2025', 'age': '30', 'clubName': 'Bayern Munich', 'clubID': '27', 'value': '€15.00m'}]}</t>
  </si>
  <si>
    <t>Fernando</t>
  </si>
  <si>
    <t>{'marketValueHistory': [{'date': '04/10/2004', 'age': '20', 'clubName': 'Atlético de Madrid', 'clubID': '13', 'value': '€16.50m'}, {'date': '29/11/2004', 'age': '20', 'clubName': 'Atlético de Madrid', 'clubID': '13', 'value': '€25.00m'}, {'date': '21/06/2007', 'age': '23', 'clubName': 'Atlético de Madrid', 'clubID': '13', 'value': '€30.00m'}, {'date': '02/08/2007', 'age': '23', 'clubName': 'Liverpool FC', 'clubID': '31', 'value': '€35.00m'}, {'date': '04/07/2008', 'age': '24', 'clubName': 'Liverpool FC', 'clubID': '31', 'value': '€40.00m'}, {'date': '23/02/2009', 'age': '24', 'clubName': 'Liverpool FC', 'clubID': '31', 'value': '€43.00m'}, {'date': '29/06/2009', 'age': '25', 'clubName': 'Liverpool FC', 'clubID': '31', 'value': '€45.00m'}, {'date': '25/01/2010', 'age': '25', 'clubName': 'Liverpool FC', 'clubID': '31', 'value': '€50.00m'}, {'date': '13/08/2010', 'age': '26', 'clubName': 'Liverpool FC', 'clubID': '31', 'value': '€50.00m'}, {'date': '01/02/2011', 'age': '26', 'clubName': 'Chelsea FC', 'clubID': '631', 'value': '€46.00m'}, {'date': '08/08/2011', 'age': '27', 'clubName': 'Chelsea FC', 'clubID': '631', 'value': '€42.00m'}, {'date': '06/02/2012', 'age': '27', 'clubName': 'Chelsea FC', 'clubID': '631', 'value': '€35.00m'}, {'date': '24/06/2012', 'age': '28', 'clubName': 'Chelsea FC', 'clubID': '631', 'value': '€35.00m'}, {'date': '28/01/2013', 'age': '28', 'clubName': 'Chelsea FC', 'clubID': '631', 'value': '€28.00m'}, {'date': '02/07/2013', 'age': '29', 'clubName': 'Chelsea FC', 'clubID': '631', 'value': '€23.00m'}, {'date': '15/01/2014', 'age': '29', 'clubName': 'Chelsea FC', 'clubID': '631', 'value': '€19.00m'}, {'date': '12/08/2014', 'age': '30', 'clubName': 'Chelsea FC', 'clubID': '631', 'value': '€12.00m'}, {'date': '08/11/2014', 'age': '30', 'clubName': 'AC Milan', 'clubID': '5', 'value': '€7.00m'}, {'date': '23/01/2015', 'age': '30', 'clubName': 'Atlético de Madrid', 'clubID': '13', 'value': '€7.00m'}, {'date': '01/07/2015', 'age': '31', 'clubName': 'Atlético de Madrid', 'clubID': '13', 'value': '€7.00m'}, {'date': '22/02/2016', 'age': '31', 'clubName': 'Atlético de Madrid', 'clubID': '13', 'value': '€7.00m'}, {'date': '15/07/2016', 'age': '32', 'clubName': 'Atlético de Madrid', 'clubID': '13', 'value': '€10.00m'}, {'date': '24/01/2017', 'age': '32', 'clubName': 'Atlético de Madrid', 'clubID': '13', 'value': '€6.00m'}, {'date': '05/06/2017', 'age': '33', 'clubName': 'Atlético de Madrid', 'clubID': '13', 'value': '€4.00m'}, {'date': '01/01/2018', 'age': '33', 'clubName': 'Atlético de Madrid', 'clubID': '13', 'value': '€4.00m'}, {'date': '30/05/2018', 'age': '34', 'clubName': 'Atlético de Madrid', 'clubID': '13', 'value': '€4.00m'}, {'date': '05/01/2019', 'age': '34', 'clubName': 'Sagan Tosu', 'clubID': '22177', 'value': '€3.50m'}, {'date': '27/06/2019', 'age': '35', 'clubName': 'Sagan Tosu', 'clubID': '22177', 'value': '€2.50m'}, {'date': '26/08/2019', 'age': '35', 'clubName': 'Retired', 'clubID': '123', 'value': '-'}]}</t>
  </si>
  <si>
    <t>1984-03-20</t>
  </si>
  <si>
    <t>Onyekuru</t>
  </si>
  <si>
    <t>{'marketValueHistory': [{'date': 'Oct 28, 2015', 'age': '18', 'clubName': 'KAS Eupen', 'clubID': '1245', 'value': '€75k'}, {'date': 'Jul 15, 2016', 'age': '19', 'clubName': 'KAS Eupen', 'clubID': '1245', 'value': '€500k'}, {'date': 'Oct 20, 2016', 'age': '19', 'clubName': 'KAS Eupen', 'clubID': '1245', 'value': '€1.50m'}, {'date': 'Jan 21, 2017', 'age': '19', 'clubName': 'KAS Eupen', 'clubID': '1245', 'value': '€4.00m'}, {'date': 'Jun 6, 2017', 'age': '20', 'clubName': 'KAS Eupen', 'clubID': '1245', 'value': '€7.00m'}, {'date': 'Jan 9, 2018', 'age': '20', 'clubName': 'RSC Anderlecht', 'clubID': '58', 'value': '€10.00m'}, {'date': 'Jun 3, 2018', 'age': '20', 'clubName': 'RSC Anderlecht', 'clubID': '58', 'value': '€10.00m'}, {'date': 'Jan 4, 2019', 'age': '21', 'clubName': 'Galatasaray', 'clubID': '141', 'value': '€10.00m'}, {'date': 'Jun 4, 2019', 'age': '21', 'clubName': 'Galatasaray', 'clubID': '141', 'value': '€13.00m'}, {'date': 'Dec 19, 2019', 'age': '22', 'clubName': 'AS Monaco', 'clubID': '162', 'value': '€10.00m'}, {'date': 'Apr 8, 2020', 'age': '22', 'clubName': 'Galatasaray', 'clubID': '141', 'value': '€8.00m'}, {'date': 'Aug 3, 2020', 'age': '23', 'clubName': 'AS Monaco', 'clubID': '162', 'value': '€6.00m'}, {'date': 'Oct 12, 2020', 'age': '23', 'clubName': 'AS Monaco', 'clubID': '162', 'value': '€6.00m'}, {'date': 'Mar 16, 2021', 'age': '23', 'clubName': 'Galatasaray', 'clubID': '141', 'value': '€7.00m'}, {'date': 'May 21, 2021', 'age': '23', 'clubName': 'Galatasaray', 'clubID': '141', 'value': '€7.00m'}, {'date': 'Nov 1, 2021', 'age': '24', 'clubName': 'Olympiacos Piraeus', 'clubID': '683', 'value': '€7.00m'}, {'date': 'Jun 9, 2022', 'age': '25', 'clubName': 'Olympiacos Piraeus', 'clubID': '683', 'value': '€5.00m'}, {'date': 'Oct 27, 2022', 'age': '25', 'clubName': 'Adana Demirspor', 'clubID': '3840', 'value': '€6.00m'}, {'date': 'Mar 14, 2023', 'age': '25', 'clubName': 'Adana Demirspor', 'clubID': '3840', 'value': '€6.00m'}, {'date': 'Jun 8, 2023', 'age': '26', 'clubName': 'Adana Demirspor', 'clubID': '3840', 'value': '€5.50m'}, {'date': 'Oct 24, 2023', 'age': '26', 'clubName': 'Al-Fayha FC', 'clubID': '50531', 'value': '€4.80m'}, {'date': 'Dec 15, 2023', 'age': '26', 'clubName': 'Al-Fayha FC', 'clubID': '50531', 'value': '€4.50m'}, {'date': 'Jun 4, 2024', 'age': '26', 'clubName': 'Al-Fayha FC', 'clubID': '50531', 'value': '€4.50m'}, {'date': 'Dec 13, 2024', 'age': '27', 'clubName': 'Al-Fayha FC', 'clubID': '50531', 'value': '€4.00m'}, {'date': 'May 27, 2025', 'age': '27', 'clubName': 'Al-Fayha FC', 'clubID': '50531', 'value': '€3.00m'}, {'date': 'Oct 1, 2025', 'age': '28', 'clubName': 'Genclerbirligi Ankara', 'clubID': '820', 'value': '€2.50m'}, {'date': 'Dec 17, 2025', 'age': '28', 'clubName': 'Genclerbirligi Ankara', 'clubID': '820', 'value': '€1.80m'}, {'date': 'Mar 5, 2026', 'age': '28', 'clubName': 'Genclerbirligi Ankara', 'clubID': '820', 'value': '€1.50m'}]}</t>
  </si>
  <si>
    <t>1997-06-05</t>
  </si>
  <si>
    <t>Pizzi</t>
  </si>
  <si>
    <t>{'marketValueHistory': [{'date': '15/01/2010', 'age': '20', 'clubName': 'FC Paços de Ferreira', 'clubID': '2995', 'value': '€400k'}, {'date': '14/07/2010', 'age': '20', 'clubName': 'FC Paços de Ferreira', 'clubID': '2995', 'value': '€1.30m'}, {'date': '28/06/2011', 'age': '21', 'clubName': 'FC Paços de Ferreira', 'clubID': '2995', 'value': '€4.60m'}, {'date': '01/09/2011', 'age': '21', 'clubName': 'Atlético de Madrid', 'clubID': '13', 'value': '€7.50m'}, {'date': '03/02/2012', 'age': '22', 'clubName': 'Atlético de Madrid', 'clubID': '13', 'value': '€4.50m'}, {'date': '08/08/2012', 'age': '22', 'clubName': 'Deportivo de La Coruña', 'clubID': '897', 'value': '€3.50m'}, {'date': '11/01/2013', 'age': '23', 'clubName': 'Deportivo de La Coruña', 'clubID': '897', 'value': '€6.00m'}, {'date': '14/06/2013', 'age': '23', 'clubName': 'Deportivo de La Coruña', 'clubID': '897', 'value': '€6.00m'}, {'date': '25/07/2013', 'age': '23', 'clubName': 'Atlético de Madrid', 'clubID': '13', 'value': '€6.00m'}, {'date': '23/01/2014', 'age': '24', 'clubName': 'RCD Espanyol Barcelona', 'clubID': '714', 'value': '€3.00m'}, {'date': '17/02/2015', 'age': '25', 'clubName': 'SL Benfica', 'clubID': '294', 'value': '€3.20m'}, {'date': '01/07/2015', 'age': '25', 'clubName': 'SL Benfica', 'clubID': '294', 'value': '€7.00m'}, {'date': '24/02/2016', 'age': '26', 'clubName': 'SL Benfica', 'clubID': '294', 'value': '€11.00m'}, {'date': '29/07/2016', 'age': '26', 'clubName': 'SL Benfica', 'clubID': '294', 'value': '€13.00m'}, {'date': '22/02/2017', 'age': '27', 'clubName': 'SL Benfica', 'clubID': '294', 'value': '€17.00m'}, {'date': '26/06/2017', 'age': '27', 'clubName': 'SL Benfica', 'clubID': '294', 'value': '€20.00m'}, {'date': '07/02/2018', 'age': '28', 'clubName': 'SL Benfica', 'clubID': '294', 'value': '€20.00m'}, {'date': '13/06/2018', 'age': '28', 'clubName': 'SL Benfica', 'clubID': '294', 'value': '€20.00m'}, {'date': '01/11/2018', 'age': '29', 'clubName': 'SL Benfica', 'clubID': '294', 'value': '€22.00m'}, {'date': '11/01/2019', 'age': '29', 'clubName': 'SL Benfica', 'clubID': '294', 'value': '€20.00m'}, {'date': '18/03/2019', 'age': '29', 'clubName': 'SL Benfica', 'clubID': '294', 'value': '€22.00m'}, {'date': '07/06/2019', 'age': '29', 'clubName': 'SL Benfica', 'clubID': '294', 'value': '€25.00m'}, {'date': '30/12/2019', 'age': '30', 'clubName': 'SL Benfica', 'clubID': '294', 'value': '€27.00m'}, {'date': '08/04/2020', 'age': '30', 'clubName': 'SL Benfica', 'clubID': '294', 'value': '€21.50m'}, {'date': '17/08/2020', 'age': '30', 'clubName': 'SL Benfica', 'clubID': '294', 'value': '€22.00m'}, {'date': '22/10/2020', 'age': '31', 'clubName': 'SL Benfica', 'clubID': '294', 'value': '€20.00m'}, {'date': '28/01/2021', 'age': '31', 'clubName': 'SL Benfica', 'clubID': '294', 'value': '€18.00m'}, {'date': '25/03/2021', 'age': '31', 'clubName': 'SL Benfica', 'clubID': '294', 'value': '€12.00m'}, {'date': '21/05/2021', 'age': '31', 'clubName': 'SL Benfica', 'clubID': '294', 'value': '€12.00m'}, {'date': '21/09/2021', 'age': '31', 'clubName': 'SL Benfica', 'clubID': '294', 'value': '€10.00m'}, {'date': '27/12/2021', 'age': '32', 'clubName': 'SL Benfica', 'clubID': '294', 'value': '€8.00m'}, {'date': '31/03/2022', 'age': '32', 'clubName': 'Basaksehir FK', 'clubID': '6890', 'value': '€6.00m'}, {'date': '01/06/2022', 'age': '32', 'clubName': 'Basaksehir FK', 'clubID': '6890', 'value': '€4.00m'}, {'date': '15/12/2022', 'age': '33', 'clubName': 'Al-Wahda FC', 'clubID': '161', 'value': '€3.00m'}, {'date': '16/06/2023', 'age': '33', 'clubName': 'SC Braga', 'clubID': '1075', 'value': '€2.00m'}, {'date': '27/12/2023', 'age': '34', 'clubName': 'SC Braga', 'clubID': '1075', 'value': '€1.20m'}, {'date': '08/03/2024', 'age': '34', 'clubName': 'SC Braga', 'clubID': '1075', 'value': '€1.00m'}, {'date': '06/06/2024', 'age': '34', 'clubName': 'SC Braga', 'clubID': '1075', 'value': '€800k'}, {'date': '24/09/2024', 'age': '34', 'clubName': 'APOEL Nicosia', 'clubID': '2784', 'value': '€700k'}, {'date': '09/12/2024', 'age': '35', 'clubName': 'APOEL Nicosia', 'clubID': '2784', 'value': '€600k'}, {'date': '29/05/2025', 'age': '35', 'clubName': 'APOEL Nicosia', 'clubID': '2784', 'value': '€400k'}, {'date': '18/12/2025', 'age': '36', 'clubName': 'GD Estoril Praia', 'clubID': '1465', 'value': '€300k'}]}</t>
  </si>
  <si>
    <t>1989-10-06</t>
  </si>
  <si>
    <t>Traore</t>
  </si>
  <si>
    <t>{'marketValueHistory': [{'date': 'Jun 22, 2013', 'age': '17', 'clubName': 'FC Barcelona U19', 'clubID': '2470', 'value': '€200k'}, {'date': 'Oct 8, 2013', 'age': '17', 'clubName': 'FC Barcelona B', 'clubID': '2464', 'value': '€200k'}, {'date': 'Feb 6, 2014', 'age': '18', 'clubName': 'FC Barcelona B', 'clubID': '2464', 'value': '€1.00m'}, {'date': 'Aug 5, 2014', 'age': '18', 'clubName': 'FC Barcelona B', 'clubID': '2464', 'value': '€5.00m'}, {'date': 'Jan 8, 2015', 'age': '18', 'clubName': 'FC Barcelona B', 'clubID': '2464', 'value': '€5.00m'}, {'date': 'Aug 14, 2015', 'age': '19', 'clubName': 'Aston Villa', 'clubID': '405', 'value': '€5.00m'}, {'date': 'Oct 14, 2015', 'age': '19', 'clubName': 'Aston Villa', 'clubID': '405', 'value': '€8.00m'}, {'date': 'Feb 9, 2016', 'age': '20', 'clubName': 'Aston Villa', 'clubID': '405', 'value': '€8.00m'}, {'date': 'Sep 1, 2016', 'age': '20', 'clubName': 'Middlesbrough FC', 'clubID': '641', 'value': '€7.00m'}, {'date': 'Feb 20, 2017', 'age': '21', 'clubName': 'Middlesbrough FC', 'clubID': '641', 'value': '€8.00m'}, {'date': 'Jun 28, 2017', 'age': '21', 'clubName': 'Middlesbrough FC', 'clubID': '641', 'value': '€8.00m'}, {'date': 'Aug 13, 2018', 'age': '22', 'clubName': 'Wolverhampton Wanderers', 'clubID': '543', 'value': '€18.00m'}, {'date': 'Dec 19, 2018', 'age': '22', 'clubName': 'Wolverhampton Wanderers', 'clubID': '543', 'value': '€18.00m'}, {'date': 'Jun 13, 2019', 'age': '23', 'clubName': 'Wolverhampton Wanderers', 'clubID': '543', 'value': '€15.00m'}, {'date': 'Dec 10, 2019', 'age': '23', 'clubName': 'Wolverhampton Wanderers', 'clubID': '543', 'value': '€28.00m'}, {'date': 'Mar 9, 2020', 'age': '24', 'clubName': 'Wolverhampton Wanderers', 'clubID': '543', 'value': '€32.00m'}, {'date': 'Apr 8, 2020', 'age': '24', 'clubName': 'Wolverhampton Wanderers', 'clubID': '543', 'value': '€25.50m'}, {'date': 'Jul 30, 2020', 'age': '24', 'clubName': 'Wolverhampton Wanderers', 'clubID': '543', 'value': '€35.00m'}, {'date': 'Oct 13, 2020', 'age': '24', 'clubName': 'Wolverhampton Wanderers', 'clubID': '543', 'value': '€40.00m'}, {'date': 'Mar 18, 2021', 'age': '25', 'clubName': 'Wolverhampton Wanderers', 'clubID': '543', 'value': '€35.00m'}, {'date': 'May 31, 2021', 'age': '25', 'clubName': 'Wolverhampton Wanderers', 'clubID': '543', 'value': '€30.00m'}, {'date': 'Dec 23, 2021', 'age': '25', 'clubName': 'Wolverhampton Wanderers', 'clubID': '543', 'value': '€28.00m'}, {'date': 'Jun 3, 2022', 'age': '26', 'clubName': 'FC Barcelona', 'clubID': '131', 'value': '€20.00m'}, {'date': 'Sep 15, 2022', 'age': '26', 'clubName': 'Wolverhampton Wanderers', 'clubID': '543', 'value': '€15.00m'}, {'date': 'Nov 3, 2022', 'age': '26', 'clubName': 'Wolverhampton Wanderers', 'clubID': '543', 'value': '€15.00m'}, {'date': 'Mar 16, 2023', 'age': '27', 'clubName': 'Wolverhampton Wanderers', 'clubID': '543', 'value': '€12.00m'}, {'date': 'Jun 20, 2023', 'age': '27', 'clubName': 'Wolverhampton Wanderers', 'clubID': '543', 'value': '€10.00m'}, {'date': 'Dec 19, 2023', 'age': '27', 'clubName': 'Fulham FC', 'clubID': '931', 'value': '€9.00m'}, {'date': 'May 27, 2024', 'age': '28', 'clubName': 'Fulham FC', 'clubID': '931', 'value': '€9.00m'}, {'date': 'Dec 16, 2024', 'age': '28', 'clubName': 'Fulham FC', 'clubID': '931', 'value': '€10.00m'}, {'date': 'May 30, 2025', 'age': '29', 'clubName': 'Fulham FC', 'clubID': '931', 'value': '€9.00m'}, {'date': 'Dec 9, 2025', 'age': '29', 'clubName': 'Fulham FC', 'clubID': '931', 'value': '€8.00m'}]}</t>
  </si>
  <si>
    <t>1996-01-25</t>
  </si>
  <si>
    <t>Kluivert</t>
  </si>
  <si>
    <t>{'marketValueHistory': [{'date': '02/02/2017', 'age': '17', 'clubName': 'Ajax Amsterdam', 'clubID': '610', 'value': '€1.00m'}, {'date': '07/06/2017', 'age': '18', 'clubName': 'Ajax Amsterdam', 'clubID': '610', 'value': '€3.00m'}, {'date': '17/01/2018', 'age': '18', 'clubName': 'Ajax Amsterdam', 'clubID': '610', 'value': '€7.50m'}, {'date': '12/06/2018', 'age': '19', 'clubName': 'Ajax Amsterdam', 'clubID': '610', 'value': '€15.00m'}, {'date': '20/12/2018', 'age': '19', 'clubName': 'AS Roma', 'clubID': '12', 'value': '€20.00m'}, {'date': '06/06/2019', 'age': '20', 'clubName': 'AS Roma', 'clubID': '12', 'value': '€20.00m'}, {'date': '08/10/2019', 'age': '20', 'clubName': 'AS Roma', 'clubID': '12', 'value': '€23.00m'}, {'date': '12/12/2019', 'age': '20', 'clubName': 'AS Roma', 'clubID': '12', 'value': '€25.00m'}, {'date': '08/04/2020', 'age': '20', 'clubName': 'AS Roma', 'clubID': '12', 'value': '€22.50m'}, {'date': '25/08/2020', 'age': '21', 'clubName': 'AS Roma', 'clubID': '12', 'value': '€20.00m'}, {'date': '10/02/2021', 'age': '21', 'clubName': 'RB Leipzig', 'clubID': '23826', 'value': '€18.00m'}, {'date': '31/03/2021', 'age': '21', 'clubName': 'RB Leipzig', 'clubID': '23826', 'value': '€14.00m'}, {'date': '09/06/2021', 'age': '22', 'clubName': 'RB Leipzig', 'clubID': '23826', 'value': '€14.00m'}, {'date': '16/12/2021', 'age': '22', 'clubName': 'OGC Nice', 'clubID': '417', 'value': '€14.00m'}, {'date': '23/03/2022', 'age': '22', 'clubName': 'OGC Nice', 'clubID': '417', 'value': '€15.00m'}, {'date': '30/05/2022', 'age': '23', 'clubName': 'OGC Nice', 'clubID': '417', 'value': '€15.00m'}, {'date': '07/11/2022', 'age': '23', 'clubName': 'Valencia CF', 'clubID': '1049', 'value': '€14.00m'}, {'date': '23/03/2023', 'age': '23', 'clubName': 'Valencia CF', 'clubID': '1049', 'value': '€12.00m'}, {'date': '13/06/2023', 'age': '24', 'clubName': 'Valencia CF', 'clubID': '1049', 'value': '€14.00m'}, {'date': '19/12/2023', 'age': '24', 'clubName': 'AFC Bournemouth', 'clubID': '989', 'value': '€11.00m'}, {'date': '27/05/2024', 'age': '25', 'clubName': 'AFC Bournemouth', 'clubID': '989', 'value': '€14.00m'}, {'date': '16/12/2024', 'age': '25', 'clubName': 'AFC Bournemouth', 'clubID': '989', 'value': '€22.00m'}, {'date': '18/03/2025', 'age': '25', 'clubName': 'AFC Bournemouth', 'clubID': '989', 'value': '€35.00m'}, {'date': '30/05/2025', 'age': '26', 'clubName': 'AFC Bournemouth', 'clubID': '989', 'value': '€35.00m'}, {'date': '09/12/2025', 'age': '26', 'clubName': 'AFC Bournemouth', 'clubID': '989', 'value': '€32.00m'}, {'date': '09/03/2026', 'age': '26', 'clubName': 'AFC Bournemouth', 'clubID': '989', 'value': '€30.00m'}]}</t>
  </si>
  <si>
    <t>1999-05-05</t>
  </si>
  <si>
    <t>Klonaridis</t>
  </si>
  <si>
    <t>{'marketValueHistory': [{'date': 'Jan 10, 2011', 'age': '18', 'clubName': 'AEK Athens', 'clubID': '2441', 'value': '€200k'}, {'date': 'Feb 28, 2011', 'age': '18', 'clubName': 'AEK Athens', 'clubID': '2441', 'value': '€250k'}, {'date': 'Sep 15, 2011', 'age': '19', 'clubName': 'AEK Athens', 'clubID': '2441', 'value': '€200k'}, {'date': 'Nov 21, 2011', 'age': '19', 'clubName': 'AEK Athens', 'clubID': '2441', 'value': '€250k'}, {'date': 'Feb 26, 2012', 'age': '19', 'clubName': 'AEK Athens', 'clubID': '2441', 'value': '€450k'}, {'date': 'Jun 30, 2012', 'age': '19', 'clubName': 'AEK Athens', 'clubID': '2441', 'value': '€1.25m'}, {'date': 'Jan 7, 2013', 'age': '20', 'clubName': 'LOSC Lille', 'clubID': '1082', 'value': '€1.25m'}, {'date': 'Dec 2, 2013', 'age': '21', 'clubName': 'Panathinaikos', 'clubID': '265', 'value': '€1.00m'}, {'date': 'Mar 28, 2014', 'age': '21', 'clubName': 'Panathinaikos', 'clubID': '265', 'value': '€1.00m'}, {'date': 'Nov 11, 2014', 'age': '22', 'clubName': 'Panathinaikos', 'clubID': '265', 'value': '€1.25m'}, {'date': 'May 10, 2015', 'age': '22', 'clubName': 'Panathinaikos', 'clubID': '265', 'value': '€1.25m'}, {'date': 'Sep 27, 2015', 'age': '23', 'clubName': 'Panathinaikos', 'clubID': '265', 'value': '€1.25m'}, {'date': 'Jun 21, 2016', 'age': '23', 'clubName': 'Panathinaikos', 'clubID': '265', 'value': '€1.00m'}, {'date': 'Feb 11, 2017', 'age': '24', 'clubName': 'Panathinaikos', 'clubID': '265', 'value': '€1.00m'}, {'date': 'May 11, 2017', 'age': '24', 'clubName': 'Panathinaikos', 'clubID': '265', 'value': '€1.00m'}, {'date': 'Dec 18, 2017', 'age': '25', 'clubName': 'AEK Athens', 'clubID': '2441', 'value': '€1.00m'}, {'date': 'May 22, 2018', 'age': '25', 'clubName': 'AEK Athens', 'clubID': '2441', 'value': '€800k'}, {'date': 'Dec 7, 2018', 'age': '26', 'clubName': 'AEK Athens', 'clubID': '2441', 'value': '€1.00m'}, {'date': 'May 21, 2019', 'age': '26', 'clubName': 'AEK Athens', 'clubID': '2441', 'value': '€1.00m'}, {'date': 'Sep 23, 2019', 'age': '27', 'clubName': 'AEK Athens', 'clubID': '2441', 'value': '€600k'}, {'date': 'Dec 18, 2019', 'age': '27', 'clubName': 'AEK Athens', 'clubID': '2441', 'value': '€500k'}, {'date': 'Apr 8, 2020', 'age': '27', 'clubName': 'AEK Athens', 'clubID': '2441', 'value': '€400k'}, {'date': 'Aug 4, 2020', 'age': '28', 'clubName': 'APOEL Nicosia', 'clubID': '2784', 'value': '€400k'}, {'date': 'Oct 6, 2020', 'age': '28', 'clubName': 'APOEL Nicosia', 'clubID': '2784', 'value': '€400k'}, {'date': 'May 14, 2021', 'age': '28', 'clubName': 'APOEL Nicosia', 'clubID': '2784', 'value': '€600k'}, {'date': 'Nov 1, 2021', 'age': '29', 'clubName': 'Atromitos Athens', 'clubID': '3060', 'value': '€600k'}, {'date': 'Jun 9, 2022', 'age': '29', 'clubName': 'Atromitos Athens', 'clubID': '3060', 'value': '€400k'}, {'date': 'Nov 7, 2022', 'age': '30', 'clubName': 'Atromitos Athens', 'clubID': '3060', 'value': '€500k'}, {'date': 'May 22, 2023', 'age': '30', 'clubName': 'Atromitos Athens', 'clubID': '3060', 'value': '€500k'}, {'date': 'Oct 20, 2023', 'age': '31', 'clubName': 'Ümraniyespor', 'clubID': '24245', 'value': '€350k'}, {'date': 'Dec 29, 2023', 'age': '31', 'clubName': 'Without Club', 'clubID': '515', 'value': '€300k'}, {'date': 'May 30, 2024', 'age': '31', 'clubName': 'AE Kifisia', 'clubID': '30120', 'value': '€250k'}, {'date': 'Oct 16, 2024', 'age': '32', 'clubName': 'Forge FC', 'clubID': '68029', 'value': '€150k'}, {'date': 'Dec 6, 2024', 'age': '32', 'clubName': 'Forge FC', 'clubID': '68029', 'value': '€150k'}, {'date': 'May 23, 2025', 'age': '32', 'clubName': 'PAS Lamia 1964', 'clubID': '3999', 'value': '€125k'}, {'date': 'Nov 18, 2025', 'age': '33', 'clubName': 'Forge FC', 'clubID': '68029', 'value': '€100k'}, {'date': 'Jan 16, 2026', 'age': '33', 'clubName': 'Aris Petroupolis', 'clubID': '4586', 'value': '-'}]}</t>
  </si>
  <si>
    <t>1992-07-28</t>
  </si>
  <si>
    <t>Dahoud</t>
  </si>
  <si>
    <t>{'marketValueHistory': [{'date': '27/08/2013', 'age': '17', 'clubName': 'Borussia Mönchengladbach', 'clubID': '18', 'value': '€200k'}, {'date': '20/02/2014', 'age': '18', 'clubName': 'Borussia Mönchengladbach', 'clubID': '18', 'value': '€150k'}, {'date': '10/07/2014', 'age': '18', 'clubName': 'Borussia Mönchengladbach', 'clubID': '18', 'value': '€150k'}, {'date': '03/11/2014', 'age': '18', 'clubName': 'Borussia Mönchengladbach', 'clubID': '18', 'value': '€600k'}, {'date': '04/02/2015', 'age': '19', 'clubName': 'Borussia Mönchengladbach', 'clubID': '18', 'value': '€600k'}, {'date': '01/07/2015', 'age': '19', 'clubName': 'Borussia Mönchengladbach', 'clubID': '18', 'value': '€600k'}, {'date': '16/10/2015', 'age': '19', 'clubName': 'Borussia Mönchengladbach', 'clubID': '18', 'value': '€2.50m'}, {'date': '15/02/2016', 'age': '20', 'clubName': 'Borussia Mönchengladbach', 'clubID': '18', 'value': '€8.00m'}, {'date': '13/04/2016', 'age': '20', 'clubName': 'Borussia Mönchengladbach', 'clubID': '18', 'value': '€12.00m'}, {'date': '22/07/2016', 'age': '20', 'clubName': 'Borussia Mönchengladbach', 'clubID': '18', 'value': '€15.00m'}, {'date': '07/02/2017', 'age': '21', 'clubName': 'Borussia Mönchengladbach', 'clubID': '18', 'value': '€15.00m'}, {'date': '19/06/2017', 'age': '21', 'clubName': 'Borussia Mönchengladbach', 'clubID': '18', 'value': '€15.00m'}, {'date': '28/12/2017', 'age': '21', 'clubName': 'Borussia Dortmund', 'clubID': '16', 'value': '€15.00m'}, {'date': '04/04/2018', 'age': '22', 'clubName': 'Borussia Dortmund', 'clubID': '16', 'value': '€18.00m'}, {'date': '05/06/2018', 'age': '22', 'clubName': 'Borussia Dortmund', 'clubID': '16', 'value': '€18.00m'}, {'date': '18/12/2018', 'age': '22', 'clubName': 'Borussia Dortmund', 'clubID': '16', 'value': '€18.00m'}, {'date': '05/06/2019', 'age': '23', 'clubName': 'Borussia Dortmund', 'clubID': '16', 'value': '€14.00m'}, {'date': '02/10/2019', 'age': '23', 'clubName': 'Borussia Dortmund', 'clubID': '16', 'value': '€10.00m'}, {'date': '17/12/2019', 'age': '23', 'clubName': 'Borussia Dortmund', 'clubID': '16', 'value': '€8.00m'}, {'date': '08/04/2020', 'age': '24', 'clubName': 'Borussia Dortmund', 'clubID': '16', 'value': '€6.50m'}, {'date': '26/11/2020', 'age': '24', 'clubName': 'Borussia Dortmund', 'clubID': '16', 'value': '€10.00m'}, {'date': '10/02/2021', 'age': '25', 'clubName': 'Borussia Dortmund', 'clubID': '16', 'value': '€8.50m'}, {'date': '31/03/2021', 'age': '25', 'clubName': 'Borussia Dortmund', 'clubID': '16', 'value': '€11.00m'}, {'date': '09/06/2021', 'age': '25', 'clubName': 'Borussia Dortmund', 'clubID': '16', 'value': '€16.00m'}, {'date': '07/10/2021', 'age': '25', 'clubName': 'Borussia Dortmund', 'clubID': '16', 'value': '€18.00m'}, {'date': '22/12/2021', 'age': '25', 'clubName': 'Borussia Dortmund', 'clubID': '16', 'value': '€18.00m'}, {'date': '09/06/2022', 'age': '26', 'clubName': 'Borussia Dortmund', 'clubID': '16', 'value': '€18.00m'}, {'date': '09/11/2022', 'age': '26', 'clubName': 'Borussia Dortmund', 'clubID': '16', 'value': '€18.00m'}, {'date': '29/03/2023', 'age': '27', 'clubName': 'Borussia Dortmund', 'clubID': '16', 'value': '€12.00m'}, {'date': '22/06/2023', 'age': '27', 'clubName': 'Borussia Dortmund', 'clubID': '16', 'value': '€12.00m'}, {'date': '19/12/2023', 'age': '27', 'clubName': 'Brighton &amp; Hove Albion', 'clubID': '1237', 'value': '€14.00m'}, {'date': '27/03/2024', 'age': '28', 'clubName': 'VfB Stuttgart', 'clubID': '79', 'value': '€8.00m'}, {'date': '29/05/2024', 'age': '28', 'clubName': 'VfB Stuttgart', 'clubID': '79', 'value': '€6.00m'}, {'date': '20/12/2024', 'age': '28', 'clubName': 'Eintracht Frankfurt', 'clubID': '24', 'value': '€5.00m'}, {'date': '05/06/2025', 'age': '29', 'clubName': 'Eintracht Frankfurt', 'clubID': '24', 'value': '€3.50m'}, {'date': '14/10/2025', 'age': '29', 'clubName': 'Eintracht Frankfurt', 'clubID': '24', 'value': '€2.00m'}, {'date': '19/12/2025', 'age': '29', 'clubName': 'Eintracht Frankfurt', 'clubID': '24', 'value': '€2.00m'}]}</t>
  </si>
  <si>
    <t>1996-01-01</t>
  </si>
  <si>
    <t>Goncalo Guedes</t>
  </si>
  <si>
    <t>{'marketValueHistory': [{'date': 'Feb 17, 2015', 'age': '18', 'clubName': 'SL Benfica', 'clubID': '294', 'value': '€1.50m'}, {'date': 'Jul 1, 2015', 'age': '18', 'clubName': 'SL Benfica', 'clubID': '294', 'value': '€2.00m'}, {'date': 'Oct 7, 2015', 'age': '18', 'clubName': 'SL Benfica', 'clubID': '294', 'value': '€3.75m'}, {'date': 'Feb 24, 2016', 'age': '19', 'clubName': 'SL Benfica', 'clubID': '294', 'value': '€7.00m'}, {'date': 'Jul 29, 2016', 'age': '19', 'clubName': 'SL Benfica', 'clubID': '294', 'value': '€6.50m'}, {'date': 'Oct 31, 2016', 'age': '19', 'clubName': 'SL Benfica', 'clubID': '294', 'value': '€9.00m'}, {'date': 'Feb 22, 2017', 'age': '20', 'clubName': 'Paris Saint-Germain', 'clubID': '583', 'value': '€17.00m'}, {'date': 'Jun 1, 2017', 'age': '20', 'clubName': 'Paris Saint-Germain', 'clubID': '583', 'value': '€17.00m'}, {'date': 'Jan 1, 2018', 'age': '21', 'clubName': 'Valencia CF', 'clubID': '1049', 'value': '€40.00m'}, {'date': 'May 30, 2018', 'age': '21', 'clubName': 'Valencia CF', 'clubID': '1049', 'value': '€40.00m'}, {'date': 'Dec 21, 2018', 'age': '22', 'clubName': 'Valencia CF', 'clubID': '1049', 'value': '€30.00m'}, {'date': 'Jun 11, 2019', 'age': '22', 'clubName': 'Valencia CF', 'clubID': '1049', 'value': '€40.00m'}, {'date': 'Dec 20, 2019', 'age': '23', 'clubName': 'Valencia CF', 'clubID': '1049', 'value': '€28.00m'}, {'date': 'Apr 8, 2020', 'age': '23', 'clubName': 'Valencia CF', 'clubID': '1049', 'value': '€22.50m'}, {'date': 'Oct 8, 2020', 'age': '23', 'clubName': 'Valencia CF', 'clubID': '1049', 'value': '€17.50m'}, {'date': 'Jan 5, 2021', 'age': '24', 'clubName': 'Valencia CF', 'clubID': '1049', 'value': '€15.00m'}, {'date': 'Jun 1, 2021', 'age': '24', 'clubName': 'Valencia CF', 'clubID': '1049', 'value': '€25.00m'}, {'date': 'Dec 30, 2021', 'age': '25', 'clubName': 'Valencia CF', 'clubID': '1049', 'value': '€30.00m'}, {'date': 'Mar 21, 2022', 'age': '25', 'clubName': 'Valencia CF', 'clubID': '1049', 'value': '€40.00m'}, {'date': 'Jun 3, 2022', 'age': '25', 'clubName': 'Valencia CF', 'clubID': '1049', 'value': '€40.00m'}, {'date': 'Sep 15, 2022', 'age': '25', 'clubName': 'Wolverhampton Wanderers', 'clubID': '543', 'value': '€35.00m'}, {'date': 'Nov 3, 2022', 'age': '25', 'clubName': 'Wolverhampton Wanderers', 'clubID': '543', 'value': '€32.00m'}, {'date': 'Mar 2, 2023', 'age': '26', 'clubName': 'SL Benfica', 'clubID': '294', 'value': '€28.00m'}, {'date': 'Jun 16, 2023', 'age': '26', 'clubName': 'SL Benfica', 'clubID': '294', 'value': '€23.00m'}, {'date': 'Dec 27, 2023', 'age': '27', 'clubName': 'SL Benfica', 'clubID': '294', 'value': '€18.00m'}, {'date': 'Jun 7, 2024', 'age': '27', 'clubName': 'Villarreal CF', 'clubID': '1050', 'value': '€15.00m'}, {'date': 'Dec 16, 2024', 'age': '28', 'clubName': 'Wolverhampton Wanderers', 'clubID': '543', 'value': '€15.00m'}, {'date': 'Mar 18, 2025', 'age': '28', 'clubName': 'Wolverhampton Wanderers', 'clubID': '543', 'value': '€13.00m'}, {'date': 'May 30, 2025', 'age': '28', 'clubName': 'Wolverhampton Wanderers', 'clubID': '543', 'value': '€11.00m'}, {'date': 'Oct 2, 2025', 'age': '28', 'clubName': 'Real Sociedad', 'clubID': '681', 'value': '€8.00m'}, {'date': 'Dec 12, 2025', 'age': '29', 'clubName': 'Real Sociedad', 'clubID': '681', 'value': '€6.00m'}]}</t>
  </si>
  <si>
    <t>1996-11-29</t>
  </si>
  <si>
    <t>Chadli</t>
  </si>
  <si>
    <t>{'marketValueHistory': [{'date': '16/01/2008', 'age': '18', 'clubName': 'AGOVV Apeldoorn', 'clubID': '1389', 'value': '€50k'}, {'date': '14/08/2008', 'age': '19', 'clubName': 'AGOVV Apeldoorn', 'clubID': '1389', 'value': '€150k'}, {'date': '14/06/2009', 'age': '19', 'clubName': 'AGOVV Apeldoorn', 'clubID': '1389', 'value': '€250k'}, {'date': '03/06/2010', 'age': '20', 'clubName': 'AGOVV Apeldoorn', 'clubID': '1389', 'value': '€800k'}, {'date': '17/01/2011', 'age': '21', 'clubName': 'FC Twente Enschede', 'clubID': '317', 'value': '€4.00m'}, {'date': '15/06/2011', 'age': '21', 'clubName': 'FC Twente Enschede', 'clubID': '317', 'value': '€5.00m'}, {'date': '09/10/2012', 'age': '23', 'clubName': 'FC Twente Enschede', 'clubID': '317', 'value': '€7.00m'}, {'date': '12/01/2013', 'age': '23', 'clubName': 'FC Twente Enschede', 'clubID': '317', 'value': '€8.50m'}, {'date': '02/06/2013', 'age': '23', 'clubName': 'FC Twente Enschede', 'clubID': '317', 'value': '€9.00m'}, {'date': '18/09/2013', 'age': '24', 'clubName': 'Tottenham Hotspur', 'clubID': '148', 'value': '€10.00m'}, {'date': '15/01/2014', 'age': '24', 'clubName': 'Tottenham Hotspur', 'clubID': '148', 'value': '€8.00m'}, {'date': '12/08/2014', 'age': '25', 'clubName': 'Tottenham Hotspur', 'clubID': '148', 'value': '€6.00m'}, {'date': '12/02/2015', 'age': '25', 'clubName': 'Tottenham Hotspur', 'clubID': '148', 'value': '€10.00m'}, {'date': '01/07/2015', 'age': '25', 'clubName': 'Tottenham Hotspur', 'clubID': '148', 'value': '€13.00m'}, {'date': '09/02/2016', 'age': '26', 'clubName': 'Tottenham Hotspur', 'clubID': '148', 'value': '€13.00m'}, {'date': '01/08/2016', 'age': '26', 'clubName': 'Tottenham Hotspur', 'clubID': '148', 'value': '€13.00m'}, {'date': '24/10/2016', 'age': '27', 'clubName': 'West Bromwich Albion', 'clubID': '984', 'value': '€15.00m'}, {'date': '20/02/2017', 'age': '27', 'clubName': 'West Bromwich Albion', 'clubID': '984', 'value': '€15.00m'}, {'date': '28/06/2017', 'age': '27', 'clubName': 'West Bromwich Albion', 'clubID': '984', 'value': '€15.00m'}, {'date': '02/01/2018', 'age': '28', 'clubName': 'West Bromwich Albion', 'clubID': '984', 'value': '€12.00m'}, {'date': '28/05/2018', 'age': '28', 'clubName': 'West Bromwich Albion', 'clubID': '984', 'value': '€10.00m'}, {'date': '16/07/2018', 'age': '28', 'clubName': 'West Bromwich Albion', 'clubID': '984', 'value': '€15.00m'}, {'date': '17/12/2018', 'age': '29', 'clubName': 'AS Monaco', 'clubID': '162', 'value': '€12.00m'}, {'date': '07/03/2019', 'age': '29', 'clubName': 'AS Monaco', 'clubID': '162', 'value': '€10.00m'}, {'date': '03/06/2019', 'age': '29', 'clubName': 'AS Monaco', 'clubID': '162', 'value': '€8.00m'}, {'date': '13/12/2019', 'age': '30', 'clubName': 'RSC Anderlecht', 'clubID': '58', 'value': '€10.00m'}, {'date': '08/04/2020', 'age': '30', 'clubName': 'RSC Anderlecht', 'clubID': '58', 'value': '€8.00m'}, {'date': '12/10/2020', 'age': '31', 'clubName': 'Basaksehir FK', 'clubID': '6890', 'value': '€7.00m'}, {'date': '23/12/2020', 'age': '31', 'clubName': 'Basaksehir FK', 'clubID': '6890', 'value': '€7.00m'}, {'date': '16/03/2021', 'age': '31', 'clubName': 'Basaksehir FK', 'clubID': '6890', 'value': '€6.00m'}, {'date': '26/05/2021', 'age': '31', 'clubName': 'Basaksehir FK', 'clubID': '6890', 'value': '€5.00m'}, {'date': '12/10/2021', 'age': '32', 'clubName': 'Basaksehir FK', 'clubID': '6890', 'value': '€4.00m'}, {'date': '04/01/2022', 'age': '32', 'clubName': 'Basaksehir FK', 'clubID': '6890', 'value': '€4.00m'}, {'date': '31/03/2022', 'age': '32', 'clubName': 'Basaksehir FK', 'clubID': '6890', 'value': '€3.50m'}, {'date': '01/06/2022', 'age': '32', 'clubName': 'Basaksehir FK', 'clubID': '6890', 'value': '€2.80m'}, {'date': '04/11/2022', 'age': '33', 'clubName': 'KVC Westerlo', 'clubID': '968', 'value': '€2.50m'}, {'date': '09/06/2023', 'age': '33', 'clubName': 'KVC Westerlo', 'clubID': '968', 'value': '€2.00m'}, {'date': '23/10/2023', 'age': '34', 'clubName': 'KVC Westerlo', 'clubID': '968', 'value': '€1.00m'}, {'date': '19/12/2023', 'age': '34', 'clubName': 'KVC Westerlo', 'clubID': '968', 'value': '€600k'}, {'date': '04/06/2024', 'age': '34', 'clubName': 'KVC Westerlo', 'clubID': '968', 'value': '€400k'}, {'date': '16/10/2024', 'age': '35', 'clubName': 'Without Club', 'clubID': '515', 'value': '€300k'}, {'date': '04/01/2025', 'age': '35', 'clubName': 'Without Club', 'clubID': '515', 'value': '-'}]}</t>
  </si>
  <si>
    <t>1989-08-02</t>
  </si>
  <si>
    <t>Robben</t>
  </si>
  <si>
    <t>{'marketValueHistory': [{'date': 'Oct 4, 2004', 'age': '20', 'clubName': 'Chelsea FC', 'clubID': '631', 'value': '€18.00m'}, {'date': 'Dec 3, 2004', 'age': '20', 'clubName': 'Chelsea FC', 'clubID': '631', 'value': '€20.00m'}, {'date': 'Feb 10, 2005', 'age': '21', 'clubName': 'Chelsea FC', 'clubID': '631', 'value': '€24.00m'}, {'date': 'Oct 17, 2005', 'age': '21', 'clubName': 'Chelsea FC', 'clubID': '631', 'value': '€27.50m'}, {'date': 'Jun 14, 2006', 'age': '22', 'clubName': 'Chelsea FC', 'clubID': '631', 'value': '€25.70m'}, {'date': 'Apr 25, 2007', 'age': '23', 'clubName': 'Chelsea FC', 'clubID': '631', 'value': '€22.80m'}, {'date': 'Aug 24, 2007', 'age': '23', 'clubName': 'Real Madrid', 'clubID': '418', 'value': '€30.00m'}, {'date': 'Feb 4, 2008', 'age': '24', 'clubName': 'Real Madrid', 'clubID': '418', 'value': '€24.00m'}, {'date': 'Jul 8, 2008', 'age': '24', 'clubName': 'Real Madrid', 'clubID': '418', 'value': '€28.00m'}, {'date': 'Jan 26, 2009', 'age': '25', 'clubName': 'Real Madrid', 'clubID': '418', 'value': '€30.00m'}, {'date': 'Jul 22, 2009', 'age': '25', 'clubName': 'Real Madrid', 'clubID': '418', 'value': '€30.00m'}, {'date': 'Jan 17, 2010', 'age': '25', 'clubName': 'Bayern Munich', 'clubID': '27', 'value': '€28.00m'}, {'date': 'May 8, 2010', 'age': '26', 'clubName': 'Bayern Munich', 'clubID': '27', 'value': '€38.00m'}, {'date': 'Jul 16, 2010', 'age': '26', 'clubName': 'Bayern Munich', 'clubID': '27', 'value': '€40.00m'}, {'date': 'Jan 12, 2011', 'age': '26', 'clubName': 'Bayern Munich', 'clubID': '27', 'value': '€40.00m'}, {'date': 'Jun 29, 2011', 'age': '27', 'clubName': 'Bayern Munich', 'clubID': '27', 'value': '€40.00m'}, {'date': 'Oct 18, 2011', 'age': '27', 'clubName': 'Bayern Munich', 'clubID': '27', 'value': '€35.00m'}, {'date': 'Jan 23, 2012', 'age': '28', 'clubName': 'Bayern Munich', 'clubID': '27', 'value': '€32.00m'}, {'date': 'Jun 29, 2012', 'age': '28', 'clubName': 'Bayern Munich', 'clubID': '27', 'value': '€28.00m'}, {'date': 'Jan 13, 2013', 'age': '28', 'clubName': 'Bayern Munich', 'clubID': '27', 'value': '€22.00m'}, {'date': 'Jun 30, 2013', 'age': '29', 'clubName': 'Bayern Munich', 'clubID': '27', 'value': '€22.00m'}, {'date': 'Feb 12, 2014', 'age': '30', 'clubName': 'Bayern Munich', 'clubID': '27', 'value': '€25.00m'}, {'date': 'Jul 10, 2014', 'age': '30', 'clubName': 'Bayern Munich', 'clubID': '27', 'value': '€30.00m'}, {'date': 'Feb 4, 2015', 'age': '31', 'clubName': 'Bayern Munich', 'clubID': '27', 'value': '€33.00m'}, {'date': 'Jul 1, 2015', 'age': '31', 'clubName': 'Bayern Munich', 'clubID': '27', 'value': '€28.00m'}, {'date': 'Feb 15, 2016', 'age': '32', 'clubName': 'Bayern Munich', 'clubID': '27', 'value': '€20.00m'}, {'date': 'Jul 22, 2016', 'age': '32', 'clubName': 'Bayern Munich', 'clubID': '27', 'value': '€11.00m'}, {'date': 'Feb 7, 2017', 'age': '33', 'clubName': 'Bayern Munich', 'clubID': '27', 'value': '€10.00m'}, {'date': 'Jun 19, 2017', 'age': '33', 'clubName': 'Bayern Munich', 'clubID': '27', 'value': '€10.00m'}, {'date': 'Dec 28, 2017', 'age': '33', 'clubName': 'Bayern Munich', 'clubID': '27', 'value': '€9.00m'}, {'date': 'Jun 5, 2018', 'age': '34', 'clubName': 'Bayern Munich', 'clubID': '27', 'value': '€7.00m'}, {'date': 'Dec 18, 2018', 'age': '34', 'clubName': 'Bayern Munich', 'clubID': '27', 'value': '€5.00m'}, {'date': 'Jun 5, 2019', 'age': '35', 'clubName': 'Bayern Munich', 'clubID': '27', 'value': '€4.00m'}, {'date': 'Jul 4, 2019', 'age': '35', 'clubName': 'Career break', 'clubID': '2113', 'value': '-'}, {'date': 'Jul 1, 2020', 'age': '36', 'clubName': 'FC Groningen', 'clubID': '202', 'value': '€2.00m'}, {'date': 'Oct 14, 2020', 'age': '36', 'clubName': 'FC Groningen', 'clubID': '202', 'value': '€1.00m'}, {'date': 'Jan 6, 2021', 'age': '36', 'clubName': 'FC Groningen', 'clubID': '202', 'value': '€600k'}, {'date': 'Mar 9, 2021', 'age': '37', 'clubName': 'FC Groningen', 'clubID': '202', 'value': '€300k'}, {'date': 'May 19, 2021', 'age': '37', 'clubName': 'FC Groningen', 'clubID': '202', 'value': '€200k'}, {'date': 'Jul 15, 2021', 'age': '37', 'clubName': 'Retired', 'clubID': '123', 'value': '-'}]}</t>
  </si>
  <si>
    <t>1984-01-23</t>
  </si>
  <si>
    <t>Causic</t>
  </si>
  <si>
    <t>{'marketValueHistory': [{'date': '18/07/2011', 'age': '19', 'clubName': 'Red Star Belgrade', 'clubID': '159', 'value': '€200k'}, {'date': '26/10/2011', 'age': '19', 'clubName': 'Red Star Belgrade', 'clubID': '159', 'value': '€200k'}, {'date': '02/05/2012', 'age': '19', 'clubName': 'FK Rad', 'clubID': '902', 'value': '€450k'}, {'date': '26/12/2012', 'age': '20', 'clubName': 'FK Rad', 'clubID': '902', 'value': '€750k'}, {'date': '02/02/2013', 'age': '20', 'clubName': 'Eskisehirspor', 'clubID': '825', 'value': '€1.20m'}, {'date': '13/06/2013', 'age': '21', 'clubName': 'Eskisehirspor', 'clubID': '825', 'value': '€2.00m'}, {'date': '20/01/2014', 'age': '21', 'clubName': 'Manisaspor', 'clubID': '1267', 'value': '€1.50m'}, {'date': '01/07/2014', 'age': '22', 'clubName': 'Eskisehirspor', 'clubID': '825', 'value': '€1.50m'}, {'date': '26/01/2015', 'age': '22', 'clubName': 'Eskisehirspor', 'clubID': '825', 'value': '€2.50m'}, {'date': '25/06/2015', 'age': '23', 'clubName': 'Eskisehirspor', 'clubID': '825', 'value': '€3.00m'}, {'date': '18/01/2016', 'age': '23', 'clubName': 'Eskisehirspor', 'clubID': '825', 'value': '€2.30m'}, {'date': '15/07/2016', 'age': '24', 'clubName': 'CA Osasuna', 'clubID': '331', 'value': '€2.00m'}, {'date': '24/01/2017', 'age': '24', 'clubName': 'CA Osasuna', 'clubID': '331', 'value': '€2.00m'}, {'date': '05/06/2017', 'age': '25', 'clubName': 'CA Osasuna', 'clubID': '331', 'value': '€1.50m'}, {'date': '23/12/2017', 'age': '25', 'clubName': 'Arsenal Tula', 'clubID': '3729', 'value': '€1.70m'}, {'date': '06/06/2018', 'age': '26', 'clubName': 'Arsenal Tula', 'clubID': '3729', 'value': '€2.00m'}, {'date': '14/01/2019', 'age': '26', 'clubName': 'Red Star Belgrade', 'clubID': '159', 'value': '€2.00m'}, {'date': '09/06/2019', 'age': '27', 'clubName': 'Red Star Belgrade', 'clubID': '159', 'value': '€1.50m'}, {'date': '23/12/2019', 'age': '27', 'clubName': 'Arsenal Tula', 'clubID': '3729', 'value': '€1.80m'}, {'date': '08/04/2020', 'age': '27', 'clubName': 'Arsenal Tula', 'clubID': '3729', 'value': '€1.40m'}, {'date': '29/07/2020', 'age': '28', 'clubName': 'Arsenal Tula', 'clubID': '3729', 'value': '€1.50m'}, {'date': '29/12/2020', 'age': '28', 'clubName': 'Arsenal Tula', 'clubID': '3729', 'value': '€1.50m'}, {'date': '02/06/2021', 'age': '29', 'clubName': 'Arsenal Tula', 'clubID': '3729', 'value': '€1.50m'}, {'date': '29/12/2021', 'age': '29', 'clubName': 'Arsenal Tula', 'clubID': '3729', 'value': '€1.50m'}, {'date': '02/06/2022', 'age': '30', 'clubName': 'Arsenal Tula', 'clubID': '3729', 'value': '€1.00m'}, {'date': '23/01/2023', 'age': '30', 'clubName': 'Buriram United', 'clubID': '25449', 'value': '€1.00m'}, {'date': '25/09/2023', 'age': '31', 'clubName': 'Buriram United', 'clubID': '25449', 'value': '€1.00m'}, {'date': '26/02/2024', 'age': '31', 'clubName': 'Buriram United', 'clubID': '25449', 'value': '€900k'}, {'date': '26/08/2024', 'age': '32', 'clubName': 'Without Club', 'clubID': '515', 'value': '€750k'}, {'date': '02/05/2025', 'age': '32', 'clubName': 'Buriram United', 'clubID': '25449', 'value': '€600k'}, {'date': '22/12/2025', 'age': '33', 'clubName': 'Buriram United', 'clubID': '25449', 'value': '€500k'}]}</t>
  </si>
  <si>
    <t>1992-05-05</t>
  </si>
  <si>
    <t>Eder</t>
  </si>
  <si>
    <t>{'marketValueHistory': [{'date': 'Aug 14, 2015', 'age': '17', 'clubName': 'CA Peñarol', 'clubID': '861', 'value': '€400k'}, {'date': 'Feb 25, 2016', 'age': '17', 'clubName': 'CA Peñarol', 'clubID': '861', 'value': '€450k'}, {'date': 'Aug 1, 2016', 'age': '18', 'clubName': 'Real Madrid Castilla', 'clubID': '6767', 'value': '€500k'}, {'date': 'Oct 27, 2016', 'age': '18', 'clubName': 'Real Madrid Castilla', 'clubID': '6767', 'value': '€1.00m'}, {'date': 'Feb 2, 2017', 'age': '18', 'clubName': 'Real Madrid Castilla', 'clubID': '6767', 'value': '€1.00m'}, {'date': 'Jun 22, 2017', 'age': '18', 'clubName': 'Real Madrid Castilla', 'clubID': '6767', 'value': '€3.00m'}, {'date': 'Jan 1, 2018', 'age': '19', 'clubName': 'Deportivo de La Coruña', 'clubID': '897', 'value': '€3.00m'}, {'date': 'May 30, 2018', 'age': '19', 'clubName': 'Deportivo de La Coruña', 'clubID': '897', 'value': '€6.00m'}, {'date': 'Dec 21, 2018', 'age': '20', 'clubName': 'Real Madrid', 'clubID': '418', 'value': '€6.00m'}, {'date': 'Jun 11, 2019', 'age': '20', 'clubName': 'Real Madrid', 'clubID': '418', 'value': '€20.00m'}, {'date': 'Dec 20, 2019', 'age': '21', 'clubName': 'Real Madrid', 'clubID': '418', 'value': '€50.00m'}, {'date': 'Mar 5, 2020', 'age': '21', 'clubName': 'Real Madrid', 'clubID': '418', 'value': '€60.00m'}, {'date': 'Apr 8, 2020', 'age': '21', 'clubName': 'Real Madrid', 'clubID': '418', 'value': '€54.00m'}, {'date': 'Oct 8, 2020', 'age': '22', 'clubName': 'Real Madrid', 'clubID': '418', 'value': '€70.00m'}, {'date': 'Jan 5, 2021', 'age': '22', 'clubName': 'Real Madrid', 'clubID': '418', 'value': '€70.00m'}, {'date': 'Jun 10, 2021', 'age': '22', 'clubName': 'Real Madrid', 'clubID': '418', 'value': '€65.00m'}, {'date': 'Dec 30, 2021', 'age': '23', 'clubName': 'Real Madrid', 'clubID': '418', 'value': '€65.00m'}, {'date': 'Jun 3, 2022', 'age': '23', 'clubName': 'Real Madrid', 'clubID': '418', 'value': '€70.00m'}, {'date': 'Sep 23, 2022', 'age': '24', 'clubName': 'Real Madrid', 'clubID': '418', 'value': '€80.00m'}, {'date': 'Nov 7, 2022', 'age': '24', 'clubName': 'Real Madrid', 'clubID': '418', 'value': '€100.00m'}, {'date': 'Jun 13, 2023', 'age': '24', 'clubName': 'Real Madrid', 'clubID': '418', 'value': '€100.00m'}, {'date': 'Dec 22, 2023', 'age': '25', 'clubName': 'Real Madrid', 'clubID': '418', 'value': '€100.00m'}, {'date': 'Jun 7, 2024', 'age': '25', 'clubName': 'Real Madrid', 'clubID': '418', 'value': '€120.00m'}, {'date': 'Oct 11, 2024', 'age': '26', 'clubName': 'Real Madrid', 'clubID': '418', 'value': '€130.00m'}, {'date': 'Dec 27, 2024', 'age': '26', 'clubName': 'Real Madrid', 'clubID': '418', 'value': '€130.00m'}, {'date': 'Jun 9, 2025', 'age': '26', 'clubName': 'Real Madrid', 'clubID': '418', 'value': '€130.00m'}, {'date': 'Dec 12, 2025', 'age': '27', 'clubName': 'Real Madrid', 'clubID': '418', 'value': '€120.00m'}]}</t>
  </si>
  <si>
    <t>1998-07-22</t>
  </si>
  <si>
    <t>Veltman</t>
  </si>
  <si>
    <t>{'marketValueHistory': [{'date': '30/06/2012', 'age': '20', 'clubName': 'Ajax Amsterdam U21', 'clubID': '41580', 'value': '€50k'}, {'date': '09/01/2013', 'age': '20', 'clubName': 'Ajax Amsterdam', 'clubID': '610', 'value': '€300k'}, {'date': '28/05/2013', 'age': '21', 'clubName': 'Ajax Amsterdam', 'clubID': '610', 'value': '€600k'}, {'date': '11/02/2014', 'age': '22', 'clubName': 'Ajax Amsterdam', 'clubID': '610', 'value': '€3.50m'}, {'date': '11/08/2014', 'age': '22', 'clubName': 'Ajax Amsterdam', 'clubID': '610', 'value': '€4.50m'}, {'date': '16/02/2015', 'age': '23', 'clubName': 'Ajax Amsterdam', 'clubID': '610', 'value': '€4.50m'}, {'date': '01/07/2015', 'age': '23', 'clubName': 'Ajax Amsterdam', 'clubID': '610', 'value': '€5.00m'}, {'date': '11/11/2015', 'age': '23', 'clubName': 'Ajax Amsterdam', 'clubID': '610', 'value': '€5.50m'}, {'date': '05/02/2016', 'age': '24', 'clubName': 'Ajax Amsterdam', 'clubID': '610', 'value': '€6.00m'}, {'date': '08/04/2016', 'age': '24', 'clubName': 'Ajax Amsterdam', 'clubID': '610', 'value': '€7.25m'}, {'date': '15/07/2016', 'age': '24', 'clubName': 'Ajax Amsterdam', 'clubID': '610', 'value': '€7.50m'}, {'date': '18/01/2017', 'age': '25', 'clubName': 'Ajax Amsterdam', 'clubID': '610', 'value': '€6.00m'}, {'date': '07/06/2017', 'age': '25', 'clubName': 'Ajax Amsterdam', 'clubID': '610', 'value': '€7.00m'}, {'date': '17/01/2018', 'age': '26', 'clubName': 'Ajax Amsterdam', 'clubID': '610', 'value': '€7.00m'}, {'date': '12/06/2018', 'age': '26', 'clubName': 'Ajax Amsterdam', 'clubID': '610', 'value': '€5.00m'}, {'date': '28/12/2018', 'age': '26', 'clubName': 'Ajax Amsterdam', 'clubID': '610', 'value': '€5.00m'}, {'date': '12/06/2019', 'age': '27', 'clubName': 'Ajax Amsterdam', 'clubID': '610', 'value': '€7.00m'}, {'date': '19/09/2019', 'age': '27', 'clubName': 'Ajax Amsterdam', 'clubID': '610', 'value': '€8.00m'}, {'date': '18/12/2019', 'age': '27', 'clubName': 'Ajax Amsterdam', 'clubID': '610', 'value': '€10.00m'}, {'date': '08/04/2020', 'age': '28', 'clubName': 'Ajax Amsterdam', 'clubID': '610', 'value': '€8.00m'}, {'date': '13/10/2020', 'age': '28', 'clubName': 'Brighton &amp; Hove Albion', 'clubID': '1237', 'value': '€5.00m'}, {'date': '18/03/2021', 'age': '29', 'clubName': 'Brighton &amp; Hove Albion', 'clubID': '1237', 'value': '€5.00m'}, {'date': '27/05/2021', 'age': '29', 'clubName': 'Brighton &amp; Hove Albion', 'clubID': '1237', 'value': '€6.00m'}, {'date': '23/12/2021', 'age': '29', 'clubName': 'Brighton &amp; Hove Albion', 'clubID': '1237', 'value': '€8.00m'}, {'date': '15/06/2022', 'age': '30', 'clubName': 'Brighton &amp; Hove Albion', 'clubID': '1237', 'value': '€10.00m'}, {'date': '03/11/2022', 'age': '30', 'clubName': 'Brighton &amp; Hove Albion', 'clubID': '1237', 'value': '€10.00m'}, {'date': '20/06/2023', 'age': '31', 'clubName': 'Brighton &amp; Hove Albion', 'clubID': '1237', 'value': '€10.00m'}, {'date': '19/12/2023', 'age': '31', 'clubName': 'Brighton &amp; Hove Albion', 'clubID': '1237', 'value': '€10.00m'}, {'date': '27/05/2024', 'age': '32', 'clubName': 'Brighton &amp; Hove Albion', 'clubID': '1237', 'value': '€10.00m'}, {'date': '01/10/2024', 'age': '32', 'clubName': 'Brighton &amp; Hove Albion', 'clubID': '1237', 'value': '€8.00m'}, {'date': '16/12/2024', 'age': '32', 'clubName': 'Brighton &amp; Hove Albion', 'clubID': '1237', 'value': '€7.00m'}, {'date': '30/05/2025', 'age': '33', 'clubName': 'Brighton &amp; Hove Albion', 'clubID': '1237', 'value': '€4.00m'}, {'date': '09/12/2025', 'age': '33', 'clubName': 'Brighton &amp; Hove Albion', 'clubID': '1237', 'value': '€2.50m'}]}</t>
  </si>
  <si>
    <t>1992-01-15</t>
  </si>
  <si>
    <t>De Sciglio</t>
  </si>
  <si>
    <t>{'marketValueHistory': [{'date': 'Nov 17, 2009', 'age': '17', 'clubName': 'Milan Primavera', 'clubID': '10958', 'value': '€50k'}, {'date': 'Jun 5, 2011', 'age': '18', 'clubName': 'Milan Primavera', 'clubID': '10958', 'value': '€150k'}, {'date': 'Jan 11, 2012', 'age': '19', 'clubName': 'AC Milan', 'clubID': '5', 'value': '€500k'}, {'date': 'Jun 8, 2012', 'age': '19', 'clubName': 'AC Milan', 'clubID': '5', 'value': '€1.80m'}, {'date': 'Nov 7, 2012', 'age': '20', 'clubName': 'AC Milan', 'clubID': '5', 'value': '€3.50m'}, {'date': 'Jan 15, 2013', 'age': '20', 'clubName': 'AC Milan', 'clubID': '5', 'value': '€7.00m'}, {'date': 'Apr 9, 2013', 'age': '20', 'clubName': 'AC Milan', 'clubID': '5', 'value': '€9.00m'}, {'date': 'Jun 19, 2013', 'age': '20', 'clubName': 'AC Milan', 'clubID': '5', 'value': '€12.00m'}, {'date': 'Jan 7, 2014', 'age': '21', 'clubName': 'AC Milan', 'clubID': '5', 'value': '€12.00m'}, {'date': 'Jul 11, 2014', 'age': '21', 'clubName': 'AC Milan', 'clubID': '5', 'value': '€12.00m'}, {'date': 'Nov 8, 2014', 'age': '22', 'clubName': 'AC Milan', 'clubID': '5', 'value': '€10.00m'}, {'date': 'Jan 7, 2015', 'age': '22', 'clubName': 'AC Milan', 'clubID': '5', 'value': '€10.00m'}, {'date': 'Jul 1, 2015', 'age': '22', 'clubName': 'AC Milan', 'clubID': '5', 'value': '€7.50m'}, {'date': 'Jan 4, 2016', 'age': '23', 'clubName': 'AC Milan', 'clubID': '5', 'value': '€5.00m'}, {'date': 'Jun 1, 2016', 'age': '23', 'clubName': 'AC Milan', 'clubID': '5', 'value': '€5.00m'}, {'date': 'Jul 15, 2016', 'age': '23', 'clubName': 'AC Milan', 'clubID': '5', 'value': '€6.00m'}, {'date': 'Jan 2, 2017', 'age': '24', 'clubName': 'AC Milan', 'clubID': '5', 'value': '€8.50m'}, {'date': 'Jun 8, 2017', 'age': '24', 'clubName': 'AC Milan', 'clubID': '5', 'value': '€8.50m'}, {'date': 'Dec 29, 2017', 'age': '25', 'clubName': 'Juventus FC', 'clubID': '506', 'value': '€10.00m'}, {'date': 'Jun 7, 2018', 'age': '25', 'clubName': 'Juventus FC', 'clubID': '506', 'value': '€14.00m'}, {'date': 'Dec 20, 2018', 'age': '26', 'clubName': 'Juventus FC', 'clubID': '506', 'value': '€14.00m'}, {'date': 'Jun 6, 2019', 'age': '26', 'clubName': 'Juventus FC', 'clubID': '506', 'value': '€14.00m'}, {'date': 'Dec 12, 2019', 'age': '27', 'clubName': 'Juventus FC', 'clubID': '506', 'value': '€12.00m'}, {'date': 'Apr 8, 2020', 'age': '27', 'clubName': 'Juventus FC', 'clubID': '506', 'value': '€9.50m'}, {'date': 'Aug 25, 2020', 'age': '27', 'clubName': 'Juventus FC', 'clubID': '506', 'value': '€7.50m'}, {'date': 'Oct 15, 2020', 'age': '27', 'clubName': 'Olympique Lyon', 'clubID': '1041', 'value': '€7.50m'}, {'date': 'Jun 4, 2021', 'age': '28', 'clubName': 'Olympique Lyon', 'clubID': '1041', 'value': '€7.50m'}, {'date': 'Dec 28, 2021', 'age': '29', 'clubName': 'Juventus FC', 'clubID': '506', 'value': '€6.00m'}, {'date': 'Jun 7, 2022', 'age': '29', 'clubName': 'Juventus FC', 'clubID': '506', 'value': '€6.00m'}, {'date': 'Nov 11, 2022', 'age': '30', 'clubName': 'Juventus FC', 'clubID': '506', 'value': '€4.50m'}, {'date': 'Jun 15, 2023', 'age': '30', 'clubName': 'Juventus FC', 'clubID': '506', 'value': '€3.00m'}, {'date': 'Dec 20, 2023', 'age': '31', 'clubName': 'Juventus FC', 'clubID': '506', 'value': '€2.00m'}, {'date': 'Jun 5, 2024', 'age': '31', 'clubName': 'Juventus FC', 'clubID': '506', 'value': '€1.00m'}, {'date': 'Dec 18, 2024', 'age': '32', 'clubName': 'FC Empoli', 'clubID': '749', 'value': '€1.00m'}, {'date': 'Jun 17, 2025', 'age': '32', 'clubName': 'FC Empoli', 'clubID': '749', 'value': '€800k'}, {'date': 'Oct 21, 2025', 'age': '33', 'clubName': 'Without Club', 'clubID': '515', 'value': '€600k'}, {'date': 'Apr 9, 2026', 'age': '33', 'clubName': 'Without Club', 'clubID': '515', 'value': '€400k'}]}</t>
  </si>
  <si>
    <t>1992-10-20</t>
  </si>
  <si>
    <t>Cervi</t>
  </si>
  <si>
    <t>1937-07-31</t>
  </si>
  <si>
    <t>Diego Costa</t>
  </si>
  <si>
    <t>{'marketValueHistory': [{'date': 'Jan 8, 2007', 'age': '18', 'clubName': 'SC Braga', 'clubID': '1075', 'value': '€800k'}, {'date': 'Jul 26, 2007', 'age': '18', 'clubName': 'Atlético de Madrid', 'clubID': '13', 'value': '€2.50m'}, {'date': 'Oct 4, 2007', 'age': '18', 'clubName': 'Celta de Vigo', 'clubID': '940', 'value': '€1.50m'}, {'date': 'Feb 5, 2008', 'age': '19', 'clubName': 'Celta de Vigo', 'clubID': '940', 'value': '€1.60m'}, {'date': 'Jul 11, 2008', 'age': '19', 'clubName': 'Atlético de Madrid', 'clubID': '13', 'value': '€1.40m'}, {'date': 'Jan 7, 2009', 'age': '20', 'clubName': 'Albacete Balompié', 'clubID': '1532', 'value': '€1.40m'}, {'date': 'Jul 23, 2009', 'age': '20', 'clubName': 'Real Valladolid CF', 'clubID': '366', 'value': '€2.00m'}, {'date': 'Dec 1, 2009', 'age': '21', 'clubName': 'Real Valladolid CF', 'clubID': '366', 'value': '€3.40m'}, {'date': 'Jan 7, 2010', 'age': '21', 'clubName': 'Real Valladolid CF', 'clubID': '366', 'value': '€5.00m'}, {'date': 'Apr 6, 2010', 'age': '21', 'clubName': 'Real Valladolid CF', 'clubID': '366', 'value': '€5.00m'}, {'date': 'Aug 27, 2010', 'age': '21', 'clubName': 'Atlético de Madrid', 'clubID': '13', 'value': '€5.00m'}, {'date': 'Feb 4, 2011', 'age': '22', 'clubName': 'Atlético de Madrid', 'clubID': '13', 'value': '€4.50m'}, {'date': 'Jul 29, 2011', 'age': '22', 'clubName': 'Atlético de Madrid', 'clubID': '13', 'value': '€5.00m'}, {'date': 'Feb 5, 2012', 'age': '23', 'clubName': 'Rayo Vallecano', 'clubID': '367', 'value': '€5.00m'}, {'date': 'Apr 14, 2012', 'age': '23', 'clubName': 'Rayo Vallecano', 'clubID': '367', 'value': '€6.50m'}, {'date': 'Aug 1, 2012', 'age': '23', 'clubName': 'Atlético de Madrid', 'clubID': '13', 'value': '€7.00m'}, {'date': 'Jan 10, 2013', 'age': '24', 'clubName': 'Atlético de Madrid', 'clubID': '13', 'value': '€8.00m'}, {'date': 'Feb 5, 2013', 'age': '24', 'clubName': 'Atlético de Madrid', 'clubID': '13', 'value': '€10.00m'}, {'date': 'Mar 7, 2013', 'age': '24', 'clubName': 'Atlético de Madrid', 'clubID': '13', 'value': '€12.00m'}, {'date': 'Jun 12, 2013', 'age': '24', 'clubName': 'Atlético de Madrid', 'clubID': '13', 'value': '€15.00m'}, {'date': 'Sep 17, 2013', 'age': '24', 'clubName': 'Atlético de Madrid', 'clubID': '13', 'value': '€25.00m'}, {'date': 'Jan 23, 2014', 'age': '25', 'clubName': 'Atlético de Madrid', 'clubID': '13', 'value': '€30.00m'}, {'date': 'Mar 31, 2014', 'age': '25', 'clubName': 'Atlético de Madrid', 'clubID': '13', 'value': '€35.00m'}, {'date': 'Aug 12, 2014', 'age': '25', 'clubName': 'Chelsea FC', 'clubID': '631', 'value': '€37.00m'}, {'date': 'Feb 12, 2015', 'age': '26', 'clubName': 'Chelsea FC', 'clubID': '631', 'value': '€50.00m'}, {'date': 'Jul 1, 2015', 'age': '26', 'clubName': 'Chelsea FC', 'clubID': '631', 'value': '€50.00m'}, {'date': 'Feb 9, 2016', 'age': '27', 'clubName': 'Chelsea FC', 'clubID': '631', 'value': '€45.00m'}, {'date': 'Aug 1, 2016', 'age': '27', 'clubName': 'Chelsea FC', 'clubID': '631', 'value': '€45.00m'}, {'date': 'Feb 20, 2017', 'age': '28', 'clubName': 'Chelsea FC', 'clubID': '631', 'value': '€50.00m'}, {'date': 'Jun 28, 2017', 'age': '28', 'clubName': 'Chelsea FC', 'clubID': '631', 'value': '€50.00m'}, {'date': 'Jan 2, 2018', 'age': '29', 'clubName': 'Atlético de Madrid', 'clubID': '13', 'value': '€50.00m'}, {'date': 'Mar 22, 2018', 'age': '29', 'clubName': 'Atlético de Madrid', 'clubID': '13', 'value': '€60.00m'}, {'date': 'May 30, 2018', 'age': '29', 'clubName': 'Atlético de Madrid', 'clubID': '13', 'value': '€60.00m'}, {'date': 'Dec 21, 2018', 'age': '30', 'clubName': 'Atlético de Madrid', 'clubID': '13', 'value': '€40.00m'}, {'date': 'Jun 11, 2019', 'age': '30', 'clubName': 'Atlético de Madrid', 'clubID': '13', 'value': '€25.00m'}, {'date': 'Dec 20, 2019', 'age': '31', 'clubName': 'Atlético de Madrid', 'clubID': '13', 'value': '€18.00m'}, {'date': 'Apr 8, 2020', 'age': '31', 'clubName': 'Atlético de Madrid', 'clubID': '13', 'value': '€14.50m'}, {'date': 'Oct 8, 2020', 'age': '32', 'clubName': 'Atlético de Madrid', 'clubID': '13', 'value': '€10.00m'}, {'date': 'Apr 9, 2021', 'age': '32', 'clubName': 'Without Club', 'clubID': '515', 'value': '€6.00m'}, {'date': 'Dec 17, 2021', 'age': '33', 'clubName': 'Clube Atlético Mineiro', 'clubID': '330', 'value': '€5.00m'}, {'date': 'Apr 21, 2022', 'age': '33', 'clubName': 'Without Club', 'clubID': '515', 'value': '€4.00m'}, {'date': 'Nov 3, 2022', 'age': '34', 'clubName': 'Wolverhampton Wanderers', 'clubID': '543', 'value': '€3.50m'}, {'date': 'Jun 20, 2023', 'age': '34', 'clubName': 'Wolverhampton Wanderers', 'clubID': '543', 'value': '€2.00m'}, {'date': 'Dec 11, 2023', 'age': '35', 'clubName': 'Botafogo de Futebol e Regatas', 'clubID': '537', 'value': '€1.60m'}, {'date': 'Mar 28, 2024', 'age': '35', 'clubName': 'Grêmio Foot-Ball Porto Alegrense', 'clubID': '210', 'value': '€1.60m'}, {'date': 'Jun 17, 2024', 'age': '35', 'clubName': 'Grêmio Foot-Ball Porto Alegrense', 'clubID': '210', 'value': '€1.50m'}, {'date': 'Dec 9, 2024', 'age': '36', 'clubName': 'Grêmio Foot-Ball Porto Alegrense', 'clubID': '210', 'value': '€1.00m'}, {'date': 'Apr 4, 2025', 'age': '36', 'clubName': 'Without Club', 'clubID': '515', 'value': '€800k'}, {'date': 'Oct 21, 2025', 'age': '37', 'clubName': 'Without Club', 'clubID': '515', 'value': '€400k'}, {'date': 'Jan 1, 2026', 'age': '37', 'clubName': 'Retired', 'clubID': '123', 'value': '-'}]}</t>
  </si>
  <si>
    <t>1988-10-07</t>
  </si>
  <si>
    <t>De Rossi</t>
  </si>
  <si>
    <t>{'marketValueHistory': [{'date': '04/10/2004', 'age': '21', 'clubName': 'AS Roma', 'clubID': '12', 'value': '€14.00m'}, {'date': '02/04/2006', 'age': '22', 'clubName': 'AS Roma', 'clubID': '12', 'value': '€18.00m'}, {'date': '19/04/2007', 'age': '23', 'clubName': 'AS Roma', 'clubID': '12', 'value': '€19.00m'}, {'date': '15/02/2008', 'age': '24', 'clubName': 'AS Roma', 'clubID': '12', 'value': '€25.00m'}, {'date': '07/04/2008', 'age': '24', 'clubName': 'AS Roma', 'clubID': '12', 'value': '€30.00m'}, {'date': '04/07/2008', 'age': '24', 'clubName': 'AS Roma', 'clubID': '12', 'value': '€35.00m'}, {'date': '27/01/2010', 'age': '26', 'clubName': 'AS Roma', 'clubID': '12', 'value': '€38.00m'}, {'date': '21/06/2011', 'age': '27', 'clubName': 'AS Roma', 'clubID': '12', 'value': '€31.00m'}, {'date': '11/01/2012', 'age': '28', 'clubName': 'AS Roma', 'clubID': '12', 'value': '€32.00m'}, {'date': '03/07/2012', 'age': '28', 'clubName': 'AS Roma', 'clubID': '12', 'value': '€34.00m'}, {'date': '14/01/2013', 'age': '29', 'clubName': 'AS Roma', 'clubID': '12', 'value': '€30.00m'}, {'date': '19/06/2013', 'age': '29', 'clubName': 'AS Roma', 'clubID': '12', 'value': '€20.00m'}, {'date': '07/01/2014', 'age': '30', 'clubName': 'AS Roma', 'clubID': '12', 'value': '€20.00m'}, {'date': '11/07/2014', 'age': '30', 'clubName': 'AS Roma', 'clubID': '12', 'value': '€18.00m'}, {'date': '07/01/2015', 'age': '31', 'clubName': 'AS Roma', 'clubID': '12', 'value': '€14.00m'}, {'date': '20/03/2015', 'age': '31', 'clubName': 'AS Roma', 'clubID': '12', 'value': '€11.00m'}, {'date': '01/07/2015', 'age': '31', 'clubName': 'AS Roma', 'clubID': '12', 'value': '€7.50m'}, {'date': '04/01/2016', 'age': '32', 'clubName': 'AS Roma', 'clubID': '12', 'value': '€7.00m'}, {'date': '01/06/2016', 'age': '32', 'clubName': 'AS Roma', 'clubID': '12', 'value': '€5.00m'}, {'date': '15/07/2016', 'age': '32', 'clubName': 'AS Roma', 'clubID': '12', 'value': '€5.00m'}, {'date': '02/01/2017', 'age': '33', 'clubName': 'AS Roma', 'clubID': '12', 'value': '€5.00m'}, {'date': '08/06/2017', 'age': '33', 'clubName': 'AS Roma', 'clubID': '12', 'value': '€5.00m'}, {'date': '29/12/2017', 'age': '34', 'clubName': 'AS Roma', 'clubID': '12', 'value': '€3.50m'}, {'date': '07/06/2018', 'age': '34', 'clubName': 'AS Roma', 'clubID': '12', 'value': '€3.50m'}, {'date': '20/12/2018', 'age': '35', 'clubName': 'AS Roma', 'clubID': '12', 'value': '€3.50m'}, {'date': '06/06/2019', 'age': '35', 'clubName': 'AS Roma', 'clubID': '12', 'value': '€1.50m'}, {'date': '05/12/2019', 'age': '36', 'clubName': 'CA Boca Juniors', 'clubID': '189', 'value': '€1.00m'}, {'date': '06/01/2020', 'age': '36', 'clubName': 'Retired', 'clubID': '123', 'value': '-'}]}</t>
  </si>
  <si>
    <t>1983-07-24</t>
  </si>
  <si>
    <t>Bailly</t>
  </si>
  <si>
    <t>{'marketValueHistory': [{'date': 'Jan 23, 2015', 'age': '20', 'clubName': 'RCD Espanyol Barcelona', 'clubID': '714', 'value': '€400k'}, {'date': 'Jan 28, 2015', 'age': '20', 'clubName': 'RCD Espanyol Barcelona', 'clubID': '714', 'value': '€1.00m'}, {'date': 'Apr 9, 2015', 'age': '20', 'clubName': 'Villarreal CF', 'clubID': '1050', 'value': '€3.00m'}, {'date': 'Jul 1, 2015', 'age': '21', 'clubName': 'Villarreal CF', 'clubID': '1050', 'value': '€3.00m'}, {'date': 'Sep 29, 2015', 'age': '21', 'clubName': 'Villarreal CF', 'clubID': '1050', 'value': '€6.00m'}, {'date': 'Feb 22, 2016', 'age': '21', 'clubName': 'Villarreal CF', 'clubID': '1050', 'value': '€8.00m'}, {'date': 'Aug 1, 2016', 'age': '22', 'clubName': 'Manchester United', 'clubID': '985', 'value': '€20.00m'}, {'date': 'Oct 24, 2016', 'age': '22', 'clubName': 'Manchester United', 'clubID': '985', 'value': '€25.00m'}, {'date': 'Feb 20, 2017', 'age': '22', 'clubName': 'Manchester United', 'clubID': '985', 'value': '€25.00m'}, {'date': 'Jun 28, 2017', 'age': '23', 'clubName': 'Manchester United', 'clubID': '985', 'value': '€30.00m'}, {'date': 'Jan 2, 2018', 'age': '23', 'clubName': 'Manchester United', 'clubID': '985', 'value': '€35.00m'}, {'date': 'May 28, 2018', 'age': '24', 'clubName': 'Manchester United', 'clubID': '985', 'value': '€35.00m'}, {'date': 'Oct 17, 2018', 'age': '24', 'clubName': 'Manchester United', 'clubID': '985', 'value': '€30.00m'}, {'date': 'Dec 19, 2018', 'age': '24', 'clubName': 'Manchester United', 'clubID': '985', 'value': '€30.00m'}, {'date': 'Jun 13, 2019', 'age': '25', 'clubName': 'Manchester United', 'clubID': '985', 'value': '€25.00m'}, {'date': 'Dec 10, 2019', 'age': '25', 'clubName': 'Manchester United', 'clubID': '985', 'value': '€22.00m'}, {'date': 'Apr 8, 2020', 'age': '25', 'clubName': 'Manchester United', 'clubID': '985', 'value': '€17.50m'}, {'date': 'Oct 13, 2020', 'age': '26', 'clubName': 'Manchester United', 'clubID': '985', 'value': '€17.50m'}, {'date': 'Mar 18, 2021', 'age': '26', 'clubName': 'Manchester United', 'clubID': '985', 'value': '€15.00m'}, {'date': 'Jun 8, 2021', 'age': '27', 'clubName': 'Manchester United', 'clubID': '985', 'value': '€15.00m'}, {'date': 'Oct 5, 2021', 'age': '27', 'clubName': 'Manchester United', 'clubID': '985', 'value': '€10.00m'}, {'date': 'Dec 23, 2021', 'age': '27', 'clubName': 'Manchester United', 'clubID': '985', 'value': '€8.00m'}, {'date': 'Jun 15, 2022', 'age': '28', 'clubName': 'Manchester United', 'clubID': '985', 'value': '€6.00m'}, {'date': 'Sep 19, 2022', 'age': '28', 'clubName': 'Olympique Marseille', 'clubID': '244', 'value': '€8.00m'}, {'date': 'Nov 2, 2022', 'age': '28', 'clubName': 'Olympique Marseille', 'clubID': '244', 'value': '€8.00m'}, {'date': 'Jun 27, 2023', 'age': '29', 'clubName': 'Olympique Marseille', 'clubID': '244', 'value': '€5.00m'}, {'date': 'Sep 27, 2023', 'age': '29', 'clubName': 'Besiktas JK', 'clubID': '114', 'value': '€4.00m'}, {'date': 'Dec 21, 2023', 'age': '29', 'clubName': 'Besiktas JK', 'clubID': '114', 'value': '€3.40m'}, {'date': 'Mar 21, 2024', 'age': '29', 'clubName': 'Villarreal CF', 'clubID': '1050', 'value': '€3.50m'}, {'date': 'Jun 7, 2024', 'age': '30', 'clubName': 'Villarreal CF', 'clubID': '1050', 'value': '€3.00m'}, {'date': 'Dec 27, 2024', 'age': '30', 'clubName': 'Villarreal CF', 'clubID': '1050', 'value': '€2.50m'}, {'date': 'Jun 9, 2025', 'age': '31', 'clubName': 'Villarreal CF', 'clubID': '1050', 'value': '€2.00m'}, {'date': 'Dec 12, 2025', 'age': '31', 'clubName': 'Real Oviedo', 'clubID': '2497', 'value': '€1.50m'}]}</t>
  </si>
  <si>
    <t>1994-04-12</t>
  </si>
  <si>
    <t>Farfan</t>
  </si>
  <si>
    <t>{'marketValueHistory': [{'date': '07/08/2015', 'age': '21', 'clubName': 'Bologna FC 1909', 'clubID': '1025', 'value': '€2.00m'}, {'date': '04/01/2016', 'age': '21', 'clubName': 'Bologna FC 1909', 'clubID': '1025', 'value': '€2.00m'}, {'date': '15/07/2016', 'age': '22', 'clubName': 'Bologna FC 1909', 'clubID': '1025', 'value': '€1.80m'}, {'date': '02/01/2017', 'age': '22', 'clubName': 'Bologna FC 1909', 'clubID': '1025', 'value': '€1.80m'}, {'date': '08/06/2017', 'age': '23', 'clubName': 'Bologna FC 1909', 'clubID': '1025', 'value': '€2.00m'}, {'date': '29/12/2017', 'age': '23', 'clubName': 'Bologna FC 1909', 'clubID': '1025', 'value': '€4.50m'}, {'date': '07/06/2018', 'age': '24', 'clubName': 'Bologna FC 1909', 'clubID': '1025', 'value': '€6.00m'}, {'date': '20/12/2018', 'age': '24', 'clubName': 'Bologna FC 1909', 'clubID': '1025', 'value': '€5.00m'}, {'date': '06/06/2019', 'age': '25', 'clubName': 'Bologna FC 1909', 'clubID': '1025', 'value': '€10.00m'}, {'date': '08/10/2019', 'age': '25', 'clubName': 'ACF Fiorentina', 'clubID': '430', 'value': '€14.00m'}, {'date': '12/12/2019', 'age': '25', 'clubName': 'ACF Fiorentina', 'clubID': '430', 'value': '€15.00m'}, {'date': '08/04/2020', 'age': '26', 'clubName': 'ACF Fiorentina', 'clubID': '430', 'value': '€12.00m'}, {'date': '25/08/2020', 'age': '26', 'clubName': 'ACF Fiorentina', 'clubID': '430', 'value': '€15.00m'}, {'date': '29/12/2020', 'age': '26', 'clubName': 'ACF Fiorentina', 'clubID': '430', 'value': '€12.50m'}, {'date': '23/03/2021', 'age': '27', 'clubName': 'ACF Fiorentina', 'clubID': '430', 'value': '€10.00m'}, {'date': '03/06/2021', 'age': '27', 'clubName': 'ACF Fiorentina', 'clubID': '430', 'value': '€9.00m'}, {'date': '28/12/2021', 'age': '27', 'clubName': 'ACF Fiorentina', 'clubID': '430', 'value': '€8.50m'}, {'date': '31/03/2022', 'age': '28', 'clubName': 'Galatasaray', 'clubID': '141', 'value': '€7.00m'}, {'date': '01/06/2022', 'age': '28', 'clubName': 'Galatasaray', 'clubID': '141', 'value': '€6.50m'}, {'date': '19/08/2022', 'age': '28', 'clubName': 'CR Flamengo', 'clubID': '614', 'value': '€6.50m'}, {'date': '14/11/2022', 'age': '28', 'clubName': 'CR Flamengo', 'clubID': '614', 'value': '€6.00m'}, {'date': '07/04/2023', 'age': '29', 'clubName': 'CR Flamengo', 'clubID': '614', 'value': '€5.00m'}, {'date': '25/07/2023', 'age': '29', 'clubName': 'CR Flamengo', 'clubID': '614', 'value': '€6.00m'}, {'date': '11/12/2023', 'age': '29', 'clubName': 'CR Flamengo', 'clubID': '614', 'value': '€6.00m'}, {'date': '28/03/2024', 'age': '30', 'clubName': 'CR Flamengo', 'clubID': '614', 'value': '€5.00m'}, {'date': '17/06/2024', 'age': '30', 'clubName': 'CR Flamengo', 'clubID': '614', 'value': '€5.00m'}, {'date': '09/12/2024', 'age': '30', 'clubName': 'CR Flamengo', 'clubID': '614', 'value': '€5.00m'}, {'date': '06/06/2025', 'age': '31', 'clubName': 'CR Flamengo', 'clubID': '614', 'value': '€5.00m'}, {'date': '10/12/2025', 'age': '31', 'clubName': 'CR Flamengo', 'clubID': '614', 'value': '€5.00m'}]}</t>
  </si>
  <si>
    <t>1994-01-15</t>
  </si>
  <si>
    <t>Fellaini</t>
  </si>
  <si>
    <t>{'marketValueHistory': [{'date': 'Sep 15, 2006', 'age': '18', 'clubName': 'Standard Liège', 'clubID': '3057', 'value': '€75k'}, {'date': 'Sep 24, 2006', 'age': '18', 'clubName': 'Standard Liège', 'clubID': '3057', 'value': '€2.75m'}, {'date': 'Jan 12, 2007', 'age': '19', 'clubName': 'Standard Liège', 'clubID': '3057', 'value': '€3.50m'}, {'date': 'Aug 7, 2007', 'age': '19', 'clubName': 'Standard Liège', 'clubID': '3057', 'value': '€4.50m'}, {'date': 'Apr 20, 2008', 'age': '20', 'clubName': 'Standard Liège', 'clubID': '3057', 'value': '€6.50m'}, {'date': 'Jul 15, 2008', 'age': '20', 'clubName': 'Standard Liège', 'clubID': '3057', 'value': '€7.00m'}, {'date': 'Sep 7, 2008', 'age': '20', 'clubName': 'Everton FC', 'clubID': '29', 'value': '€11.00m'}, {'date': 'Feb 23, 2009', 'age': '21', 'clubName': 'Everton FC', 'clubID': '29', 'value': '€14.00m'}, {'date': 'Jun 26, 2009', 'age': '21', 'clubName': 'Everton FC', 'clubID': '29', 'value': '€16.00m'}, {'date': 'Jan 24, 2010', 'age': '22', 'clubName': 'Everton FC', 'clubID': '29', 'value': '€19.00m'}, {'date': 'Aug 13, 2010', 'age': '22', 'clubName': 'Everton FC', 'clubID': '29', 'value': '€19.00m'}, {'date': 'Feb 1, 2011', 'age': '23', 'clubName': 'Everton FC', 'clubID': '29', 'value': '€19.00m'}, {'date': 'Aug 8, 2011', 'age': '23', 'clubName': 'Everton FC', 'clubID': '29', 'value': '€19.00m'}, {'date': 'Feb 6, 2012', 'age': '24', 'clubName': 'Everton FC', 'clubID': '29', 'value': '€21.00m'}, {'date': 'Jun 24, 2012', 'age': '24', 'clubName': 'Everton FC', 'clubID': '29', 'value': '€20.00m'}, {'date': 'Jan 28, 2013', 'age': '25', 'clubName': 'Everton FC', 'clubID': '29', 'value': '€28.00m'}, {'date': 'Jul 2, 2013', 'age': '25', 'clubName': 'Everton FC', 'clubID': '29', 'value': '€28.00m'}, {'date': 'Jan 15, 2014', 'age': '26', 'clubName': 'Manchester United', 'clubID': '985', 'value': '€23.00m'}, {'date': 'Aug 12, 2014', 'age': '26', 'clubName': 'Manchester United', 'clubID': '985', 'value': '€20.00m'}, {'date': 'Feb 12, 2015', 'age': '27', 'clubName': 'Manchester United', 'clubID': '985', 'value': '€16.00m'}, {'date': 'Jul 1, 2015', 'age': '27', 'clubName': 'Manchester United', 'clubID': '985', 'value': '€20.00m'}, {'date': 'Feb 9, 2016', 'age': '28', 'clubName': 'Manchester United', 'clubID': '985', 'value': '€19.00m'}, {'date': 'Jun 1, 2016', 'age': '28', 'clubName': 'Manchester United', 'clubID': '985', 'value': '€15.00m'}, {'date': 'Aug 1, 2016', 'age': '28', 'clubName': 'Manchester United', 'clubID': '985', 'value': '€15.00m'}, {'date': 'Feb 20, 2017', 'age': '29', 'clubName': 'Manchester United', 'clubID': '985', 'value': '€12.00m'}, {'date': 'Jun 28, 2017', 'age': '29', 'clubName': 'Manchester United', 'clubID': '985', 'value': '€12.00m'}, {'date': 'Jan 2, 2018', 'age': '30', 'clubName': 'Manchester United', 'clubID': '985', 'value': '€12.00m'}, {'date': 'May 28, 2018', 'age': '30', 'clubName': 'Manchester United', 'clubID': '985', 'value': '€12.00m'}, {'date': 'Jul 16, 2018', 'age': '30', 'clubName': 'Manchester United', 'clubID': '985', 'value': '€15.00m'}, {'date': 'Dec 19, 2018', 'age': '31', 'clubName': 'Manchester United', 'clubID': '985', 'value': '€15.00m'}, {'date': 'Mar 21, 2019', 'age': '31', 'clubName': 'Shandong Luneng Taishan', 'clubID': '3182', 'value': '€12.00m'}, {'date': 'Sep 5, 2019', 'age': '31', 'clubName': 'Shandong Luneng Taishan', 'clubID': '3182', 'value': '€9.50m'}, {'date': 'Dec 27, 2019', 'age': '32', 'clubName': 'Shandong Luneng Taishan', 'clubID': '3182', 'value': '€7.00m'}, {'date': 'Apr 8, 2020', 'age': '32', 'clubName': 'Shandong Luneng Taishan', 'clubID': '3182', 'value': '€5.50m'}, {'date': 'Dec 26, 2020', 'age': '33', 'clubName': 'Shandong Taishan', 'clubID': '3182', 'value': '€5.00m'}, {'date': 'Aug 23, 2021', 'age': '33', 'clubName': 'Shandong Taishan', 'clubID': '3182', 'value': '€4.80m'}, {'date': 'Jan 17, 2022', 'age': '34', 'clubName': 'Shandong Taishan', 'clubID': '3182', 'value': '€4.50m'}, {'date': 'Jan 13, 2023', 'age': '35', 'clubName': 'Shandong Taishan', 'clubID': '3182', 'value': '€2.50m'}, {'date': 'Jun 26, 2023', 'age': '35', 'clubName': 'Shandong Taishan', 'clubID': '3182', 'value': '€1.00m'}, {'date': 'Dec 14, 2023', 'age': '36', 'clubName': 'Shandong Taishan', 'clubID': '3182', 'value': '€500k'}, {'date': 'Feb 3, 2024', 'age': '36', 'clubName': 'Retired', 'clubID': '123', 'value': '-'}]}</t>
  </si>
  <si>
    <t>1987-11-22</t>
  </si>
  <si>
    <t>Sanogo</t>
  </si>
  <si>
    <t>{'marketValueHistory': [{'date': '10/01/2011', 'age': '21', 'clubName': 'FC Thun', 'clubID': '938', 'value': '€50k'}, {'date': '01/04/2011', 'age': '21', 'clubName': 'FC Thun', 'clubID': '938', 'value': '€150k'}, {'date': '15/06/2011', 'age': '22', 'clubName': 'FC Thun', 'clubID': '938', 'value': '€150k'}, {'date': '30/05/2012', 'age': '23', 'clubName': 'FC Lausanne-Sport', 'clubID': '527', 'value': '€200k'}, {'date': '10/08/2012', 'age': '23', 'clubName': 'FC Lausanne-Sport', 'clubID': '527', 'value': '€400k'}, {'date': '05/01/2013', 'age': '23', 'clubName': 'FC Lausanne-Sport', 'clubID': '527', 'value': '€600k'}, {'date': '17/06/2013', 'age': '24', 'clubName': 'FC Lausanne-Sport', 'clubID': '527', 'value': '€600k'}, {'date': '26/11/2013', 'age': '24', 'clubName': 'FC Thun', 'clubID': '938', 'value': '€800k'}, {'date': '16/07/2014', 'age': '25', 'clubName': 'BSC Young Boys', 'clubID': '452', 'value': '€1.00m'}, {'date': '12/09/2014', 'age': '25', 'clubName': 'BSC Young Boys', 'clubID': '452', 'value': '€1.00m'}, {'date': '15/12/2014', 'age': '25', 'clubName': 'BSC Young Boys', 'clubID': '452', 'value': '€2.50m'}, {'date': '14/04/2015', 'age': '25', 'clubName': 'BSC Young Boys', 'clubID': '452', 'value': '€3.25m'}, {'date': '18/06/2015', 'age': '26', 'clubName': 'BSC Young Boys', 'clubID': '452', 'value': '€3.25m'}, {'date': '18/12/2015', 'age': '26', 'clubName': 'BSC Young Boys', 'clubID': '452', 'value': '€3.25m'}, {'date': '20/04/2016', 'age': '26', 'clubName': 'BSC Young Boys', 'clubID': '452', 'value': '€2.50m'}, {'date': '16/07/2016', 'age': '27', 'clubName': 'BSC Young Boys', 'clubID': '452', 'value': '€2.50m'}, {'date': '20/12/2016', 'age': '27', 'clubName': 'BSC Young Boys', 'clubID': '452', 'value': '€2.50m'}, {'date': '12/07/2017', 'age': '28', 'clubName': 'BSC Young Boys', 'clubID': '452', 'value': '€2.50m'}, {'date': '29/09/2017', 'age': '28', 'clubName': 'BSC Young Boys', 'clubID': '452', 'value': '€3.00m'}, {'date': '08/01/2018', 'age': '28', 'clubName': 'BSC Young Boys', 'clubID': '452', 'value': '€3.50m'}, {'date': '24/04/2018', 'age': '28', 'clubName': 'BSC Young Boys', 'clubID': '452', 'value': '€4.50m'}, {'date': '12/07/2018', 'age': '29', 'clubName': 'BSC Young Boys', 'clubID': '452', 'value': '€5.50m'}, {'date': '01/06/2019', 'age': '30', 'clubName': 'Al-Ittihad Club', 'clubID': '8023', 'value': '€4.00m'}, {'date': '08/04/2020', 'age': '30', 'clubName': 'Red Star Belgrade', 'clubID': '159', 'value': '€3.20m'}, {'date': '28/06/2020', 'age': '31', 'clubName': 'Red Star Belgrade', 'clubID': '159', 'value': '€2.30m'}, {'date': '22/12/2020', 'age': '31', 'clubName': 'Red Star Belgrade', 'clubID': '159', 'value': '€2.00m'}, {'date': '12/06/2021', 'age': '32', 'clubName': 'Red Star Belgrade', 'clubID': '159', 'value': '€1.70m'}, {'date': '25/12/2021', 'age': '32', 'clubName': 'Red Star Belgrade', 'clubID': '159', 'value': '€1.50m'}, {'date': '26/06/2022', 'age': '33', 'clubName': 'Red Star Belgrade', 'clubID': '159', 'value': '€1.00m'}, {'date': '18/11/2022', 'age': '33', 'clubName': 'Red Star Belgrade', 'clubID': '159', 'value': '€800k'}, {'date': '06/04/2023', 'age': '33', 'clubName': 'Paris FC', 'clubID': '10004', 'value': '€600k'}, {'date': '16/06/2023', 'age': '34', 'clubName': 'Paris FC', 'clubID': '10004', 'value': '€400k'}, {'date': '25/10/2023', 'age': '34', 'clubName': 'Without Club', 'clubID': '515', 'value': '€200k'}, {'date': '31/05/2024', 'age': '35', 'clubName': 'FC Schaffhausen', 'clubID': '1277', 'value': '€200k'}, {'date': '27/12/2024', 'age': '35', 'clubName': 'FK Zeleznicar Pancevo', 'clubID': '59358', 'value': '€100k'}, {'date': '12/06/2025', 'age': '36', 'clubName': 'FK Zeleznicar Pancevo', 'clubID': '59358', 'value': '€50k'}, {'date': '01/07/2025', 'age': '36', 'clubName': 'Retired', 'clubID': '123', 'value': '-'}]}</t>
  </si>
  <si>
    <t>1989-05-05</t>
  </si>
  <si>
    <t>Asensio</t>
  </si>
  <si>
    <t>{'marketValueHistory': [{'date': 'Feb 10, 2014', 'age': '18', 'clubName': 'RCD Mallorca B', 'clubID': '8494', 'value': '€100k'}, {'date': 'May 18, 2014', 'age': '18', 'clubName': 'RCD Mallorca B', 'clubID': '8494', 'value': '€1.00m'}, {'date': 'Aug 12, 2014', 'age': '18', 'clubName': 'RCD Mallorca', 'clubID': '237', 'value': '€1.00m'}, {'date': 'Jan 8, 2015', 'age': '18', 'clubName': 'RCD Mallorca', 'clubID': '237', 'value': '€3.50m'}, {'date': 'Jul 1, 2015', 'age': '19', 'clubName': 'Real Madrid', 'clubID': '418', 'value': '€3.50m'}, {'date': 'Nov 23, 2015', 'age': '19', 'clubName': 'RCD Espanyol Barcelona', 'clubID': '714', 'value': '€5.00m'}, {'date': 'Feb 22, 2016', 'age': '20', 'clubName': 'RCD Espanyol Barcelona', 'clubID': '714', 'value': '€7.00m'}, {'date': 'Apr 7, 2016', 'age': '20', 'clubName': 'RCD Espanyol Barcelona', 'clubID': '714', 'value': '€8.00m'}, {'date': 'Jul 15, 2016', 'age': '20', 'clubName': 'Real Madrid', 'clubID': '418', 'value': '€12.00m'}, {'date': 'Oct 27, 2016', 'age': '20', 'clubName': 'Real Madrid', 'clubID': '418', 'value': '€15.00m'}, {'date': 'Jan 24, 2017', 'age': '21', 'clubName': 'Real Madrid', 'clubID': '418', 'value': '€15.00m'}, {'date': 'Jun 5, 2017', 'age': '21', 'clubName': 'Real Madrid', 'clubID': '418', 'value': '€20.00m'}, {'date': 'Aug 17, 2017', 'age': '21', 'clubName': 'Real Madrid', 'clubID': '418', 'value': '€30.00m'}, {'date': 'Jan 1, 2018', 'age': '21', 'clubName': 'Real Madrid', 'clubID': '418', 'value': '€50.00m'}, {'date': 'Mar 22, 2018', 'age': '22', 'clubName': 'Real Madrid', 'clubID': '418', 'value': '€75.00m'}, {'date': 'May 30, 2018', 'age': '22', 'clubName': 'Real Madrid', 'clubID': '418', 'value': '€75.00m'}, {'date': 'Oct 31, 2018', 'age': '22', 'clubName': 'Real Madrid', 'clubID': '418', 'value': '€90.00m'}, {'date': 'Dec 21, 2018', 'age': '22', 'clubName': 'Real Madrid', 'clubID': '418', 'value': '€80.00m'}, {'date': 'Jun 11, 2019', 'age': '23', 'clubName': 'Real Madrid', 'clubID': '418', 'value': '€60.00m'}, {'date': 'Dec 20, 2019', 'age': '23', 'clubName': 'Real Madrid', 'clubID': '418', 'value': '€40.00m'}, {'date': 'Apr 8, 2020', 'age': '24', 'clubName': 'Real Madrid', 'clubID': '418', 'value': '€32.00m'}, {'date': 'Jul 23, 2020', 'age': '24', 'clubName': 'Real Madrid', 'clubID': '418', 'value': '€40.00m'}, {'date': 'Oct 8, 2020', 'age': '24', 'clubName': 'Real Madrid', 'clubID': '418', 'value': '€40.00m'}, {'date': 'Jan 5, 2021', 'age': '24', 'clubName': 'Real Madrid', 'clubID': '418', 'value': '€35.00m'}, {'date': 'Jun 10, 2021', 'age': '25', 'clubName': 'Real Madrid', 'clubID': '418', 'value': '€35.00m'}, {'date': 'Dec 30, 2021', 'age': '25', 'clubName': 'Real Madrid', 'clubID': '418', 'value': '€40.00m'}, {'date': 'Jun 3, 2022', 'age': '26', 'clubName': 'Real Madrid', 'clubID': '418', 'value': '€40.00m'}, {'date': 'Sep 23, 2022', 'age': '26', 'clubName': 'Real Madrid', 'clubID': '418', 'value': '€35.00m'}, {'date': 'Nov 7, 2022', 'age': '26', 'clubName': 'Real Madrid', 'clubID': '418', 'value': '€25.00m'}, {'date': 'Jun 13, 2023', 'age': '27', 'clubName': 'Real Madrid', 'clubID': '418', 'value': '€25.00m'}, {'date': 'Dec 18, 2023', 'age': '27', 'clubName': 'Paris Saint-Germain', 'clubID': '583', 'value': '€20.00m'}, {'date': 'Jun 3, 2024', 'age': '28', 'clubName': 'Paris Saint-Germain', 'clubID': '583', 'value': '€20.00m'}, {'date': 'Dec 10, 2024', 'age': '28', 'clubName': 'Paris Saint-Germain', 'clubID': '583', 'value': '€20.00m'}, {'date': 'May 30, 2025', 'age': '29', 'clubName': 'Aston Villa', 'clubID': '405', 'value': '€20.00m'}, {'date': 'Oct 1, 2025', 'age': '29', 'clubName': 'Fenerbahce', 'clubID': '36', 'value': '€17.00m'}, {'date': 'Dec 17, 2025', 'age': '29', 'clubName': 'Fenerbahce', 'clubID': '36', 'value': '€15.00m'}]}</t>
  </si>
  <si>
    <t>1996-01-21</t>
  </si>
  <si>
    <t>Gobeljic</t>
  </si>
  <si>
    <t>{'marketValueHistory': [{'date': '11/11/2014', 'age': '22', 'clubName': 'FK Napredak Krusevac', 'clubID': '788', 'value': '€300k'}, {'date': '15/06/2015', 'age': '22', 'clubName': 'FK Napredak Krusevac', 'clubID': '788', 'value': '€300k'}, {'date': '18/12/2016', 'age': '24', 'clubName': 'FK Napredak Krusevac', 'clubID': '788', 'value': '€350k'}, {'date': '04/05/2017', 'age': '24', 'clubName': 'FK Napredak Krusevac', 'clubID': '788', 'value': '€500k'}, {'date': '10/01/2018', 'age': '25', 'clubName': 'Red Star Belgrade', 'clubID': '159', 'value': '€800k'}, {'date': '02/07/2018', 'age': '25', 'clubName': 'Red Star Belgrade', 'clubID': '159', 'value': '€800k'}, {'date': '14/01/2019', 'age': '26', 'clubName': 'Red Star Belgrade', 'clubID': '159', 'value': '€1.50m'}, {'date': '09/06/2019', 'age': '26', 'clubName': 'Red Star Belgrade', 'clubID': '159', 'value': '€1.75m'}, {'date': '28/10/2019', 'age': '27', 'clubName': 'Red Star Belgrade', 'clubID': '159', 'value': '€2.00m'}, {'date': '08/04/2020', 'age': '27', 'clubName': 'Red Star Belgrade', 'clubID': '159', 'value': '€1.60m'}, {'date': '28/06/2020', 'age': '27', 'clubName': 'Red Star Belgrade', 'clubID': '159', 'value': '€2.00m'}, {'date': '22/12/2020', 'age': '28', 'clubName': 'Red Star Belgrade', 'clubID': '159', 'value': '€1.50m'}, {'date': '12/06/2021', 'age': '28', 'clubName': 'Red Star Belgrade', 'clubID': '159', 'value': '€1.00m'}, {'date': '25/12/2021', 'age': '29', 'clubName': 'Red Star Belgrade', 'clubID': '159', 'value': '€800k'}, {'date': '26/06/2022', 'age': '29', 'clubName': 'Red Star Belgrade', 'clubID': '159', 'value': '€500k'}, {'date': '18/11/2022', 'age': '30', 'clubName': 'Red Star Belgrade', 'clubID': '159', 'value': '€800k'}, {'date': '22/06/2023', 'age': '30', 'clubName': 'Red Star Belgrade', 'clubID': '159', 'value': '€500k'}, {'date': '21/09/2023', 'age': '31', 'clubName': 'AE Kifisia', 'clubID': '30120', 'value': '€400k'}, {'date': '20/12/2023', 'age': '31', 'clubName': 'AE Kifisia', 'clubID': '30120', 'value': '€400k'}, {'date': '30/05/2024', 'age': '31', 'clubName': 'AE Kifisia', 'clubID': '30120', 'value': '€300k'}, {'date': '27/12/2024', 'age': '32', 'clubName': 'OFK Beograd', 'clubID': '53', 'value': '€300k'}, {'date': '12/06/2025', 'age': '32', 'clubName': 'OFK Beograd', 'clubID': '53', 'value': '€200k'}, {'date': '11/12/2025', 'age': '33', 'clubName': 'OFK Beograd', 'clubID': '53', 'value': '€150k'}]}</t>
  </si>
  <si>
    <t>1992-09-13</t>
  </si>
  <si>
    <t>Akhmetov</t>
  </si>
  <si>
    <t>{'marketValueHistory': [{'date': 'Jun 28, 2015', 'age': '17', 'clubName': 'Rubin Kazan II', 'clubID': '2698', 'value': '€25k'}, {'date': 'Jul 30, 2015', 'age': '17', 'clubName': 'Rubin Kazan II', 'clubID': '2698', 'value': '€100k'}, {'date': 'Aug 25, 2015', 'age': '17', 'clubName': 'Rubin Kazan II', 'clubID': '2698', 'value': '€150k'}, {'date': 'Jan 6, 2016', 'age': '18', 'clubName': 'Rubin Kazan II', 'clubID': '2698', 'value': '€200k'}, {'date': 'May 25, 2016', 'age': '18', 'clubName': 'Rubin Kazan II', 'clubID': '2698', 'value': '€400k'}, {'date': 'Dec 27, 2016', 'age': '18', 'clubName': 'Rubin Kazan', 'clubID': '2698', 'value': '€400k'}, {'date': 'Jun 1, 2017', 'age': '19', 'clubName': 'Rubin Kazan', 'clubID': '2698', 'value': '€600k'}, {'date': 'Nov 24, 2017', 'age': '19', 'clubName': 'Rubin Kazan', 'clubID': '2698', 'value': '€500k'}, {'date': 'Dec 23, 2017', 'age': '19', 'clubName': 'Rubin Kazan', 'clubID': '2698', 'value': '€500k'}, {'date': 'Jun 6, 2018', 'age': '20', 'clubName': 'Rubin Kazan', 'clubID': '2698', 'value': '€400k'}, {'date': 'Sep 3, 2018', 'age': '20', 'clubName': 'CSKA Moscow', 'clubID': '2410', 'value': '€1.00m'}, {'date': 'Oct 15, 2018', 'age': '20', 'clubName': 'CSKA Moscow', 'clubID': '2410', 'value': '€1.80m'}, {'date': 'Dec 20, 2018', 'age': '20', 'clubName': 'CSKA Moscow', 'clubID': '2410', 'value': '€6.00m'}, {'date': 'Apr 24, 2019', 'age': '21', 'clubName': 'CSKA Moscow', 'clubID': '2410', 'value': '€6.50m'}, {'date': 'Jun 14, 2019', 'age': '21', 'clubName': 'CSKA Moscow', 'clubID': '2410', 'value': '€8.00m'}, {'date': 'Dec 23, 2019', 'age': '21', 'clubName': 'CSKA Moscow', 'clubID': '2410', 'value': '€7.50m'}, {'date': 'Apr 8, 2020', 'age': '22', 'clubName': 'CSKA Moscow', 'clubID': '2410', 'value': '€6.00m'}, {'date': 'Jul 29, 2020', 'age': '22', 'clubName': 'CSKA Moscow', 'clubID': '2410', 'value': '€5.50m'}, {'date': 'Dec 29, 2020', 'age': '22', 'clubName': 'CSKA Moscow', 'clubID': '2410', 'value': '€5.00m'}, {'date': 'Jun 2, 2021', 'age': '23', 'clubName': 'CSKA Moscow', 'clubID': '2410', 'value': '€4.00m'}, {'date': 'Dec 29, 2021', 'age': '23', 'clubName': 'CSKA Moscow', 'clubID': '2410', 'value': '€4.50m'}, {'date': 'Jun 2, 2022', 'age': '24', 'clubName': 'CSKA Moscow', 'clubID': '2410', 'value': '€2.80m'}, {'date': 'Sep 12, 2022', 'age': '24', 'clubName': 'FC Krasnodar', 'clubID': '16704', 'value': '€2.50m'}, {'date': 'Nov 21, 2022', 'age': '24', 'clubName': 'FC Krasnodar', 'clubID': '16704', 'value': '€2.50m'}, {'date': 'Apr 13, 2023', 'age': '25', 'clubName': 'FC Krasnodar', 'clubID': '16704', 'value': '€3.00m'}, {'date': 'Jun 14, 2023', 'age': '25', 'clubName': 'FC Krasnodar', 'clubID': '16704', 'value': '€3.00m'}, {'date': 'Dec 13, 2023', 'age': '25', 'clubName': 'FC Krasnodar', 'clubID': '16704', 'value': '€3.00m'}, {'date': 'Jun 4, 2024', 'age': '26', 'clubName': 'Zenit St. Petersburg', 'clubID': '964', 'value': '€2.50m'}, {'date': 'Dec 12, 2024', 'age': '26', 'clubName': 'Zenit St. Petersburg', 'clubID': '964', 'value': '€2.00m'}, {'date': 'Jun 4, 2025', 'age': '27', 'clubName': 'Zenit St. Petersburg', 'clubID': '964', 'value': '€1.50m'}, {'date': 'Dec 16, 2025', 'age': '27', 'clubName': 'Krylya Sovetov Samara', 'clubID': '2696', 'value': '€1.50m'}]}</t>
  </si>
  <si>
    <t>1997-12-31</t>
  </si>
  <si>
    <t>Pepe</t>
  </si>
  <si>
    <t>{'marketValueHistory': [{'date': '18/10/2004', 'age': '22', 'clubName': 'Villarreal CF', 'clubID': '1050', 'value': '€4.50m'}, {'date': '05/08/2005', 'age': '22', 'clubName': 'Liverpool FC', 'clubID': '31', 'value': '€8.00m'}, {'date': '29/10/2005', 'age': '23', 'clubName': 'Liverpool FC', 'clubID': '31', 'value': '€9.00m'}, {'date': '14/06/2006', 'age': '23', 'clubName': 'Liverpool FC', 'clubID': '31', 'value': '€11.00m'}, {'date': '25/04/2007', 'age': '24', 'clubName': 'Liverpool FC', 'clubID': '31', 'value': '€11.70m'}, {'date': '01/09/2007', 'age': '25', 'clubName': 'Liverpool FC', 'clubID': '31', 'value': '€11.50m'}, {'date': '04/02/2008', 'age': '25', 'clubName': 'Liverpool FC', 'clubID': '31', 'value': '€13.00m'}, {'date': '04/07/2008', 'age': '25', 'clubName': 'Liverpool FC', 'clubID': '31', 'value': '€15.00m'}, {'date': '23/02/2009', 'age': '26', 'clubName': 'Liverpool FC', 'clubID': '31', 'value': '€17.00m'}, {'date': '29/06/2009', 'age': '26', 'clubName': 'Liverpool FC', 'clubID': '31', 'value': '€19.00m'}, {'date': '25/01/2010', 'age': '27', 'clubName': 'Liverpool FC', 'clubID': '31', 'value': '€20.00m'}, {'date': '13/08/2010', 'age': '27', 'clubName': 'Liverpool FC', 'clubID': '31', 'value': '€22.00m'}, {'date': '01/02/2011', 'age': '28', 'clubName': 'Liverpool FC', 'clubID': '31', 'value': '€22.00m'}, {'date': '08/08/2011', 'age': '28', 'clubName': 'Liverpool FC', 'clubID': '31', 'value': '€22.00m'}, {'date': '06/02/2012', 'age': '29', 'clubName': 'Liverpool FC', 'clubID': '31', 'value': '€19.00m'}, {'date': '24/06/2012', 'age': '29', 'clubName': 'Liverpool FC', 'clubID': '31', 'value': '€16.00m'}, {'date': '28/01/2013', 'age': '30', 'clubName': 'Liverpool FC', 'clubID': '31', 'value': '€10.00m'}, {'date': '02/07/2013', 'age': '30', 'clubName': 'Liverpool FC', 'clubID': '31', 'value': '€10.00m'}, {'date': '07/01/2014', 'age': '31', 'clubName': 'SSC Napoli', 'clubID': '6195', 'value': '€10.00m'}, {'date': '11/07/2014', 'age': '31', 'clubName': 'Liverpool FC', 'clubID': '31', 'value': '€9.00m'}, {'date': '04/02/2015', 'age': '32', 'clubName': 'Bayern Munich', 'clubID': '27', 'value': '€4.00m'}, {'date': '01/07/2015', 'age': '32', 'clubName': 'SSC Napoli', 'clubID': '6195', 'value': '€3.00m'}, {'date': '04/01/2016', 'age': '33', 'clubName': 'SSC Napoli', 'clubID': '6195', 'value': '€3.00m'}, {'date': '15/07/2016', 'age': '33', 'clubName': 'SSC Napoli', 'clubID': '6195', 'value': '€3.00m'}, {'date': '02/01/2017', 'age': '34', 'clubName': 'SSC Napoli', 'clubID': '6195', 'value': '€3.00m'}, {'date': '08/06/2017', 'age': '34', 'clubName': 'SSC Napoli', 'clubID': '6195', 'value': '€2.00m'}, {'date': '29/12/2017', 'age': '35', 'clubName': 'SSC Napoli', 'clubID': '6195', 'value': '€2.00m'}, {'date': '07/06/2018', 'age': '35', 'clubName': 'SSC Napoli', 'clubID': '6195', 'value': '€1.00m'}, {'date': '20/12/2018', 'age': '36', 'clubName': 'AC Milan', 'clubID': '5', 'value': '€1.00m'}, {'date': '06/06/2019', 'age': '36', 'clubName': 'AC Milan', 'clubID': '5', 'value': '€1.00m'}, {'date': '12/12/2019', 'age': '37', 'clubName': 'AC Milan', 'clubID': '5', 'value': '€800k'}, {'date': '08/04/2020', 'age': '37', 'clubName': 'Aston Villa', 'clubID': '405', 'value': '€650k'}, {'date': '25/08/2020', 'age': '37', 'clubName': 'AC Milan', 'clubID': '5', 'value': '€800k'}, {'date': '29/12/2020', 'age': '38', 'clubName': 'SS Lazio', 'clubID': '398', 'value': '€800k'}, {'date': '03/06/2021', 'age': '38', 'clubName': 'SS Lazio', 'clubID': '398', 'value': '€800k'}, {'date': '28/12/2021', 'age': '39', 'clubName': 'SS Lazio', 'clubID': '398', 'value': '€800k'}, {'date': '07/06/2022', 'age': '39', 'clubName': 'SS Lazio', 'clubID': '398', 'value': '€700k'}, {'date': '07/11/2022', 'age': '40', 'clubName': 'Villarreal CF', 'clubID': '1050', 'value': '€700k'}, {'date': '13/06/2023', 'age': '40', 'clubName': 'Villarreal CF', 'clubID': '1050', 'value': '€700k'}, {'date': '22/12/2023', 'age': '41', 'clubName': 'Villarreal CF', 'clubID': '1050', 'value': '€700k'}, {'date': '07/06/2024', 'age': '41', 'clubName': 'Villarreal CF', 'clubID': '1050', 'value': '€600k'}, {'date': '18/12/2024', 'age': '42', 'clubName': 'Como 1907', 'clubID': '1047', 'value': '€600k'}, {'date': '17/06/2025', 'age': '42', 'clubName': 'Como 1907', 'clubID': '1047', 'value': '€500k'}, {'date': '01/07/2025', 'age': '42', 'clubName': 'Retired', 'clubID': '123', 'value': '-'}]}</t>
  </si>
  <si>
    <t>1982-08-31</t>
  </si>
  <si>
    <t>Schopf</t>
  </si>
  <si>
    <t>{'marketValueHistory': [{'date': 'Oct 15, 2011', 'age': '17', 'clubName': 'FC Bayern Munich U19 ', 'clubID': '27', 'value': '€25k'}, {'date': 'Oct 16, 2012', 'age': '18', 'clubName': 'FC Bayern Munich II', 'clubID': '27', 'value': '€75k'}, {'date': 'Dec 14, 2012', 'age': '18', 'clubName': 'FC Bayern Munich II', 'clubID': '27', 'value': '€100k'}, {'date': 'May 20, 2013', 'age': '19', 'clubName': 'FC Bayern Munich II', 'clubID': '27', 'value': '€200k'}, {'date': 'Jan 30, 2014', 'age': '19', 'clubName': 'Bayern Munich', 'clubID': '27', 'value': '€400k'}, {'date': 'Jul 10, 2014', 'age': '20', 'clubName': '1.FC Nuremberg', 'clubID': '4', 'value': '€600k'}, {'date': 'Jan 13, 2015', 'age': '20', 'clubName': '1.FC Nuremberg', 'clubID': '4', 'value': '€1.00m'}, {'date': 'Jul 1, 2015', 'age': '21', 'clubName': '1.FC Nuremberg', 'clubID': '4', 'value': '€1.50m'}, {'date': 'Feb 15, 2016', 'age': '22', 'clubName': 'FC Schalke 04', 'clubID': '33', 'value': '€4.00m'}, {'date': 'Jun 1, 2016', 'age': '22', 'clubName': 'FC Schalke 04', 'clubID': '33', 'value': '€5.00m'}, {'date': 'Jul 22, 2016', 'age': '22', 'clubName': 'FC Schalke 04', 'clubID': '33', 'value': '€5.00m'}, {'date': 'Feb 7, 2017', 'age': '23', 'clubName': 'FC Schalke 04', 'clubID': '33', 'value': '€7.50m'}, {'date': 'Jun 19, 2017', 'age': '23', 'clubName': 'FC Schalke 04', 'clubID': '33', 'value': '€7.50m'}, {'date': 'Dec 28, 2017', 'age': '23', 'clubName': 'FC Schalke 04', 'clubID': '33', 'value': '€5.00m'}, {'date': 'Jun 5, 2018', 'age': '24', 'clubName': 'FC Schalke 04', 'clubID': '33', 'value': '€5.00m'}, {'date': 'Dec 18, 2018', 'age': '24', 'clubName': 'FC Schalke 04', 'clubID': '33', 'value': '€5.00m'}, {'date': 'Jun 5, 2019', 'age': '25', 'clubName': 'FC Schalke 04', 'clubID': '33', 'value': '€5.00m'}, {'date': 'Dec 17, 2019', 'age': '25', 'clubName': 'FC Schalke 04', 'clubID': '33', 'value': '€5.00m'}, {'date': 'Apr 8, 2020', 'age': '26', 'clubName': 'FC Schalke 04', 'clubID': '33', 'value': '€4.00m'}, {'date': 'Sep 16, 2020', 'age': '26', 'clubName': 'FC Schalke 04', 'clubID': '33', 'value': '€3.50m'}, {'date': 'Feb 10, 2021', 'age': '27', 'clubName': 'FC Schalke 04', 'clubID': '33', 'value': '€2.50m'}, {'date': 'May 27, 2021', 'age': '27', 'clubName': 'FC Schalke 04', 'clubID': '33', 'value': '€1.50m'}, {'date': 'Dec 22, 2021', 'age': '27', 'clubName': 'Arminia Bielefeld', 'clubID': '10', 'value': '€1.80m'}, {'date': 'Mar 24, 2022', 'age': '28', 'clubName': 'Arminia Bielefeld', 'clubID': '10', 'value': '€2.50m'}, {'date': 'Jun 9, 2022', 'age': '28', 'clubName': 'Arminia Bielefeld', 'clubID': '10', 'value': '€2.50m'}, {'date': 'Aug 18, 2022', 'age': '28', 'clubName': 'Vancouver Whitecaps FC', 'clubID': '6321', 'value': '€2.50m'}, {'date': 'Nov 8, 2022', 'age': '28', 'clubName': 'Vancouver Whitecaps FC', 'clubID': '6321', 'value': '€2.00m'}, {'date': 'Aug 22, 2023', 'age': '29', 'clubName': 'Vancouver Whitecaps FC', 'clubID': '6321', 'value': '€1.80m'}, {'date': 'Dec 18, 2023', 'age': '29', 'clubName': 'Vancouver Whitecaps FC', 'clubID': '6321', 'value': '€1.20m'}, {'date': 'Jun 13, 2024', 'age': '30', 'clubName': 'Vancouver Whitecaps FC', 'clubID': '6321', 'value': '€1.20m'}, {'date': 'Sep 26, 2024', 'age': '30', 'clubName': 'Vancouver Whitecaps FC', 'clubID': '6321', 'value': '€1.00m'}, {'date': 'Dec 12, 2024', 'age': '30', 'clubName': 'Vancouver Whitecaps FC', 'clubID': '6321', 'value': '€800k'}, {'date': 'Jun 6, 2025', 'age': '31', 'clubName': 'Wolfsberger AC', 'clubID': '4441', 'value': '€700k'}, {'date': 'Sep 22, 2025', 'age': '31', 'clubName': 'Wolfsberger AC', 'clubID': '4441', 'value': '€900k'}, {'date': 'Dec 22, 2025', 'age': '31', 'clubName': 'Wolfsberger AC', 'clubID': '4441', 'value': '€900k'}]}</t>
  </si>
  <si>
    <t>1994-02-07</t>
  </si>
  <si>
    <t>Dolberg</t>
  </si>
  <si>
    <t>{'marketValueHistory': [{'date': '15/07/2016', 'age': '18', 'clubName': 'Ajax Amsterdam', 'clubID': '610', 'value': '€300k'}, {'date': '17/10/2016', 'age': '19', 'clubName': 'Ajax Amsterdam', 'clubID': '610', 'value': '€2.00m'}, {'date': '18/01/2017', 'age': '19', 'clubName': 'Ajax Amsterdam', 'clubID': '610', 'value': '€8.00m'}, {'date': '07/06/2017', 'age': '19', 'clubName': 'Ajax Amsterdam', 'clubID': '610', 'value': '€14.00m'}, {'date': '17/01/2018', 'age': '20', 'clubName': 'Ajax Amsterdam', 'clubID': '610', 'value': '€14.00m'}, {'date': '12/06/2018', 'age': '20', 'clubName': 'Ajax Amsterdam', 'clubID': '610', 'value': '€12.00m'}, {'date': '28/12/2018', 'age': '21', 'clubName': 'Ajax Amsterdam', 'clubID': '610', 'value': '€17.00m'}, {'date': '13/03/2019', 'age': '21', 'clubName': 'Ajax Amsterdam', 'clubID': '610', 'value': '€22.00m'}, {'date': '12/06/2019', 'age': '21', 'clubName': 'Ajax Amsterdam', 'clubID': '610', 'value': '€18.00m'}, {'date': '19/12/2019', 'age': '22', 'clubName': 'OGC Nice', 'clubID': '417', 'value': '€20.00m'}, {'date': '08/04/2020', 'age': '22', 'clubName': 'OGC Nice', 'clubID': '417', 'value': '€16.00m'}, {'date': '03/08/2020', 'age': '22', 'clubName': 'OGC Nice', 'clubID': '417', 'value': '€20.00m'}, {'date': '15/10/2020', 'age': '23', 'clubName': 'OGC Nice', 'clubID': '417', 'value': '€23.00m'}, {'date': '09/04/2021', 'age': '23', 'clubName': 'OGC Nice', 'clubID': '417', 'value': '€22.00m'}, {'date': '26/05/2021', 'age': '23', 'clubName': 'OGC Nice', 'clubID': '417', 'value': '€20.00m'}, {'date': '15/07/2021', 'age': '23', 'clubName': 'OGC Nice', 'clubID': '417', 'value': '€22.00m'}, {'date': '16/12/2021', 'age': '24', 'clubName': 'OGC Nice', 'clubID': '417', 'value': '€20.00m'}, {'date': '30/05/2022', 'age': '24', 'clubName': 'OGC Nice', 'clubID': '417', 'value': '€17.00m'}, {'date': '07/11/2022', 'age': '25', 'clubName': 'Sevilla FC', 'clubID': '368', 'value': '€12.00m'}, {'date': '29/03/2023', 'age': '25', 'clubName': 'TSG 1899 Hoffenheim', 'clubID': '533', 'value': '€9.00m'}, {'date': '22/06/2023', 'age': '25', 'clubName': 'TSG 1899 Hoffenheim', 'clubID': '533', 'value': '€7.00m'}, {'date': '19/12/2023', 'age': '26', 'clubName': 'RSC Anderlecht', 'clubID': '58', 'value': '€10.00m'}, {'date': '22/03/2024', 'age': '26', 'clubName': 'RSC Anderlecht', 'clubID': '58', 'value': '€12.00m'}, {'date': '04/06/2024', 'age': '26', 'clubName': 'RSC Anderlecht', 'clubID': '58', 'value': '€12.00m'}, {'date': '02/10/2024', 'age': '26', 'clubName': 'RSC Anderlecht', 'clubID': '58', 'value': '€10.00m'}, {'date': '11/12/2024', 'age': '27', 'clubName': 'RSC Anderlecht', 'clubID': '58', 'value': '€13.00m'}, {'date': '12/06/2025', 'age': '27', 'clubName': 'RSC Anderlecht', 'clubID': '58', 'value': '€13.00m'}, {'date': '02/12/2025', 'age': '28', 'clubName': 'Ajax Amsterdam', 'clubID': '610', 'value': '€12.00m'}, {'date': '11/03/2026', 'age': '28', 'clubName': 'Ajax Amsterdam', 'clubID': '610', 'value': '€10.00m'}]}</t>
  </si>
  <si>
    <t>1997-10-06</t>
  </si>
  <si>
    <t>Delaney</t>
  </si>
  <si>
    <t>{'marketValueHistory': [{'date': 'Jun 21, 2009', 'age': '17', 'clubName': 'FC Copenhagen U19', 'clubID': '16104', 'value': '€100k'}, {'date': 'Oct 14, 2009', 'age': '18', 'clubName': 'FC Copenhagen', 'clubID': '190', 'value': '€250k'}, {'date': 'Jun 3, 2010', 'age': '18', 'clubName': 'FC Copenhagen', 'clubID': '190', 'value': '€400k'}, {'date': 'Aug 20, 2010', 'age': '18', 'clubName': 'FC Copenhagen', 'clubID': '190', 'value': '€500k'}, {'date': 'Jun 15, 2011', 'age': '19', 'clubName': 'FC Copenhagen', 'clubID': '190', 'value': '€500k'}, {'date': 'Dec 29, 2011', 'age': '20', 'clubName': 'FC Copenhagen', 'clubID': '190', 'value': '€800k'}, {'date': 'Jul 18, 2012', 'age': '20', 'clubName': 'FC Copenhagen', 'clubID': '190', 'value': '€800k'}, {'date': 'Jun 17, 2013', 'age': '21', 'clubName': 'FC Copenhagen', 'clubID': '190', 'value': '€1.00m'}, {'date': 'Feb 10, 2014', 'age': '22', 'clubName': 'FC Copenhagen', 'clubID': '190', 'value': '€1.50m'}, {'date': 'Aug 31, 2014', 'age': '22', 'clubName': 'FC Copenhagen', 'clubID': '190', 'value': '€1.50m'}, {'date': 'Feb 6, 2015', 'age': '23', 'clubName': 'FC Copenhagen', 'clubID': '190', 'value': '€1.50m'}, {'date': 'Sep 2, 2015', 'age': '23', 'clubName': 'FC Copenhagen', 'clubID': '190', 'value': '€1.50m'}, {'date': 'Jan 21, 2016', 'age': '24', 'clubName': 'FC Copenhagen', 'clubID': '190', 'value': '€1.50m'}, {'date': 'Aug 12, 2016', 'age': '24', 'clubName': 'FC Copenhagen', 'clubID': '190', 'value': '€2.00m'}, {'date': 'Dec 12, 2016', 'age': '25', 'clubName': 'FC Copenhagen', 'clubID': '190', 'value': '€3.50m'}, {'date': 'Mar 22, 2017', 'age': '25', 'clubName': 'SV Werder Bremen', 'clubID': '86', 'value': '€4.50m'}, {'date': 'Jun 19, 2017', 'age': '25', 'clubName': 'SV Werder Bremen', 'clubID': '86', 'value': '€6.00m'}, {'date': 'Dec 28, 2017', 'age': '26', 'clubName': 'SV Werder Bremen', 'clubID': '86', 'value': '€7.50m'}, {'date': 'Jun 5, 2018', 'age': '26', 'clubName': 'SV Werder Bremen', 'clubID': '86', 'value': '€12.00m'}, {'date': 'Jul 16, 2018', 'age': '26', 'clubName': 'Borussia Dortmund', 'clubID': '16', 'value': '€22.00m'}, {'date': 'Dec 18, 2018', 'age': '27', 'clubName': 'Borussia Dortmund', 'clubID': '16', 'value': '€27.00m'}, {'date': 'Jun 5, 2019', 'age': '27', 'clubName': 'Borussia Dortmund', 'clubID': '16', 'value': '€27.00m'}, {'date': 'Dec 17, 2019', 'age': '28', 'clubName': 'Borussia Dortmund', 'clubID': '16', 'value': '€22.00m'}, {'date': 'Apr 8, 2020', 'age': '28', 'clubName': 'Borussia Dortmund', 'clubID': '16', 'value': '€17.50m'}, {'date': 'Feb 10, 2021', 'age': '29', 'clubName': 'Borussia Dortmund', 'clubID': '16', 'value': '€17.50m'}, {'date': 'May 26, 2021', 'age': '29', 'clubName': 'Borussia Dortmund', 'clubID': '16', 'value': '€15.00m'}, {'date': 'Oct 13, 2021', 'age': '30', 'clubName': 'Sevilla FC', 'clubID': '368', 'value': '€9.00m'}, {'date': 'Dec 30, 2021', 'age': '30', 'clubName': 'Sevilla FC', 'clubID': '368', 'value': '€8.00m'}, {'date': 'Jun 3, 2022', 'age': '30', 'clubName': 'Sevilla FC', 'clubID': '368', 'value': '€7.00m'}, {'date': 'Nov 7, 2022', 'age': '31', 'clubName': 'Sevilla FC', 'clubID': '368', 'value': '€3.00m'}, {'date': 'Jun 22, 2023', 'age': '31', 'clubName': 'TSG 1899 Hoffenheim', 'clubID': '533', 'value': '€2.00m'}, {'date': 'Dec 19, 2023', 'age': '32', 'clubName': 'RSC Anderlecht', 'clubID': '58', 'value': '€2.50m'}, {'date': 'Jun 4, 2024', 'age': '32', 'clubName': 'RSC Anderlecht', 'clubID': '58', 'value': '€2.50m'}, {'date': 'Dec 9, 2024', 'age': '33', 'clubName': 'FC Copenhagen', 'clubID': '190', 'value': '€2.00m'}, {'date': 'Jun 16, 2025', 'age': '33', 'clubName': 'FC Copenhagen', 'clubID': '190', 'value': '€1.20m'}, {'date': 'Dec 15, 2025', 'age': '34', 'clubName': 'FC Copenhagen', 'clubID': '190', 'value': '€800k'}]}</t>
  </si>
  <si>
    <t>1991-09-03</t>
  </si>
  <si>
    <t>Lingard</t>
  </si>
  <si>
    <t>{'marketValueHistory': [{'date': 'Oct 8, 2013', 'age': '20', 'clubName': 'Birmingham City', 'clubID': '337', 'value': '€1.00m'}, {'date': 'Feb 24, 2015', 'age': '22', 'clubName': 'Derby County', 'clubID': '22', 'value': '€1.00m'}, {'date': 'Jul 1, 2015', 'age': '22', 'clubName': 'Manchester United', 'clubID': '985', 'value': '€1.00m'}, {'date': 'Feb 9, 2016', 'age': '23', 'clubName': 'Manchester United', 'clubID': '985', 'value': '€5.00m'}, {'date': 'Aug 1, 2016', 'age': '23', 'clubName': 'Manchester United', 'clubID': '985', 'value': '€6.00m'}, {'date': 'Oct 24, 2016', 'age': '23', 'clubName': 'Manchester United', 'clubID': '985', 'value': '€9.00m'}, {'date': 'Feb 20, 2017', 'age': '24', 'clubName': 'Manchester United', 'clubID': '985', 'value': '€9.00m'}, {'date': 'Jun 28, 2017', 'age': '24', 'clubName': 'Manchester United', 'clubID': '985', 'value': '€12.00m'}, {'date': 'Jan 2, 2018', 'age': '25', 'clubName': 'Manchester United', 'clubID': '985', 'value': '€25.00m'}, {'date': 'May 28, 2018', 'age': '25', 'clubName': 'Manchester United', 'clubID': '985', 'value': '€35.00m'}, {'date': 'Jul 16, 2018', 'age': '25', 'clubName': 'Manchester United', 'clubID': '985', 'value': '€40.00m'}, {'date': 'Dec 19, 2018', 'age': '26', 'clubName': 'Manchester United', 'clubID': '985', 'value': '€40.00m'}, {'date': 'Jun 13, 2019', 'age': '26', 'clubName': 'Manchester United', 'clubID': '985', 'value': '€40.00m'}, {'date': 'Dec 10, 2019', 'age': '26', 'clubName': 'Manchester United', 'clubID': '985', 'value': '€32.00m'}, {'date': 'Mar 9, 2020', 'age': '27', 'clubName': 'Manchester United', 'clubID': '985', 'value': '€22.00m'}, {'date': 'Apr 8, 2020', 'age': '27', 'clubName': 'Manchester United', 'clubID': '985', 'value': '€17.50m'}, {'date': 'Oct 13, 2020', 'age': '27', 'clubName': 'Manchester United', 'clubID': '985', 'value': '€14.00m'}, {'date': 'Dec 17, 2020', 'age': '28', 'clubName': 'Manchester United', 'clubID': '985', 'value': '€10.00m'}, {'date': 'Mar 18, 2021', 'age': '28', 'clubName': 'West Ham United', 'clubID': '379', 'value': '€15.00m'}, {'date': 'May 28, 2021', 'age': '28', 'clubName': 'West Ham United', 'clubID': '379', 'value': '€22.00m'}, {'date': 'Dec 23, 2021', 'age': '29', 'clubName': 'Manchester United', 'clubID': '985', 'value': '€20.00m'}, {'date': 'Jun 15, 2022', 'age': '29', 'clubName': 'Manchester United', 'clubID': '985', 'value': '€18.00m'}, {'date': 'Nov 3, 2022', 'age': '29', 'clubName': 'Nottingham Forest', 'clubID': '703', 'value': '€14.00m'}, {'date': 'Mar 16, 2023', 'age': '30', 'clubName': 'Nottingham Forest', 'clubID': '703', 'value': '€12.00m'}, {'date': 'Jun 20, 2023', 'age': '30', 'clubName': 'Nottingham Forest', 'clubID': '703', 'value': '€8.00m'}, {'date': 'Oct 25, 2023', 'age': '30', 'clubName': 'Without Club', 'clubID': '515', 'value': '€6.00m'}, {'date': 'Jun 14, 2024', 'age': '31', 'clubName': 'FC Seoul', 'clubID': '6500', 'value': '€5.00m'}, {'date': 'Dec 5, 2024', 'age': '31', 'clubName': 'FC Seoul', 'clubID': '6500', 'value': '€4.00m'}, {'date': 'Jun 3, 2025', 'age': '32', 'clubName': 'FC Seoul', 'clubID': '6500', 'value': '€3.00m'}, {'date': 'Dec 16, 2025', 'age': '33', 'clubName': 'FC Seoul', 'clubID': '6500', 'value': '€2.20m'}]}</t>
  </si>
  <si>
    <t>Kopic</t>
  </si>
  <si>
    <t>{'marketValueHistory': [{'date': '15/08/2011', 'age': '21', 'clubName': 'FK Baumit Jablonec', 'clubID': '1322', 'value': '€250k'}, {'date': '01/10/2011', 'age': '21', 'clubName': 'FK Baumit Jablonec', 'clubID': '1322', 'value': '€400k'}, {'date': '25/12/2011', 'age': '21', 'clubName': 'FK Baumit Jablonec', 'clubID': '1322', 'value': '€600k'}, {'date': '15/09/2012', 'age': '22', 'clubName': 'FK Baumit Jablonec', 'clubID': '1322', 'value': '€800k'}, {'date': '19/08/2013', 'age': '23', 'clubName': 'FK Baumit Jablonec', 'clubID': '1322', 'value': '€900k'}, {'date': '22/04/2014', 'age': '23', 'clubName': 'FK Baumit Jablonec', 'clubID': '1322', 'value': '€900k'}, {'date': '01/09/2014', 'age': '24', 'clubName': 'FK Baumit Jablonec', 'clubID': '1322', 'value': '€900k'}, {'date': '17/01/2015', 'age': '24', 'clubName': 'FK Baumit Jablonec', 'clubID': '1322', 'value': '€1.25m'}, {'date': '14/10/2015', 'age': '25', 'clubName': 'FC Viktoria Plzen', 'clubID': '941', 'value': '€1.50m'}, {'date': '03/08/2016', 'age': '26', 'clubName': 'FC Viktoria Plzen', 'clubID': '941', 'value': '€1.50m'}, {'date': '16/10/2016', 'age': '26', 'clubName': 'FC Viktoria Plzen', 'clubID': '941', 'value': '€1.75m'}, {'date': '19/12/2016', 'age': '26', 'clubName': 'FC Viktoria Plzen', 'clubID': '941', 'value': '€1.75m'}, {'date': '10/06/2017', 'age': '27', 'clubName': 'FC Viktoria Plzen', 'clubID': '941', 'value': '€1.75m'}, {'date': '07/10/2017', 'age': '27', 'clubName': 'FC Viktoria Plzen', 'clubID': '941', 'value': '€2.00m'}, {'date': '21/12/2017', 'age': '27', 'clubName': 'FC Viktoria Plzen', 'clubID': '941', 'value': '€2.80m'}, {'date': '14/07/2018', 'age': '28', 'clubName': 'FC Viktoria Plzen', 'clubID': '941', 'value': '€3.25m'}, {'date': '30/12/2018', 'age': '28', 'clubName': 'FC Viktoria Plzen', 'clubID': '941', 'value': '€2.75m'}, {'date': '25/06/2019', 'age': '29', 'clubName': 'FC Viktoria Plzen', 'clubID': '941', 'value': '€2.75m'}, {'date': '07/12/2019', 'age': '29', 'clubName': 'FC Viktoria Plzen', 'clubID': '941', 'value': '€2.75m'}, {'date': '08/04/2020', 'age': '29', 'clubName': 'FC Viktoria Plzen', 'clubID': '941', 'value': '€2.20m'}, {'date': '10/07/2020', 'age': '30', 'clubName': 'FC Viktoria Plzen', 'clubID': '941', 'value': '€2.20m'}, {'date': '27/12/2020', 'age': '30', 'clubName': 'FC Viktoria Plzen', 'clubID': '941', 'value': '€2.20m'}, {'date': '19/04/2021', 'age': '30', 'clubName': 'FC Viktoria Plzen', 'clubID': '941', 'value': '€1.70m'}, {'date': '25/06/2021', 'age': '31', 'clubName': 'FC Viktoria Plzen', 'clubID': '941', 'value': '€1.30m'}, {'date': '26/12/2021', 'age': '31', 'clubName': 'FC Viktoria Plzen', 'clubID': '941', 'value': '€1.00m'}, {'date': '22/06/2022', 'age': '32', 'clubName': 'FC Viktoria Plzen', 'clubID': '941', 'value': '€1.00m'}, {'date': '14/12/2022', 'age': '32', 'clubName': 'FC Viktoria Plzen', 'clubID': '941', 'value': '€1.00m'}, {'date': '20/06/2023', 'age': '33', 'clubName': 'FC Viktoria Plzen', 'clubID': '941', 'value': '€900k'}, {'date': '20/12/2023', 'age': '33', 'clubName': 'FC Viktoria Plzen', 'clubID': '941', 'value': '€750k'}, {'date': '27/03/2024', 'age': '33', 'clubName': 'FC Viktoria Plzen', 'clubID': '941', 'value': '€500k'}, {'date': '05/06/2024', 'age': '34', 'clubName': 'FC Viktoria Plzen', 'clubID': '941', 'value': '€400k'}, {'date': '20/12/2024', 'age': '34', 'clubName': 'FC Viktoria Plzen', 'clubID': '941', 'value': '€375k'}, {'date': '17/06/2025', 'age': '35', 'clubName': 'FC Viktoria Plzen', 'clubID': '941', 'value': '€300k'}, {'date': '23/09/2025', 'age': '35', 'clubName': 'FC Viktoria Plzen', 'clubID': '941', 'value': '€200k'}, {'date': '22/12/2025', 'age': '35', 'clubName': 'FC Viktoria Plzen', 'clubID': '941', 'value': '€150k'}]}</t>
  </si>
  <si>
    <t>1990-06-04</t>
  </si>
  <si>
    <t>Henrichs</t>
  </si>
  <si>
    <t>{'marketValueHistory': [{'date': 'Jul 1, 2015', 'age': '18', 'clubName': 'Bayer 04 Leverkusen', 'clubID': '15', 'value': '€150k'}, {'date': 'Feb 15, 2016', 'age': '18', 'clubName': 'Bayer 04 Leverkusen', 'clubID': '15', 'value': '€250k'}, {'date': 'Jul 22, 2016', 'age': '19', 'clubName': 'Bayer 04 Leverkusen', 'clubID': '15', 'value': '€1.25m'}, {'date': 'Oct 13, 2016', 'age': '19', 'clubName': 'Bayer 04 Leverkusen', 'clubID': '15', 'value': '€5.00m'}, {'date': 'Feb 7, 2017', 'age': '19', 'clubName': 'Bayer 04 Leverkusen', 'clubID': '15', 'value': '€10.00m'}, {'date': 'Jun 19, 2017', 'age': '20', 'clubName': 'Bayer 04 Leverkusen', 'clubID': '15', 'value': '€10.00m'}, {'date': 'Dec 28, 2017', 'age': '20', 'clubName': 'Bayer 04 Leverkusen', 'clubID': '15', 'value': '€12.00m'}, {'date': 'Jun 5, 2018', 'age': '21', 'clubName': 'Bayer 04 Leverkusen', 'clubID': '15', 'value': '€12.00m'}, {'date': 'Oct 24, 2018', 'age': '21', 'clubName': 'AS Monaco', 'clubID': '162', 'value': '€16.00m'}, {'date': 'Dec 17, 2018', 'age': '21', 'clubName': 'AS Monaco', 'clubID': '162', 'value': '€20.00m'}, {'date': 'Jun 3, 2019', 'age': '22', 'clubName': 'AS Monaco', 'clubID': '162', 'value': '€15.00m'}, {'date': 'Dec 19, 2019', 'age': '22', 'clubName': 'AS Monaco', 'clubID': '162', 'value': '€15.00m'}, {'date': 'Apr 8, 2020', 'age': '23', 'clubName': 'AS Monaco', 'clubID': '162', 'value': '€12.00m'}, {'date': 'Feb 10, 2021', 'age': '23', 'clubName': 'RB Leipzig', 'clubID': '23826', 'value': '€12.00m'}, {'date': 'Jun 9, 2021', 'age': '24', 'clubName': 'RB Leipzig', 'clubID': '23826', 'value': '€12.00m'}, {'date': 'Oct 7, 2021', 'age': '24', 'clubName': 'RB Leipzig', 'clubID': '23826', 'value': '€9.00m'}, {'date': 'Dec 22, 2021', 'age': '24', 'clubName': 'RB Leipzig', 'clubID': '23826', 'value': '€9.00m'}, {'date': 'Mar 24, 2022', 'age': '25', 'clubName': 'RB Leipzig', 'clubID': '23826', 'value': '€12.00m'}, {'date': 'Jun 9, 2022', 'age': '25', 'clubName': 'RB Leipzig', 'clubID': '23826', 'value': '€14.00m'}, {'date': 'Sep 21, 2022', 'age': '25', 'clubName': 'RB Leipzig', 'clubID': '23826', 'value': '€18.00m'}, {'date': 'Nov 9, 2022', 'age': '25', 'clubName': 'RB Leipzig', 'clubID': '23826', 'value': '€15.00m'}, {'date': 'Jun 22, 2023', 'age': '26', 'clubName': 'RB Leipzig', 'clubID': '23826', 'value': '€15.00m'}, {'date': 'Oct 18, 2023', 'age': '26', 'clubName': 'RB Leipzig', 'clubID': '23826', 'value': '€20.00m'}, {'date': 'Dec 14, 2023', 'age': '26', 'clubName': 'RB Leipzig', 'clubID': '23826', 'value': '€20.00m'}, {'date': 'May 29, 2024', 'age': '27', 'clubName': 'RB Leipzig', 'clubID': '23826', 'value': '€20.00m'}, {'date': 'Dec 20, 2024', 'age': '27', 'clubName': 'RB Leipzig', 'clubID': '23826', 'value': '€17.00m'}, {'date': 'Jun 5, 2025', 'age': '28', 'clubName': 'RB Leipzig', 'clubID': '23826', 'value': '€15.00m'}, {'date': 'Oct 14, 2025', 'age': '28', 'clubName': 'RB Leipzig', 'clubID': '23826', 'value': '€12.00m'}, {'date': 'Dec 19, 2025', 'age': '28', 'clubName': 'RB Leipzig', 'clubID': '23826', 'value': '€12.00m'}, {'date': 'Mar 20, 2026', 'age': '29', 'clubName': 'RB Leipzig', 'clubID': '23826', 'value': '€9.00m'}]}</t>
  </si>
  <si>
    <t>1997-02-23</t>
  </si>
  <si>
    <t>Wanyama</t>
  </si>
  <si>
    <t>{'marketValueHistory': [{'date': '24/07/2008', 'age': '17', 'clubName': 'Germinal Beerschot Antwerpen', 'clubID': '566', 'value': '€100k'}, {'date': '07/12/2009', 'age': '18', 'clubName': 'Germinal Beerschot Antwerpen', 'clubID': '566', 'value': '€300k'}, {'date': '09/03/2010', 'age': '18', 'clubName': 'Germinal Beerschot Antwerpen', 'clubID': '566', 'value': '€500k'}, {'date': '28/07/2010', 'age': '19', 'clubName': 'Germinal Beerschot Antwerpen', 'clubID': '566', 'value': '€700k'}, {'date': '10/01/2011', 'age': '19', 'clubName': 'Germinal Beerschot Antwerpen', 'clubID': '566', 'value': '€1.00m'}, {'date': '30/06/2011', 'age': '20', 'clubName': 'Germinal Beerschot Antwerpen', 'clubID': '566', 'value': '€1.20m'}, {'date': '04/02/2012', 'age': '20', 'clubName': 'Celtic FC', 'clubID': '371', 'value': '€2.75m'}, {'date': '24/07/2012', 'age': '21', 'clubName': 'Celtic FC', 'clubID': '371', 'value': '€3.75m'}, {'date': '13/02/2013', 'age': '21', 'clubName': 'Celtic FC', 'clubID': '371', 'value': '€5.00m'}, {'date': '18/09/2013', 'age': '22', 'clubName': 'Southampton FC', 'clubID': '180', 'value': '€13.00m'}, {'date': '15/01/2014', 'age': '22', 'clubName': 'Southampton FC', 'clubID': '180', 'value': '€14.00m'}, {'date': '12/08/2014', 'age': '23', 'clubName': 'Southampton FC', 'clubID': '180', 'value': '€14.00m'}, {'date': '12/02/2015', 'age': '23', 'clubName': 'Southampton FC', 'clubID': '180', 'value': '€15.00m'}, {'date': '01/07/2015', 'age': '24', 'clubName': 'Southampton FC', 'clubID': '180', 'value': '€15.00m'}, {'date': '09/02/2016', 'age': '24', 'clubName': 'Southampton FC', 'clubID': '180', 'value': '€15.00m'}, {'date': '01/08/2016', 'age': '25', 'clubName': 'Tottenham Hotspur', 'clubID': '148', 'value': '€15.00m'}, {'date': '20/02/2017', 'age': '25', 'clubName': 'Tottenham Hotspur', 'clubID': '148', 'value': '€18.00m'}, {'date': '28/06/2017', 'age': '26', 'clubName': 'Tottenham Hotspur', 'clubID': '148', 'value': '€25.00m'}, {'date': '02/01/2018', 'age': '26', 'clubName': 'Tottenham Hotspur', 'clubID': '148', 'value': '€30.00m'}, {'date': '28/05/2018', 'age': '26', 'clubName': 'Tottenham Hotspur', 'clubID': '148', 'value': '€30.00m'}, {'date': '19/12/2018', 'age': '27', 'clubName': 'Tottenham Hotspur', 'clubID': '148', 'value': '€25.00m'}, {'date': '13/06/2019', 'age': '27', 'clubName': 'Tottenham Hotspur', 'clubID': '148', 'value': '€20.00m'}, {'date': '12/09/2019', 'age': '28', 'clubName': 'Tottenham Hotspur', 'clubID': '148', 'value': '€15.00m'}, {'date': '10/12/2019', 'age': '28', 'clubName': 'Tottenham Hotspur', 'clubID': '148', 'value': '€12.00m'}, {'date': '09/03/2020', 'age': '28', 'clubName': 'Montreal Impact', 'clubID': '4078', 'value': '€8.00m'}, {'date': '08/04/2020', 'age': '28', 'clubName': 'Montreal Impact', 'clubID': '4078', 'value': '€6.50m'}, {'date': '26/08/2020', 'age': '29', 'clubName': 'CF Montréal', 'clubID': '4078', 'value': '€6.50m'}, {'date': '18/12/2020', 'age': '29', 'clubName': 'CF Montréal', 'clubID': '4078', 'value': '€8.00m'}, {'date': '09/07/2021', 'age': '30', 'clubName': 'CF Montréal', 'clubID': '4078', 'value': '€6.50m'}, {'date': '09/11/2021', 'age': '30', 'clubName': 'CF Montréal', 'clubID': '4078', 'value': '€5.00m'}, {'date': '18/08/2022', 'age': '31', 'clubName': 'CF Montréal', 'clubID': '4078', 'value': '€4.00m'}, {'date': '08/11/2022', 'age': '31', 'clubName': 'CF Montréal', 'clubID': '4078', 'value': '€3.50m'}, {'date': '22/08/2023', 'age': '32', 'clubName': 'CF Montréal', 'clubID': '4078', 'value': '€2.50m'}, {'date': '18/12/2023', 'age': '32', 'clubName': 'CF Montréal', 'clubID': '4078', 'value': '€2.00m'}, {'date': '13/06/2024', 'age': '32', 'clubName': 'CF Montréal', 'clubID': '4078', 'value': '€1.50m'}, {'date': '26/09/2024', 'age': '33', 'clubName': 'CF Montréal', 'clubID': '4078', 'value': '€1.00m'}, {'date': '12/12/2024', 'age': '33', 'clubName': 'CF Montréal', 'clubID': '4078', 'value': '€800k'}, {'date': '17/06/2025', 'age': '33', 'clubName': 'Dunfermline Athletic FC', 'clubID': '1270', 'value': '€300k'}, {'date': '21/10/2025', 'age': '34', 'clubName': 'Without Club', 'clubID': '515', 'value': '€250k'}, {'date': '03/04/2026', 'age': '34', 'clubName': 'Retired', 'clubID': '123', 'value': '-'}]}</t>
  </si>
  <si>
    <t>Kenya</t>
  </si>
  <si>
    <t>1991-06-25</t>
  </si>
  <si>
    <t>Cosic</t>
  </si>
  <si>
    <t>{'marketValueHistory': [{'date': 'Sep 8, 2009', 'age': '16', 'clubName': 'CSKA Moscow II', 'clubID': '11755', 'value': '€75k'}, {'date': 'Dec 16, 2009', 'age': '17', 'clubName': 'CSKA Moscow II', 'clubID': '11755', 'value': '€150k'}, {'date': 'Jun 22, 2010', 'age': '17', 'clubName': 'CSKA Moscow II', 'clubID': '11755', 'value': '€200k'}, {'date': 'Nov 27, 2010', 'age': '18', 'clubName': 'CSKA Moscow II', 'clubID': '11755', 'value': '€250k'}, {'date': 'Apr 19, 2011', 'age': '18', 'clubName': 'Red Star Belgrade', 'clubID': '159', 'value': '€1.00m'}, {'date': 'Oct 26, 2011', 'age': '19', 'clubName': 'Red Star Belgrade', 'clubID': '159', 'value': '€1.00m'}, {'date': 'Dec 9, 2011', 'age': '19', 'clubName': 'Red Star Belgrade', 'clubID': '159', 'value': '€1.25m'}, {'date': 'Apr 9, 2012', 'age': '19', 'clubName': 'Red Star Belgrade', 'clubID': '159', 'value': '€1.00m'}, {'date': 'Jan 14, 2013', 'age': '20', 'clubName': 'Delfino Pescara 1936', 'clubID': '2921', 'value': '€1.20m'}, {'date': 'Jun 19, 2013', 'age': '20', 'clubName': 'Delfino Pescara 1936', 'clubID': '2921', 'value': '€1.20m'}, {'date': 'Jan 29, 2014', 'age': '21', 'clubName': 'Delfino Pescara 1936', 'clubID': '2921', 'value': '€1.20m'}, {'date': 'Jul 15, 2014', 'age': '21', 'clubName': 'Delfino Pescara 1936', 'clubID': '2921', 'value': '€800k'}, {'date': 'Feb 10, 2015', 'age': '22', 'clubName': 'Frosinone Calcio', 'clubID': '8970', 'value': '€700k'}, {'date': 'Jun 29, 2015', 'age': '22', 'clubName': 'Frosinone Calcio', 'clubID': '8970', 'value': '€800k'}, {'date': 'Jan 4, 2016', 'age': '23', 'clubName': 'FC Empoli', 'clubID': '749', 'value': '€800k'}, {'date': 'Jul 15, 2016', 'age': '23', 'clubName': 'FC Empoli', 'clubID': '749', 'value': '€800k'}, {'date': 'Jan 2, 2017', 'age': '24', 'clubName': 'FC Empoli', 'clubID': '749', 'value': '€700k'}, {'date': 'Jun 8, 2017', 'age': '24', 'clubName': 'FC Empoli', 'clubID': '749', 'value': '€700k'}, {'date': 'Dec 18, 2017', 'age': '25', 'clubName': 'AEK Athens', 'clubID': '2441', 'value': '€900k'}, {'date': 'May 22, 2018', 'age': '25', 'clubName': 'AEK Athens', 'clubID': '2441', 'value': '€900k'}, {'date': 'Dec 7, 2018', 'age': '26', 'clubName': 'AEK Athens', 'clubID': '2441', 'value': '€900k'}, {'date': 'May 21, 2019', 'age': '26', 'clubName': 'AEK Athens', 'clubID': '2441', 'value': '€600k'}, {'date': 'Dec 21, 2019', 'age': '27', 'clubName': 'CS Universitatea Craiova', 'clubID': '40812', 'value': '€600k'}, {'date': 'Apr 8, 2020', 'age': '27', 'clubName': 'CS Universitatea Craiova', 'clubID': '40812', 'value': '€475k'}, {'date': 'Aug 5, 2020', 'age': '27', 'clubName': 'CS Universitatea Craiova', 'clubID': '40812', 'value': '€650k'}, {'date': 'Nov 10, 2020', 'age': '28', 'clubName': 'Without Club', 'clubID': '515', 'value': '€500k'}, {'date': 'Feb 12, 2021', 'age': '28', 'clubName': 'AE Larisa', 'clubID': '4603', 'value': '€400k'}, {'date': 'Jan 11, 2022', 'age': '29', 'clubName': 'PAEEK Kyrenia', 'clubID': '21958', 'value': '€300k'}, {'date': 'Jun 20, 2022', 'age': '29', 'clubName': 'PAEEK Kyrenia', 'clubID': '21958', 'value': '€300k'}, {'date': 'Nov 18, 2022', 'age': '30', 'clubName': 'FK IMT Belgrad', 'clubID': '32113', 'value': '€300k'}, {'date': 'Jun 22, 2023', 'age': '30', 'clubName': 'FK IMT Belgrad', 'clubID': '32113', 'value': '€350k'}, {'date': 'Dec 27, 2023', 'age': '31', 'clubName': 'FK IMT Belgrad', 'clubID': '32113', 'value': '€250k'}, {'date': 'Jun 10, 2024', 'age': '31', 'clubName': 'FK IMT Belgrad', 'clubID': '32113', 'value': '€200k'}, {'date': 'Apr 4, 2025', 'age': '32', 'clubName': 'Without Club', 'clubID': '515', 'value': '€100k'}, {'date': 'Sep 24, 2025', 'age': '32', 'clubName': 'AO Glyfadas', 'clubID': '26973', 'value': '-'}]}</t>
  </si>
  <si>
    <t>1992-10-24</t>
  </si>
  <si>
    <t>Manuel Fernandes</t>
  </si>
  <si>
    <t>{'marketValueHistory': [{'date': '04/10/2004', 'age': '18', 'clubName': 'SL Benfica', 'clubID': '294', 'value': '€50k'}, {'date': '22/11/2004', 'age': '18', 'clubName': 'SL Benfica', 'clubID': '294', 'value': '€800k'}, {'date': '25/01/2005', 'age': '18', 'clubName': 'SL Benfica', 'clubID': '294', 'value': '€3.00m'}, {'date': '05/02/2005', 'age': '19', 'clubName': 'SL Benfica', 'clubID': '294', 'value': '€5.00m'}, {'date': '01/08/2005', 'age': '19', 'clubName': 'SL Benfica', 'clubID': '294', 'value': '€6.00m'}, {'date': '08/08/2006', 'age': '20', 'clubName': 'Portsmouth FC', 'clubID': '1020', 'value': '€14.50m'}, {'date': '27/04/2007', 'age': '21', 'clubName': 'Everton FC', 'clubID': '29', 'value': '€8.50m'}, {'date': '27/08/2007', 'age': '21', 'clubName': 'Valencia CF', 'clubID': '1049', 'value': '€15.00m'}, {'date': '22/01/2008', 'age': '21', 'clubName': 'Everton FC', 'clubID': '29', 'value': '€8.00m'}, {'date': '17/07/2008', 'age': '22', 'clubName': 'Valencia CF', 'clubID': '1049', 'value': '€8.00m'}, {'date': '26/01/2009', 'age': '22', 'clubName': 'Valencia CF', 'clubID': '1049', 'value': '€11.00m'}, {'date': '22/07/2009', 'age': '23', 'clubName': 'Valencia CF', 'clubID': '1049', 'value': '€12.00m'}, {'date': '03/12/2009', 'age': '23', 'clubName': 'Valencia CF', 'clubID': '1049', 'value': '€12.00m'}, {'date': '12/04/2010', 'age': '24', 'clubName': 'Valencia CF', 'clubID': '1049', 'value': '€12.00m'}, {'date': '27/08/2010', 'age': '24', 'clubName': 'Valencia CF', 'clubID': '1049', 'value': '€12.00m'}, {'date': '14/12/2010', 'age': '24', 'clubName': 'Valencia CF', 'clubID': '1049', 'value': '€8.00m'}, {'date': '01/07/2011', 'age': '25', 'clubName': 'Valencia CF', 'clubID': '1049', 'value': '€8.50m'}, {'date': '09/01/2012', 'age': '25', 'clubName': 'Besiktas JK', 'clubID': '114', 'value': '€10.00m'}, {'date': '19/06/2012', 'age': '26', 'clubName': 'Besiktas JK', 'clubID': '114', 'value': '€11.00m'}, {'date': '06/01/2013', 'age': '26', 'clubName': 'Besiktas JK', 'clubID': '114', 'value': '€14.00m'}, {'date': '15/06/2013', 'age': '27', 'clubName': 'Besiktas JK', 'clubID': '114', 'value': '€14.00m'}, {'date': '27/01/2014', 'age': '27', 'clubName': 'Besiktas JK', 'clubID': '114', 'value': '€12.00m'}, {'date': '23/07/2014', 'age': '28', 'clubName': 'Lokomotiv Moskau', 'clubID': '932', 'value': '€8.00m'}, {'date': '23/02/2015', 'age': '29', 'clubName': 'Lokomotiv Moskau', 'clubID': '932', 'value': '€7.00m'}, {'date': '18/06/2015', 'age': '29', 'clubName': 'Lokomotiv Moskau', 'clubID': '932', 'value': '€6.00m'}, {'date': '28/08/2015', 'age': '29', 'clubName': 'Lokomotiv Moskau', 'clubID': '932', 'value': '€5.00m'}, {'date': '06/01/2016', 'age': '29', 'clubName': 'Lokomotiv Moskau', 'clubID': '932', 'value': '€4.00m'}, {'date': '25/05/2016', 'age': '30', 'clubName': 'Lokomotiv Moskau', 'clubID': '932', 'value': '€3.00m'}, {'date': '16/10/2016', 'age': '30', 'clubName': 'Lokomotiv Moskau', 'clubID': '932', 'value': '€2.50m'}, {'date': '27/12/2016', 'age': '30', 'clubName': 'Lokomotiv Moskau', 'clubID': '932', 'value': '€2.50m'}, {'date': '01/06/2017', 'age': '31', 'clubName': 'Lokomotiv Moskau', 'clubID': '932', 'value': '€3.50m'}, {'date': '02/10/2017', 'age': '31', 'clubName': 'Lokomotiv Moscow', 'clubID': '932', 'value': '€4.00m'}, {'date': '23/12/2017', 'age': '31', 'clubName': 'Lokomotiv Moscow', 'clubID': '932', 'value': '€4.50m'}, {'date': '06/06/2018', 'age': '32', 'clubName': 'Lokomotiv Moscow', 'clubID': '932', 'value': '€5.40m'}, {'date': '20/12/2018', 'age': '32', 'clubName': 'Lokomotiv Moscow', 'clubID': '932', 'value': '€5.00m'}, {'date': '14/06/2019', 'age': '33', 'clubName': 'Lokomotiv Moscow', 'clubID': '932', 'value': '€3.50m'}, {'date': '23/12/2019', 'age': '33', 'clubName': 'FC Krasnodar', 'clubID': '16704', 'value': '€2.50m'}, {'date': '08/04/2020', 'age': '34', 'clubName': 'FC Krasnodar', 'clubID': '16704', 'value': '€2.00m'}, {'date': '29/07/2020', 'age': '34', 'clubName': 'FC Krasnodar', 'clubID': '16704', 'value': '€1.50m'}, {'date': '23/12/2020', 'age': '34', 'clubName': 'Kayserispor', 'clubID': '3205', 'value': '€850k'}, {'date': '16/03/2021', 'age': '35', 'clubName': 'Kayserispor', 'clubID': '3205', 'value': '€400k'}, {'date': '21/05/2021', 'age': '35', 'clubName': 'Kayserispor', 'clubID': '3205', 'value': '€200k'}, {'date': '12/10/2021', 'age': '35', 'clubName': 'Kayserispor', 'clubID': '3205', 'value': '€200k'}, {'date': '07/01/2022', 'age': '35', 'clubName': 'Kayserispor', 'clubID': '3205', 'value': '€100k'}, {'date': '09/06/2022', 'age': '36', 'clubName': 'Apollon Smyrnis', 'clubID': '441', 'value': '€100k'}, {'date': '09/11/2022', 'age': '36', 'clubName': 'Sepahan FC', 'clubID': '4947', 'value': '€100k'}, {'date': '24/05/2023', 'age': '37', 'clubName': 'Sepahan FC', 'clubID': '4947', 'value': '€75k'}, {'date': '24/05/2024', 'age': '38', 'clubName': 'Retired', 'clubID': '123', 'value': '-'}]}</t>
  </si>
  <si>
    <t>1986-02-05</t>
  </si>
  <si>
    <t>Weigl</t>
  </si>
  <si>
    <t>{'marketValueHistory': [{'date': 'Jul 22, 2013', 'age': '17', 'clubName': 'TSV 1860 München II', 'clubID': '73', 'value': '€50k'}, {'date': 'Jan 2, 2014', 'age': '18', 'clubName': 'TSV 1860 München II', 'clubID': '73', 'value': '€75k'}, {'date': 'Feb 6, 2014', 'age': '18', 'clubName': 'TSV 1860 München II', 'clubID': '73', 'value': '€100k'}, {'date': 'May 18, 2014', 'age': '18', 'clubName': 'TSV 1860 Munich', 'clubID': '72', 'value': '€200k'}, {'date': 'Jun 30, 2014', 'age': '18', 'clubName': 'TSV 1860 Munich', 'clubID': '72', 'value': '€800k'}, {'date': 'Jan 13, 2015', 'age': '19', 'clubName': 'TSV 1860 Munich', 'clubID': '72', 'value': '€900k'}, {'date': 'Jul 1, 2015', 'age': '19', 'clubName': 'Borussia Dortmund', 'clubID': '16', 'value': '€2.00m'}, {'date': 'Oct 16, 2015', 'age': '20', 'clubName': 'Borussia Dortmund', 'clubID': '16', 'value': '€7.00m'}, {'date': 'Feb 15, 2016', 'age': '20', 'clubName': 'Borussia Dortmund', 'clubID': '16', 'value': '€9.00m'}, {'date': 'Apr 13, 2016', 'age': '20', 'clubName': 'Borussia Dortmund', 'clubID': '16', 'value': '€12.00m'}, {'date': 'Jun 1, 2016', 'age': '20', 'clubName': 'Borussia Dortmund', 'clubID': '16', 'value': '€14.00m'}, {'date': 'Jul 22, 2016', 'age': '20', 'clubName': 'Borussia Dortmund', 'clubID': '16', 'value': '€18.00m'}, {'date': 'Feb 7, 2017', 'age': '21', 'clubName': 'Borussia Dortmund', 'clubID': '16', 'value': '€23.00m'}, {'date': 'Jun 19, 2017', 'age': '21', 'clubName': 'Borussia Dortmund', 'clubID': '16', 'value': '€25.00m'}, {'date': 'Dec 28, 2017', 'age': '22', 'clubName': 'Borussia Dortmund', 'clubID': '16', 'value': '€30.00m'}, {'date': 'Jun 5, 2018', 'age': '22', 'clubName': 'Borussia Dortmund', 'clubID': '16', 'value': '€30.00m'}, {'date': 'Oct 22, 2018', 'age': '23', 'clubName': 'Borussia Dortmund', 'clubID': '16', 'value': '€25.00m'}, {'date': 'Dec 18, 2018', 'age': '23', 'clubName': 'Borussia Dortmund', 'clubID': '16', 'value': '€22.00m'}, {'date': 'Jun 5, 2019', 'age': '23', 'clubName': 'Borussia Dortmund', 'clubID': '16', 'value': '€25.00m'}, {'date': 'Dec 17, 2019', 'age': '24', 'clubName': 'Borussia Dortmund', 'clubID': '16', 'value': '€23.00m'}, {'date': 'Apr 8, 2020', 'age': '24', 'clubName': 'SL Benfica', 'clubID': '294', 'value': '€18.50m'}, {'date': 'Aug 17, 2020', 'age': '24', 'clubName': 'SL Benfica', 'clubID': '294', 'value': '€20.00m'}, {'date': 'Oct 22, 2020', 'age': '25', 'clubName': 'SL Benfica', 'clubID': '294', 'value': '€17.00m'}, {'date': 'Jan 28, 2021', 'age': '25', 'clubName': 'SL Benfica', 'clubID': '294', 'value': '€17.00m'}, {'date': 'Mar 25, 2021', 'age': '25', 'clubName': 'SL Benfica', 'clubID': '294', 'value': '€20.00m'}, {'date': 'May 21, 2021', 'age': '25', 'clubName': 'SL Benfica', 'clubID': '294', 'value': '€20.00m'}, {'date': 'Dec 27, 2021', 'age': '26', 'clubName': 'SL Benfica', 'clubID': '294', 'value': '€22.00m'}, {'date': 'May 31, 2022', 'age': '26', 'clubName': 'SL Benfica', 'clubID': '294', 'value': '€22.00m'}, {'date': 'Sep 21, 2022', 'age': '27', 'clubName': 'Borussia Mönchengladbach', 'clubID': '18', 'value': '€15.00m'}, {'date': 'Nov 9, 2022', 'age': '27', 'clubName': 'Borussia Mönchengladbach', 'clubID': '18', 'value': '€15.00m'}, {'date': 'Jun 22, 2023', 'age': '27', 'clubName': 'Borussia Mönchengladbach', 'clubID': '18', 'value': '€10.00m'}, {'date': 'Dec 14, 2023', 'age': '28', 'clubName': 'Borussia Mönchengladbach', 'clubID': '18', 'value': '€10.00m'}, {'date': 'May 29, 2024', 'age': '28', 'clubName': 'Borussia Mönchengladbach', 'clubID': '18', 'value': '€6.00m'}, {'date': 'Dec 20, 2024', 'age': '29', 'clubName': 'Borussia Mönchengladbach', 'clubID': '18', 'value': '€6.00m'}, {'date': 'Jun 5, 2025', 'age': '29', 'clubName': 'Borussia Mönchengladbach', 'clubID': '18', 'value': '€6.00m'}, {'date': 'Dec 18, 2025', 'age': '30', 'clubName': 'Al-Qadsiah FC', 'clubID': '26069', 'value': '€5.00m'}]}</t>
  </si>
  <si>
    <t>1995-09-08</t>
  </si>
  <si>
    <t>Maicon</t>
  </si>
  <si>
    <t>{'marketValueHistory': [{'date': '04/10/2004', 'age': '23', 'clubName': 'AS Monaco', 'clubID': '162', 'value': '€4.50m'}, {'date': '21/11/2004', 'age': '23', 'clubName': 'AS Monaco', 'clubID': '162', 'value': '€6.00m'}, {'date': '21/08/2005', 'age': '24', 'clubName': 'AS Monaco', 'clubID': '162', 'value': '€7.00m'}, {'date': '05/05/2007', 'age': '25', 'clubName': 'Inter Milan', 'clubID': '46', 'value': '€13.00m'}, {'date': '23/12/2007', 'age': '26', 'clubName': 'Inter Milan', 'clubID': '46', 'value': '€17.50m'}, {'date': '15/02/2008', 'age': '26', 'clubName': 'Inter Milan', 'clubID': '46', 'value': '€20.00m'}, {'date': '04/07/2008', 'age': '26', 'clubName': 'Inter Milan', 'clubID': '46', 'value': '€21.00m'}, {'date': '06/02/2009', 'age': '27', 'clubName': 'Inter Milan', 'clubID': '46', 'value': '€25.00m'}, {'date': '06/08/2009', 'age': '28', 'clubName': 'Inter Milan', 'clubID': '46', 'value': '€27.50m'}, {'date': '27/01/2010', 'age': '28', 'clubName': 'Inter Milan', 'clubID': '46', 'value': '€30.00m'}, {'date': '02/08/2010', 'age': '29', 'clubName': 'Inter Milan', 'clubID': '46', 'value': '€32.00m'}, {'date': '20/01/2011', 'age': '29', 'clubName': 'Inter Milan', 'clubID': '46', 'value': '€30.00m'}, {'date': '21/06/2011', 'age': '29', 'clubName': 'Inter Milan', 'clubID': '46', 'value': '€24.50m'}, {'date': '11/01/2012', 'age': '30', 'clubName': 'Inter Milan', 'clubID': '46', 'value': '€18.50m'}, {'date': '08/06/2012', 'age': '30', 'clubName': 'Inter Milan', 'clubID': '46', 'value': '€14.50m'}, {'date': '09/09/2012', 'age': '31', 'clubName': 'Manchester City', 'clubID': '281', 'value': '€7.00m'}, {'date': '28/01/2013', 'age': '31', 'clubName': 'Manchester City', 'clubID': '281', 'value': '€5.00m'}, {'date': '02/07/2013', 'age': '31', 'clubName': 'Manchester City', 'clubID': '281', 'value': '€4.00m'}, {'date': '07/01/2014', 'age': '32', 'clubName': 'AS Roma', 'clubID': '12', 'value': '€4.00m'}, {'date': '11/07/2014', 'age': '32', 'clubName': 'AS Roma', 'clubID': '12', 'value': '€3.00m'}, {'date': '07/01/2015', 'age': '33', 'clubName': 'AS Roma', 'clubID': '12', 'value': '€2.00m'}, {'date': '01/07/2015', 'age': '33', 'clubName': 'AS Roma', 'clubID': '12', 'value': '€1.00m'}, {'date': '04/01/2016', 'age': '34', 'clubName': 'AS Roma', 'clubID': '12', 'value': '€1.00m'}, {'date': '15/07/2016', 'age': '34', 'clubName': 'Without Club', 'clubID': '515', 'value': '€500k'}, {'date': '07/12/2017', 'age': '36', 'clubName': 'Avaí FC', 'clubID': '2035', 'value': '€500k'}, {'date': '01/01/2018', 'age': '36', 'clubName': 'Without Club', 'clubID': '515', 'value': '-'}]}</t>
  </si>
  <si>
    <t>1981-07-26</t>
  </si>
  <si>
    <t>Guerreiro</t>
  </si>
  <si>
    <t>{'marketValueHistory': [{'date': 'Jul 30, 2012', 'age': '18', 'clubName': 'SM Caen', 'clubID': '1162', 'value': '€200k'}, {'date': 'Jan 4, 2013', 'age': '19', 'clubName': 'SM Caen', 'clubID': '1162', 'value': '€750k'}, {'date': 'May 29, 2013', 'age': '19', 'clubName': 'SM Caen', 'clubID': '1162', 'value': '€1.50m'}, {'date': 'Sep 13, 2013', 'age': '19', 'clubName': 'FC Lorient', 'clubID': '1158', 'value': '€2.00m'}, {'date': 'Jan 14, 2014', 'age': '20', 'clubName': 'FC Lorient', 'clubID': '1158', 'value': '€3.00m'}, {'date': 'Aug 7, 2014', 'age': '20', 'clubName': 'FC Lorient', 'clubID': '1158', 'value': '€3.50m'}, {'date': 'Jan 14, 2015', 'age': '21', 'clubName': 'FC Lorient', 'clubID': '1158', 'value': '€6.00m'}, {'date': 'Jun 6, 2015', 'age': '21', 'clubName': 'FC Lorient', 'clubID': '1158', 'value': '€7.50m'}, {'date': 'Feb 4, 2016', 'age': '22', 'clubName': 'FC Lorient', 'clubID': '1158', 'value': '€7.50m'}, {'date': 'Jun 1, 2016', 'age': '22', 'clubName': 'FC Lorient', 'clubID': '1158', 'value': '€9.00m'}, {'date': 'Jul 22, 2016', 'age': '22', 'clubName': 'Borussia Dortmund', 'clubID': '16', 'value': '€12.00m'}, {'date': 'Oct 13, 2016', 'age': '22', 'clubName': 'Borussia Dortmund', 'clubID': '16', 'value': '€18.00m'}, {'date': 'Feb 7, 2017', 'age': '23', 'clubName': 'Borussia Dortmund', 'clubID': '16', 'value': '€18.00m'}, {'date': 'Jun 19, 2017', 'age': '23', 'clubName': 'Borussia Dortmund', 'clubID': '16', 'value': '€20.00m'}, {'date': 'Dec 28, 2017', 'age': '24', 'clubName': 'Borussia Dortmund', 'clubID': '16', 'value': '€20.00m'}, {'date': 'Jun 5, 2018', 'age': '24', 'clubName': 'Borussia Dortmund', 'clubID': '16', 'value': '€18.00m'}, {'date': 'Jul 16, 2018', 'age': '24', 'clubName': 'Borussia Dortmund', 'clubID': '16', 'value': '€21.00m'}, {'date': 'Oct 22, 2018', 'age': '24', 'clubName': 'Borussia Dortmund', 'clubID': '16', 'value': '€18.00m'}, {'date': 'Dec 18, 2018', 'age': '24', 'clubName': 'Borussia Dortmund', 'clubID': '16', 'value': '€20.00m'}, {'date': 'Jun 5, 2019', 'age': '25', 'clubName': 'Borussia Dortmund', 'clubID': '16', 'value': '€25.00m'}, {'date': 'Dec 17, 2019', 'age': '25', 'clubName': 'Borussia Dortmund', 'clubID': '16', 'value': '€25.00m'}, {'date': 'Mar 11, 2020', 'age': '26', 'clubName': 'Borussia Dortmund', 'clubID': '16', 'value': '€35.00m'}, {'date': 'Apr 8, 2020', 'age': '26', 'clubName': 'Borussia Dortmund', 'clubID': '16', 'value': '€28.00m'}, {'date': 'Jul 8, 2020', 'age': '26', 'clubName': 'Borussia Dortmund', 'clubID': '16', 'value': '€35.00m'}, {'date': 'Feb 10, 2021', 'age': '27', 'clubName': 'Borussia Dortmund', 'clubID': '16', 'value': '€35.00m'}, {'date': 'Jun 1, 2021', 'age': '27', 'clubName': 'Borussia Dortmund', 'clubID': '16', 'value': '€40.00m'}, {'date': 'Dec 22, 2021', 'age': '28', 'clubName': 'Borussia Dortmund', 'clubID': '16', 'value': '€35.00m'}, {'date': 'Jun 9, 2022', 'age': '28', 'clubName': 'Borussia Dortmund', 'clubID': '16', 'value': '€25.00m'}, {'date': 'Sep 21, 2022', 'age': '28', 'clubName': 'Borussia Dortmund', 'clubID': '16', 'value': '€20.00m'}, {'date': 'Nov 9, 2022', 'age': '28', 'clubName': 'Borussia Dortmund', 'clubID': '16', 'value': '€20.00m'}, {'date': 'Jun 22, 2023', 'age': '29', 'clubName': 'Borussia Dortmund', 'clubID': '16', 'value': '€20.00m'}, {'date': 'Oct 18, 2023', 'age': '29', 'clubName': 'Bayern Munich', 'clubID': '27', 'value': '€15.00m'}, {'date': 'Dec 14, 2023', 'age': '29', 'clubName': 'Bayern Munich', 'clubID': '27', 'value': '€15.00m'}, {'date': 'May 29, 2024', 'age': '30', 'clubName': 'Bayern Munich', 'clubID': '27', 'value': '€12.00m'}, {'date': 'Dec 20, 2024', 'age': '30', 'clubName': 'Bayern Munich', 'clubID': '27', 'value': '€10.00m'}, {'date': 'Jun 5, 2025', 'age': '31', 'clubName': 'Bayern Munich', 'clubID': '27', 'value': '€8.00m'}, {'date': 'Dec 19, 2025', 'age': '31', 'clubName': 'Bayern Munich', 'clubID': '27', 'value': '€6.00m'}]}</t>
  </si>
  <si>
    <t>1993-12-22</t>
  </si>
  <si>
    <t>Dubois</t>
  </si>
  <si>
    <t>{'marketValueHistory': [{'date': '07/08/2014', 'age': '19', 'clubName': 'FC Nantes', 'clubID': '995', 'value': '€150k'}, {'date': '14/01/2015', 'age': '20', 'clubName': 'FC Nantes', 'clubID': '995', 'value': '€150k'}, {'date': '06/06/2015', 'age': '20', 'clubName': 'FC Nantes', 'clubID': '995', 'value': '€150k'}, {'date': '06/09/2015', 'age': '20', 'clubName': 'FC Nantes', 'clubID': '995', 'value': '€400k'}, {'date': '04/02/2016', 'age': '21', 'clubName': 'FC Nantes', 'clubID': '995', 'value': '€1.50m'}, {'date': '13/07/2016', 'age': '21', 'clubName': 'FC Nantes', 'clubID': '995', 'value': '€1.50m'}, {'date': '16/01/2017', 'age': '22', 'clubName': 'FC Nantes', 'clubID': '995', 'value': '€1.75m'}, {'date': '01/06/2017', 'age': '22', 'clubName': 'FC Nantes', 'clubID': '995', 'value': '€2.00m'}, {'date': '12/10/2017', 'age': '23', 'clubName': 'FC Nantes', 'clubID': '995', 'value': '€3.50m'}, {'date': '24/01/2018', 'age': '23', 'clubName': 'FC Nantes', 'clubID': '995', 'value': '€8.00m'}, {'date': '20/03/2018', 'age': '23', 'clubName': 'FC Nantes', 'clubID': '995', 'value': '€10.00m'}, {'date': '04/06/2018', 'age': '23', 'clubName': 'FC Nantes', 'clubID': '995', 'value': '€10.00m'}, {'date': '17/12/2018', 'age': '24', 'clubName': 'Olympique Lyon', 'clubID': '1041', 'value': '€10.00m'}, {'date': '03/06/2019', 'age': '24', 'clubName': 'Olympique Lyon', 'clubID': '1041', 'value': '€13.50m'}, {'date': '19/12/2019', 'age': '25', 'clubName': 'Olympique Lyon', 'clubID': '1041', 'value': '€15.00m'}, {'date': '08/04/2020', 'age': '25', 'clubName': 'Olympique Lyon', 'clubID': '1041', 'value': '€12.00m'}, {'date': '15/10/2020', 'age': '26', 'clubName': 'Olympique Lyon', 'clubID': '1041', 'value': '€14.00m'}, {'date': '09/04/2021', 'age': '26', 'clubName': 'Olympique Lyon', 'clubID': '1041', 'value': '€16.00m'}, {'date': '01/06/2021', 'age': '26', 'clubName': 'Olympique Lyon', 'clubID': '1041', 'value': '€16.00m'}, {'date': '16/12/2021', 'age': '27', 'clubName': 'Olympique Lyon', 'clubID': '1041', 'value': '€14.00m'}, {'date': '30/05/2022', 'age': '27', 'clubName': 'Olympique Lyon', 'clubID': '1041', 'value': '€10.00m'}, {'date': '13/09/2022', 'age': '27', 'clubName': 'Galatasaray', 'clubID': '141', 'value': '€7.00m'}, {'date': '27/10/2022', 'age': '28', 'clubName': 'Galatasaray', 'clubID': '141', 'value': '€6.00m'}, {'date': '14/03/2023', 'age': '28', 'clubName': 'Galatasaray', 'clubID': '141', 'value': '€6.50m'}, {'date': '08/06/2023', 'age': '28', 'clubName': 'Galatasaray', 'clubID': '141', 'value': '€5.50m'}, {'date': '27/09/2023', 'age': '29', 'clubName': 'Basaksehir FK', 'clubID': '6890', 'value': '€4.30m'}, {'date': '21/12/2023', 'age': '29', 'clubName': 'Basaksehir FK', 'clubID': '6890', 'value': '€3.50m'}, {'date': '15/03/2024', 'age': '29', 'clubName': 'Basaksehir FK', 'clubID': '6890', 'value': '€3.50m'}, {'date': '31/05/2024', 'age': '29', 'clubName': 'Basaksehir FK', 'clubID': '6890', 'value': '€3.50m'}, {'date': '04/10/2024', 'age': '30', 'clubName': 'Eyüpspor', 'clubID': '7160', 'value': '€3.00m'}, {'date': '23/12/2024', 'age': '30', 'clubName': 'Eyüpspor', 'clubID': '7160', 'value': '€2.70m'}, {'date': '20/03/2025', 'age': '30', 'clubName': 'Eyüpspor', 'clubID': '7160', 'value': '€2.50m'}, {'date': '18/06/2025', 'age': '30', 'clubName': 'Eyüpspor', 'clubID': '7160', 'value': '€2.00m'}, {'date': '21/10/2025', 'age': '31', 'clubName': 'Without Club', 'clubID': '515', 'value': '€1.80m'}, {'date': '06/11/2025', 'age': '31', 'clubName': 'Retired', 'clubID': '123', 'value': '-'}]}</t>
  </si>
  <si>
    <t>1994-09-14</t>
  </si>
  <si>
    <t>Draxler</t>
  </si>
  <si>
    <t>{'marketValueHistory': [{'date': 'Jan 21, 2011', 'age': '17', 'clubName': 'FC Schalke 04', 'clubID': '33', 'value': '€400k'}, {'date': 'Feb 1, 2011', 'age': '17', 'clubName': 'FC Schalke 04', 'clubID': '33', 'value': '€750k'}, {'date': 'Mar 18, 2011', 'age': '17', 'clubName': 'FC Schalke 04', 'clubID': '33', 'value': '€1.00m'}, {'date': 'Jun 29, 2011', 'age': '17', 'clubName': 'FC Schalke 04', 'clubID': '33', 'value': '€3.50m'}, {'date': 'Aug 30, 2011', 'age': '17', 'clubName': 'FC Schalke 04', 'clubID': '33', 'value': '€5.00m'}, {'date': 'Jan 23, 2012', 'age': '18', 'clubName': 'FC Schalke 04', 'clubID': '33', 'value': '€7.00m'}, {'date': 'Jun 29, 2012', 'age': '18', 'clubName': 'FC Schalke 04', 'clubID': '33', 'value': '€11.00m'}, {'date': 'Oct 30, 2012', 'age': '19', 'clubName': 'FC Schalke 04', 'clubID': '33', 'value': '€14.00m'}, {'date': 'Jan 13, 2013', 'age': '19', 'clubName': 'FC Schalke 04', 'clubID': '33', 'value': '€14.00m'}, {'date': 'Mar 11, 2013', 'age': '19', 'clubName': 'FC Schalke 04', 'clubID': '33', 'value': '€17.00m'}, {'date': 'Jun 30, 2013', 'age': '19', 'clubName': 'FC Schalke 04', 'clubID': '33', 'value': '€22.00m'}, {'date': 'Aug 27, 2013', 'age': '19', 'clubName': 'FC Schalke 04', 'clubID': '33', 'value': '€30.00m'}, {'date': 'Jul 10, 2014', 'age': '20', 'clubName': 'FC Schalke 04', 'clubID': '33', 'value': '€30.00m'}, {'date': 'Feb 4, 2015', 'age': '21', 'clubName': 'FC Schalke 04', 'clubID': '33', 'value': '€25.00m'}, {'date': 'Jul 1, 2015', 'age': '21', 'clubName': 'FC Schalke 04', 'clubID': '33', 'value': '€22.00m'}, {'date': 'Feb 15, 2016', 'age': '22', 'clubName': 'VfL Wolfsburg', 'clubID': '82', 'value': '€22.00m'}, {'date': 'Jun 1, 2016', 'age': '22', 'clubName': 'VfL Wolfsburg', 'clubID': '82', 'value': '€24.00m'}, {'date': 'Jul 22, 2016', 'age': '22', 'clubName': 'VfL Wolfsburg', 'clubID': '82', 'value': '€28.00m'}, {'date': 'Jan 16, 2017', 'age': '23', 'clubName': 'Paris Saint-Germain', 'clubID': '583', 'value': '€32.00m'}, {'date': 'Jun 1, 2017', 'age': '23', 'clubName': 'Paris Saint-Germain', 'clubID': '583', 'value': '€35.00m'}, {'date': 'Jan 24, 2018', 'age': '24', 'clubName': 'Paris Saint-Germain', 'clubID': '583', 'value': '€40.00m'}, {'date': 'Jun 4, 2018', 'age': '24', 'clubName': 'Paris Saint-Germain', 'clubID': '583', 'value': '€35.00m'}, {'date': 'Jul 16, 2018', 'age': '24', 'clubName': 'Paris Saint-Germain', 'clubID': '583', 'value': '€30.00m'}, {'date': 'Dec 17, 2018', 'age': '25', 'clubName': 'Paris Saint-Germain', 'clubID': '583', 'value': '€30.00m'}, {'date': 'Mar 7, 2019', 'age': '25', 'clubName': 'Paris Saint-Germain', 'clubID': '583', 'value': '€35.00m'}, {'date': 'Jun 3, 2019', 'age': '25', 'clubName': 'Paris Saint-Germain', 'clubID': '583', 'value': '€35.00m'}, {'date': 'Dec 19, 2019', 'age': '26', 'clubName': 'Paris Saint-Germain', 'clubID': '583', 'value': '€30.00m'}, {'date': 'Apr 8, 2020', 'age': '26', 'clubName': 'Paris Saint-Germain', 'clubID': '583', 'value': '€24.00m'}, {'date': 'Oct 15, 2020', 'age': '27', 'clubName': 'Paris Saint-Germain', 'clubID': '583', 'value': '€24.00m'}, {'date': 'Jan 7, 2021', 'age': '27', 'clubName': 'Paris Saint-Germain', 'clubID': '583', 'value': '€20.00m'}, {'date': 'Jun 4, 2021', 'age': '27', 'clubName': 'Paris Saint-Germain', 'clubID': '583', 'value': '€20.00m'}, {'date': 'Dec 16, 2021', 'age': '28', 'clubName': 'Paris Saint-Germain', 'clubID': '583', 'value': '€20.00m'}, {'date': 'May 30, 2022', 'age': '28', 'clubName': 'Paris Saint-Germain', 'clubID': '583', 'value': '€18.00m'}, {'date': 'Nov 1, 2022', 'age': '29', 'clubName': 'SL Benfica', 'clubID': '294', 'value': '€12.00m'}, {'date': 'Mar 2, 2023', 'age': '29', 'clubName': 'SL Benfica', 'clubID': '294', 'value': '€8.00m'}, {'date': 'Jun 16, 2023', 'age': '29', 'clubName': 'SL Benfica', 'clubID': '294', 'value': '€6.00m'}, {'date': 'Nov 27, 2023', 'age': '30', 'clubName': 'Al-Ahli SC', 'clubID': '3612', 'value': '€5.00m'}, {'date': 'May 2, 2024', 'age': '30', 'clubName': 'Al-Ahli SC', 'clubID': '3612', 'value': '€4.00m'}, {'date': 'Dec 10, 2024', 'age': '31', 'clubName': 'Al-Ahli SC', 'clubID': '3612', 'value': '€4.00m'}, {'date': 'May 28, 2025', 'age': '31', 'clubName': 'Al-Ahli SC', 'clubID': '3612', 'value': '€3.80m'}, {'date': 'Dec 30, 2025', 'age': '32', 'clubName': 'Al-Ahli SC', 'clubID': '3612', 'value': '€3.50m'}]}</t>
  </si>
  <si>
    <t>1993-09-20</t>
  </si>
  <si>
    <t>Barinov</t>
  </si>
  <si>
    <t>{'marketValueHistory': [{'date': '24/07/2015', 'age': '18', 'clubName': 'Lokomotiv Moscow II', 'clubID': '932', 'value': '€500k'}, {'date': '01/07/2016', 'age': '19', 'clubName': 'Lokomotiv Moskau', 'clubID': '932', 'value': '€500k'}, {'date': '27/12/2016', 'age': '20', 'clubName': 'Lokomotiv Moskau', 'clubID': '932', 'value': '€800k'}, {'date': '01/06/2017', 'age': '20', 'clubName': 'Lokomotiv Moskau', 'clubID': '932', 'value': '€1.00m'}, {'date': '02/10/2017', 'age': '21', 'clubName': 'Lokomotiv Moscow', 'clubID': '932', 'value': '€1.80m'}, {'date': '23/12/2017', 'age': '21', 'clubName': 'Lokomotiv Moscow', 'clubID': '932', 'value': '€2.00m'}, {'date': '06/06/2018', 'age': '21', 'clubName': 'Lokomotiv Moscow', 'clubID': '932', 'value': '€2.00m'}, {'date': '20/12/2018', 'age': '22', 'clubName': 'Lokomotiv Moscow', 'clubID': '932', 'value': '€3.00m'}, {'date': '24/04/2019', 'age': '22', 'clubName': 'Lokomotiv Moscow', 'clubID': '932', 'value': '€4.50m'}, {'date': '14/06/2019', 'age': '22', 'clubName': 'Lokomotiv Moscow', 'clubID': '932', 'value': '€7.50m'}, {'date': '10/09/2019', 'age': '22', 'clubName': 'Lokomotiv Moscow', 'clubID': '932', 'value': '€8.00m'}, {'date': '23/12/2019', 'age': '23', 'clubName': 'Lokomotiv Moscow', 'clubID': '932', 'value': '€12.00m'}, {'date': '30/03/2020', 'age': '23', 'clubName': 'Lokomotiv Moscow', 'clubID': '932', 'value': '€12.50m'}, {'date': '08/04/2020', 'age': '23', 'clubName': 'Lokomotiv Moscow', 'clubID': '932', 'value': '€10.00m'}, {'date': '29/07/2020', 'age': '23', 'clubName': 'Lokomotiv Moscow', 'clubID': '932', 'value': '€12.00m'}, {'date': '29/12/2020', 'age': '24', 'clubName': 'Lokomotiv Moscow', 'clubID': '932', 'value': '€12.00m'}, {'date': '26/05/2021', 'age': '24', 'clubName': 'Lokomotiv Moscow', 'clubID': '932', 'value': '€12.00m'}, {'date': '29/12/2021', 'age': '25', 'clubName': 'Lokomotiv Moscow', 'clubID': '932', 'value': '€12.00m'}, {'date': '02/06/2022', 'age': '25', 'clubName': 'Lokomotiv Moscow', 'clubID': '932', 'value': '€11.00m'}, {'date': '21/11/2022', 'age': '26', 'clubName': 'Lokomotiv Moscow', 'clubID': '932', 'value': '€9.00m'}, {'date': '13/04/2023', 'age': '26', 'clubName': 'Lokomotiv Moscow', 'clubID': '932', 'value': '€8.00m'}, {'date': '14/06/2023', 'age': '26', 'clubName': 'Lokomotiv Moscow', 'clubID': '932', 'value': '€8.00m'}, {'date': '13/12/2023', 'age': '27', 'clubName': 'Lokomotiv Moscow', 'clubID': '932', 'value': '€8.00m'}, {'date': '04/06/2024', 'age': '27', 'clubName': 'Lokomotiv Moscow', 'clubID': '932', 'value': '€8.00m'}, {'date': '12/12/2024', 'age': '28', 'clubName': 'Lokomotiv Moscow', 'clubID': '932', 'value': '€8.00m'}, {'date': '04/06/2025', 'age': '28', 'clubName': 'Lokomotiv Moscow', 'clubID': '932', 'value': '€8.00m'}, {'date': '18/09/2025', 'age': '29', 'clubName': 'Lokomotiv Moscow', 'clubID': '932', 'value': '€9.00m'}, {'date': '16/12/2025', 'age': '29', 'clubName': 'Lokomotiv Moscow', 'clubID': '932', 'value': '€9.00m'}, {'date': '25/03/2026', 'age': '29', 'clubName': 'CSKA Moscow', 'clubID': '2410', 'value': '€8.00m'}]}</t>
  </si>
  <si>
    <t>1996-09-11</t>
  </si>
  <si>
    <t>Rabiot</t>
  </si>
  <si>
    <t>{'marketValueHistory': [{'date': 'Jul 25, 2012', 'age': '17', 'clubName': 'Paris Saint-Germain', 'clubID': '583', 'value': '€400k'}, {'date': 'Jan 7, 2013', 'age': '17', 'clubName': 'Paris Saint-Germain', 'clubID': '583', 'value': '€1.50m'}, {'date': 'May 30, 2013', 'age': '18', 'clubName': 'FC Toulouse', 'clubID': '415', 'value': '€2.50m'}, {'date': 'Jan 14, 2014', 'age': '18', 'clubName': 'Paris Saint-Germain', 'clubID': '583', 'value': '€3.50m'}, {'date': 'Aug 1, 2014', 'age': '19', 'clubName': 'Paris Saint-Germain', 'clubID': '583', 'value': '€4.50m'}, {'date': 'Jan 14, 2015', 'age': '19', 'clubName': 'Paris Saint-Germain', 'clubID': '583', 'value': '€5.00m'}, {'date': 'Jun 6, 2015', 'age': '20', 'clubName': 'Paris Saint-Germain', 'clubID': '583', 'value': '€8.00m'}, {'date': 'Feb 4, 2016', 'age': '20', 'clubName': 'Paris Saint-Germain', 'clubID': '583', 'value': '€10.00m'}, {'date': 'Jul 13, 2016', 'age': '21', 'clubName': 'Paris Saint-Germain', 'clubID': '583', 'value': '€12.00m'}, {'date': 'Jan 16, 2017', 'age': '21', 'clubName': 'Paris Saint-Germain', 'clubID': '583', 'value': '€12.00m'}, {'date': 'Jun 1, 2017', 'age': '22', 'clubName': 'Paris Saint-Germain', 'clubID': '583', 'value': '€18.00m'}, {'date': 'Oct 12, 2017', 'age': '22', 'clubName': 'Paris Saint-Germain', 'clubID': '583', 'value': '€25.00m'}, {'date': 'Jan 24, 2018', 'age': '22', 'clubName': 'Paris Saint-Germain', 'clubID': '583', 'value': '€45.00m'}, {'date': 'Jun 4, 2018', 'age': '23', 'clubName': 'Paris Saint-Germain', 'clubID': '583', 'value': '€50.00m'}, {'date': 'Dec 17, 2018', 'age': '23', 'clubName': 'Paris Saint-Germain', 'clubID': '583', 'value': '€50.00m'}, {'date': 'Mar 7, 2019', 'age': '23', 'clubName': 'Paris Saint-Germain', 'clubID': '583', 'value': '€35.00m'}, {'date': 'Jun 3, 2019', 'age': '24', 'clubName': 'Paris Saint-Germain', 'clubID': '583', 'value': '€35.00m'}, {'date': 'Dec 12, 2019', 'age': '24', 'clubName': 'Juventus FC', 'clubID': '506', 'value': '€32.00m'}, {'date': 'Apr 8, 2020', 'age': '25', 'clubName': 'Juventus FC', 'clubID': '506', 'value': '€25.50m'}, {'date': 'Aug 25, 2020', 'age': '25', 'clubName': 'Juventus FC', 'clubID': '506', 'value': '€28.00m'}, {'date': 'Dec 29, 2020', 'age': '25', 'clubName': 'Juventus FC', 'clubID': '506', 'value': '€32.00m'}, {'date': 'Jun 1, 2021', 'age': '26', 'clubName': 'Juventus FC', 'clubID': '506', 'value': '€30.00m'}, {'date': 'Dec 28, 2021', 'age': '26', 'clubName': 'Juventus FC', 'clubID': '506', 'value': '€22.00m'}, {'date': 'Mar 15, 2022', 'age': '26', 'clubName': 'Juventus FC', 'clubID': '506', 'value': '€18.00m'}, {'date': 'Jun 7, 2022', 'age': '27', 'clubName': 'Juventus FC', 'clubID': '506', 'value': '€17.00m'}, {'date': 'Nov 11, 2022', 'age': '27', 'clubName': 'Juventus FC', 'clubID': '506', 'value': '€18.00m'}, {'date': 'Dec 23, 2022', 'age': '27', 'clubName': 'Juventus FC', 'clubID': '506', 'value': '€25.00m'}, {'date': 'Mar 21, 2023', 'age': '27', 'clubName': 'Juventus FC', 'clubID': '506', 'value': '€30.00m'}, {'date': 'Jun 15, 2023', 'age': '28', 'clubName': 'Juventus FC', 'clubID': '506', 'value': '€40.00m'}, {'date': 'Dec 20, 2023', 'age': '28', 'clubName': 'Juventus FC', 'clubID': '506', 'value': '€40.00m'}, {'date': 'Jun 5, 2024', 'age': '29', 'clubName': 'Juventus FC', 'clubID': '506', 'value': '€35.00m'}, {'date': 'Oct 7, 2024', 'age': '29', 'clubName': 'Olympique Marseille', 'clubID': '244', 'value': '€30.00m'}, {'date': 'Dec 10, 2024', 'age': '29', 'clubName': 'Olympique Marseille', 'clubID': '244', 'value': '€25.00m'}, {'date': 'Jun 3, 2025', 'age': '30', 'clubName': 'Olympique Marseille', 'clubID': '244', 'value': '€25.00m'}, {'date': 'Oct 7, 2025', 'age': '30', 'clubName': 'AC Milan', 'clubID': '5', 'value': '€20.00m'}, {'date': 'Dec 23, 2025', 'age': '30', 'clubName': 'AC Milan', 'clubID': '5', 'value': '€20.00m'}]}</t>
  </si>
  <si>
    <t>1995-04-03</t>
  </si>
  <si>
    <t>Nainggolan</t>
  </si>
  <si>
    <t>{'marketValueHistory': [{'date': '21/07/2006', 'age': '18', 'clubName': 'Piacenza Primavera', 'clubID': '14898', 'value': '€50k'}, {'date': '09/09/2007', 'age': '19', 'clubName': 'Piacenza FC', 'clubID': '1408', 'value': '€150k'}, {'date': '27/05/2009', 'age': '21', 'clubName': 'Piacenza FC', 'clubID': '1408', 'value': '€600k'}, {'date': '24/09/2009', 'age': '21', 'clubName': 'Piacenza FC', 'clubID': '1408', 'value': '€1.30m'}, {'date': '05/01/2011', 'age': '22', 'clubName': 'Cagliari Calcio', 'clubID': '1390', 'value': '€2.50m'}, {'date': '21/06/2011', 'age': '23', 'clubName': 'Cagliari Calcio', 'clubID': '1390', 'value': '€5.00m'}, {'date': '11/01/2012', 'age': '23', 'clubName': 'Cagliari Calcio', 'clubID': '1390', 'value': '€7.50m'}, {'date': '02/02/2012', 'age': '23', 'clubName': 'Cagliari Calcio', 'clubID': '1390', 'value': '€12.00m'}, {'date': '07/06/2012', 'age': '24', 'clubName': 'Cagliari Calcio', 'clubID': '1390', 'value': '€13.00m'}, {'date': '14/01/2013', 'age': '24', 'clubName': 'Cagliari Calcio', 'clubID': '1390', 'value': '€13.00m'}, {'date': '19/06/2013', 'age': '25', 'clubName': 'Cagliari Calcio', 'clubID': '1390', 'value': '€14.00m'}, {'date': '07/01/2014', 'age': '25', 'clubName': 'AS Roma', 'clubID': '12', 'value': '€17.00m'}, {'date': '26/06/2014', 'age': '26', 'clubName': 'AS Roma', 'clubID': '12', 'value': '€18.00m'}, {'date': '08/11/2014', 'age': '26', 'clubName': 'AS Roma', 'clubID': '12', 'value': '€20.00m'}, {'date': '07/01/2015', 'age': '26', 'clubName': 'AS Roma', 'clubID': '12', 'value': '€24.00m'}, {'date': '01/07/2015', 'age': '27', 'clubName': 'AS Roma', 'clubID': '12', 'value': '€27.00m'}, {'date': '04/01/2016', 'age': '27', 'clubName': 'AS Roma', 'clubID': '12', 'value': '€27.00m'}, {'date': '01/06/2016', 'age': '28', 'clubName': 'AS Roma', 'clubID': '12', 'value': '€30.00m'}, {'date': '15/07/2016', 'age': '28', 'clubName': 'AS Roma', 'clubID': '12', 'value': '€33.00m'}, {'date': '02/01/2017', 'age': '28', 'clubName': 'AS Roma', 'clubID': '12', 'value': '€35.00m'}, {'date': '28/03/2017', 'age': '28', 'clubName': 'AS Roma', 'clubID': '12', 'value': '€40.00m'}, {'date': '08/06/2017', 'age': '29', 'clubName': 'AS Roma', 'clubID': '12', 'value': '€40.00m'}, {'date': '29/12/2017', 'age': '29', 'clubName': 'AS Roma', 'clubID': '12', 'value': '€45.00m'}, {'date': '07/06/2018', 'age': '30', 'clubName': 'AS Roma', 'clubID': '12', 'value': '€45.00m'}, {'date': '12/10/2018', 'age': '30', 'clubName': 'Inter Milan', 'clubID': '46', 'value': '€40.00m'}, {'date': '20/12/2018', 'age': '30', 'clubName': 'Inter Milan', 'clubID': '46', 'value': '€35.00m'}, {'date': '01/03/2019', 'age': '30', 'clubName': 'Inter Milan', 'clubID': '46', 'value': '€30.00m'}, {'date': '06/06/2019', 'age': '31', 'clubName': 'Inter Milan', 'clubID': '46', 'value': '€28.00m'}, {'date': '08/10/2019', 'age': '31', 'clubName': 'Cagliari Calcio', 'clubID': '1390', 'value': '€20.00m'}, {'date': '12/12/2019', 'age': '31', 'clubName': 'Cagliari Calcio', 'clubID': '1390', 'value': '€20.00m'}, {'date': '08/04/2020', 'age': '31', 'clubName': 'Cagliari Calcio', 'clubID': '1390', 'value': '€16.00m'}, {'date': '25/08/2020', 'age': '32', 'clubName': 'Cagliari Calcio', 'clubID': '1390', 'value': '€15.00m'}, {'date': '29/10/2020', 'age': '32', 'clubName': 'Inter Milan', 'clubID': '46', 'value': '€10.00m'}, {'date': '29/12/2020', 'age': '32', 'clubName': 'Inter Milan', 'clubID': '46', 'value': '€6.00m'}, {'date': '03/06/2021', 'age': '33', 'clubName': 'Cagliari Calcio', 'clubID': '1390', 'value': '€5.00m'}, {'date': '06/10/2021', 'age': '33', 'clubName': 'Royal Antwerp FC', 'clubID': '1096', 'value': '€4.00m'}, {'date': '06/01/2022', 'age': '33', 'clubName': 'Royal Antwerp FC', 'clubID': '1096', 'value': '€3.00m'}, {'date': '12/04/2022', 'age': '33', 'clubName': 'Royal Antwerp FC', 'clubID': '1096', 'value': '€2.00m'}, {'date': '04/11/2022', 'age': '34', 'clubName': 'Royal Antwerp FC', 'clubID': '1096', 'value': '€1.00m'}, {'date': '12/06/2023', 'age': '35', 'clubName': 'SPAL', 'clubID': '2722', 'value': '€800k'}, {'date': '25/10/2023', 'age': '35', 'clubName': 'Without Club', 'clubID': '515', 'value': '€500k'}, {'date': '16/02/2024', 'age': '35', 'clubName': 'Bhayangkara Presisi FC', 'clubID': '53944', 'value': '€400k'}, {'date': '15/07/2024', 'age': '36', 'clubName': 'Without Club', 'clubID': '515', 'value': '€325k'}, {'date': '24/04/2025', 'age': '36', 'clubName': 'KSC Lokeren-Temse', 'clubID': '7773', 'value': '€300k'}, {'date': '18/12/2025', 'age': '37', 'clubName': 'KSC Lokeren', 'clubID': '7773', 'value': '€250k'}]}</t>
  </si>
  <si>
    <t>1988-05-04</t>
  </si>
  <si>
    <t>Coquelin</t>
  </si>
  <si>
    <t>{'marketValueHistory': [{'date': 'Mar 29, 2010', 'age': '18', 'clubName': 'Arsenal FC Reserves', 'clubID': '9249', 'value': '€100k'}, {'date': 'Jul 16, 2010', 'age': '19', 'clubName': 'Arsenal FC Reserves', 'clubID': '9249', 'value': '€200k'}, {'date': 'Dec 28, 2010', 'age': '19', 'clubName': 'FC Lorient', 'clubID': '1158', 'value': '€1.00m'}, {'date': 'May 24, 2011', 'age': '20', 'clubName': 'FC Lorient', 'clubID': '1158', 'value': '€1.30m'}, {'date': 'Feb 6, 2012', 'age': '20', 'clubName': 'Arsenal FC', 'clubID': '11', 'value': '€3.00m'}, {'date': 'Jun 24, 2012', 'age': '21', 'clubName': 'Arsenal FC', 'clubID': '11', 'value': '€3.00m'}, {'date': 'Jan 28, 2013', 'age': '21', 'clubName': 'Arsenal FC', 'clubID': '11', 'value': '€4.00m'}, {'date': 'Jul 2, 2013', 'age': '22', 'clubName': 'Arsenal FC', 'clubID': '11', 'value': '€4.00m'}, {'date': 'Feb 12, 2014', 'age': '22', 'clubName': 'SC Freiburg', 'clubID': '60', 'value': '€3.00m'}, {'date': 'Aug 12, 2014', 'age': '23', 'clubName': 'Arsenal FC', 'clubID': '11', 'value': '€3.00m'}, {'date': 'Feb 12, 2015', 'age': '23', 'clubName': 'Arsenal FC', 'clubID': '11', 'value': '€4.50m'}, {'date': 'Jul 1, 2015', 'age': '24', 'clubName': 'Arsenal FC', 'clubID': '11', 'value': '€7.00m'}, {'date': 'Feb 9, 2016', 'age': '24', 'clubName': 'Arsenal FC', 'clubID': '11', 'value': '€12.00m'}, {'date': 'Aug 1, 2016', 'age': '25', 'clubName': 'Arsenal FC', 'clubID': '11', 'value': '€13.00m'}, {'date': 'Feb 20, 2017', 'age': '25', 'clubName': 'Arsenal FC', 'clubID': '11', 'value': '€15.00m'}, {'date': 'Jun 28, 2017', 'age': '26', 'clubName': 'Arsenal FC', 'clubID': '11', 'value': '€15.00m'}, {'date': 'Jan 2, 2018', 'age': '26', 'clubName': 'Arsenal FC', 'clubID': '11', 'value': '€12.00m'}, {'date': 'May 30, 2018', 'age': '27', 'clubName': 'Valencia CF', 'clubID': '1049', 'value': '€12.00m'}, {'date': 'Dec 21, 2018', 'age': '27', 'clubName': 'Valencia CF', 'clubID': '1049', 'value': '€15.00m'}, {'date': 'Jun 11, 2019', 'age': '28', 'clubName': 'Valencia CF', 'clubID': '1049', 'value': '€17.50m'}, {'date': 'Sep 10, 2019', 'age': '28', 'clubName': 'Valencia CF', 'clubID': '1049', 'value': '€20.00m'}, {'date': 'Dec 20, 2019', 'age': '28', 'clubName': 'Valencia CF', 'clubID': '1049', 'value': '€24.00m'}, {'date': 'Apr 8, 2020', 'age': '28', 'clubName': 'Valencia CF', 'clubID': '1049', 'value': '€19.00m'}, {'date': 'Jul 23, 2020', 'age': '29', 'clubName': 'Valencia CF', 'clubID': '1049', 'value': '€14.00m'}, {'date': 'Oct 8, 2020', 'age': '29', 'clubName': 'Villarreal CF', 'clubID': '1050', 'value': '€8.00m'}, {'date': 'Jan 5, 2021', 'age': '29', 'clubName': 'Villarreal CF', 'clubID': '1050', 'value': '€6.00m'}, {'date': 'Jun 10, 2021', 'age': '30', 'clubName': 'Villarreal CF', 'clubID': '1050', 'value': '€5.00m'}, {'date': 'Dec 30, 2021', 'age': '30', 'clubName': 'Villarreal CF', 'clubID': '1050', 'value': '€5.00m'}, {'date': 'Jun 3, 2022', 'age': '31', 'clubName': 'Villarreal CF', 'clubID': '1050', 'value': '€5.00m'}, {'date': 'Nov 7, 2022', 'age': '31', 'clubName': 'Villarreal CF', 'clubID': '1050', 'value': '€5.00m'}, {'date': 'Jun 13, 2023', 'age': '32', 'clubName': 'Villarreal CF', 'clubID': '1050', 'value': '€3.00m'}, {'date': 'Oct 13, 2023', 'age': '32', 'clubName': 'Villarreal CF', 'clubID': '1050', 'value': '€2.50m'}, {'date': 'Dec 22, 2023', 'age': '32', 'clubName': 'Villarreal CF', 'clubID': '1050', 'value': '€2.00m'}, {'date': 'Jun 7, 2024', 'age': '33', 'clubName': 'Villarreal CF', 'clubID': '1050', 'value': '€1.50m'}, {'date': 'Oct 16, 2024', 'age': '33', 'clubName': 'Without Club', 'clubID': '515', 'value': '€1.00m'}, {'date': 'Jun 3, 2025', 'age': '34', 'clubName': 'FC Nantes', 'clubID': '995', 'value': '€900k'}, {'date': 'Dec 15, 2025', 'age': '34', 'clubName': 'FC Nantes', 'clubID': '995', 'value': '€800k'}]}</t>
  </si>
  <si>
    <t>1991-05-13</t>
  </si>
  <si>
    <t>Mata</t>
  </si>
  <si>
    <t>{'marketValueHistory': [{'date': '26/10/2006', 'age': '18', 'clubName': 'Real Madrid Castilla', 'clubID': '6767', 'value': '€50k'}, {'date': '24/06/2007', 'age': '19', 'clubName': 'Real Madrid Castilla', 'clubID': '6767', 'value': '€1.10m'}, {'date': '24/08/2007', 'age': '19', 'clubName': 'Valencia CF', 'clubID': '1049', 'value': '€1.00m'}, {'date': '04/02/2008', 'age': '19', 'clubName': 'Valencia CF', 'clubID': '1049', 'value': '€1.20m'}, {'date': '19/03/2008', 'age': '19', 'clubName': 'Valencia CF', 'clubID': '1049', 'value': '€2.00m'}, {'date': '04/04/2008', 'age': '19', 'clubName': 'Valencia CF', 'clubID': '1049', 'value': '€3.00m'}, {'date': '20/04/2008', 'age': '19', 'clubName': 'Valencia CF', 'clubID': '1049', 'value': '€4.60m'}, {'date': '17/07/2008', 'age': '20', 'clubName': 'Valencia CF', 'clubID': '1049', 'value': '€6.00m'}, {'date': '15/10/2008', 'age': '20', 'clubName': 'Valencia CF', 'clubID': '1049', 'value': '€9.00m'}, {'date': '26/01/2009', 'age': '20', 'clubName': 'Valencia CF', 'clubID': '1049', 'value': '€15.00m'}, {'date': '22/07/2009', 'age': '21', 'clubName': 'Valencia CF', 'clubID': '1049', 'value': '€20.00m'}, {'date': '03/12/2009', 'age': '21', 'clubName': 'Valencia CF', 'clubID': '1049', 'value': '€23.00m'}, {'date': '12/04/2010', 'age': '21', 'clubName': 'Valencia CF', 'clubID': '1049', 'value': '€23.00m'}, {'date': '27/08/2010', 'age': '22', 'clubName': 'Valencia CF', 'clubID': '1049', 'value': '€23.00m'}, {'date': '04/02/2011', 'age': '22', 'clubName': 'Valencia CF', 'clubID': '1049', 'value': '€25.00m'}, {'date': '29/07/2011', 'age': '23', 'clubName': 'Valencia CF', 'clubID': '1049', 'value': '€26.00m'}, {'date': '06/02/2012', 'age': '23', 'clubName': 'Chelsea FC', 'clubID': '631', 'value': '€34.00m'}, {'date': '24/06/2012', 'age': '24', 'clubName': 'Chelsea FC', 'clubID': '631', 'value': '€38.00m'}, {'date': '28/01/2013', 'age': '24', 'clubName': 'Chelsea FC', 'clubID': '631', 'value': '€42.00m'}, {'date': '02/07/2013', 'age': '25', 'clubName': 'Chelsea FC', 'clubID': '631', 'value': '€45.00m'}, {'date': '15/01/2014', 'age': '25', 'clubName': 'Chelsea FC', 'clubID': '631', 'value': '€38.00m'}, {'date': '05/02/2014', 'age': '25', 'clubName': 'Manchester United', 'clubID': '985', 'value': '€40.00m'}, {'date': '12/08/2014', 'age': '26', 'clubName': 'Manchester United', 'clubID': '985', 'value': '€40.00m'}, {'date': '12/02/2015', 'age': '26', 'clubName': 'Manchester United', 'clubID': '985', 'value': '€34.00m'}, {'date': '01/07/2015', 'age': '27', 'clubName': 'Manchester United', 'clubID': '985', 'value': '€34.00m'}, {'date': '09/02/2016', 'age': '27', 'clubName': 'Manchester United', 'clubID': '985', 'value': '€34.00m'}, {'date': '01/08/2016', 'age': '28', 'clubName': 'Manchester United', 'clubID': '985', 'value': '€31.00m'}, {'date': '20/02/2017', 'age': '28', 'clubName': 'Manchester United', 'clubID': '985', 'value': '€31.00m'}, {'date': '28/06/2017', 'age': '29', 'clubName': 'Manchester United', 'clubID': '985', 'value': '€30.00m'}, {'date': '02/01/2018', 'age': '29', 'clubName': 'Manchester United', 'clubID': '985', 'value': '€30.00m'}, {'date': '28/05/2018', 'age': '30', 'clubName': 'Manchester United', 'clubID': '985', 'value': '€30.00m'}, {'date': '19/12/2018', 'age': '30', 'clubName': 'Manchester United', 'clubID': '985', 'value': '€25.00m'}, {'date': '13/06/2019', 'age': '31', 'clubName': 'Manchester United', 'clubID': '985', 'value': '€20.00m'}, {'date': '10/12/2019', 'age': '31', 'clubName': 'Manchester United', 'clubID': '985', 'value': '€15.00m'}, {'date': '09/03/2020', 'age': '31', 'clubName': 'Manchester United', 'clubID': '985', 'value': '€12.00m'}, {'date': '08/04/2020', 'age': '31', 'clubName': 'Manchester United', 'clubID': '985', 'value': '€9.50m'}, {'date': '13/10/2020', 'age': '32', 'clubName': 'Manchester United', 'clubID': '985', 'value': '€7.50m'}, {'date': '18/03/2021', 'age': '32', 'clubName': 'Manchester United', 'clubID': '985', 'value': '€6.00m'}, {'date': '08/06/2021', 'age': '33', 'clubName': 'Manchester United', 'clubID': '985', 'value': '€4.00m'}, {'date': '23/12/2021', 'age': '33', 'clubName': 'Manchester United', 'clubID': '985', 'value': '€3.00m'}, {'date': '15/06/2022', 'age': '34', 'clubName': 'Manchester United', 'clubID': '985', 'value': '€2.50m'}, {'date': '27/10/2022', 'age': '34', 'clubName': 'Galatasaray', 'clubID': '141', 'value': '€1.80m'}, {'date': '14/03/2023', 'age': '34', 'clubName': 'Galatasaray', 'clubID': '141', 'value': '€1.50m'}, {'date': '08/06/2023', 'age': '35', 'clubName': 'Galatasaray', 'clubID': '141', 'value': '€1.00m'}, {'date': '28/02/2024', 'age': '35', 'clubName': 'Without Club', 'clubID': '515', 'value': '€800k'}, {'date': '09/09/2024', 'age': '36', 'clubName': 'Western Sydney Wanderers', 'clubID': '36100', 'value': '€700k'}, {'date': '09/01/2025', 'age': '36', 'clubName': 'Western Sydney Wanderers', 'clubID': '36100', 'value': '€500k'}, {'date': '03/06/2025', 'age': '37', 'clubName': 'Western Sydney Wanderers', 'clubID': '36100', 'value': '€400k'}, {'date': '13/01/2026', 'age': '37', 'clubName': 'Melbourne Victory', 'clubID': '7006', 'value': '€375k'}]}</t>
  </si>
  <si>
    <t>1988-04-28</t>
  </si>
  <si>
    <t>Soares</t>
  </si>
  <si>
    <t>{'marketValueHistory': [{'date': 'Aug 17, 2017', 'age': '19', 'clubName': 'Girona FC', 'clubID': '12321', 'value': '€6.00m'}, {'date': 'Jan 1, 2018', 'age': '19', 'clubName': 'Girona FC', 'clubID': '12321', 'value': '€5.00m'}, {'date': 'Mar 22, 2018', 'age': '19', 'clubName': 'Girona FC', 'clubID': '12321', 'value': '€3.00m'}, {'date': 'May 30, 2018', 'age': '20', 'clubName': 'Girona FC', 'clubID': '12321', 'value': '€1.50m'}, {'date': 'Oct 31, 2018', 'age': '20', 'clubName': 'Girona FC', 'clubID': '12321', 'value': '€2.50m'}, {'date': 'Dec 21, 2018', 'age': '20', 'clubName': 'Girona FC', 'clubID': '12321', 'value': '€2.50m'}, {'date': 'Jun 11, 2019', 'age': '21', 'clubName': 'Girona FC', 'clubID': '12321', 'value': '€2.50m'}, {'date': 'Sep 12, 2019', 'age': '21', 'clubName': 'Aston Villa', 'clubID': '405', 'value': '€10.00m'}, {'date': 'Dec 10, 2019', 'age': '21', 'clubName': 'Aston Villa', 'clubID': '405', 'value': '€20.00m'}, {'date': 'Apr 8, 2020', 'age': '21', 'clubName': 'Aston Villa', 'clubID': '405', 'value': '€18.00m'}, {'date': 'Jul 30, 2020', 'age': '22', 'clubName': 'Aston Villa', 'clubID': '405', 'value': '€22.00m'}, {'date': 'Oct 13, 2020', 'age': '22', 'clubName': 'Aston Villa', 'clubID': '405', 'value': '€27.00m'}, {'date': 'Mar 18, 2021', 'age': '22', 'clubName': 'Aston Villa', 'clubID': '405', 'value': '€35.00m'}, {'date': 'Jun 8, 2021', 'age': '23', 'clubName': 'Aston Villa', 'clubID': '405', 'value': '€35.00m'}, {'date': 'Dec 23, 2021', 'age': '23', 'clubName': 'Aston Villa', 'clubID': '405', 'value': '€35.00m'}, {'date': 'Jun 15, 2022', 'age': '24', 'clubName': 'Aston Villa', 'clubID': '405', 'value': '€38.00m'}, {'date': 'Sep 15, 2022', 'age': '24', 'clubName': 'Aston Villa', 'clubID': '405', 'value': '€35.00m'}, {'date': 'Nov 3, 2022', 'age': '24', 'clubName': 'Aston Villa', 'clubID': '405', 'value': '€35.00m'}, {'date': 'Jun 20, 2023', 'age': '25', 'clubName': 'Aston Villa', 'clubID': '405', 'value': '€40.00m'}, {'date': 'Oct 9, 2023', 'age': '25', 'clubName': 'Aston Villa', 'clubID': '405', 'value': '€55.00m'}, {'date': 'Dec 19, 2023', 'age': '25', 'clubName': 'Aston Villa', 'clubID': '405', 'value': '€60.00m'}, {'date': 'Mar 14, 2024', 'age': '25', 'clubName': 'Aston Villa', 'clubID': '405', 'value': '€70.00m'}, {'date': 'May 27, 2024', 'age': '26', 'clubName': 'Aston Villa', 'clubID': '405', 'value': '€70.00m'}, {'date': 'Oct 18, 2024', 'age': '26', 'clubName': 'Juventus FC', 'clubID': '506', 'value': '€55.00m'}, {'date': 'Dec 18, 2024', 'age': '26', 'clubName': 'Juventus FC', 'clubID': '506', 'value': '€45.00m'}, {'date': 'Mar 25, 2025', 'age': '26', 'clubName': 'Juventus FC', 'clubID': '506', 'value': '€38.00m'}, {'date': 'Jun 17, 2025', 'age': '27', 'clubName': 'Juventus FC', 'clubID': '506', 'value': '€30.00m'}, {'date': 'Dec 9, 2025', 'age': '27', 'clubName': 'Nottingham Forest', 'clubID': '703', 'value': '€25.00m'}, {'date': 'Mar 9, 2026', 'age': '27', 'clubName': 'Aston Villa', 'clubID': '405', 'value': '€20.00m'}]}</t>
  </si>
  <si>
    <t>1998-05-09</t>
  </si>
  <si>
    <t>Ad. Szalai</t>
  </si>
  <si>
    <t>{'marketValueHistory': [{'date': '30/09/2006', 'age': '18', 'clubName': 'VfB Stuttgart II', 'clubID': '102', 'value': '€150k'}, {'date': '12/07/2007', 'age': '19', 'clubName': 'VfB Stuttgart II', 'clubID': '102', 'value': '€100k'}, {'date': '12/08/2007', 'age': '19', 'clubName': 'Real Madrid Castilla', 'clubID': '6767', 'value': '€500k'}, {'date': '20/11/2007', 'age': '19', 'clubName': 'Real Madrid Castilla', 'clubID': '6767', 'value': '€300k'}, {'date': '03/12/2009', 'age': '21', 'clubName': 'Real Madrid Castilla', 'clubID': '6767', 'value': '€2.00m'}, {'date': '29/08/2010', 'age': '22', 'clubName': '1.FSV Mainz 05', 'clubID': '39', 'value': '€1.50m'}, {'date': '28/09/2010', 'age': '22', 'clubName': '1.FSV Mainz 05', 'clubID': '39', 'value': '€2.00m'}, {'date': '18/10/2010', 'age': '22', 'clubName': '1.FSV Mainz 05', 'clubID': '39', 'value': '€3.00m'}, {'date': '12/01/2011', 'age': '23', 'clubName': '1.FSV Mainz 05', 'clubID': '39', 'value': '€3.00m'}, {'date': '29/06/2011', 'age': '23', 'clubName': '1.FSV Mainz 05', 'clubID': '39', 'value': '€3.00m'}, {'date': '23/01/2012', 'age': '24', 'clubName': '1.FSV Mainz 05', 'clubID': '39', 'value': '€2.50m'}, {'date': '29/06/2012', 'age': '24', 'clubName': '1.FSV Mainz 05', 'clubID': '39', 'value': '€3.00m'}, {'date': '13/01/2013', 'age': '25', 'clubName': '1.FSV Mainz 05', 'clubID': '39', 'value': '€7.00m'}, {'date': '30/06/2013', 'age': '25', 'clubName': '1.FSV Mainz 05', 'clubID': '39', 'value': '€7.00m'}, {'date': '10/07/2014', 'age': '26', 'clubName': 'TSG 1899 Hoffenheim', 'clubID': '533', 'value': '€6.00m'}, {'date': '04/02/2015', 'age': '27', 'clubName': 'TSG 1899 Hoffenheim', 'clubID': '533', 'value': '€6.00m'}, {'date': '01/07/2015', 'age': '27', 'clubName': 'TSG 1899 Hoffenheim', 'clubID': '533', 'value': '€4.50m'}, {'date': '16/10/2015', 'age': '27', 'clubName': 'TSG 1899 Hoffenheim', 'clubID': '533', 'value': '€3.00m'}, {'date': '15/02/2016', 'age': '28', 'clubName': 'Hannover 96', 'clubID': '42', 'value': '€2.50m'}, {'date': '01/06/2016', 'age': '28', 'clubName': 'Hannover 96', 'clubID': '42', 'value': '€1.50m'}, {'date': '22/07/2016', 'age': '28', 'clubName': 'TSG 1899 Hoffenheim', 'clubID': '533', 'value': '€1.50m'}, {'date': '07/02/2017', 'age': '29', 'clubName': 'TSG 1899 Hoffenheim', 'clubID': '533', 'value': '€1.00m'}, {'date': '22/03/2017', 'age': '29', 'clubName': 'TSG 1899 Hoffenheim', 'clubID': '533', 'value': '€1.50m'}, {'date': '19/06/2017', 'age': '29', 'clubName': 'TSG 1899 Hoffenheim', 'clubID': '533', 'value': '€2.00m'}, {'date': '28/12/2017', 'age': '30', 'clubName': 'TSG 1899 Hoffenheim', 'clubID': '533', 'value': '€2.00m'}, {'date': '05/06/2018', 'age': '30', 'clubName': 'TSG 1899 Hoffenheim', 'clubID': '533', 'value': '€3.00m'}, {'date': '18/12/2018', 'age': '31', 'clubName': 'TSG 1899 Hoffenheim', 'clubID': '533', 'value': '€3.50m'}, {'date': '05/06/2019', 'age': '31', 'clubName': 'TSG 1899 Hoffenheim', 'clubID': '533', 'value': '€3.00m'}, {'date': '17/12/2019', 'age': '32', 'clubName': '1.FSV Mainz 05', 'clubID': '39', 'value': '€2.00m'}, {'date': '08/04/2020', 'age': '32', 'clubName': '1.FSV Mainz 05', 'clubID': '39', 'value': '€1.60m'}, {'date': '16/09/2020', 'age': '32', 'clubName': '1.FSV Mainz 05', 'clubID': '39', 'value': '€1.00m'}, {'date': '26/11/2020', 'age': '32', 'clubName': '1.FSV Mainz 05', 'clubID': '39', 'value': '€750k'}, {'date': '10/02/2021', 'age': '33', 'clubName': '1.FSV Mainz 05', 'clubID': '39', 'value': '€750k'}, {'date': '01/06/2021', 'age': '33', 'clubName': '1.FSV Mainz 05', 'clubID': '39', 'value': '€750k'}, {'date': '09/06/2021', 'age': '33', 'clubName': '1.FSV Mainz 05', 'clubID': '39', 'value': '€400k'}, {'date': '07/10/2021', 'age': '33', 'clubName': '1.FSV Mainz 05', 'clubID': '39', 'value': '€800k'}, {'date': '22/12/2021', 'age': '34', 'clubName': '1.FSV Mainz 05', 'clubID': '39', 'value': '€800k'}, {'date': '08/06/2022', 'age': '34', 'clubName': 'FC Basel 1893', 'clubID': '26', 'value': '€500k'}, {'date': '10/11/2022', 'age': '34', 'clubName': 'FC Basel 1893', 'clubID': '26', 'value': '€300k'}, {'date': '28/03/2023', 'age': '35', 'clubName': 'Without Club', 'clubID': '515', 'value': '€200k'}, {'date': '19/06/2023', 'age': '35', 'clubName': 'Retired', 'clubID': '123', 'value': '-'}]}</t>
  </si>
  <si>
    <t>Hungary</t>
  </si>
  <si>
    <t>1987-12-09</t>
  </si>
  <si>
    <t>Rugani</t>
  </si>
  <si>
    <t>{'marketValueHistory': [{'date': 'Nov 1, 2011', 'age': '17', 'clubName': 'Empoli Primavera', 'clubID': '749', 'value': '€100k'}, {'date': 'Mar 3, 2012', 'age': '17', 'clubName': 'Empoli Primavera', 'clubID': '749', 'value': '€200k'}, {'date': 'Jun 6, 2013', 'age': '18', 'clubName': 'Juventus Primavera', 'clubID': '506', 'value': '€200k'}, {'date': 'Jan 29, 2014', 'age': '19', 'clubName': 'FC Empoli', 'clubID': '749', 'value': '€1.50m'}, {'date': 'Jul 15, 2014', 'age': '19', 'clubName': 'FC Empoli', 'clubID': '749', 'value': '€3.00m'}, {'date': 'Nov 8, 2014', 'age': '20', 'clubName': 'FC Empoli', 'clubID': '749', 'value': '€5.00m'}, {'date': 'Jan 7, 2015', 'age': '20', 'clubName': 'FC Empoli', 'clubID': '749', 'value': '€7.50m'}, {'date': 'Jul 1, 2015', 'age': '20', 'clubName': 'Juventus FC', 'clubID': '506', 'value': '€10.00m'}, {'date': 'Jan 4, 2016', 'age': '21', 'clubName': 'Juventus FC', 'clubID': '506', 'value': '€10.00m'}, {'date': 'Jul 15, 2016', 'age': '21', 'clubName': 'Juventus FC', 'clubID': '506', 'value': '€13.00m'}, {'date': 'Jan 2, 2017', 'age': '22', 'clubName': 'Juventus FC', 'clubID': '506', 'value': '€17.00m'}, {'date': 'Jun 8, 2017', 'age': '22', 'clubName': 'Juventus FC', 'clubID': '506', 'value': '€17.00m'}, {'date': 'Dec 29, 2017', 'age': '23', 'clubName': 'Juventus FC', 'clubID': '506', 'value': '€20.00m'}, {'date': 'Jun 7, 2018', 'age': '23', 'clubName': 'Juventus FC', 'clubID': '506', 'value': '€22.00m'}, {'date': 'Dec 20, 2018', 'age': '24', 'clubName': 'Juventus FC', 'clubID': '506', 'value': '€22.00m'}, {'date': 'Jun 6, 2019', 'age': '24', 'clubName': 'Juventus FC', 'clubID': '506', 'value': '€22.00m'}, {'date': 'Dec 12, 2019', 'age': '25', 'clubName': 'Juventus FC', 'clubID': '506', 'value': '€19.00m'}, {'date': 'Mar 3, 2020', 'age': '25', 'clubName': 'Juventus FC', 'clubID': '506', 'value': '€15.00m'}, {'date': 'Apr 8, 2020', 'age': '25', 'clubName': 'Juventus FC', 'clubID': '506', 'value': '€12.00m'}, {'date': 'Aug 25, 2020', 'age': '26', 'clubName': 'Juventus FC', 'clubID': '506', 'value': '€12.00m'}, {'date': 'Oct 15, 2020', 'age': '26', 'clubName': 'Stade Rennais FC', 'clubID': '273', 'value': '€12.00m'}, {'date': 'Jan 7, 2021', 'age': '26', 'clubName': 'Stade Rennais FC', 'clubID': '273', 'value': '€10.00m'}, {'date': 'Jun 3, 2021', 'age': '26', 'clubName': 'Cagliari Calcio', 'clubID': '1390', 'value': '€5.00m'}, {'date': 'Dec 28, 2021', 'age': '27', 'clubName': 'Juventus FC', 'clubID': '506', 'value': '€3.50m'}, {'date': 'Jun 7, 2022', 'age': '27', 'clubName': 'Juventus FC', 'clubID': '506', 'value': '€3.50m'}, {'date': 'Nov 11, 2022', 'age': '28', 'clubName': 'Juventus FC', 'clubID': '506', 'value': '€2.50m'}, {'date': 'Jun 15, 2023', 'age': '28', 'clubName': 'Juventus FC', 'clubID': '506', 'value': '€2.00m'}, {'date': 'Dec 20, 2023', 'age': '29', 'clubName': 'Juventus FC', 'clubID': '506', 'value': '€4.00m'}, {'date': 'Jun 5, 2024', 'age': '29', 'clubName': 'Juventus FC', 'clubID': '506', 'value': '€4.00m'}, {'date': 'Dec 17, 2024', 'age': '30', 'clubName': 'Ajax Amsterdam', 'clubID': '610', 'value': '€3.50m'}, {'date': 'May 28, 2025', 'age': '30', 'clubName': 'Ajax Amsterdam', 'clubID': '610', 'value': '€3.00m'}, {'date': 'Oct 7, 2025', 'age': '31', 'clubName': 'Juventus FC', 'clubID': '506', 'value': '€2.00m'}, {'date': 'Dec 23, 2025', 'age': '31', 'clubName': 'Juventus FC', 'clubID': '506', 'value': '€2.00m'}]}</t>
  </si>
  <si>
    <t>1994-07-29</t>
  </si>
  <si>
    <t>Rits</t>
  </si>
  <si>
    <t>{'marketValueHistory': [{'date': '23/10/2008', 'age': '19', 'clubName': 'Ajax Amsterdam U21', 'clubID': '41580', 'value': '€50k'}, {'date': '05/02/2009', 'age': '19', 'clubName': 'Ajax Amsterdam', 'clubID': '610', 'value': '€250k'}, {'date': '22/05/2009', 'age': '20', 'clubName': 'Ajax Amsterdam', 'clubID': '610', 'value': '€450k'}, {'date': '08/09/2009', 'age': '20', 'clubName': 'Ajax Amsterdam', 'clubID': '610', 'value': '€1.50m'}, {'date': '30/12/2009', 'age': '20', 'clubName': 'Ajax Amsterdam', 'clubID': '610', 'value': '€2.50m'}, {'date': '01/08/2010', 'age': '21', 'clubName': 'Ajax Amsterdam', 'clubID': '610', 'value': '€5.00m'}, {'date': '15/06/2011', 'age': '22', 'clubName': 'Ajax Amsterdam', 'clubID': '610', 'value': '€7.00m'}, {'date': '05/01/2012', 'age': '22', 'clubName': 'Ajax Amsterdam', 'clubID': '610', 'value': '€8.00m'}, {'date': '30/06/2012', 'age': '23', 'clubName': 'Ajax Amsterdam', 'clubID': '610', 'value': '€10.00m'}, {'date': '28/05/2013', 'age': '24', 'clubName': 'Ajax Amsterdam', 'clubID': '610', 'value': '€10.00m'}, {'date': '17/09/2013', 'age': '24', 'clubName': 'Atlético de Madrid', 'clubID': '13', 'value': '€10.00m'}, {'date': '23/01/2014', 'age': '24', 'clubName': 'Atlético de Madrid', 'clubID': '13', 'value': '€10.00m'}, {'date': '20/07/2014', 'age': '25', 'clubName': 'Atlético de Madrid', 'clubID': '13', 'value': '€10.00m'}, {'date': '12/02/2015', 'age': '25', 'clubName': 'Southampton FC', 'clubID': '180', 'value': '€11.00m'}, {'date': '01/07/2015', 'age': '26', 'clubName': 'Atlético de Madrid', 'clubID': '13', 'value': '€15.00m'}, {'date': '09/02/2016', 'age': '26', 'clubName': 'Tottenham Hotspur', 'clubID': '148', 'value': '€22.00m'}, {'date': '01/06/2016', 'age': '27', 'clubName': 'Tottenham Hotspur', 'clubID': '148', 'value': '€27.00m'}, {'date': '01/08/2016', 'age': '27', 'clubName': 'Tottenham Hotspur', 'clubID': '148', 'value': '€27.00m'}, {'date': '20/02/2017', 'age': '27', 'clubName': 'Tottenham Hotspur', 'clubID': '148', 'value': '€30.00m'}, {'date': '28/06/2017', 'age': '28', 'clubName': 'Tottenham Hotspur', 'clubID': '148', 'value': '€35.00m'}, {'date': '02/01/2018', 'age': '28', 'clubName': 'Tottenham Hotspur', 'clubID': '148', 'value': '€35.00m'}, {'date': '23/03/2018', 'age': '29', 'clubName': 'Tottenham Hotspur', 'clubID': '148', 'value': '€40.00m'}, {'date': '28/05/2018', 'age': '29', 'clubName': 'Tottenham Hotspur', 'clubID': '148', 'value': '€40.00m'}, {'date': '19/12/2018', 'age': '29', 'clubName': 'Tottenham Hotspur', 'clubID': '148', 'value': '€40.00m'}, {'date': '13/06/2019', 'age': '30', 'clubName': 'Tottenham Hotspur', 'clubID': '148', 'value': '€40.00m'}, {'date': '10/12/2019', 'age': '30', 'clubName': 'Tottenham Hotspur', 'clubID': '148', 'value': '€35.00m'}, {'date': '09/03/2020', 'age': '31', 'clubName': 'Tottenham Hotspur', 'clubID': '148', 'value': '€30.00m'}, {'date': '08/04/2020', 'age': '31', 'clubName': 'Tottenham Hotspur', 'clubID': '148', 'value': '€24.00m'}, {'date': '13/10/2020', 'age': '31', 'clubName': 'Tottenham Hotspur', 'clubID': '148', 'value': '€20.00m'}, {'date': '18/03/2021', 'age': '32', 'clubName': 'Tottenham Hotspur', 'clubID': '148', 'value': '€15.00m'}, {'date': '26/05/2021', 'age': '32', 'clubName': 'Tottenham Hotspur', 'clubID': '148', 'value': '€11.00m'}, {'date': '13/08/2021', 'age': '32', 'clubName': 'Al-Duhail SC', 'clubID': '26091', 'value': '€10.00m'}, {'date': '10/01/2022', 'age': '32', 'clubName': 'Al-Duhail SC', 'clubID': '26091', 'value': '€8.00m'}, {'date': '25/05/2022', 'age': '33', 'clubName': 'Al-Duhail SC', 'clubID': '26091', 'value': '€7.00m'}, {'date': '07/09/2022', 'age': '33', 'clubName': 'Royal Antwerp FC', 'clubID': '1096', 'value': '€5.00m'}, {'date': '04/11/2022', 'age': '33', 'clubName': 'Royal Antwerp FC', 'clubID': '1096', 'value': '€4.00m'}, {'date': '09/06/2023', 'age': '34', 'clubName': 'Royal Antwerp FC', 'clubID': '1096', 'value': '€3.50m'}, {'date': '19/12/2023', 'age': '34', 'clubName': 'Royal Antwerp FC', 'clubID': '1096', 'value': '€3.00m'}, {'date': '04/06/2024', 'age': '35', 'clubName': 'Royal Antwerp FC', 'clubID': '1096', 'value': '€2.80m'}, {'date': '11/12/2024', 'age': '35', 'clubName': 'Royal Antwerp FC', 'clubID': '1096', 'value': '€2.20m'}, {'date': '12/06/2025', 'age': '36', 'clubName': 'Royal Antwerp FC', 'clubID': '1096', 'value': '€2.00m'}, {'date': '01/07/2025', 'age': '36', 'clubName': 'Retired', 'clubID': '123', 'value': '-'}]}</t>
  </si>
  <si>
    <t>1989-03-02</t>
  </si>
  <si>
    <t>McTominay</t>
  </si>
  <si>
    <t>{'marketValueHistory': [{'date': 'Jan 2, 2018', 'age': '21', 'clubName': 'Manchester United', 'clubID': '985', 'value': '€1.00m'}, {'date': 'Mar 23, 2018', 'age': '21', 'clubName': 'Manchester United', 'clubID': '985', 'value': '€7.00m'}, {'date': 'May 28, 2018', 'age': '21', 'clubName': 'Manchester United', 'clubID': '985', 'value': '€7.00m'}, {'date': 'Dec 19, 2018', 'age': '22', 'clubName': 'Manchester United', 'clubID': '985', 'value': '€7.00m'}, {'date': 'Jun 13, 2019', 'age': '22', 'clubName': 'Manchester United', 'clubID': '985', 'value': '€12.00m'}, {'date': 'Sep 12, 2019', 'age': '22', 'clubName': 'Manchester United', 'clubID': '985', 'value': '€20.00m'}, {'date': 'Dec 10, 2019', 'age': '23', 'clubName': 'Manchester United', 'clubID': '985', 'value': '€28.00m'}, {'date': 'Apr 8, 2020', 'age': '23', 'clubName': 'Manchester United', 'clubID': '985', 'value': '€22.50m'}, {'date': 'Oct 13, 2020', 'age': '23', 'clubName': 'Manchester United', 'clubID': '985', 'value': '€22.50m'}, {'date': 'Dec 17, 2020', 'age': '24', 'clubName': 'Manchester United', 'clubID': '985', 'value': '€25.00m'}, {'date': 'Mar 18, 2021', 'age': '24', 'clubName': 'Manchester United', 'clubID': '985', 'value': '€30.00m'}, {'date': 'May 28, 2021', 'age': '24', 'clubName': 'Manchester United', 'clubID': '985', 'value': '€35.00m'}, {'date': 'Dec 23, 2021', 'age': '25', 'clubName': 'Manchester United', 'clubID': '985', 'value': '€35.00m'}, {'date': 'Jun 15, 2022', 'age': '25', 'clubName': 'Manchester United', 'clubID': '985', 'value': '€32.00m'}, {'date': 'Nov 3, 2022', 'age': '25', 'clubName': 'Manchester United', 'clubID': '985', 'value': '€30.00m'}, {'date': 'Mar 16, 2023', 'age': '26', 'clubName': 'Manchester United', 'clubID': '985', 'value': '€25.00m'}, {'date': 'Jun 20, 2023', 'age': '26', 'clubName': 'Manchester United', 'clubID': '985', 'value': '€25.00m'}, {'date': 'Dec 19, 2023', 'age': '27', 'clubName': 'Manchester United', 'clubID': '985', 'value': '€28.00m'}, {'date': 'Mar 14, 2024', 'age': '27', 'clubName': 'Manchester United', 'clubID': '985', 'value': '€32.00m'}, {'date': 'May 27, 2024', 'age': '27', 'clubName': 'Manchester United', 'clubID': '985', 'value': '€32.00m'}, {'date': 'Dec 18, 2024', 'age': '28', 'clubName': 'SSC Napoli', 'clubID': '6195', 'value': '€40.00m'}, {'date': 'Jun 17, 2025', 'age': '28', 'clubName': 'SSC Napoli', 'clubID': '6195', 'value': '€50.00m'}, {'date': 'Dec 23, 2025', 'age': '29', 'clubName': 'SSC Napoli', 'clubID': '6195', 'value': '€45.00m'}]}</t>
  </si>
  <si>
    <t>1996-12-08</t>
  </si>
  <si>
    <t>Bijol</t>
  </si>
  <si>
    <t>{'marketValueHistory': [{'date': '16/07/2017', 'age': '18', 'clubName': 'NK Rudar Velenje', 'clubID': '789', 'value': '€100k'}, {'date': '21/02/2018', 'age': '19', 'clubName': 'NK Rudar Velenje', 'clubID': '789', 'value': '€200k'}, {'date': '01/07/2018', 'age': '19', 'clubName': 'CSKA Moscow', 'clubID': '2410', 'value': '€500k'}, {'date': '15/10/2018', 'age': '19', 'clubName': 'CSKA Moscow', 'clubID': '2410', 'value': '€1.00m'}, {'date': '20/12/2018', 'age': '19', 'clubName': 'CSKA Moscow', 'clubID': '2410', 'value': '€1.80m'}, {'date': '14/06/2019', 'age': '20', 'clubName': 'CSKA Moscow', 'clubID': '2410', 'value': '€2.50m'}, {'date': '23/12/2019', 'age': '20', 'clubName': 'CSKA Moscow', 'clubID': '2410', 'value': '€2.80m'}, {'date': '08/04/2020', 'age': '21', 'clubName': 'CSKA Moscow', 'clubID': '2410', 'value': '€2.50m'}, {'date': '29/07/2020', 'age': '21', 'clubName': 'CSKA Moscow', 'clubID': '2410', 'value': '€2.50m'}, {'date': '08/02/2021', 'age': '22', 'clubName': 'Hannover 96', 'clubID': '42', 'value': '€2.50m'}, {'date': '16/06/2021', 'age': '22', 'clubName': 'Hannover 96', 'clubID': '42', 'value': '€2.50m'}, {'date': '29/12/2021', 'age': '22', 'clubName': 'CSKA Moscow', 'clubID': '2410', 'value': '€3.50m'}, {'date': '02/06/2022', 'age': '23', 'clubName': 'CSKA Moscow', 'clubID': '2410', 'value': '€3.50m'}, {'date': '11/11/2022', 'age': '23', 'clubName': 'Udinese Calcio', 'clubID': '410', 'value': '€10.00m'}, {'date': '15/06/2023', 'age': '24', 'clubName': 'Udinese Calcio', 'clubID': '410', 'value': '€10.00m'}, {'date': '20/12/2023', 'age': '24', 'clubName': 'Udinese Calcio', 'clubID': '410', 'value': '€10.00m'}, {'date': '05/06/2024', 'age': '25', 'clubName': 'Udinese Calcio', 'clubID': '410', 'value': '€10.00m'}, {'date': '18/07/2024', 'age': '25', 'clubName': 'Udinese Calcio', 'clubID': '410', 'value': '€15.00m'}, {'date': '18/12/2024', 'age': '25', 'clubName': 'Udinese Calcio', 'clubID': '410', 'value': '€18.00m'}, {'date': '17/06/2025', 'age': '26', 'clubName': 'Udinese Calcio', 'clubID': '410', 'value': '€18.00m'}, {'date': '09/12/2025', 'age': '26', 'clubName': 'Leeds United', 'clubID': '399', 'value': '€18.00m'}]}</t>
  </si>
  <si>
    <t>1999-02-05</t>
  </si>
  <si>
    <t>Piccini</t>
  </si>
  <si>
    <t>{'marketValueHistory': [{'date': 'Nov 16, 2010', 'age': '18', 'clubName': 'Unknown', 'clubID': '75', 'value': '€50k'}, {'date': 'Jun 15, 2011', 'age': '18', 'clubName': 'Unknown', 'clubID': '75', 'value': '€300k'}, {'date': 'Dec 9, 2011', 'age': '19', 'clubName': 'Carrarese Calcio 1908', 'clubID': '4159', 'value': '€500k'}, {'date': 'May 13, 2012', 'age': '19', 'clubName': 'Carrarese Calcio 1908', 'clubID': '4159', 'value': '€500k'}, {'date': 'Dec 25, 2012', 'age': '20', 'clubName': 'Spezia Calcio', 'clubID': '3522', 'value': '€600k'}, {'date': 'Jul 5, 2013', 'age': '20', 'clubName': 'ACF Fiorentina', 'clubID': '430', 'value': '€750k'}, {'date': 'Jan 7, 2014', 'age': '21', 'clubName': 'AS Livorno', 'clubID': '1210', 'value': '€700k'}, {'date': 'Jul 1, 2014', 'age': '21', 'clubName': 'ACF Fiorentina', 'clubID': '430', 'value': '€900k'}, {'date': 'Jan 8, 2015', 'age': '22', 'clubName': 'Real Betis Balompié', 'clubID': '150', 'value': '€800k'}, {'date': 'Jul 3, 2015', 'age': '22', 'clubName': 'ACF Fiorentina', 'clubID': '430', 'value': '€700k'}, {'date': 'Feb 22, 2016', 'age': '23', 'clubName': 'Real Betis Balompié', 'clubID': '150', 'value': '€700k'}, {'date': 'Jul 15, 2016', 'age': '23', 'clubName': 'Real Betis Balompié', 'clubID': '150', 'value': '€700k'}, {'date': 'Jan 24, 2017', 'age': '24', 'clubName': 'Real Betis Balompié', 'clubID': '150', 'value': '€3.00m'}, {'date': 'Jun 5, 2017', 'age': '24', 'clubName': 'Real Betis Balompié', 'clubID': '150', 'value': '€3.00m'}, {'date': 'Nov 6, 2017', 'age': '25', 'clubName': 'Sporting CP', 'clubID': '336', 'value': '€4.00m'}, {'date': 'Feb 7, 2018', 'age': '25', 'clubName': 'Sporting CP', 'clubID': '336', 'value': '€6.50m'}, {'date': 'Jun 13, 2018', 'age': '25', 'clubName': 'Sporting CP', 'clubID': '336', 'value': '€7.50m'}, {'date': 'Dec 21, 2018', 'age': '26', 'clubName': 'Valencia CF', 'clubID': '1049', 'value': '€7.50m'}, {'date': 'Jun 11, 2019', 'age': '26', 'clubName': 'Valencia CF', 'clubID': '1049', 'value': '€10.00m'}, {'date': 'Dec 20, 2019', 'age': '27', 'clubName': 'Valencia CF', 'clubID': '1049', 'value': '€7.50m'}, {'date': 'Apr 8, 2020', 'age': '27', 'clubName': 'Valencia CF', 'clubID': '1049', 'value': '€6.00m'}, {'date': 'Oct 29, 2020', 'age': '28', 'clubName': 'Atalanta BC', 'clubID': '800', 'value': '€4.00m'}, {'date': 'Dec 29, 2020', 'age': '28', 'clubName': 'Atalanta BC', 'clubID': '800', 'value': '€2.80m'}, {'date': 'Jun 10, 2021', 'age': '28', 'clubName': 'Valencia CF', 'clubID': '1049', 'value': '€2.20m'}, {'date': 'Oct 13, 2021', 'age': '29', 'clubName': 'Valencia CF', 'clubID': '1049', 'value': '€1.50m'}, {'date': 'Dec 30, 2021', 'age': '29', 'clubName': 'Valencia CF', 'clubID': '1049', 'value': '€1.50m'}, {'date': 'Jun 26, 2022', 'age': '29', 'clubName': 'Red Star Belgrade', 'clubID': '159', 'value': '€1.20m'}, {'date': 'Sep 28, 2022', 'age': '30', 'clubName': '1.FC Magdeburg', 'clubID': '187', 'value': '€800k'}, {'date': 'Nov 30, 2022', 'age': '30', 'clubName': '1.FC Magdeburg', 'clubID': '187', 'value': '€800k'}, {'date': 'Jun 28, 2023', 'age': '30', 'clubName': '1.FC Magdeburg', 'clubID': '187', 'value': '€700k'}, {'date': 'Dec 15, 2023', 'age': '31', 'clubName': '1.FC Magdeburg', 'clubID': '187', 'value': '€750k'}, {'date': 'Jun 3, 2024', 'age': '31', 'clubName': 'UC Sampdoria', 'clubID': '1038', 'value': '€600k'}, {'date': 'Dec 11, 2024', 'age': '32', 'clubName': 'Atlético de San Luis', 'clubID': '40188', 'value': '€500k'}, {'date': 'Jun 10, 2025', 'age': '32', 'clubName': 'Yverdon Sport FC', 'clubID': '322', 'value': '€300k'}, {'date': 'Sep 7, 2025', 'age': '32', 'clubName': 'Retired', 'clubID': '123', 'value': '-'}]}</t>
  </si>
  <si>
    <t>1992-09-26</t>
  </si>
  <si>
    <t>Marcal</t>
  </si>
  <si>
    <t>{'marketValueHistory': [{'date': '21/03/2010', 'age': '21', 'clubName': 'Guaratinguetá (SP)', 'clubID': '15064', 'value': '€50k'}, {'date': '02/02/2012', 'age': '22', 'clubName': 'CD Nacional', 'clubID': '982', 'value': '€200k'}, {'date': '05/07/2012', 'age': '23', 'clubName': 'CD Nacional', 'clubID': '982', 'value': '€1.00m'}, {'date': '03/04/2013', 'age': '24', 'clubName': 'CD Nacional', 'clubID': '982', 'value': '€1.50m'}, {'date': '02/07/2013', 'age': '24', 'clubName': 'CD Nacional', 'clubID': '982', 'value': '€1.80m'}, {'date': '26/02/2014', 'age': '25', 'clubName': 'CD Nacional', 'clubID': '982', 'value': '€2.00m'}, {'date': '25/07/2014', 'age': '25', 'clubName': 'CD Nacional', 'clubID': '982', 'value': '€2.50m'}, {'date': '17/02/2015', 'age': '25', 'clubName': 'CD Nacional', 'clubID': '982', 'value': '€2.50m'}, {'date': '01/07/2015', 'age': '26', 'clubName': 'SL Benfica', 'clubID': '294', 'value': '€2.80m'}, {'date': '18/01/2016', 'age': '26', 'clubName': 'Gaziantepspor', 'clubID': '524', 'value': '€2.60m'}, {'date': '29/07/2016', 'age': '27', 'clubName': 'SL Benfica', 'clubID': '294', 'value': '€2.00m'}, {'date': '16/01/2017', 'age': '27', 'clubName': 'EA Guingamp', 'clubID': '855', 'value': '€3.00m'}, {'date': '01/06/2017', 'age': '28', 'clubName': 'EA Guingamp', 'clubID': '855', 'value': '€3.50m'}, {'date': '24/01/2018', 'age': '28', 'clubName': 'Olympique Lyon', 'clubID': '1041', 'value': '€8.00m'}, {'date': '04/06/2018', 'age': '29', 'clubName': 'Olympique Lyon', 'clubID': '1041', 'value': '€7.00m'}, {'date': '17/12/2018', 'age': '29', 'clubName': 'Olympique Lyon', 'clubID': '1041', 'value': '€7.00m'}, {'date': '07/03/2019', 'age': '30', 'clubName': 'Olympique Lyon', 'clubID': '1041', 'value': '€5.00m'}, {'date': '03/06/2019', 'age': '30', 'clubName': 'Olympique Lyon', 'clubID': '1041', 'value': '€5.00m'}, {'date': '19/12/2019', 'age': '30', 'clubName': 'Olympique Lyon', 'clubID': '1041', 'value': '€3.00m'}, {'date': '08/04/2020', 'age': '31', 'clubName': 'Olympique Lyon', 'clubID': '1041', 'value': '€2.40m'}, {'date': '13/10/2020', 'age': '31', 'clubName': 'Wolverhampton Wanderers', 'clubID': '543', 'value': '€2.40m'}, {'date': '18/03/2021', 'age': '32', 'clubName': 'Wolverhampton Wanderers', 'clubID': '543', 'value': '€1.80m'}, {'date': '08/06/2021', 'age': '32', 'clubName': 'Wolverhampton Wanderers', 'clubID': '543', 'value': '€1.80m'}, {'date': '23/12/2021', 'age': '32', 'clubName': 'Wolverhampton Wanderers', 'clubID': '543', 'value': '€1.50m'}, {'date': '15/06/2022', 'age': '33', 'clubName': 'Wolverhampton Wanderers', 'clubID': '543', 'value': '€1.50m'}, {'date': '19/08/2022', 'age': '33', 'clubName': 'Botafogo de Futebol e Regatas', 'clubID': '537', 'value': '€1.50m'}, {'date': '14/11/2022', 'age': '33', 'clubName': 'Botafogo de Futebol e Regatas', 'clubID': '537', 'value': '€1.20m'}, {'date': '07/04/2023', 'age': '34', 'clubName': 'Botafogo de Futebol e Regatas', 'clubID': '537', 'value': '€1.20m'}, {'date': '25/07/2023', 'age': '34', 'clubName': 'Botafogo de Futebol e Regatas', 'clubID': '537', 'value': '€1.00m'}, {'date': '11/12/2023', 'age': '34', 'clubName': 'Botafogo de Futebol e Regatas', 'clubID': '537', 'value': '€900k'}, {'date': '28/03/2024', 'age': '35', 'clubName': 'Botafogo de Futebol e Regatas', 'clubID': '537', 'value': '€650k'}, {'date': '17/06/2024', 'age': '35', 'clubName': 'Botafogo de Futebol e Regatas', 'clubID': '537', 'value': '€600k'}, {'date': '09/12/2024', 'age': '35', 'clubName': 'Botafogo de Futebol e Regatas', 'clubID': '537', 'value': '€400k'}, {'date': '06/06/2025', 'age': '36', 'clubName': 'Botafogo de Futebol e Regatas', 'clubID': '537', 'value': '€300k'}, {'date': '10/12/2025', 'age': '36', 'clubName': 'Botafogo de Futebol e Regatas', 'clubID': '537', 'value': '€250k'}]}</t>
  </si>
  <si>
    <t>1989-02-19</t>
  </si>
  <si>
    <t>Wass</t>
  </si>
  <si>
    <t>{'marketValueHistory': [{'date': 'Mar 23, 2008', 'age': '18', 'clubName': 'Bröndby IF II', 'clubID': '69088', 'value': '€100k'}, {'date': 'Jun 10, 2008', 'age': '19', 'clubName': 'Bröndby IF II', 'clubID': '69088', 'value': '€250k'}, {'date': 'Jul 14, 2008', 'age': '19', 'clubName': 'Bröndby IF', 'clubID': '206', 'value': '€300k'}, {'date': 'Aug 3, 2008', 'age': '19', 'clubName': 'Bröndby IF', 'clubID': '206', 'value': '€500k'}, {'date': 'Oct 16, 2008', 'age': '19', 'clubName': 'Bröndby IF', 'clubID': '206', 'value': '€800k'}, {'date': 'Jun 4, 2009', 'age': '20', 'clubName': 'Bröndby IF', 'clubID': '206', 'value': '€1.00m'}, {'date': 'Sep 11, 2009', 'age': '20', 'clubName': 'Fredrikstad FK', 'clubID': '3837', 'value': '€800k'}, {'date': 'Dec 8, 2009', 'age': '20', 'clubName': 'Fredrikstad FK', 'clubID': '3837', 'value': '€750k'}, {'date': 'Mar 4, 2010', 'age': '20', 'clubName': 'Bröndby IF', 'clubID': '206', 'value': '€500k'}, {'date': 'Jun 3, 2010', 'age': '21', 'clubName': 'Bröndby IF', 'clubID': '206', 'value': '€750k'}, {'date': 'Aug 20, 2010', 'age': '21', 'clubName': 'Bröndby IF', 'clubID': '206', 'value': '€1.00m'}, {'date': 'Nov 22, 2010', 'age': '21', 'clubName': 'Bröndby IF', 'clubID': '206', 'value': '€1.50m'}, {'date': 'Feb 1, 2011', 'age': '21', 'clubName': 'Bröndby IF', 'clubID': '206', 'value': '€2.00m'}, {'date': 'Jun 15, 2011', 'age': '22', 'clubName': 'Bröndby IF', 'clubID': '206', 'value': '€2.50m'}, {'date': 'Feb 2, 2012', 'age': '22', 'clubName': 'FC Évian Thonon Gaillard', 'clubID': '14171', 'value': '€2.50m'}, {'date': 'May 23, 2012', 'age': '22', 'clubName': 'FC Évian Thonon Gaillard', 'clubID': '14171', 'value': '€3.00m'}, {'date': 'Jan 7, 2013', 'age': '23', 'clubName': 'FC Évian Thonon Gaillard', 'clubID': '14171', 'value': '€3.00m'}, {'date': 'May 30, 2013', 'age': '23', 'clubName': 'FC Évian Thonon Gaillard', 'clubID': '14171', 'value': '€3.00m'}, {'date': 'Jan 14, 2014', 'age': '24', 'clubName': 'FC Évian Thonon Gaillard', 'clubID': '14171', 'value': '€3.25m'}, {'date': 'Aug 3, 2014', 'age': '25', 'clubName': 'FC Évian Thonon Gaillard', 'clubID': '14171', 'value': '€3.75m'}, {'date': 'Nov 20, 2014', 'age': '25', 'clubName': 'FC Évian Thonon Gaillard', 'clubID': '14171', 'value': '€5.00m'}, {'date': 'Jan 14, 2015', 'age': '25', 'clubName': 'FC Évian Thonon Gaillard', 'clubID': '14171', 'value': '€5.00m'}, {'date': 'Jun 6, 2015', 'age': '26', 'clubName': 'FC Évian Thonon Gaillard', 'clubID': '14171', 'value': '€5.00m'}, {'date': 'Jul 1, 2015', 'age': '26', 'clubName': 'Celta de Vigo', 'clubID': '940', 'value': '€5.00m'}, {'date': 'Nov 23, 2015', 'age': '26', 'clubName': 'Celta de Vigo', 'clubID': '940', 'value': '€6.00m'}, {'date': 'Feb 22, 2016', 'age': '26', 'clubName': 'Celta de Vigo', 'clubID': '940', 'value': '€7.00m'}, {'date': 'Jul 15, 2016', 'age': '27', 'clubName': 'Celta de Vigo', 'clubID': '940', 'value': '€10.00m'}, {'date': 'Jan 24, 2017', 'age': '27', 'clubName': 'Celta de Vigo', 'clubID': '940', 'value': '€10.00m'}, {'date': 'Jun 5, 2017', 'age': '28', 'clubName': 'Celta de Vigo', 'clubID': '940', 'value': '€10.00m'}, {'date': 'Jan 1, 2018', 'age': '28', 'clubName': 'Celta de Vigo', 'clubID': '940', 'value': '€10.00m'}, {'date': 'Mar 22, 2018', 'age': '28', 'clubName': 'Celta de Vigo', 'clubID': '940', 'value': '€15.00m'}, {'date': 'May 30, 2018', 'age': '28', 'clubName': 'Celta de Vigo', 'clubID': '940', 'value': '€15.00m'}, {'date': 'Dec 21, 2018', 'age': '29', 'clubName': 'Valencia CF', 'clubID': '1049', 'value': '€15.00m'}, {'date': 'Feb 28, 2019', 'age': '29', 'clubName': 'Valencia CF', 'clubID': '1049', 'value': '€10.00m'}, {'date': 'Jun 11, 2019', 'age': '30', 'clubName': 'Valencia CF', 'clubID': '1049', 'value': '€14.00m'}, {'date': 'Dec 20, 2019', 'age': '30', 'clubName': 'Valencia CF', 'clubID': '1049', 'value': '€14.00m'}, {'date': 'Apr 8, 2020', 'age': '30', 'clubName': 'Valencia CF', 'clubID': '1049', 'value': '€11.00m'}, {'date': 'Oct 8, 2020', 'age': '31', 'clubName': 'Valencia CF', 'clubID': '1049', 'value': '€7.50m'}, {'date': 'Jan 5, 2021', 'age': '31', 'clubName': 'Valencia CF', 'clubID': '1049', 'value': '€7.50m'}, {'date': 'May 26, 2021', 'age': '31', 'clubName': 'Valencia CF', 'clubID': '1049', 'value': '€7.00m'}, {'date': 'Dec 30, 2021', 'age': '32', 'clubName': 'Valencia CF', 'clubID': '1049', 'value': '€6.00m'}, {'date': 'Jun 3, 2022', 'age': '33', 'clubName': 'Atlético de Madrid', 'clubID': '13', 'value': '€6.00m'}, {'date': 'Sep 13, 2022', 'age': '33', 'clubName': 'Bröndby IF', 'clubID': '206', 'value': '€3.00m'}, {'date': 'Nov 14, 2022', 'age': '33', 'clubName': 'Bröndby IF', 'clubID': '206', 'value': '€2.50m'}, {'date': 'Jun 26, 2023', 'age': '34', 'clubName': 'Bröndby IF', 'clubID': '206', 'value': '€1.50m'}, {'date': 'Dec 21, 2023', 'age': '34', 'clubName': 'Bröndby IF', 'clubID': '206', 'value': '€1.20m'}, {'date': 'Jun 10, 2024', 'age': '35', 'clubName': 'Bröndby IF', 'clubID': '206', 'value': '€1.00m'}, {'date': 'Dec 9, 2024', 'age': '35', 'clubName': 'Bröndby IF', 'clubID': '206', 'value': '€800k'}, {'date': 'Jun 16, 2025', 'age': '36', 'clubName': 'Bröndby IF', 'clubID': '206', 'value': '€650k'}, {'date': 'Dec 15, 2025', 'age': '36', 'clubName': 'Bröndby IF', 'clubID': '206', 'value': '€500k'}]}</t>
  </si>
  <si>
    <t>1989-05-31</t>
  </si>
  <si>
    <t>Idowu</t>
  </si>
  <si>
    <t>{'marketValueHistory': [{'date': '13/09/2013', 'age': '21', 'clubName': 'Dinamo St. Petersburg', 'clubID': '6407', 'value': '€50k'}, {'date': '27/12/2013', 'age': '21', 'clubName': 'Dinamo St. Petersburg', 'clubID': '6407', 'value': '€100k'}, {'date': '29/06/2014', 'age': '22', 'clubName': 'Dinamo St. Petersburg', 'clubID': '6407', 'value': '€150k'}, {'date': '31/07/2014', 'age': '22', 'clubName': 'Amkar Perm', 'clubID': '4128', 'value': '€150k'}, {'date': '23/02/2015', 'age': '22', 'clubName': 'Amkar Perm', 'clubID': '4128', 'value': '€200k'}, {'date': '18/06/2015', 'age': '23', 'clubName': 'Amkar Perm', 'clubID': '4128', 'value': '€200k'}, {'date': '06/01/2016', 'age': '23', 'clubName': 'Amkar Perm', 'clubID': '4128', 'value': '€300k'}, {'date': '25/05/2016', 'age': '24', 'clubName': 'Amkar Perm', 'clubID': '4128', 'value': '€700k'}, {'date': '27/12/2016', 'age': '24', 'clubName': 'Amkar Perm', 'clubID': '4128', 'value': '€1.00m'}, {'date': '01/06/2017', 'age': '25', 'clubName': 'Amkar Perm', 'clubID': '4128', 'value': '€1.20m'}, {'date': '23/12/2017', 'age': '25', 'clubName': 'Amkar Perm', 'clubID': '4128', 'value': '€1.30m'}, {'date': '06/06/2018', 'age': '26', 'clubName': 'Amkar Perm', 'clubID': '4128', 'value': '€1.50m'}, {'date': '16/07/2018', 'age': '26', 'clubName': 'Lokomotiv Moscow', 'clubID': '932', 'value': '€1.50m'}, {'date': '20/12/2018', 'age': '26', 'clubName': 'Lokomotiv Moscow', 'clubID': '932', 'value': '€1.50m'}, {'date': '14/06/2019', 'age': '27', 'clubName': 'Lokomotiv Moscow', 'clubID': '932', 'value': '€1.50m'}, {'date': '23/12/2019', 'age': '27', 'clubName': 'Lokomotiv Moscow', 'clubID': '932', 'value': '€1.20m'}, {'date': '08/04/2020', 'age': '27', 'clubName': 'Lokomotiv Moscow', 'clubID': '932', 'value': '€950k'}, {'date': '29/07/2020', 'age': '28', 'clubName': 'Lokomotiv Moscow', 'clubID': '932', 'value': '€800k'}, {'date': '29/12/2020', 'age': '28', 'clubName': 'FC Khimki', 'clubID': '3719', 'value': '€1.00m'}, {'date': '02/06/2021', 'age': '29', 'clubName': 'FC Khimki', 'clubID': '3719', 'value': '€1.50m'}, {'date': '29/12/2021', 'age': '29', 'clubName': 'FC Khimki', 'clubID': '3719', 'value': '€1.50m'}, {'date': '02/06/2022', 'age': '30', 'clubName': 'FC Khimki', 'clubID': '3719', 'value': '€1.20m'}, {'date': '21/11/2022', 'age': '30', 'clubName': 'FC Khimki', 'clubID': '3719', 'value': '€800k'}, {'date': '14/06/2023', 'age': '31', 'clubName': 'FC Khimki', 'clubID': '3719', 'value': '€600k'}, {'date': '25/10/2023', 'age': '31', 'clubName': 'Without Club', 'clubID': '515', 'value': '€500k'}, {'date': '19/03/2024', 'age': '31', 'clubName': 'Medialiga (RU)', 'clubID': '112192', 'value': '-'}]}</t>
  </si>
  <si>
    <t>1992-05-18</t>
  </si>
  <si>
    <t>Lampropoulos</t>
  </si>
  <si>
    <t>{'marketValueHistory': [{'date': 'Dec 11, 2007', 'age': '17', 'clubName': 'Olympiacos Piraeus', 'clubID': '683', 'value': '€250k'}, {'date': 'Jan 12, 2009', 'age': '18', 'clubName': 'Apollon Kalamarias', 'clubID': '3392', 'value': '€350k'}, {'date': 'May 1, 2009', 'age': '19', 'clubName': 'Apollon Kalamarias', 'clubID': '3392', 'value': '€400k'}, {'date': 'Jan 18, 2010', 'age': '19', 'clubName': 'Asteras Tripolis', 'clubID': '6676', 'value': '€300k'}, {'date': 'Feb 28, 2011', 'age': '20', 'clubName': 'Ilioupoli', 'clubID': '3984', 'value': '€250k'}, {'date': 'Jul 1, 2011', 'age': '21', 'clubName': 'Ethnikos Asteras (-2022)', 'clubID': '3396', 'value': '€300k'}, {'date': 'Nov 7, 2011', 'age': '21', 'clubName': 'Ethnikos Asteras (-2022)', 'clubID': '3396', 'value': '€300k'}, {'date': 'Dec 29, 2011', 'age': '21', 'clubName': 'Ethnikos Asteras (-2022)', 'clubID': '3396', 'value': '€350k'}, {'date': 'Sep 21, 2012', 'age': '22', 'clubName': 'Panionios FC', 'clubID': '169', 'value': '€400k'}, {'date': 'Feb 10, 2013', 'age': '22', 'clubName': 'Panionios FC', 'clubID': '169', 'value': '€400k'}, {'date': 'Mar 28, 2014', 'age': '23', 'clubName': 'Panionios FC', 'clubID': '169', 'value': '€500k'}, {'date': 'Dec 21, 2014', 'age': '24', 'clubName': 'AEK Athens', 'clubID': '2441', 'value': '€600k'}, {'date': 'Jun 7, 2015', 'age': '25', 'clubName': 'AEK Athens', 'clubID': '2441', 'value': '€600k'}, {'date': 'Sep 27, 2015', 'age': '25', 'clubName': 'AEK Athens', 'clubID': '2441', 'value': '€500k'}, {'date': 'Jun 21, 2016', 'age': '26', 'clubName': 'AEK Athens', 'clubID': '2441', 'value': '€500k'}, {'date': 'Dec 21, 2016', 'age': '26', 'clubName': 'AEK Athens', 'clubID': '2441', 'value': '€600k'}, {'date': 'May 11, 2017', 'age': '27', 'clubName': 'AEK Athens', 'clubID': '2441', 'value': '€800k'}, {'date': 'Dec 18, 2017', 'age': '27', 'clubName': 'AEK Athens', 'clubID': '2441', 'value': '€800k'}, {'date': 'May 22, 2018', 'age': '28', 'clubName': 'AEK Athens', 'clubID': '2441', 'value': '€1.00m'}, {'date': 'Dec 7, 2018', 'age': '28', 'clubName': 'AEK Athens', 'clubID': '2441', 'value': '€1.00m'}, {'date': 'Feb 7, 2019', 'age': '28', 'clubName': 'AEK Athens', 'clubID': '2441', 'value': '€800k'}, {'date': 'May 21, 2019', 'age': '29', 'clubName': 'AEK Athens', 'clubID': '2441', 'value': '€700k'}, {'date': 'Dec 20, 2019', 'age': '29', 'clubName': 'Deportivo de La Coruña', 'clubID': '897', 'value': '€700k'}, {'date': 'Apr 2, 2020', 'age': '30', 'clubName': 'VfL Bochum', 'clubID': '80', 'value': '€500k'}, {'date': 'Apr 8, 2020', 'age': '30', 'clubName': 'VfL Bochum', 'clubID': '80', 'value': '€400k'}, {'date': 'Nov 18, 2020', 'age': '30', 'clubName': 'VfL Bochum', 'clubID': '80', 'value': '€550k'}, {'date': 'Feb 8, 2021', 'age': '30', 'clubName': 'VfL Bochum', 'clubID': '80', 'value': '€500k'}, {'date': 'Jun 16, 2021', 'age': '31', 'clubName': 'VfL Bochum', 'clubID': '80', 'value': '€450k'}, {'date': 'Dec 22, 2021', 'age': '31', 'clubName': 'VfL Bochum', 'clubID': '80', 'value': '€700k'}, {'date': 'Jun 9, 2022', 'age': '32', 'clubName': 'VfL Bochum', 'clubID': '80', 'value': '€500k'}, {'date': 'Nov 9, 2022', 'age': '32', 'clubName': 'VfL Bochum', 'clubID': '80', 'value': '€500k'}, {'date': 'Jun 22, 2023', 'age': '33', 'clubName': 'VfL Bochum', 'clubID': '80', 'value': '€500k'}, {'date': 'Sep 21, 2023', 'age': '33', 'clubName': 'OFI Crete', 'clubID': '653', 'value': '€400k'}, {'date': 'Dec 20, 2023', 'age': '33', 'clubName': 'OFI Crete', 'clubID': '653', 'value': '€400k'}, {'date': 'May 30, 2024', 'age': '34', 'clubName': 'OFI Crete', 'clubID': '653', 'value': '€350k'}, {'date': 'Sep 26, 2024', 'age': '34', 'clubName': 'OFI Crete', 'clubID': '653', 'value': '€300k'}, {'date': 'Dec 18, 2024', 'age': '34', 'clubName': 'OFI Crete', 'clubID': '653', 'value': '€250k'}, {'date': 'May 23, 2025', 'age': '35', 'clubName': 'OFI Crete', 'clubID': '653', 'value': '€200k'}, {'date': 'Dec 12, 2025', 'age': '35', 'clubName': 'OFI Crete', 'clubID': '653', 'value': '€175k'}]}</t>
  </si>
  <si>
    <t>1990-03-31</t>
  </si>
  <si>
    <t>Diakhaby</t>
  </si>
  <si>
    <t>{'marketValueHistory': [{'date': '01/11/2016', 'age': '19', 'clubName': 'Olympique Lyon', 'clubID': '1041', 'value': '€800k'}, {'date': '16/01/2017', 'age': '20', 'clubName': 'Olympique Lyon', 'clubID': '1041', 'value': '€2.00m'}, {'date': '01/06/2017', 'age': '20', 'clubName': 'Olympique Lyon', 'clubID': '1041', 'value': '€2.50m'}, {'date': '12/10/2017', 'age': '20', 'clubName': 'Olympique Lyon', 'clubID': '1041', 'value': '€6.00m'}, {'date': '24/01/2018', 'age': '21', 'clubName': 'Olympique Lyon', 'clubID': '1041', 'value': '€14.00m'}, {'date': '04/06/2018', 'age': '21', 'clubName': 'Olympique Lyon', 'clubID': '1041', 'value': '€10.00m'}, {'date': '15/07/2018', 'age': '21', 'clubName': 'Valencia CF', 'clubID': '1049', 'value': '€15.00m'}, {'date': '21/12/2018', 'age': '22', 'clubName': 'Valencia CF', 'clubID': '1049', 'value': '€12.00m'}, {'date': '28/02/2019', 'age': '22', 'clubName': 'Valencia CF', 'clubID': '1049', 'value': '€15.00m'}, {'date': '11/06/2019', 'age': '22', 'clubName': 'Valencia CF', 'clubID': '1049', 'value': '€20.00m'}, {'date': '10/09/2019', 'age': '22', 'clubName': 'Valencia CF', 'clubID': '1049', 'value': '€30.00m'}, {'date': '20/12/2019', 'age': '23', 'clubName': 'Valencia CF', 'clubID': '1049', 'value': '€30.00m'}, {'date': '05/03/2020', 'age': '23', 'clubName': 'Valencia CF', 'clubID': '1049', 'value': '€22.00m'}, {'date': '08/04/2020', 'age': '23', 'clubName': 'Valencia CF', 'clubID': '1049', 'value': '€17.50m'}, {'date': '23/07/2020', 'age': '23', 'clubName': 'Valencia CF', 'clubID': '1049', 'value': '€15.00m'}, {'date': '08/10/2020', 'age': '23', 'clubName': 'Valencia CF', 'clubID': '1049', 'value': '€10.00m'}, {'date': '05/01/2021', 'age': '24', 'clubName': 'Valencia CF', 'clubID': '1049', 'value': '€10.00m'}, {'date': '19/03/2021', 'age': '24', 'clubName': 'Valencia CF', 'clubID': '1049', 'value': '€10.00m'}, {'date': '10/06/2021', 'age': '24', 'clubName': 'Valencia CF', 'clubID': '1049', 'value': '€10.00m'}, {'date': '13/10/2021', 'age': '24', 'clubName': 'Valencia CF', 'clubID': '1049', 'value': '€7.50m'}, {'date': '30/12/2021', 'age': '25', 'clubName': 'Valencia CF', 'clubID': '1049', 'value': '€7.50m'}, {'date': '03/06/2022', 'age': '25', 'clubName': 'Valencia CF', 'clubID': '1049', 'value': '€7.00m'}, {'date': '23/09/2022', 'age': '25', 'clubName': 'Valencia CF', 'clubID': '1049', 'value': '€8.00m'}, {'date': '07/11/2022', 'age': '25', 'clubName': 'Valencia CF', 'clubID': '1049', 'value': '€8.00m'}, {'date': '13/06/2023', 'age': '26', 'clubName': 'Valencia CF', 'clubID': '1049', 'value': '€6.00m'}, {'date': '22/12/2023', 'age': '27', 'clubName': 'Valencia CF', 'clubID': '1049', 'value': '€6.00m'}, {'date': '21/03/2024', 'age': '27', 'clubName': 'Valencia CF', 'clubID': '1049', 'value': '€4.00m'}, {'date': '07/06/2024', 'age': '27', 'clubName': 'Valencia CF', 'clubID': '1049', 'value': '€2.00m'}, {'date': '27/12/2024', 'age': '28', 'clubName': 'Valencia CF', 'clubID': '1049', 'value': '€2.00m'}, {'date': '09/06/2025', 'age': '28', 'clubName': 'Valencia CF', 'clubID': '1049', 'value': '€2.00m'}, {'date': '02/10/2025', 'age': '28', 'clubName': 'Valencia CF', 'clubID': '1049', 'value': '€3.00m'}, {'date': '12/12/2025', 'age': '28', 'clubName': 'Valencia CF', 'clubID': '1049', 'value': '€2.80m'}, {'date': '16/03/2026', 'age': '29', 'clubName': 'Valencia CF', 'clubID': '1049', 'value': '€2.00m'}]}</t>
  </si>
  <si>
    <t>1996-12-19</t>
  </si>
  <si>
    <t>Corluka</t>
  </si>
  <si>
    <t>{'marketValueHistory': [{'date': 'Dec 1, 2005', 'age': '19', 'clubName': 'GNK Dinamo Zagreb', 'clubID': '419', 'value': '€200k'}, {'date': 'Dec 8, 2005', 'age': '19', 'clubName': 'GNK Dinamo Zagreb', 'clubID': '419', 'value': '€2.50m'}, {'date': 'Oct 6, 2006', 'age': '20', 'clubName': 'GNK Dinamo Zagreb', 'clubID': '419', 'value': '€3.10m'}, {'date': 'Feb 10, 2007', 'age': '21', 'clubName': 'GNK Dinamo Zagreb', 'clubID': '419', 'value': '€4.10m'}, {'date': 'Aug 3, 2007', 'age': '21', 'clubName': 'Manchester City', 'clubID': '281', 'value': '€10.50m'}, {'date': 'Jan 29, 2008', 'age': '21', 'clubName': 'Manchester City', 'clubID': '281', 'value': '€11.00m'}, {'date': 'Jul 4, 2008', 'age': '22', 'clubName': 'Manchester City', 'clubID': '281', 'value': '€11.50m'}, {'date': 'Jun 26, 2009', 'age': '23', 'clubName': 'Tottenham Hotspur', 'clubID': '148', 'value': '€13.00m'}, {'date': 'Jan 24, 2010', 'age': '23', 'clubName': 'Tottenham Hotspur', 'clubID': '148', 'value': '€15.00m'}, {'date': 'Aug 13, 2010', 'age': '24', 'clubName': 'Tottenham Hotspur', 'clubID': '148', 'value': '€15.00m'}, {'date': 'Feb 1, 2011', 'age': '24', 'clubName': 'Tottenham Hotspur', 'clubID': '148', 'value': '€12.00m'}, {'date': 'Aug 8, 2011', 'age': '25', 'clubName': 'Tottenham Hotspur', 'clubID': '148', 'value': '€10.00m'}, {'date': 'Feb 2, 2012', 'age': '25', 'clubName': 'Bayer 04 Leverkusen', 'clubID': '15', 'value': '€7.50m'}, {'date': 'Jun 29, 2012', 'age': '26', 'clubName': 'Bayer 04 Leverkusen', 'clubID': '15', 'value': '€7.50m'}, {'date': 'Jan 20, 2013', 'age': '26', 'clubName': 'Lokomotiv Moskau', 'clubID': '932', 'value': '€8.00m'}, {'date': 'Jun 19, 2013', 'age': '27', 'clubName': 'Lokomotiv Moskau', 'clubID': '932', 'value': '€8.00m'}, {'date': 'Mar 3, 2014', 'age': '28', 'clubName': 'Lokomotiv Moskau', 'clubID': '932', 'value': '€10.00m'}, {'date': 'Jul 31, 2014', 'age': '28', 'clubName': 'Lokomotiv Moskau', 'clubID': '932', 'value': '€10.00m'}, {'date': 'Feb 23, 2015', 'age': '29', 'clubName': 'Lokomotiv Moskau', 'clubID': '932', 'value': '€11.00m'}, {'date': 'Jun 18, 2015', 'age': '29', 'clubName': 'Lokomotiv Moskau', 'clubID': '932', 'value': '€11.00m'}, {'date': 'Jan 6, 2016', 'age': '29', 'clubName': 'Lokomotiv Moskau', 'clubID': '932', 'value': '€11.00m'}, {'date': 'Jun 1, 2016', 'age': '30', 'clubName': 'Lokomotiv Moskau', 'clubID': '932', 'value': '€9.00m'}, {'date': 'Dec 27, 2016', 'age': '30', 'clubName': 'Lokomotiv Moskau', 'clubID': '932', 'value': '€7.00m'}, {'date': 'Jun 1, 2017', 'age': '31', 'clubName': 'Lokomotiv Moskau', 'clubID': '932', 'value': '€5.00m'}, {'date': 'Dec 23, 2017', 'age': '31', 'clubName': 'Lokomotiv Moscow', 'clubID': '932', 'value': '€4.20m'}, {'date': 'Jun 6, 2018', 'age': '32', 'clubName': 'Lokomotiv Moscow', 'clubID': '932', 'value': '€4.00m'}, {'date': 'Dec 20, 2018', 'age': '32', 'clubName': 'Lokomotiv Moscow', 'clubID': '932', 'value': '€3.50m'}, {'date': 'Jun 14, 2019', 'age': '33', 'clubName': 'Lokomotiv Moscow', 'clubID': '932', 'value': '€3.00m'}, {'date': 'Dec 23, 2019', 'age': '33', 'clubName': 'Lokomotiv Moscow', 'clubID': '932', 'value': '€2.50m'}, {'date': 'Apr 8, 2020', 'age': '34', 'clubName': 'Lokomotiv Moscow', 'clubID': '932', 'value': '€2.00m'}, {'date': 'Jul 29, 2020', 'age': '34', 'clubName': 'Lokomotiv Moscow', 'clubID': '932', 'value': '€1.50m'}, {'date': 'Dec 29, 2020', 'age': '34', 'clubName': 'Lokomotiv Moscow', 'clubID': '932', 'value': '€1.50m'}, {'date': 'Jun 2, 2021', 'age': '35', 'clubName': 'Lokomotiv Moscow', 'clubID': '932', 'value': '€1.00m'}, {'date': 'Jul 1, 2021', 'age': '35', 'clubName': 'Retired', 'clubID': '123', 'value': '-'}]}</t>
  </si>
  <si>
    <t>Omer Toprak</t>
  </si>
  <si>
    <t>{'marketValueHistory': [{'date': '06/09/2007', 'age': '18', 'clubName': 'SC Freiburg U19', 'clubID': '4042', 'value': '€50k'}, {'date': '28/12/2007', 'age': '18', 'clubName': 'SC Freiburg U19', 'clubID': '4042', 'value': '€100k'}, {'date': '23/09/2008', 'age': '19', 'clubName': 'SC Freiburg', 'clubID': '60', 'value': '€200k'}, {'date': '20/01/2009', 'age': '19', 'clubName': 'SC Freiburg', 'clubID': '60', 'value': '€1.00m'}, {'date': '21/04/2009', 'age': '19', 'clubName': 'SC Freiburg', 'clubID': '60', 'value': '€2.00m'}, {'date': '10/06/2009', 'age': '19', 'clubName': 'SC Freiburg', 'clubID': '60', 'value': '€3.00m'}, {'date': '13/06/2010', 'age': '20', 'clubName': 'SC Freiburg', 'clubID': '60', 'value': '€4.00m'}, {'date': '12/01/2011', 'age': '21', 'clubName': 'SC Freiburg', 'clubID': '60', 'value': '€4.00m'}, {'date': '29/06/2011', 'age': '21', 'clubName': 'SC Freiburg', 'clubID': '60', 'value': '€4.00m'}, {'date': '23/01/2012', 'age': '22', 'clubName': 'Bayer 04 Leverkusen', 'clubID': '15', 'value': '€4.00m'}, {'date': '29/06/2012', 'age': '22', 'clubName': 'Bayer 04 Leverkusen', 'clubID': '15', 'value': '€5.00m'}, {'date': '13/01/2013', 'age': '23', 'clubName': 'Bayer 04 Leverkusen', 'clubID': '15', 'value': '€7.00m'}, {'date': '30/06/2013', 'age': '23', 'clubName': 'Bayer 04 Leverkusen', 'clubID': '15', 'value': '€8.75m'}, {'date': '27/08/2013', 'age': '24', 'clubName': 'Bayer 04 Leverkusen', 'clubID': '15', 'value': '€9.00m'}, {'date': '12/02/2014', 'age': '24', 'clubName': 'Bayer 04 Leverkusen', 'clubID': '15', 'value': '€15.00m'}, {'date': '10/07/2014', 'age': '24', 'clubName': 'Bayer 04 Leverkusen', 'clubID': '15', 'value': '€18.00m'}, {'date': '04/02/2015', 'age': '25', 'clubName': 'Bayer 04 Leverkusen', 'clubID': '15', 'value': '€18.00m'}, {'date': '01/07/2015', 'age': '25', 'clubName': 'Bayer 04 Leverkusen', 'clubID': '15', 'value': '€18.00m'}, {'date': '15/02/2016', 'age': '26', 'clubName': 'Bayer 04 Leverkusen', 'clubID': '15', 'value': '€18.00m'}, {'date': '22/07/2016', 'age': '27', 'clubName': 'Bayer 04 Leverkusen', 'clubID': '15', 'value': '€20.00m'}, {'date': '07/02/2017', 'age': '27', 'clubName': 'Bayer 04 Leverkusen', 'clubID': '15', 'value': '€18.00m'}, {'date': '19/06/2017', 'age': '27', 'clubName': 'Bayer 04 Leverkusen', 'clubID': '15', 'value': '€16.00m'}, {'date': '28/12/2017', 'age': '28', 'clubName': 'Borussia Dortmund', 'clubID': '16', 'value': '€12.00m'}, {'date': '05/06/2018', 'age': '28', 'clubName': 'Borussia Dortmund', 'clubID': '16', 'value': '€12.00m'}, {'date': '18/12/2018', 'age': '29', 'clubName': 'Borussia Dortmund', 'clubID': '16', 'value': '€10.00m'}, {'date': '06/03/2019', 'age': '29', 'clubName': 'Borussia Dortmund', 'clubID': '16', 'value': '€7.00m'}, {'date': '05/06/2019', 'age': '29', 'clubName': 'Borussia Dortmund', 'clubID': '16', 'value': '€5.00m'}, {'date': '17/12/2019', 'age': '30', 'clubName': 'SV Werder Bremen', 'clubID': '86', 'value': '€4.50m'}, {'date': '08/04/2020', 'age': '30', 'clubName': 'SV Werder Bremen', 'clubID': '86', 'value': '€3.50m'}, {'date': '16/09/2020', 'age': '31', 'clubName': 'SV Werder Bremen', 'clubID': '86', 'value': '€3.00m'}, {'date': '10/02/2021', 'age': '31', 'clubName': 'SV Werder Bremen', 'clubID': '86', 'value': '€2.50m'}, {'date': '09/06/2021', 'age': '31', 'clubName': 'SV Werder Bremen', 'clubID': '86', 'value': '€2.50m'}, {'date': '13/10/2021', 'age': '32', 'clubName': 'SV Werder Bremen', 'clubID': '86', 'value': '€1.80m'}, {'date': '15/12/2021', 'age': '32', 'clubName': 'SV Werder Bremen', 'clubID': '86', 'value': '€1.80m'}, {'date': '16/06/2022', 'age': '32', 'clubName': 'SV Werder Bremen', 'clubID': '86', 'value': '€1.50m'}, {'date': '27/10/2022', 'age': '33', 'clubName': 'Antalyaspor', 'clubID': '589', 'value': '€1.20m'}, {'date': '14/03/2023', 'age': '33', 'clubName': 'Antalyaspor', 'clubID': '589', 'value': '€1.10m'}, {'date': '08/06/2023', 'age': '33', 'clubName': 'Antalyaspor', 'clubID': '589', 'value': '€850k'}, {'date': '27/09/2023', 'age': '34', 'clubName': 'Antalyaspor', 'clubID': '589', 'value': '€700k'}, {'date': '21/12/2023', 'age': '34', 'clubName': 'Antalyaspor', 'clubID': '589', 'value': '€600k'}, {'date': '15/03/2024', 'age': '34', 'clubName': 'Antalyaspor', 'clubID': '589', 'value': '€400k'}, {'date': '31/05/2024', 'age': '34', 'clubName': 'Antalyaspor', 'clubID': '589', 'value': '€300k'}, {'date': '14/11/2024', 'age': '35', 'clubName': 'SK Weingarten', 'clubID': '77366', 'value': '-'}]}</t>
  </si>
  <si>
    <t>1989-07-21</t>
  </si>
  <si>
    <t>Conti</t>
  </si>
  <si>
    <t>1955-03-13</t>
  </si>
  <si>
    <t>Jones</t>
  </si>
  <si>
    <t>{'marketValueHistory': [{'date': '09/08/2019', 'age': '18', 'clubName': 'Liverpool FC U23', 'clubID': '31', 'value': '€1.50m'}, {'date': '10/12/2019', 'age': '18', 'clubName': 'Liverpool FC U23', 'clubID': '31', 'value': '€2.00m'}, {'date': '08/04/2020', 'age': '19', 'clubName': 'Liverpool FC U23', 'clubID': '31', 'value': '€1.80m'}, {'date': '30/07/2020', 'age': '19', 'clubName': 'Liverpool FC', 'clubID': '31', 'value': '€5.00m'}, {'date': '13/10/2020', 'age': '19', 'clubName': 'Liverpool FC', 'clubID': '31', 'value': '€5.00m'}, {'date': '17/12/2020', 'age': '19', 'clubName': 'Liverpool FC', 'clubID': '31', 'value': '€17.00m'}, {'date': '18/03/2021', 'age': '20', 'clubName': 'Liverpool FC', 'clubID': '31', 'value': '€30.00m'}, {'date': '08/06/2021', 'age': '20', 'clubName': 'Liverpool FC', 'clubID': '31', 'value': '€30.00m'}, {'date': '23/12/2021', 'age': '20', 'clubName': 'Liverpool FC', 'clubID': '31', 'value': '€30.00m'}, {'date': '15/06/2022', 'age': '21', 'clubName': 'Liverpool FC', 'clubID': '31', 'value': '€28.00m'}, {'date': '15/09/2022', 'age': '21', 'clubName': 'Liverpool FC', 'clubID': '31', 'value': '€25.00m'}, {'date': '03/11/2022', 'age': '21', 'clubName': 'Liverpool FC', 'clubID': '31', 'value': '€22.00m'}, {'date': '16/03/2023', 'age': '22', 'clubName': 'Liverpool FC', 'clubID': '31', 'value': '€17.00m'}, {'date': '20/06/2023', 'age': '22', 'clubName': 'Liverpool FC', 'clubID': '31', 'value': '€22.00m'}, {'date': '12/07/2023', 'age': '22', 'clubName': 'Liverpool FC', 'clubID': '31', 'value': '€25.00m'}, {'date': '09/10/2023', 'age': '22', 'clubName': 'Liverpool FC', 'clubID': '31', 'value': '€30.00m'}, {'date': '19/12/2023', 'age': '22', 'clubName': 'Liverpool FC', 'clubID': '31', 'value': '€30.00m'}, {'date': '14/03/2024', 'age': '23', 'clubName': 'Liverpool FC', 'clubID': '31', 'value': '€35.00m'}, {'date': '27/05/2024', 'age': '23', 'clubName': 'Liverpool FC', 'clubID': '31', 'value': '€35.00m'}, {'date': '16/12/2024', 'age': '23', 'clubName': 'Liverpool FC', 'clubID': '31', 'value': '€45.00m'}, {'date': '18/03/2025', 'age': '24', 'clubName': 'Liverpool FC', 'clubID': '31', 'value': '€50.00m'}, {'date': '30/05/2025', 'age': '24', 'clubName': 'Liverpool FC', 'clubID': '31', 'value': '€45.00m'}, {'date': '09/12/2025', 'age': '24', 'clubName': 'Liverpool FC', 'clubID': '31', 'value': '€40.00m'}, {'date': '09/03/2026', 'age': '25', 'clubName': 'Liverpool FC', 'clubID': '31', 'value': '€35.00m'}]}</t>
  </si>
  <si>
    <t>2001-01-30</t>
  </si>
  <si>
    <t>Areola</t>
  </si>
  <si>
    <t>{'marketValueHistory': [{'date': 'Jul 3, 2010', 'age': '17', 'clubName': 'Paris Saint-Germain U19', 'clubID': '6326', 'value': '€250k'}, {'date': 'May 24, 2011', 'age': '18', 'clubName': 'Paris Saint-Germain U19', 'clubID': '6326', 'value': '€250k'}, {'date': 'Aug 12, 2011', 'age': '18', 'clubName': 'Paris Saint-Germain', 'clubID': '583', 'value': '€600k'}, {'date': 'Dec 24, 2011', 'age': '18', 'clubName': 'Paris Saint-Germain', 'clubID': '583', 'value': '€650k'}, {'date': 'May 23, 2012', 'age': '19', 'clubName': 'Paris Saint-Germain', 'clubID': '583', 'value': '€700k'}, {'date': 'Jan 7, 2013', 'age': '19', 'clubName': 'Paris Saint-Germain', 'clubID': '583', 'value': '€700k'}, {'date': 'May 30, 2013', 'age': '20', 'clubName': 'Paris Saint-Germain', 'clubID': '583', 'value': '€600k'}, {'date': 'Sep 13, 2013', 'age': '20', 'clubName': 'RC Lens', 'clubID': '826', 'value': '€1.00m'}, {'date': 'Jan 13, 2014', 'age': '20', 'clubName': 'RC Lens', 'clubID': '826', 'value': '€1.50m'}, {'date': 'Aug 1, 2014', 'age': '21', 'clubName': 'SC Bastia', 'clubID': '595', 'value': '€2.00m'}, {'date': 'Jan 14, 2015', 'age': '21', 'clubName': 'SC Bastia', 'clubID': '595', 'value': '€3.00m'}, {'date': 'Jun 6, 2015', 'age': '22', 'clubName': 'SC Bastia', 'clubID': '595', 'value': '€4.00m'}, {'date': 'Jul 1, 2015', 'age': '22', 'clubName': 'Villarreal CF', 'clubID': '1050', 'value': '€4.00m'}, {'date': 'Nov 22, 2015', 'age': '22', 'clubName': 'Villarreal CF', 'clubID': '1050', 'value': '€6.00m'}, {'date': 'Feb 22, 2016', 'age': '22', 'clubName': 'Villarreal CF', 'clubID': '1050', 'value': '€7.50m'}, {'date': 'Jul 13, 2016', 'age': '23', 'clubName': 'Paris Saint-Germain', 'clubID': '583', 'value': '€8.00m'}, {'date': 'Nov 1, 2016', 'age': '23', 'clubName': 'Paris Saint-Germain', 'clubID': '583', 'value': '€10.00m'}, {'date': 'Jan 16, 2017', 'age': '23', 'clubName': 'Paris Saint-Germain', 'clubID': '583', 'value': '€10.00m'}, {'date': 'Jun 1, 2017', 'age': '24', 'clubName': 'Paris Saint-Germain', 'clubID': '583', 'value': '€10.00m'}, {'date': 'Jan 24, 2018', 'age': '24', 'clubName': 'Paris Saint-Germain', 'clubID': '583', 'value': '€15.00m'}, {'date': 'Jun 4, 2018', 'age': '25', 'clubName': 'Paris Saint-Germain', 'clubID': '583', 'value': '€15.00m'}, {'date': 'Dec 17, 2018', 'age': '25', 'clubName': 'Paris Saint-Germain', 'clubID': '583', 'value': '€15.00m'}, {'date': 'Mar 7, 2019', 'age': '26', 'clubName': 'Paris Saint-Germain', 'clubID': '583', 'value': '€17.50m'}, {'date': 'Jun 3, 2019', 'age': '26', 'clubName': 'Paris Saint-Germain', 'clubID': '583', 'value': '€17.50m'}, {'date': 'Dec 20, 2019', 'age': '26', 'clubName': 'Real Madrid', 'clubID': '418', 'value': '€16.00m'}, {'date': 'Apr 8, 2020', 'age': '27', 'clubName': 'Real Madrid', 'clubID': '418', 'value': '€13.00m'}, {'date': 'Oct 13, 2020', 'age': '27', 'clubName': 'Fulham FC', 'clubID': '931', 'value': '€13.00m'}, {'date': 'Mar 18, 2021', 'age': '28', 'clubName': 'Fulham FC', 'clubID': '931', 'value': '€15.00m'}, {'date': 'Jun 8, 2021', 'age': '28', 'clubName': 'Fulham FC', 'clubID': '931', 'value': '€17.00m'}, {'date': 'Oct 5, 2021', 'age': '28', 'clubName': 'West Ham United', 'clubID': '379', 'value': '€14.00m'}, {'date': 'Dec 23, 2021', 'age': '28', 'clubName': 'West Ham United', 'clubID': '379', 'value': '€12.00m'}, {'date': 'Mar 29, 2022', 'age': '29', 'clubName': 'West Ham United', 'clubID': '379', 'value': '€9.00m'}, {'date': 'Jun 15, 2022', 'age': '29', 'clubName': 'West Ham United', 'clubID': '379', 'value': '€8.00m'}, {'date': 'Nov 3, 2022', 'age': '29', 'clubName': 'West Ham United', 'clubID': '379', 'value': '€8.00m'}, {'date': 'Jun 20, 2023', 'age': '30', 'clubName': 'West Ham United', 'clubID': '379', 'value': '€8.00m'}, {'date': 'Oct 9, 2023', 'age': '30', 'clubName': 'West Ham United', 'clubID': '379', 'value': '€10.00m'}, {'date': 'Dec 19, 2023', 'age': '30', 'clubName': 'West Ham United', 'clubID': '379', 'value': '€10.00m'}, {'date': 'May 27, 2024', 'age': '31', 'clubName': 'West Ham United', 'clubID': '379', 'value': '€10.00m'}, {'date': 'Dec 16, 2024', 'age': '31', 'clubName': 'West Ham United', 'clubID': '379', 'value': '€10.00m'}, {'date': 'May 30, 2025', 'age': '32', 'clubName': 'West Ham United', 'clubID': '379', 'value': '€9.00m'}, {'date': 'Dec 9, 2025', 'age': '32', 'clubName': 'West Ham United', 'clubID': '379', 'value': '€7.00m'}, {'date': 'Mar 9, 2026', 'age': '33', 'clubName': 'West Ham United', 'clubID': '379', 'value': '€5.00m'}]}</t>
  </si>
  <si>
    <t>1993-02-27</t>
  </si>
  <si>
    <t>Horvath</t>
  </si>
  <si>
    <t>1938-12-28</t>
  </si>
  <si>
    <t>Letica</t>
  </si>
  <si>
    <t>{'marketValueHistory': [{'date': 'Mar 13, 2017', 'age': '20', 'clubName': 'HNK Hajduk Split', 'clubID': '447', 'value': '€100k'}, {'date': 'Oct 23, 2017', 'age': '20', 'clubName': 'HNK Hajduk Split', 'clubID': '447', 'value': '€250k'}, {'date': 'Mar 18, 2018', 'age': '21', 'clubName': 'HNK Hajduk Split', 'clubID': '447', 'value': '€850k'}, {'date': 'Sep 11, 2018', 'age': '21', 'clubName': 'Club Brugge KV', 'clubID': '2282', 'value': '€3.00m'}, {'date': 'Dec 27, 2018', 'age': '21', 'clubName': 'Club Brugge KV', 'clubID': '2282', 'value': '€2.50m'}, {'date': 'Jun 10, 2019', 'age': '22', 'clubName': 'Club Brugge KV', 'clubID': '2282', 'value': '€1.80m'}, {'date': 'Dec 12, 2019', 'age': '22', 'clubName': 'SPAL', 'clubID': '2722', 'value': '€1.30m'}, {'date': 'Apr 8, 2020', 'age': '23', 'clubName': 'SPAL', 'clubID': '2722', 'value': '€1.00m'}, {'date': 'Aug 25, 2020', 'age': '23', 'clubName': 'SPAL', 'clubID': '2722', 'value': '€900k'}, {'date': 'Dec 29, 2020', 'age': '23', 'clubName': 'UC Sampdoria', 'clubID': '1038', 'value': '€800k'}, {'date': 'Jun 3, 2021', 'age': '24', 'clubName': 'UC Sampdoria', 'clubID': '1038', 'value': '€700k'}, {'date': 'Dec 22, 2021', 'age': '24', 'clubName': 'CFR Cluj', 'clubID': '7769', 'value': '€450k'}, {'date': 'Mar 29, 2022', 'age': '25', 'clubName': 'CFR Cluj', 'clubID': '7769', 'value': '€300k'}, {'date': 'Jun 3, 2022', 'age': '25', 'clubName': 'CFR Cluj', 'clubID': '7769', 'value': '€500k'}, {'date': 'Oct 7, 2022', 'age': '25', 'clubName': 'Without Club', 'clubID': '515', 'value': '€400k'}, {'date': 'Dec 21, 2022', 'age': '25', 'clubName': 'FC Hermannstadt', 'clubID': '58049', 'value': '€550k'}, {'date': 'Mar 15, 2023', 'age': '26', 'clubName': 'FC Hermannstadt', 'clubID': '58049', 'value': '€650k'}, {'date': 'Jun 15, 2023', 'age': '26', 'clubName': 'FC Hermannstadt', 'clubID': '58049', 'value': '€650k'}, {'date': 'Oct 19, 2023', 'age': '26', 'clubName': 'FC Lausanne-Sport', 'clubID': '527', 'value': '€700k'}, {'date': 'Dec 21, 2023', 'age': '26', 'clubName': 'FC Lausanne-Sport', 'clubID': '527', 'value': '€700k'}, {'date': 'Mar 28, 2024', 'age': '27', 'clubName': 'FC Lausanne-Sport', 'clubID': '527', 'value': '€800k'}, {'date': 'May 31, 2024', 'age': '27', 'clubName': 'FC Lausanne-Sport', 'clubID': '527', 'value': '€1.00m'}, {'date': 'Dec 23, 2024', 'age': '27', 'clubName': 'FC Lausanne-Sport', 'clubID': '527', 'value': '€1.00m'}, {'date': 'Jun 10, 2025', 'age': '28', 'clubName': 'FC Lausanne-Sport', 'clubID': '527', 'value': '€1.20m'}, {'date': 'Dec 29, 2025', 'age': '28', 'clubName': 'FC Lausanne-Sport', 'clubID': '527', 'value': '€1.50m'}]}</t>
  </si>
  <si>
    <t>1997-02-11</t>
  </si>
  <si>
    <t>Navas</t>
  </si>
  <si>
    <t>Diop</t>
  </si>
  <si>
    <t>{'marketValueHistory': [{'date': 'Feb 27, 2020', 'age': '19', 'clubName': 'Middlesbrough FC', 'clubID': '641', 'value': '€2.00m'}, {'date': 'Apr 8, 2020', 'age': '19', 'clubName': 'Middlesbrough FC', 'clubID': '641', 'value': '€1.80m'}, {'date': 'Oct 15, 2020', 'age': '20', 'clubName': 'Middlesbrough FC', 'clubID': '641', 'value': '€2.00m'}, {'date': 'Mar 10, 2021', 'age': '20', 'clubName': 'Middlesbrough FC', 'clubID': '641', 'value': '€2.00m'}, {'date': 'Jun 30, 2021', 'age': '20', 'clubName': 'Middlesbrough FC', 'clubID': '641', 'value': '€2.00m'}, {'date': 'Nov 24, 2021', 'age': '21', 'clubName': 'Nottingham Forest', 'clubID': '703', 'value': '€2.50m'}, {'date': 'May 13, 2022', 'age': '21', 'clubName': 'Nottingham Forest', 'clubID': '703', 'value': '€8.00m'}, {'date': 'Sep 15, 2022', 'age': '22', 'clubName': 'Tottenham Hotspur', 'clubID': '148', 'value': '€13.00m'}, {'date': 'Nov 3, 2022', 'age': '22', 'clubName': 'Tottenham Hotspur', 'clubID': '148', 'value': '€13.00m'}, {'date': 'Jun 27, 2023', 'age': '22', 'clubName': 'Stade Rennais FC', 'clubID': '273', 'value': '€10.00m'}, {'date': 'Oct 27, 2023', 'age': '23', 'clubName': 'Leeds United', 'clubID': '399', 'value': '€8.00m'}, {'date': 'Dec 21, 2023', 'age': '23', 'clubName': 'Leeds United', 'clubID': '399', 'value': '€8.00m'}, {'date': 'Jun 5, 2024', 'age': '23', 'clubName': 'Genoa CFC', 'clubID': '252', 'value': '€8.00m'}, {'date': 'Dec 16, 2024', 'age': '24', 'clubName': 'Tottenham Hotspur', 'clubID': '148', 'value': '€8.00m'}, {'date': 'Mar 18, 2025', 'age': '24', 'clubName': 'Tottenham Hotspur', 'clubID': '148', 'value': '€15.00m'}, {'date': 'May 30, 2025', 'age': '24', 'clubName': 'Tottenham Hotspur', 'clubID': '148', 'value': '€20.00m'}, {'date': 'Oct 17, 2025', 'age': '25', 'clubName': 'Tottenham Hotspur', 'clubID': '148', 'value': '€30.00m'}, {'date': 'Dec 9, 2025', 'age': '25', 'clubName': 'Tottenham Hotspur', 'clubID': '148', 'value': '€32.00m'}, {'date': 'Mar 9, 2026', 'age': '25', 'clubName': 'Tottenham Hotspur', 'clubID': '148', 'value': '€30.00m'}]}</t>
  </si>
  <si>
    <t>2000-08-09</t>
  </si>
  <si>
    <t>Dier</t>
  </si>
  <si>
    <t>{'marketValueHistory': [{'date': '04/10/2004', 'age': '26', 'clubName': 'Chelsea FC', 'clubID': '631', 'value': '€30.00m'}, {'date': '10/02/2005', 'age': '26', 'clubName': 'Chelsea FC', 'clubID': '631', 'value': '€29.00m'}, {'date': '12/04/2005', 'age': '27', 'clubName': 'Chelsea FC', 'clubID': '631', 'value': '€31.00m'}, {'date': '17/10/2005', 'age': '27', 'clubName': 'Chelsea FC', 'clubID': '631', 'value': '€26.00m'}, {'date': '14/06/2006', 'age': '28', 'clubName': 'Chelsea FC', 'clubID': '631', 'value': '€24.50m'}, {'date': '25/04/2007', 'age': '29', 'clubName': 'Chelsea FC', 'clubID': '631', 'value': '€38.50m'}, {'date': '04/02/2008', 'age': '29', 'clubName': 'Chelsea FC', 'clubID': '631', 'value': '€40.00m'}, {'date': '23/02/2009', 'age': '30', 'clubName': 'Chelsea FC', 'clubID': '631', 'value': '€33.00m'}, {'date': '29/06/2009', 'age': '31', 'clubName': 'Chelsea FC', 'clubID': '631', 'value': '€35.00m'}, {'date': '25/01/2010', 'age': '31', 'clubName': 'Chelsea FC', 'clubID': '631', 'value': '€38.00m'}, {'date': '13/08/2010', 'age': '32', 'clubName': 'Chelsea FC', 'clubID': '631', 'value': '€30.00m'}, {'date': '01/02/2011', 'age': '32', 'clubName': 'Chelsea FC', 'clubID': '631', 'value': '€25.00m'}, {'date': '08/08/2011', 'age': '33', 'clubName': 'Chelsea FC', 'clubID': '631', 'value': '€17.00m'}, {'date': '06/02/2012', 'age': '33', 'clubName': 'Chelsea FC', 'clubID': '631', 'value': '€9.50m'}, {'date': '24/06/2012', 'age': '34', 'clubName': 'Chelsea FC', 'clubID': '631', 'value': '€5.50m'}, {'date': '10/07/2012', 'age': '34', 'clubName': 'Shanghai Shenhua Liansheng', 'clubID': '3183', 'value': '€3.50m'}, {'date': '08/01/2013', 'age': '34', 'clubName': 'Shanghai Shenhua Liansheng', 'clubID': '3183', 'value': '€3.00m'}, {'date': '15/06/2013', 'age': '35', 'clubName': 'Galatasaray', 'clubID': '141', 'value': '€3.00m'}, {'date': '27/01/2014', 'age': '35', 'clubName': 'Galatasaray', 'clubID': '141', 'value': '€3.00m'}, {'date': '22/07/2014', 'age': '36', 'clubName': 'Galatasaray', 'clubID': '141', 'value': '€2.25m'}, {'date': '12/02/2015', 'age': '36', 'clubName': 'Chelsea FC', 'clubID': '631', 'value': '€1.00m'}, {'date': '01/03/2016', 'age': '37', 'clubName': 'Montreal Impact', 'clubID': '4078', 'value': '€1.00m'}, {'date': '30/05/2016', 'age': '38', 'clubName': 'Montreal Impact', 'clubID': '4078', 'value': '€1.00m'}, {'date': '15/12/2016', 'age': '38', 'clubName': 'Montreal Impact', 'clubID': '4078', 'value': '€1.00m'}, {'date': '17/07/2017', 'age': '39', 'clubName': 'Phoenix Rising FC', 'clubID': '33414', 'value': '€500k'}, {'date': '20/11/2017', 'age': '39', 'clubName': 'Phoenix Rising FC', 'clubID': '33414', 'value': '€500k'}, {'date': '11/07/2018', 'age': '40', 'clubName': 'Phoenix Rising FC', 'clubID': '33414', 'value': '€500k'}, {'date': '01/12/2018', 'age': '40', 'clubName': 'Retired', 'clubID': '123', 'value': '-'}]}</t>
  </si>
  <si>
    <t>1978-03-11</t>
  </si>
  <si>
    <t>Marlos</t>
  </si>
  <si>
    <t>{'marketValueHistory': [{'date': 'Feb 18, 2008', 'age': '19', 'clubName': 'Coritiba Foot Ball Club', 'clubID': '776', 'value': '€50k'}, {'date': 'Jun 21, 2008', 'age': '20', 'clubName': 'Coritiba Foot Ball Club', 'clubID': '776', 'value': '€300k'}, {'date': 'Aug 8, 2008', 'age': '20', 'clubName': 'Coritiba Foot Ball Club', 'clubID': '776', 'value': '€400k'}, {'date': 'Oct 10, 2008', 'age': '20', 'clubName': 'Coritiba Foot Ball Club', 'clubID': '776', 'value': '€900k'}, {'date': 'Dec 12, 2008', 'age': '20', 'clubName': 'Coritiba Foot Ball Club', 'clubID': '776', 'value': '€2.00m'}, {'date': 'Dec 8, 2009', 'age': '21', 'clubName': 'São Paulo Futebol Clube', 'clubID': '585', 'value': '€1.50m'}, {'date': 'May 30, 2011', 'age': '22', 'clubName': 'São Paulo Futebol Clube', 'clubID': '585', 'value': '€1.50m'}, {'date': 'Dec 8, 2011', 'age': '23', 'clubName': 'São Paulo Futebol Clube', 'clubID': '585', 'value': '€1.50m'}, {'date': 'Jan 10, 2012', 'age': '23', 'clubName': 'CA Rentistas', 'clubID': '10632', 'value': '€3.00m'}, {'date': 'Jul 2, 2012', 'age': '24', 'clubName': 'Metalist Kharkiv', 'clubID': '6414', 'value': '€3.50m'}, {'date': 'Nov 22, 2012', 'age': '24', 'clubName': 'Metalist Kharkiv', 'clubID': '6414', 'value': '€5.50m'}, {'date': 'Jun 16, 2013', 'age': '25', 'clubName': 'Metalist Kharkiv', 'clubID': '6414', 'value': '€7.50m'}, {'date': 'Jun 30, 2014', 'age': '26', 'clubName': 'Metalist Kharkiv', 'clubID': '6414', 'value': '€7.00m'}, {'date': 'Dec 25, 2014', 'age': '26', 'clubName': 'Shakhtar Donetsk', 'clubID': '660', 'value': '€7.00m'}, {'date': 'Jun 7, 2015', 'age': '27', 'clubName': 'Shakhtar Donetsk', 'clubID': '660', 'value': '€7.00m'}, {'date': 'Dec 18, 2015', 'age': '27', 'clubName': 'Shakhtar Donetsk', 'clubID': '660', 'value': '€8.00m'}, {'date': 'Jul 21, 2016', 'age': '28', 'clubName': 'Shakhtar Donetsk', 'clubID': '660', 'value': '€10.00m'}, {'date': 'Jan 3, 2017', 'age': '28', 'clubName': 'Shakhtar Donetsk', 'clubID': '660', 'value': '€10.00m'}, {'date': 'Jun 26, 2017', 'age': '29', 'clubName': 'Shakhtar Donetsk', 'clubID': '660', 'value': '€10.00m'}, {'date': 'Jan 12, 2018', 'age': '29', 'clubName': 'Shakhtar Donetsk', 'clubID': '660', 'value': '€11.00m'}, {'date': 'Aug 6, 2018', 'age': '30', 'clubName': 'Shakhtar Donetsk', 'clubID': '660', 'value': '€11.00m'}, {'date': 'Dec 10, 2018', 'age': '30', 'clubName': 'Shakhtar Donetsk', 'clubID': '660', 'value': '€11.00m'}, {'date': 'Jun 20, 2019', 'age': '31', 'clubName': 'Shakhtar Donetsk', 'clubID': '660', 'value': '€11.00m'}, {'date': 'Jan 8, 2020', 'age': '31', 'clubName': 'Shakhtar Donetsk', 'clubID': '660', 'value': '€10.00m'}, {'date': 'Apr 8, 2020', 'age': '31', 'clubName': 'Shakhtar Donetsk', 'clubID': '660', 'value': '€8.00m'}, {'date': 'Sep 4, 2020', 'age': '32', 'clubName': 'Shakhtar Donetsk', 'clubID': '660', 'value': '€7.00m'}, {'date': 'Jan 14, 2021', 'age': '32', 'clubName': 'Shakhtar Donetsk', 'clubID': '660', 'value': '€7.00m'}, {'date': 'May 27, 2021', 'age': '32', 'clubName': 'Shakhtar Donetsk', 'clubID': '660', 'value': '€5.00m'}, {'date': 'Dec 20, 2021', 'age': '33', 'clubName': 'Shakhtar Donetsk', 'clubID': '660', 'value': '€3.50m'}, {'date': 'Apr 6, 2022', 'age': '33', 'clubName': 'Club Athletico Paranaense', 'clubID': '679', 'value': '€3.00m'}, {'date': 'Aug 19, 2022', 'age': '34', 'clubName': 'Club Athletico Paranaense', 'clubID': '679', 'value': '€2.00m'}, {'date': 'Nov 14, 2022', 'age': '34', 'clubName': 'Club Athletico Paranaense', 'clubID': '679', 'value': '€1.20m'}, {'date': 'Mar 28, 2023', 'age': '34', 'clubName': 'Without Club', 'clubID': '515', 'value': '€800k'}, {'date': 'Oct 25, 2023', 'age': '35', 'clubName': 'Without Club', 'clubID': '515', 'value': '€400k'}, {'date': 'Mar 29, 2024', 'age': '35', 'clubName': 'Without Club', 'clubID': '515', 'value': '€200k'}, {'date': 'May 1, 2024', 'age': '35', 'clubName': 'Retired', 'clubID': '123', 'value': '-'}]}</t>
  </si>
  <si>
    <t>1988-06-07</t>
  </si>
  <si>
    <t>Jovancic</t>
  </si>
  <si>
    <t>{'marketValueHistory': [{'date': '11/11/2014', 'age': '24', 'clubName': 'FK Borac Cacak', 'clubID': '2209', 'value': '€300k'}, {'date': '15/06/2015', 'age': '24', 'clubName': 'FK Borac Cacak', 'clubID': '2209', 'value': '€400k'}, {'date': '23/11/2015', 'age': '25', 'clubName': 'FK Borac Cacak', 'clubID': '2209', 'value': '€400k'}, {'date': '29/05/2016', 'age': '25', 'clubName': 'FK Vojvodina Novi Sad', 'clubID': '448', 'value': '€400k'}, {'date': '18/12/2016', 'age': '26', 'clubName': 'FK Vojvodina Novi Sad', 'clubID': '448', 'value': '€600k'}, {'date': '04/05/2017', 'age': '26', 'clubName': 'FK Vojvodina Novi Sad', 'clubID': '448', 'value': '€600k'}, {'date': '10/01/2018', 'age': '27', 'clubName': 'FK Vojvodina Novi Sad', 'clubID': '448', 'value': '€600k'}, {'date': '02/07/2018', 'age': '27', 'clubName': 'Red Star Belgrade', 'clubID': '159', 'value': '€900k'}, {'date': '14/01/2019', 'age': '28', 'clubName': 'Red Star Belgrade', 'clubID': '159', 'value': '€2.00m'}, {'date': '09/06/2019', 'age': '28', 'clubName': 'Red Star Belgrade', 'clubID': '159', 'value': '€2.50m'}, {'date': '28/10/2019', 'age': '29', 'clubName': 'Red Star Belgrade', 'clubID': '159', 'value': '€2.50m'}, {'date': '08/04/2020', 'age': '29', 'clubName': 'Red Star Belgrade', 'clubID': '159', 'value': '€2.00m'}, {'date': '28/06/2020', 'age': '29', 'clubName': 'Red Star Belgrade', 'clubID': '159', 'value': '€1.50m'}, {'date': '23/12/2020', 'age': '30', 'clubName': 'Caykur Rizespor', 'clubID': '126', 'value': '€1.10m'}, {'date': '11/06/2021', 'age': '30', 'clubName': 'Tobol Kostanay', 'clubID': '10481', 'value': '€850k'}, {'date': '30/11/2021', 'age': '31', 'clubName': 'Tobol Kostanay', 'clubID': '10481', 'value': '€800k'}, {'date': '10/06/2022', 'age': '31', 'clubName': 'Tobol Kostanay', 'clubID': '10481', 'value': '€700k'}, {'date': '25/11/2022', 'age': '32', 'clubName': 'Tobol Kostanay', 'clubID': '10481', 'value': '€500k'}, {'date': '06/06/2023', 'age': '32', 'clubName': 'FC Astana', 'clubID': '22220', 'value': '€300k'}, {'date': '15/11/2023', 'age': '33', 'clubName': 'FC Astana', 'clubID': '22220', 'value': '€250k'}, {'date': '06/03/2024', 'age': '33', 'clubName': 'AE Kifisia', 'clubID': '30120', 'value': '€200k'}, {'date': '30/05/2024', 'age': '33', 'clubName': 'AE Kifisia', 'clubID': '30120', 'value': '€150k'}, {'date': '14/11/2024', 'age': '34', 'clubName': 'Qyzyljar Petropavlovsk', 'clubID': '22995', 'value': '€150k'}, {'date': '12/06/2025', 'age': '34', 'clubName': 'FK Cukaricki', 'clubID': '6621', 'value': '€100k'}, {'date': '11/12/2025', 'age': '35', 'clubName': 'FK Cukaricki', 'clubID': '6621', 'value': '€100k'}]}</t>
  </si>
  <si>
    <t>1990-10-19</t>
  </si>
  <si>
    <t>El Shaarawy</t>
  </si>
  <si>
    <t>{'marketValueHistory': [{'date': 'Feb 3, 2009', 'age': '16', 'clubName': 'Genoa CFC', 'clubID': '252', 'value': '€100k'}, {'date': 'Aug 6, 2009', 'age': '16', 'clubName': 'Genoa CFC', 'clubID': '252', 'value': '€1.00m'}, {'date': 'Feb 9, 2010', 'age': '17', 'clubName': 'Genoa CFC', 'clubID': '252', 'value': '€600k'}, {'date': 'Oct 11, 2010', 'age': '17', 'clubName': 'Calcio Padova', 'clubID': '3037', 'value': '€1.00m'}, {'date': 'Jun 17, 2011', 'age': '18', 'clubName': 'Calcio Padova', 'clubID': '3037', 'value': '€7.00m'}, {'date': 'Jan 11, 2012', 'age': '19', 'clubName': 'AC Milan', 'clubID': '5', 'value': '€7.00m'}, {'date': 'Mar 15, 2012', 'age': '19', 'clubName': 'AC Milan', 'clubID': '5', 'value': '€8.50m'}, {'date': 'Jun 8, 2012', 'age': '19', 'clubName': 'AC Milan', 'clubID': '5', 'value': '€10.00m'}, {'date': 'Nov 7, 2012', 'age': '20', 'clubName': 'AC Milan', 'clubID': '5', 'value': '€16.00m'}, {'date': 'Jan 15, 2013', 'age': '20', 'clubName': 'AC Milan', 'clubID': '5', 'value': '€23.00m'}, {'date': 'Jun 19, 2013', 'age': '20', 'clubName': 'AC Milan', 'clubID': '5', 'value': '€27.00m'}, {'date': 'Jan 7, 2014', 'age': '21', 'clubName': 'AC Milan', 'clubID': '5', 'value': '€25.00m'}, {'date': 'Jul 1, 2014', 'age': '21', 'clubName': 'AC Milan', 'clubID': '5', 'value': '€20.00m'}, {'date': 'Nov 8, 2014', 'age': '22', 'clubName': 'AC Milan', 'clubID': '5', 'value': '€18.00m'}, {'date': 'Jan 7, 2015', 'age': '22', 'clubName': 'AC Milan', 'clubID': '5', 'value': '€17.00m'}, {'date': 'Mar 20, 2015', 'age': '22', 'clubName': 'AC Milan', 'clubID': '5', 'value': '€15.00m'}, {'date': 'Jul 1, 2015', 'age': '22', 'clubName': 'AC Milan', 'clubID': '5', 'value': '€14.00m'}, {'date': 'Feb 4, 2016', 'age': '23', 'clubName': 'AS Roma', 'clubID': '12', 'value': '€13.00m'}, {'date': 'Apr 1, 2016', 'age': '23', 'clubName': 'AS Roma', 'clubID': '12', 'value': '€15.00m'}, {'date': 'Jun 1, 2016', 'age': '23', 'clubName': 'AS Roma', 'clubID': '12', 'value': '€17.00m'}, {'date': 'Jul 15, 2016', 'age': '23', 'clubName': 'AS Roma', 'clubID': '12', 'value': '€17.00m'}, {'date': 'Jan 2, 2017', 'age': '24', 'clubName': 'AS Roma', 'clubID': '12', 'value': '€16.00m'}, {'date': 'Jun 8, 2017', 'age': '24', 'clubName': 'AS Roma', 'clubID': '12', 'value': '€17.00m'}, {'date': 'Dec 29, 2017', 'age': '25', 'clubName': 'AS Roma', 'clubID': '12', 'value': '€20.00m'}, {'date': 'Jun 7, 2018', 'age': '25', 'clubName': 'AS Roma', 'clubID': '12', 'value': '€20.00m'}, {'date': 'Dec 20, 2018', 'age': '26', 'clubName': 'AS Roma', 'clubID': '12', 'value': '€22.00m'}, {'date': 'Mar 1, 2019', 'age': '26', 'clubName': 'AS Roma', 'clubID': '12', 'value': '€26.00m'}, {'date': 'Jun 6, 2019', 'age': '26', 'clubName': 'AS Roma', 'clubID': '12', 'value': '€30.00m'}, {'date': 'Sep 5, 2019', 'age': '26', 'clubName': 'Shanghai Greenland Shenhua', 'clubID': '3183', 'value': '€25.00m'}, {'date': 'Dec 27, 2019', 'age': '27', 'clubName': 'Shanghai Greenland Shenhua', 'clubID': '3183', 'value': '€16.00m'}, {'date': 'Apr 8, 2020', 'age': '27', 'clubName': 'Shanghai Greenland Shenhua', 'clubID': '3183', 'value': '€13.00m'}, {'date': 'Aug 1, 2020', 'age': '27', 'clubName': 'Shanghai Shenhua', 'clubID': '3183', 'value': '€12.00m'}, {'date': 'Dec 26, 2020', 'age': '28', 'clubName': 'Shanghai Shenhua', 'clubID': '3183', 'value': '€8.00m'}, {'date': 'Jun 3, 2021', 'age': '28', 'clubName': 'AS Roma', 'clubID': '12', 'value': '€7.00m'}, {'date': 'Dec 28, 2021', 'age': '29', 'clubName': 'AS Roma', 'clubID': '12', 'value': '€7.00m'}, {'date': 'Jun 7, 2022', 'age': '29', 'clubName': 'AS Roma', 'clubID': '12', 'value': '€6.00m'}, {'date': 'Nov 11, 2022', 'age': '30', 'clubName': 'AS Roma', 'clubID': '12', 'value': '€5.00m'}, {'date': 'Jun 15, 2023', 'age': '30', 'clubName': 'AS Roma', 'clubID': '12', 'value': '€5.00m'}, {'date': 'Dec 20, 2023', 'age': '31', 'clubName': 'AS Roma', 'clubID': '12', 'value': '€5.00m'}, {'date': 'Jun 5, 2024', 'age': '31', 'clubName': 'AS Roma', 'clubID': '12', 'value': '€5.00m'}, {'date': 'Dec 18, 2024', 'age': '32', 'clubName': 'AS Roma', 'clubID': '12', 'value': '€5.00m'}, {'date': 'Jun 17, 2025', 'age': '32', 'clubName': 'AS Roma', 'clubID': '12', 'value': '€3.50m'}, {'date': 'Dec 23, 2025', 'age': '33', 'clubName': 'AS Roma', 'clubID': '12', 'value': '€2.50m'}]}</t>
  </si>
  <si>
    <t>1992-10-27</t>
  </si>
  <si>
    <t>Santon</t>
  </si>
  <si>
    <t>{'marketValueHistory': [{'date': '04/10/2004', 'age': '22', 'clubName': 'FC Barcelona', 'clubID': '131', 'value': '€7.50m'}, {'date': '20/01/2006', 'age': '23', 'clubName': 'FC Barcelona', 'clubID': '131', 'value': '€9.00m'}, {'date': '25/06/2007', 'age': '24', 'clubName': 'FC Barcelona', 'clubID': '131', 'value': '€7.50m'}, {'date': '11/09/2007', 'age': '25', 'clubName': 'Atlético de Madrid', 'clubID': '13', 'value': '€10.00m'}, {'date': '04/02/2008', 'age': '25', 'clubName': 'Atlético de Madrid', 'clubID': '13', 'value': '€6.00m'}, {'date': '11/07/2008', 'age': '25', 'clubName': 'Without Club', 'clubID': '515', 'value': '€5.00m'}, {'date': '03/02/2009', 'age': '26', 'clubName': 'Genoa CFC', 'clubID': '252', 'value': '€7.00m'}, {'date': '06/08/2009', 'age': '26', 'clubName': 'Inter Milan', 'clubID': '46', 'value': '€11.50m'}, {'date': '27/01/2010', 'age': '27', 'clubName': 'Inter Milan', 'clubID': '46', 'value': '€12.00m'}, {'date': '02/08/2010', 'age': '27', 'clubName': 'Inter Milan', 'clubID': '46', 'value': '€16.00m'}, {'date': '21/06/2011', 'age': '28', 'clubName': 'Inter Milan', 'clubID': '46', 'value': '€15.00m'}, {'date': '12/01/2012', 'age': '29', 'clubName': 'Inter Milan', 'clubID': '46', 'value': '€15.00m'}, {'date': '23/05/2012', 'age': '29', 'clubName': 'Paris Saint-Germain', 'clubID': '583', 'value': '€14.00m'}, {'date': '19/01/2013', 'age': '30', 'clubName': 'Paris Saint-Germain', 'clubID': '583', 'value': '€11.00m'}, {'date': '30/05/2013', 'age': '30', 'clubName': 'Paris Saint-Germain', 'clubID': '583', 'value': '€9.00m'}, {'date': '14/01/2014', 'age': '31', 'clubName': 'Paris Saint-Germain', 'clubID': '583', 'value': '€8.50m'}, {'date': '01/08/2014', 'age': '31', 'clubName': 'Paris Saint-Germain', 'clubID': '583', 'value': '€6.00m'}, {'date': '14/01/2015', 'age': '32', 'clubName': 'Paris Saint-Germain', 'clubID': '583', 'value': '€5.00m'}, {'date': '06/06/2015', 'age': '32', 'clubName': 'Paris Saint-Germain', 'clubID': '583', 'value': '€5.00m'}, {'date': '06/09/2015', 'age': '33', 'clubName': 'Paris Saint-Germain', 'clubID': '583', 'value': '€3.50m'}, {'date': '04/02/2016', 'age': '33', 'clubName': 'Paris Saint-Germain', 'clubID': '583', 'value': '€3.00m'}, {'date': '01/06/2016', 'age': '33', 'clubName': 'Paris Saint-Germain', 'clubID': '583', 'value': '€3.00m'}, {'date': '13/07/2016', 'age': '33', 'clubName': 'Paris Saint-Germain', 'clubID': '583', 'value': '€3.00m'}, {'date': '16/01/2017', 'age': '34', 'clubName': 'Paris Saint-Germain', 'clubID': '583', 'value': '€2.50m'}, {'date': '01/06/2017', 'age': '34', 'clubName': 'Paris Saint-Germain', 'clubID': '583', 'value': '€2.00m'}, {'date': '24/01/2018', 'age': '35', 'clubName': 'Paris Saint-Germain', 'clubID': '583', 'value': '€1.00m'}, {'date': '04/06/2018', 'age': '35', 'clubName': 'Paris Saint-Germain', 'clubID': '583', 'value': '€1.00m'}, {'date': '01/07/2018', 'age': '35', 'clubName': 'Retired', 'clubID': '123', 'value': '-'}]}</t>
  </si>
  <si>
    <t>1982-08-28</t>
  </si>
  <si>
    <t>Delph</t>
  </si>
  <si>
    <t>{'marketValueHistory': [{'date': 'Oct 26, 2007', 'age': '17', 'clubName': 'Leeds United U18', 'clubID': '10161', 'value': '€100k'}, {'date': 'Aug 6, 2009', 'age': '19', 'clubName': 'Aston Villa', 'clubID': '405', 'value': '€4.00m'}, {'date': 'Jan 24, 2010', 'age': '20', 'clubName': 'Aston Villa', 'clubID': '405', 'value': '€3.50m'}, {'date': 'Aug 13, 2010', 'age': '20', 'clubName': 'Aston Villa', 'clubID': '405', 'value': '€3.50m'}, {'date': 'Feb 1, 2011', 'age': '21', 'clubName': 'Aston Villa', 'clubID': '405', 'value': '€3.50m'}, {'date': 'Aug 8, 2011', 'age': '21', 'clubName': 'Aston Villa', 'clubID': '405', 'value': '€3.50m'}, {'date': 'Jun 24, 2012', 'age': '22', 'clubName': 'Aston Villa', 'clubID': '405', 'value': '€3.50m'}, {'date': 'Jan 28, 2013', 'age': '23', 'clubName': 'Aston Villa', 'clubID': '405', 'value': '€3.00m'}, {'date': 'Jul 2, 2013', 'age': '23', 'clubName': 'Aston Villa', 'clubID': '405', 'value': '€3.50m'}, {'date': 'Jan 15, 2014', 'age': '24', 'clubName': 'Aston Villa', 'clubID': '405', 'value': '€5.00m'}, {'date': 'Aug 12, 2014', 'age': '24', 'clubName': 'Aston Villa', 'clubID': '405', 'value': '€6.00m'}, {'date': 'Feb 12, 2015', 'age': '25', 'clubName': 'Aston Villa', 'clubID': '405', 'value': '€8.00m'}, {'date': 'Jul 1, 2015', 'age': '25', 'clubName': 'Aston Villa', 'clubID': '405', 'value': '€10.00m'}, {'date': 'Oct 14, 2015', 'age': '25', 'clubName': 'Manchester City', 'clubID': '281', 'value': '€10.00m'}, {'date': 'Feb 9, 2016', 'age': '26', 'clubName': 'Manchester City', 'clubID': '281', 'value': '€10.00m'}, {'date': 'Aug 1, 2016', 'age': '26', 'clubName': 'Manchester City', 'clubID': '281', 'value': '€10.00m'}, {'date': 'Feb 20, 2017', 'age': '27', 'clubName': 'Manchester City', 'clubID': '281', 'value': '€8.00m'}, {'date': 'Jun 28, 2017', 'age': '27', 'clubName': 'Manchester City', 'clubID': '281', 'value': '€8.00m'}, {'date': 'Jan 2, 2018', 'age': '28', 'clubName': 'Manchester City', 'clubID': '281', 'value': '€10.00m'}, {'date': 'May 28, 2018', 'age': '28', 'clubName': 'Manchester City', 'clubID': '281', 'value': '€15.00m'}, {'date': 'Dec 19, 2018', 'age': '29', 'clubName': 'Manchester City', 'clubID': '281', 'value': '€15.00m'}, {'date': 'Jun 13, 2019', 'age': '29', 'clubName': 'Manchester City', 'clubID': '281', 'value': '€15.00m'}, {'date': 'Dec 10, 2019', 'age': '30', 'clubName': 'Everton FC', 'clubID': '29', 'value': '€15.00m'}, {'date': 'Apr 8, 2020', 'age': '30', 'clubName': 'Everton FC', 'clubID': '29', 'value': '€12.00m'}, {'date': 'Jul 30, 2020', 'age': '30', 'clubName': 'Everton FC', 'clubID': '29', 'value': '€10.00m'}, {'date': 'Oct 13, 2020', 'age': '30', 'clubName': 'Everton FC', 'clubID': '29', 'value': '€10.00m'}, {'date': 'Dec 17, 2020', 'age': '31', 'clubName': 'Everton FC', 'clubID': '29', 'value': '€8.00m'}, {'date': 'Mar 18, 2021', 'age': '31', 'clubName': 'Everton FC', 'clubID': '29', 'value': '€5.00m'}, {'date': 'Jun 8, 2021', 'age': '31', 'clubName': 'Everton FC', 'clubID': '29', 'value': '€3.50m'}, {'date': 'Dec 23, 2021', 'age': '32', 'clubName': 'Everton FC', 'clubID': '29', 'value': '€3.00m'}, {'date': 'Jun 15, 2022', 'age': '32', 'clubName': 'Everton FC', 'clubID': '29', 'value': '€1.80m'}, {'date': 'Sep 27, 2022', 'age': '32', 'clubName': 'Retired', 'clubID': '123', 'value': '-'}]}</t>
  </si>
  <si>
    <t>1989-11-21</t>
  </si>
  <si>
    <t>Bicakcic</t>
  </si>
  <si>
    <t>{'marketValueHistory': [{'date': '02/07/2009', 'age': '19', 'clubName': 'VfB Stuttgart II', 'clubID': '102', 'value': '€50k'}, {'date': '29/05/2010', 'age': '20', 'clubName': 'VfB Stuttgart II', 'clubID': '102', 'value': '€100k'}, {'date': '12/01/2011', 'age': '20', 'clubName': 'VfB Stuttgart II', 'clubID': '102', 'value': '€250k'}, {'date': '30/05/2011', 'age': '21', 'clubName': 'VfB Stuttgart II', 'clubID': '102', 'value': '€250k'}, {'date': '16/01/2012', 'age': '21', 'clubName': 'Eintracht Braunschweig', 'clubID': '23', 'value': '€250k'}, {'date': '05/03/2012', 'age': '22', 'clubName': 'Eintracht Braunschweig', 'clubID': '23', 'value': '€400k'}, {'date': '24/06/2012', 'age': '22', 'clubName': 'Eintracht Braunschweig', 'clubID': '23', 'value': '€900k'}, {'date': '04/01/2013', 'age': '22', 'clubName': 'Eintracht Braunschweig', 'clubID': '23', 'value': '€1.50m'}, {'date': '29/06/2013', 'age': '23', 'clubName': 'Eintracht Braunschweig', 'clubID': '23', 'value': '€2.20m'}, {'date': '12/02/2014', 'age': '24', 'clubName': 'Eintracht Braunschweig', 'clubID': '23', 'value': '€2.50m'}, {'date': '10/07/2014', 'age': '24', 'clubName': 'TSG 1899 Hoffenheim', 'clubID': '533', 'value': '€3.50m'}, {'date': '04/02/2015', 'age': '25', 'clubName': 'TSG 1899 Hoffenheim', 'clubID': '533', 'value': '€3.50m'}, {'date': '01/07/2015', 'age': '25', 'clubName': 'TSG 1899 Hoffenheim', 'clubID': '533', 'value': '€3.50m'}, {'date': '15/02/2016', 'age': '26', 'clubName': 'TSG 1899 Hoffenheim', 'clubID': '533', 'value': '€3.00m'}, {'date': '22/07/2016', 'age': '26', 'clubName': 'TSG 1899 Hoffenheim', 'clubID': '533', 'value': '€2.75m'}, {'date': '07/02/2017', 'age': '27', 'clubName': 'TSG 1899 Hoffenheim', 'clubID': '533', 'value': '€2.25m'}, {'date': '19/06/2017', 'age': '27', 'clubName': 'TSG 1899 Hoffenheim', 'clubID': '533', 'value': '€2.25m'}, {'date': '28/12/2017', 'age': '27', 'clubName': 'TSG 1899 Hoffenheim', 'clubID': '533', 'value': '€2.00m'}, {'date': '05/06/2018', 'age': '28', 'clubName': 'TSG 1899 Hoffenheim', 'clubID': '533', 'value': '€2.00m'}, {'date': '18/12/2018', 'age': '28', 'clubName': 'TSG 1899 Hoffenheim', 'clubID': '533', 'value': '€4.00m'}, {'date': '05/06/2019', 'age': '29', 'clubName': 'TSG 1899 Hoffenheim', 'clubID': '533', 'value': '€4.00m'}, {'date': '17/12/2019', 'age': '29', 'clubName': 'TSG 1899 Hoffenheim', 'clubID': '533', 'value': '€3.50m'}, {'date': '08/04/2020', 'age': '30', 'clubName': 'TSG 1899 Hoffenheim', 'clubID': '533', 'value': '€2.80m'}, {'date': '16/09/2020', 'age': '30', 'clubName': 'TSG 1899 Hoffenheim', 'clubID': '533', 'value': '€2.40m'}, {'date': '10/02/2021', 'age': '31', 'clubName': 'TSG 1899 Hoffenheim', 'clubID': '533', 'value': '€1.80m'}, {'date': '09/06/2021', 'age': '31', 'clubName': 'TSG 1899 Hoffenheim', 'clubID': '533', 'value': '€1.50m'}, {'date': '22/12/2021', 'age': '31', 'clubName': 'TSG 1899 Hoffenheim', 'clubID': '533', 'value': '€1.30m'}, {'date': '09/06/2022', 'age': '32', 'clubName': 'TSG 1899 Hoffenheim', 'clubID': '533', 'value': '€1.00m'}, {'date': '09/11/2022', 'age': '32', 'clubName': 'TSG 1899 Hoffenheim', 'clubID': '533', 'value': '€1.00m'}, {'date': '22/06/2023', 'age': '33', 'clubName': 'TSG 1899 Hoffenheim', 'clubID': '533', 'value': '€700k'}, {'date': '25/10/2023', 'age': '33', 'clubName': 'Eintracht Braunschweig', 'clubID': '23', 'value': '€400k'}, {'date': '15/12/2023', 'age': '33', 'clubName': 'Eintracht Braunschweig', 'clubID': '23', 'value': '€400k'}, {'date': '06/06/2024', 'age': '34', 'clubName': 'Eintracht Braunschweig', 'clubID': '23', 'value': '€400k'}, {'date': '19/12/2024', 'age': '34', 'clubName': 'Eintracht Braunschweig', 'clubID': '23', 'value': '€400k'}, {'date': '19/06/2025', 'age': '35', 'clubName': 'Eintracht Braunschweig', 'clubID': '23', 'value': '€400k'}, {'date': '21/10/2025', 'age': '35', 'clubName': 'Without Club', 'clubID': '515', 'value': '€300k'}, {'date': '04/03/2026', 'age': '36', 'clubName': 'FK Zeljeznicar Sarajevo', 'clubID': '2573', 'value': '€250k'}]}</t>
  </si>
  <si>
    <t>1990-01-24</t>
  </si>
  <si>
    <t>A. Valencia</t>
  </si>
  <si>
    <t>{'marketValueHistory': [{'date': 'Mar 20, 2006', 'age': '20', 'clubName': 'Recreativo Huelva', 'clubID': '2867', 'value': '€2.25m'}, {'date': 'Aug 3, 2007', 'age': '21', 'clubName': 'Wigan Athletic', 'clubID': '1071', 'value': '€2.00m'}, {'date': 'Jan 15, 2008', 'age': '22', 'clubName': 'Villarreal CF', 'clubID': '1050', 'value': '€2.50m'}, {'date': 'Jul 4, 2008', 'age': '22', 'clubName': 'Wigan Athletic', 'clubID': '1071', 'value': '€4.50m'}, {'date': 'Feb 23, 2009', 'age': '23', 'clubName': 'Wigan Athletic', 'clubID': '1071', 'value': '€7.50m'}, {'date': 'Jun 26, 2009', 'age': '23', 'clubName': 'Wigan Athletic', 'clubID': '1071', 'value': '€11.00m'}, {'date': 'Aug 6, 2009', 'age': '24', 'clubName': 'Manchester United', 'clubID': '985', 'value': '€14.00m'}, {'date': 'Jan 25, 2010', 'age': '24', 'clubName': 'Manchester United', 'clubID': '985', 'value': '€17.50m'}, {'date': 'Aug 13, 2010', 'age': '25', 'clubName': 'Manchester United', 'clubID': '985', 'value': '€19.00m'}, {'date': 'Feb 1, 2011', 'age': '25', 'clubName': 'Manchester United', 'clubID': '985', 'value': '€19.00m'}, {'date': 'Aug 8, 2011', 'age': '26', 'clubName': 'Manchester United', 'clubID': '985', 'value': '€21.00m'}, {'date': 'Feb 6, 2012', 'age': '26', 'clubName': 'Manchester United', 'clubID': '985', 'value': '€25.00m'}, {'date': 'Jun 24, 2012', 'age': '26', 'clubName': 'Manchester United', 'clubID': '985', 'value': '€27.50m'}, {'date': 'Jan 28, 2013', 'age': '27', 'clubName': 'Manchester United', 'clubID': '985', 'value': '€24.00m'}, {'date': 'Jul 2, 2013', 'age': '27', 'clubName': 'Manchester United', 'clubID': '985', 'value': '€19.00m'}, {'date': 'Jan 15, 2014', 'age': '28', 'clubName': 'Manchester United', 'clubID': '985', 'value': '€16.00m'}, {'date': 'Aug 12, 2014', 'age': '29', 'clubName': 'Manchester United', 'clubID': '985', 'value': '€13.00m'}, {'date': 'Feb 12, 2015', 'age': '29', 'clubName': 'Manchester United', 'clubID': '985', 'value': '€10.00m'}, {'date': 'Jul 1, 2015', 'age': '29', 'clubName': 'Manchester United', 'clubID': '985', 'value': '€10.00m'}, {'date': 'Feb 9, 2016', 'age': '30', 'clubName': 'Manchester United', 'clubID': '985', 'value': '€8.00m'}, {'date': 'Aug 1, 2016', 'age': '30', 'clubName': 'Manchester United', 'clubID': '985', 'value': '€8.00m'}, {'date': 'Feb 20, 2017', 'age': '31', 'clubName': 'Manchester United', 'clubID': '985', 'value': '€8.00m'}, {'date': 'Jun 28, 2017', 'age': '31', 'clubName': 'Manchester United', 'clubID': '985', 'value': '€10.00m'}, {'date': 'Jan 2, 2018', 'age': '32', 'clubName': 'Manchester United', 'clubID': '985', 'value': '€10.00m'}, {'date': 'May 28, 2018', 'age': '32', 'clubName': 'Manchester United', 'clubID': '985', 'value': '€8.00m'}, {'date': 'Dec 19, 2018', 'age': '33', 'clubName': 'Manchester United', 'clubID': '985', 'value': '€7.00m'}, {'date': 'Jun 13, 2019', 'age': '33', 'clubName': 'Manchester United', 'clubID': '985', 'value': '€5.00m'}, {'date': 'Dec 30, 2019', 'age': '34', 'clubName': 'LDU Quito', 'clubID': '9855', 'value': '€4.00m'}, {'date': 'Apr 8, 2020', 'age': '34', 'clubName': 'LDU Quito', 'clubID': '9855', 'value': '€3.20m'}, {'date': 'Oct 14, 2020', 'age': '35', 'clubName': 'Without Club', 'clubID': '515', 'value': '€2.50m'}, {'date': 'Apr 21, 2021', 'age': '35', 'clubName': 'Querétaro FC', 'clubID': '4961', 'value': '€1.80m'}, {'date': 'May 12, 2021', 'age': '35', 'clubName': 'Retired', 'clubID': '123', 'value': '-'}]}</t>
  </si>
  <si>
    <t>Ecuador</t>
  </si>
  <si>
    <t>1985-08-04</t>
  </si>
  <si>
    <t>Isco</t>
  </si>
  <si>
    <t>{'marketValueHistory': [{'date': 'Jul 29, 2011', 'age': '19', 'clubName': 'Málaga CF', 'clubID': '1084', 'value': '€2.00m'}, {'date': 'Feb 3, 2012', 'age': '19', 'clubName': 'Málaga CF', 'clubID': '1084', 'value': '€6.00m'}, {'date': 'Apr 14, 2012', 'age': '19', 'clubName': 'Málaga CF', 'clubID': '1084', 'value': '€8.00m'}, {'date': 'Aug 7, 2012', 'age': '20', 'clubName': 'Málaga CF', 'clubID': '1084', 'value': '€12.00m'}, {'date': 'Nov 3, 2012', 'age': '20', 'clubName': 'Málaga CF', 'clubID': '1084', 'value': '€15.00m'}, {'date': 'Jan 11, 2013', 'age': '20', 'clubName': 'Málaga CF', 'clubID': '1084', 'value': '€20.00m'}, {'date': 'Jun 12, 2013', 'age': '21', 'clubName': 'Málaga CF', 'clubID': '1084', 'value': '€25.00m'}, {'date': 'Jul 25, 2013', 'age': '21', 'clubName': 'Real Madrid', 'clubID': '418', 'value': '€30.00m'}, {'date': 'Sep 17, 2013', 'age': '21', 'clubName': 'Real Madrid', 'clubID': '418', 'value': '€35.00m'}, {'date': 'Jan 23, 2014', 'age': '21', 'clubName': 'Real Madrid', 'clubID': '418', 'value': '€35.00m'}, {'date': 'Jul 20, 2014', 'age': '22', 'clubName': 'Real Madrid', 'clubID': '418', 'value': '€35.00m'}, {'date': 'Jan 23, 2015', 'age': '22', 'clubName': 'Real Madrid', 'clubID': '418', 'value': '€45.00m'}, {'date': 'Jul 1, 2015', 'age': '23', 'clubName': 'Real Madrid', 'clubID': '418', 'value': '€45.00m'}, {'date': 'Feb 22, 2016', 'age': '23', 'clubName': 'Real Madrid', 'clubID': '418', 'value': '€45.00m'}, {'date': 'Apr 7, 2016', 'age': '23', 'clubName': 'Real Madrid', 'clubID': '418', 'value': '€40.00m'}, {'date': 'Jul 15, 2016', 'age': '24', 'clubName': 'Real Madrid', 'clubID': '418', 'value': '€35.00m'}, {'date': 'Jan 24, 2017', 'age': '24', 'clubName': 'Real Madrid', 'clubID': '418', 'value': '€35.00m'}, {'date': 'Jun 5, 2017', 'age': '25', 'clubName': 'Real Madrid', 'clubID': '418', 'value': '€40.00m'}, {'date': 'Jan 1, 2018', 'age': '25', 'clubName': 'Real Madrid', 'clubID': '418', 'value': '€75.00m'}, {'date': 'May 30, 2018', 'age': '26', 'clubName': 'Real Madrid', 'clubID': '418', 'value': '€75.00m'}, {'date': 'Oct 31, 2018', 'age': '26', 'clubName': 'Real Madrid', 'clubID': '418', 'value': '€90.00m'}, {'date': 'Dec 21, 2018', 'age': '26', 'clubName': 'Real Madrid', 'clubID': '418', 'value': '€75.00m'}, {'date': 'Feb 28, 2019', 'age': '26', 'clubName': 'Real Madrid', 'clubID': '418', 'value': '€60.00m'}, {'date': 'Jun 11, 2019', 'age': '27', 'clubName': 'Real Madrid', 'clubID': '418', 'value': '€60.00m'}, {'date': 'Dec 20, 2019', 'age': '27', 'clubName': 'Real Madrid', 'clubID': '418', 'value': '€50.00m'}, {'date': 'Apr 8, 2020', 'age': '27', 'clubName': 'Real Madrid', 'clubID': '418', 'value': '€40.00m'}, {'date': 'Oct 8, 2020', 'age': '28', 'clubName': 'Real Madrid', 'clubID': '418', 'value': '€30.00m'}, {'date': 'Nov 23, 2020', 'age': '28', 'clubName': 'Real Madrid', 'clubID': '418', 'value': '€20.00m'}, {'date': 'Jan 5, 2021', 'age': '28', 'clubName': 'Real Madrid', 'clubID': '418', 'value': '€20.00m'}, {'date': 'Jun 10, 2021', 'age': '29', 'clubName': 'Real Madrid', 'clubID': '418', 'value': '€18.00m'}, {'date': 'Oct 13, 2021', 'age': '29', 'clubName': 'Real Madrid', 'clubID': '418', 'value': '€15.00m'}, {'date': 'Dec 30, 2021', 'age': '29', 'clubName': 'Real Madrid', 'clubID': '418', 'value': '€9.00m'}, {'date': 'Mar 21, 2022', 'age': '29', 'clubName': 'Real Madrid', 'clubID': '418', 'value': '€7.50m'}, {'date': 'Jun 3, 2022', 'age': '30', 'clubName': 'Real Madrid', 'clubID': '418', 'value': '€7.50m'}, {'date': 'Nov 7, 2022', 'age': '30', 'clubName': 'Sevilla FC', 'clubID': '368', 'value': '€9.00m'}, {'date': 'Mar 28, 2023', 'age': '30', 'clubName': 'Without Club', 'clubID': '515', 'value': '€5.00m'}, {'date': 'Oct 13, 2023', 'age': '31', 'clubName': 'Real Betis Balompié', 'clubID': '150', 'value': '€8.00m'}, {'date': 'Dec 22, 2023', 'age': '31', 'clubName': 'Real Betis Balompié', 'clubID': '150', 'value': '€8.00m'}, {'date': 'Jun 7, 2024', 'age': '32', 'clubName': 'Real Betis Balompié', 'clubID': '150', 'value': '€8.00m'}, {'date': 'Dec 27, 2024', 'age': '32', 'clubName': 'Real Betis Balompié', 'clubID': '150', 'value': '€6.00m'}, {'date': 'Jun 9, 2025', 'age': '33', 'clubName': 'Real Betis Balompié', 'clubID': '150', 'value': '€6.00m'}, {'date': 'Oct 2, 2025', 'age': '33', 'clubName': 'Real Betis Balompié', 'clubID': '150', 'value': '€5.00m'}, {'date': 'Dec 12, 2025', 'age': '33', 'clubName': 'Real Betis Balompié', 'clubID': '150', 'value': '€4.00m'}]}</t>
  </si>
  <si>
    <t>1992-04-21</t>
  </si>
  <si>
    <t>Wober</t>
  </si>
  <si>
    <t>{'marketValueHistory': [{'date': '02/02/2016', 'age': '17', 'clubName': 'Rapid Vienna', 'clubID': '170', 'value': '€200k'}, {'date': '01/06/2016', 'age': '18', 'clubName': 'Rapid Vienna', 'clubID': '170', 'value': '€200k'}, {'date': '22/12/2016', 'age': '18', 'clubName': 'Rapid Vienna', 'clubID': '170', 'value': '€400k'}, {'date': '02/06/2017', 'age': '19', 'clubName': 'Rapid Vienna', 'clubID': '170', 'value': '€700k'}, {'date': '26/10/2017', 'age': '19', 'clubName': 'Ajax Amsterdam', 'clubID': '610', 'value': '€4.00m'}, {'date': '17/01/2018', 'age': '19', 'clubName': 'Ajax Amsterdam', 'clubID': '610', 'value': '€7.00m'}, {'date': '12/06/2018', 'age': '20', 'clubName': 'Ajax Amsterdam', 'clubID': '610', 'value': '€8.00m'}, {'date': '28/12/2018', 'age': '20', 'clubName': 'Ajax Amsterdam', 'clubID': '610', 'value': '€8.00m'}, {'date': '28/02/2019', 'age': '21', 'clubName': 'Sevilla FC', 'clubID': '368', 'value': '€10.00m'}, {'date': '11/06/2019', 'age': '21', 'clubName': 'Sevilla FC', 'clubID': '368', 'value': '€10.00m'}, {'date': '16/12/2019', 'age': '21', 'clubName': 'Red Bull Salzburg', 'clubID': '409', 'value': '€10.00m'}, {'date': '08/04/2020', 'age': '22', 'clubName': 'Red Bull Salzburg', 'clubID': '409', 'value': '€9.00m'}, {'date': '22/07/2020', 'age': '22', 'clubName': 'Red Bull Salzburg', 'clubID': '409', 'value': '€9.00m'}, {'date': '21/12/2020', 'age': '22', 'clubName': 'Red Bull Salzburg', 'clubID': '409', 'value': '€9.00m'}, {'date': '02/06/2021', 'age': '23', 'clubName': 'Red Bull Salzburg', 'clubID': '409', 'value': '€8.00m'}, {'date': '16/12/2021', 'age': '23', 'clubName': 'Red Bull Salzburg', 'clubID': '409', 'value': '€8.00m'}, {'date': '27/05/2022', 'age': '24', 'clubName': 'Red Bull Salzburg', 'clubID': '409', 'value': '€12.00m'}, {'date': '10/11/2022', 'age': '24', 'clubName': 'Red Bull Salzburg', 'clubID': '409', 'value': '€12.00m'}, {'date': '20/06/2023', 'age': '25', 'clubName': 'Leeds United', 'clubID': '399', 'value': '€14.00m'}, {'date': '14/12/2023', 'age': '25', 'clubName': 'Borussia Mönchengladbach', 'clubID': '18', 'value': '€14.00m'}, {'date': '29/05/2024', 'age': '26', 'clubName': 'Borussia Mönchengladbach', 'clubID': '18', 'value': '€10.00m'}, {'date': '30/12/2024', 'age': '26', 'clubName': 'Leeds United', 'clubID': '399', 'value': '€8.00m'}, {'date': '27/05/2025', 'age': '27', 'clubName': 'Leeds United', 'clubID': '399', 'value': '€8.00m'}, {'date': '14/10/2025', 'age': '27', 'clubName': 'SV Werder Bremen', 'clubID': '86', 'value': '€5.00m'}, {'date': '19/12/2025', 'age': '27', 'clubName': 'SV Werder Bremen', 'clubID': '86', 'value': '€4.00m'}, {'date': '20/03/2026', 'age': '28', 'clubName': 'SV Werder Bremen', 'clubID': '86', 'value': '€3.00m'}]}</t>
  </si>
  <si>
    <t>1998-02-04</t>
  </si>
  <si>
    <t>Schick</t>
  </si>
  <si>
    <t>{'marketValueHistory': [{'date': 'May 8, 2014', 'age': '18', 'clubName': 'AC Sparta Prague U19', 'clubID': '197', 'value': '€200k'}, {'date': 'Jan 17, 2015', 'age': '18', 'clubName': 'AC Sparta Prague', 'clubID': '197', 'value': '€200k'}, {'date': 'Oct 15, 2015', 'age': '19', 'clubName': 'Bohemians Prague 1905', 'clubID': '715', 'value': '€350k'}, {'date': 'Mar 18, 2016', 'age': '20', 'clubName': 'Bohemians Prague 1905', 'clubID': '715', 'value': '€500k'}, {'date': 'Jul 15, 2016', 'age': '20', 'clubName': 'UC Sampdoria', 'clubID': '1038', 'value': '€3.00m'}, {'date': 'Jan 2, 2017', 'age': '20', 'clubName': 'UC Sampdoria', 'clubID': '1038', 'value': '€3.50m'}, {'date': 'Mar 28, 2017', 'age': '21', 'clubName': 'UC Sampdoria', 'clubID': '1038', 'value': '€7.00m'}, {'date': 'Jun 8, 2017', 'age': '21', 'clubName': 'UC Sampdoria', 'clubID': '1038', 'value': '€15.00m'}, {'date': 'Oct 13, 2017', 'age': '21', 'clubName': 'AS Roma', 'clubID': '12', 'value': '€20.00m'}, {'date': 'Dec 29, 2017', 'age': '21', 'clubName': 'AS Roma', 'clubID': '12', 'value': '€20.00m'}, {'date': 'Jun 7, 2018', 'age': '22', 'clubName': 'AS Roma', 'clubID': '12', 'value': '€20.00m'}, {'date': 'Oct 12, 2018', 'age': '22', 'clubName': 'AS Roma', 'clubID': '12', 'value': '€18.00m'}, {'date': 'Dec 20, 2018', 'age': '22', 'clubName': 'AS Roma', 'clubID': '12', 'value': '€15.00m'}, {'date': 'Jun 6, 2019', 'age': '23', 'clubName': 'AS Roma', 'clubID': '12', 'value': '€15.00m'}, {'date': 'Dec 17, 2019', 'age': '23', 'clubName': 'RB Leipzig', 'clubID': '23826', 'value': '€15.00m'}, {'date': 'Mar 11, 2020', 'age': '24', 'clubName': 'RB Leipzig', 'clubID': '23826', 'value': '€25.00m'}, {'date': 'Apr 8, 2020', 'age': '24', 'clubName': 'RB Leipzig', 'clubID': '23826', 'value': '€20.00m'}, {'date': 'Jul 8, 2020', 'age': '24', 'clubName': 'RB Leipzig', 'clubID': '23826', 'value': '€25.00m'}, {'date': 'Feb 10, 2021', 'age': '25', 'clubName': 'Bayer 04 Leverkusen', 'clubID': '15', 'value': '€25.00m'}, {'date': 'May 28, 2021', 'age': '25', 'clubName': 'Bayer 04 Leverkusen', 'clubID': '15', 'value': '€23.00m'}, {'date': 'Jul 15, 2021', 'age': '25', 'clubName': 'Bayer 04 Leverkusen', 'clubID': '15', 'value': '€28.00m'}, {'date': 'Dec 22, 2021', 'age': '25', 'clubName': 'Bayer 04 Leverkusen', 'clubID': '15', 'value': '€40.00m'}, {'date': 'Jun 9, 2022', 'age': '26', 'clubName': 'Bayer 04 Leverkusen', 'clubID': '15', 'value': '€50.00m'}, {'date': 'Nov 9, 2022', 'age': '26', 'clubName': 'Bayer 04 Leverkusen', 'clubID': '15', 'value': '€38.00m'}, {'date': 'Mar 29, 2023', 'age': '27', 'clubName': 'Bayer 04 Leverkusen', 'clubID': '15', 'value': '€30.00m'}, {'date': 'Jun 22, 2023', 'age': '27', 'clubName': 'Bayer 04 Leverkusen', 'clubID': '15', 'value': '€25.00m'}, {'date': 'Dec 14, 2023', 'age': '27', 'clubName': 'Bayer 04 Leverkusen', 'clubID': '15', 'value': '€22.00m'}, {'date': 'May 29, 2024', 'age': '28', 'clubName': 'Bayer 04 Leverkusen', 'clubID': '15', 'value': '€22.00m'}, {'date': 'Dec 20, 2024', 'age': '28', 'clubName': 'Bayer 04 Leverkusen', 'clubID': '15', 'value': '€22.00m'}, {'date': 'Mar 27, 2025', 'age': '29', 'clubName': 'Bayer 04 Leverkusen', 'clubID': '15', 'value': '€27.00m'}, {'date': 'Jun 5, 2025', 'age': '29', 'clubName': 'Bayer 04 Leverkusen', 'clubID': '15', 'value': '€27.00m'}, {'date': 'Dec 19, 2025', 'age': '29', 'clubName': 'Bayer 04 Leverkusen', 'clubID': '15', 'value': '€25.00m'}, {'date': 'Mar 20, 2026', 'age': '30', 'clubName': 'Bayer 04 Leverkusen', 'clubID': '15', 'value': '€20.00m'}]}</t>
  </si>
  <si>
    <t>1996-01-24</t>
  </si>
  <si>
    <t>Ait Bennasser</t>
  </si>
  <si>
    <t>{'marketValueHistory': [{'date': '06/09/2015', 'age': '19', 'clubName': 'AS Nancy-Lorraine', 'clubID': '1159', 'value': '€300k'}, {'date': '04/02/2016', 'age': '19', 'clubName': 'AS Nancy-Lorraine', 'clubID': '1159', 'value': '€2.00m'}, {'date': '13/07/2016', 'age': '20', 'clubName': 'AS Nancy-Lorraine', 'clubID': '1159', 'value': '€2.50m'}, {'date': '16/01/2017', 'age': '20', 'clubName': 'AS Nancy-Lorraine', 'clubID': '1159', 'value': '€2.50m'}, {'date': '01/06/2017', 'age': '20', 'clubName': 'AS Nancy-Lorraine', 'clubID': '1159', 'value': '€3.00m'}, {'date': '24/01/2018', 'age': '21', 'clubName': 'SM Caen', 'clubID': '1162', 'value': '€5.00m'}, {'date': '04/06/2018', 'age': '21', 'clubName': 'SM Caen', 'clubID': '1162', 'value': '€7.00m'}, {'date': '17/12/2018', 'age': '22', 'clubName': 'AS Monaco', 'clubID': '162', 'value': '€10.00m'}, {'date': '03/06/2019', 'age': '22', 'clubName': 'AS Saint-Étienne', 'clubID': '618', 'value': '€10.00m'}, {'date': '27/09/2019', 'age': '23', 'clubName': 'FC Girondins Bordeaux', 'clubID': '40', 'value': '€7.00m'}, {'date': '19/12/2019', 'age': '23', 'clubName': 'FC Girondins Bordeaux', 'clubID': '40', 'value': '€6.00m'}, {'date': '08/04/2020', 'age': '23', 'clubName': 'FC Girondins Bordeaux', 'clubID': '40', 'value': '€4.80m'}, {'date': '15/10/2020', 'age': '24', 'clubName': 'AS Monaco', 'clubID': '162', 'value': '€4.00m'}, {'date': '07/01/2021', 'age': '24', 'clubName': 'AS Monaco', 'clubID': '162', 'value': '€3.00m'}, {'date': '09/04/2021', 'age': '24', 'clubName': 'AS Monaco', 'clubID': '162', 'value': '€2.00m'}, {'date': '04/06/2021', 'age': '24', 'clubName': 'AS Monaco', 'clubID': '162', 'value': '€2.00m'}, {'date': '22/10/2021', 'age': '25', 'clubName': 'Adanaspor', 'clubID': '6', 'value': '€1.00m'}, {'date': '17/01/2022', 'age': '25', 'clubName': 'Adanaspor', 'clubID': '6', 'value': '€875k'}, {'date': '10/06/2022', 'age': '25', 'clubName': 'Adanaspor', 'clubID': '6', 'value': '€725k'}, {'date': '15/11/2022', 'age': '26', 'clubName': 'Adanaspor', 'clubID': '6', 'value': '€750k'}, {'date': '03/04/2023', 'age': '26', 'clubName': 'Samsunspor', 'clubID': '152', 'value': '€800k'}, {'date': '23/06/2023', 'age': '26', 'clubName': 'Samsunspor', 'clubID': '152', 'value': '€800k'}, {'date': '27/09/2023', 'age': '27', 'clubName': 'Samsunspor', 'clubID': '152', 'value': '€600k'}, {'date': '21/12/2023', 'age': '27', 'clubName': 'Samsunspor', 'clubID': '152', 'value': '€500k'}, {'date': '15/03/2024', 'age': '27', 'clubName': 'Samsunspor', 'clubID': '152', 'value': '€700k'}, {'date': '31/05/2024', 'age': '27', 'clubName': 'Samsunspor', 'clubID': '152', 'value': '€700k'}, {'date': '04/10/2024', 'age': '28', 'clubName': 'Samsunspor', 'clubID': '152', 'value': '€700k'}, {'date': '23/12/2024', 'age': '28', 'clubName': 'Samsunspor', 'clubID': '152', 'value': '€1.00m'}, {'date': '20/03/2025', 'age': '28', 'clubName': 'Samsunspor', 'clubID': '152', 'value': '€1.20m'}, {'date': '18/06/2025', 'age': '28', 'clubName': 'Samsunspor', 'clubID': '152', 'value': '€1.30m'}, {'date': '01/10/2025', 'age': '29', 'clubName': 'Kayserispor', 'clubID': '3205', 'value': '€1.00m'}, {'date': '17/12/2025', 'age': '29', 'clubName': 'Kayserispor', 'clubID': '3205', 'value': '€1.00m'}]}</t>
  </si>
  <si>
    <t>1996-07-07</t>
  </si>
  <si>
    <t>De Bruyne</t>
  </si>
  <si>
    <t>{'marketValueHistory': [{'date': 'Oct 22, 2008', 'age': '17', 'clubName': 'KRC Genk', 'clubID': '1184', 'value': '€100k'}, {'date': 'Sep 4, 2009', 'age': '18', 'clubName': 'KRC Genk', 'clubID': '1184', 'value': '€400k'}, {'date': 'Dec 7, 2009', 'age': '18', 'clubName': 'KRC Genk', 'clubID': '1184', 'value': '€650k'}, {'date': 'Mar 9, 2010', 'age': '18', 'clubName': 'KRC Genk', 'clubID': '1184', 'value': '€800k'}, {'date': 'Apr 14, 2010', 'age': '18', 'clubName': 'KRC Genk', 'clubID': '1184', 'value': '€1.20m'}, {'date': 'Jul 28, 2010', 'age': '19', 'clubName': 'KRC Genk', 'clubID': '1184', 'value': '€2.50m'}, {'date': 'Oct 6, 2010', 'age': '19', 'clubName': 'KRC Genk', 'clubID': '1184', 'value': '€3.50m'}, {'date': 'Dec 28, 2010', 'age': '19', 'clubName': 'KRC Genk', 'clubID': '1184', 'value': '€5.00m'}, {'date': 'May 24, 2011', 'age': '19', 'clubName': 'KRC Genk', 'clubID': '1184', 'value': '€7.00m'}, {'date': 'Jan 5, 2012', 'age': '20', 'clubName': 'KRC Genk', 'clubID': '1184', 'value': '€9.00m'}, {'date': 'Jan 13, 2013', 'age': '21', 'clubName': 'SV Werder Bremen', 'clubID': '86', 'value': '€10.00m'}, {'date': 'Jul 2, 2013', 'age': '22', 'clubName': 'Chelsea FC', 'clubID': '631', 'value': '€15.00m'}, {'date': 'Sep 18, 2013', 'age': '22', 'clubName': 'Chelsea FC', 'clubID': '631', 'value': '€17.00m'}, {'date': 'Jan 15, 2014', 'age': '22', 'clubName': 'Chelsea FC', 'clubID': '631', 'value': '€15.00m'}, {'date': 'Feb 12, 2014', 'age': '22', 'clubName': 'VfL Wolfsburg', 'clubID': '82', 'value': '€17.00m'}, {'date': 'Jul 10, 2014', 'age': '23', 'clubName': 'VfL Wolfsburg', 'clubID': '82', 'value': '€20.00m'}, {'date': 'Feb 4, 2015', 'age': '23', 'clubName': 'VfL Wolfsburg', 'clubID': '82', 'value': '€28.00m'}, {'date': 'Mar 29, 2015', 'age': '23', 'clubName': 'VfL Wolfsburg', 'clubID': '82', 'value': '€35.00m'}, {'date': 'Jul 1, 2015', 'age': '24', 'clubName': 'VfL Wolfsburg', 'clubID': '82', 'value': '€45.00m'}, {'date': 'Oct 14, 2015', 'age': '24', 'clubName': 'Manchester City', 'clubID': '281', 'value': '€60.00m'}, {'date': 'Feb 9, 2016', 'age': '24', 'clubName': 'Manchester City', 'clubID': '281', 'value': '€60.00m'}, {'date': 'Jun 1, 2016', 'age': '24', 'clubName': 'Manchester City', 'clubID': '281', 'value': '€60.00m'}, {'date': 'Aug 1, 2016', 'age': '25', 'clubName': 'Manchester City', 'clubID': '281', 'value': '€60.00m'}, {'date': 'Feb 20, 2017', 'age': '25', 'clubName': 'Manchester City', 'clubID': '281', 'value': '€65.00m'}, {'date': 'Jun 28, 2017', 'age': '26', 'clubName': 'Manchester City', 'clubID': '281', 'value': '€65.00m'}, {'date': 'Oct 23, 2017', 'age': '26', 'clubName': 'Manchester City', 'clubID': '281', 'value': '€75.00m'}, {'date': 'Jan 2, 2018', 'age': '26', 'clubName': 'Manchester City', 'clubID': '281', 'value': '€110.00m'}, {'date': 'May 28, 2018', 'age': '26', 'clubName': 'Manchester City', 'clubID': '281', 'value': '€150.00m'}, {'date': 'Dec 19, 2018', 'age': '27', 'clubName': 'Manchester City', 'clubID': '281', 'value': '€150.00m'}, {'date': 'Jun 13, 2019', 'age': '27', 'clubName': 'Manchester City', 'clubID': '281', 'value': '€130.00m'}, {'date': 'Dec 10, 2019', 'age': '28', 'clubName': 'Manchester City', 'clubID': '281', 'value': '€150.00m'}, {'date': 'Apr 8, 2020', 'age': '28', 'clubName': 'Manchester City', 'clubID': '281', 'value': '€120.00m'}, {'date': 'Oct 13, 2020', 'age': '29', 'clubName': 'Manchester City', 'clubID': '281', 'value': '€120.00m'}, {'date': 'Mar 18, 2021', 'age': '29', 'clubName': 'Manchester City', 'clubID': '281', 'value': '€100.00m'}, {'date': 'May 26, 2021', 'age': '29', 'clubName': 'Manchester City', 'clubID': '281', 'value': '€100.00m'}, {'date': 'Dec 23, 2021', 'age': '30', 'clubName': 'Manchester City', 'clubID': '281', 'value': '€90.00m'}, {'date': 'Jun 15, 2022', 'age': '30', 'clubName': 'Manchester City', 'clubID': '281', 'value': '€85.00m'}, {'date': 'Nov 3, 2022', 'age': '31', 'clubName': 'Manchester City', 'clubID': '281', 'value': '€80.00m'}, {'date': 'Jun 20, 2023', 'age': '31', 'clubName': 'Manchester City', 'clubID': '281', 'value': '€70.00m'}, {'date': 'Dec 19, 2023', 'age': '32', 'clubName': 'Manchester City', 'clubID': '281', 'value': '€60.00m'}, {'date': 'May 27, 2024', 'age': '32', 'clubName': 'Manchester City', 'clubID': '281', 'value': '€50.00m'}, {'date': 'Oct 1, 2024', 'age': '33', 'clubName': 'Manchester City', 'clubID': '281', 'value': '€45.00m'}, {'date': 'Dec 16, 2024', 'age': '33', 'clubName': 'Manchester City', 'clubID': '281', 'value': '€35.00m'}, {'date': 'Mar 18, 2025', 'age': '33', 'clubName': 'Manchester City', 'clubID': '281', 'value': '€27.00m'}, {'date': 'May 30, 2025', 'age': '33', 'clubName': 'Manchester City', 'clubID': '281', 'value': '€20.00m'}, {'date': 'Dec 23, 2025', 'age': '34', 'clubName': 'SSC Napoli', 'clubID': '6195', 'value': '€15.00m'}, {'date': 'Mar 24, 2026', 'age': '34', 'clubName': 'SSC Napoli', 'clubID': '6195', 'value': '€10.00m'}]}</t>
  </si>
  <si>
    <t>1991-06-28</t>
  </si>
  <si>
    <t>Chory</t>
  </si>
  <si>
    <t>{'marketValueHistory': [{'date': '07/08/2007', 'age': '22', 'clubName': 'RCD Mallorca', 'clubID': '237', 'value': '€2.50m'}, {'date': '27/08/2007', 'age': '22', 'clubName': 'RCD Mallorca', 'clubID': '237', 'value': '€3.00m'}, {'date': '11/09/2007', 'age': '22', 'clubName': 'RCD Mallorca', 'clubID': '237', 'value': '€2.50m'}, {'date': '04/02/2008', 'age': '23', 'clubName': 'RCD Mallorca', 'clubID': '237', 'value': '€2.40m'}, {'date': '15/07/2008', 'age': '23', 'clubName': 'RCD Mallorca', 'clubID': '237', 'value': '€2.20m'}, {'date': '22/01/2009', 'age': '24', 'clubName': 'RCD Mallorca', 'clubID': '237', 'value': '€2.20m'}, {'date': '23/07/2009', 'age': '24', 'clubName': 'RCD Mallorca', 'clubID': '237', 'value': '€2.60m'}, {'date': '01/12/2009', 'age': '25', 'clubName': 'RCD Mallorca', 'clubID': '237', 'value': '€3.00m'}, {'date': '08/04/2010', 'age': '25', 'clubName': 'RCD Mallorca', 'clubID': '237', 'value': '€5.00m'}, {'date': '20/08/2010', 'age': '25', 'clubName': 'RCD Mallorca', 'clubID': '237', 'value': '€6.00m'}, {'date': '04/02/2011', 'age': '26', 'clubName': 'RCD Mallorca', 'clubID': '237', 'value': '€6.00m'}, {'date': '29/07/2011', 'age': '26', 'clubName': 'RCD Mallorca', 'clubID': '237', 'value': '€6.00m'}, {'date': '05/02/2012', 'age': '27', 'clubName': 'RCD Mallorca', 'clubID': '237', 'value': '€6.00m'}, {'date': '07/08/2012', 'age': '27', 'clubName': 'Real Sociedad', 'clubID': '681', 'value': '€6.00m'}, {'date': '11/01/2013', 'age': '28', 'clubName': 'Real Sociedad', 'clubID': '681', 'value': '€6.00m'}, {'date': '12/06/2013', 'age': '28', 'clubName': 'Real Sociedad', 'clubID': '681', 'value': '€7.00m'}, {'date': '23/01/2014', 'age': '29', 'clubName': 'Real Sociedad', 'clubID': '681', 'value': '€6.00m'}, {'date': '20/07/2014', 'age': '29', 'clubName': 'Real Sociedad', 'clubID': '681', 'value': '€6.00m'}, {'date': '23/01/2015', 'age': '30', 'clubName': 'Real Sociedad', 'clubID': '681', 'value': '€5.00m'}, {'date': '01/07/2015', 'age': '30', 'clubName': 'Real Sociedad', 'clubID': '681', 'value': '€5.00m'}, {'date': '22/11/2015', 'age': '31', 'clubName': 'Real Sociedad', 'clubID': '681', 'value': '€4.00m'}, {'date': '22/02/2016', 'age': '31', 'clubName': 'Málaga CF', 'clubID': '1084', 'value': '€2.50m'}, {'date': '15/07/2016', 'age': '31', 'clubName': 'Málaga CF', 'clubID': '1084', 'value': '€2.50m'}, {'date': '24/01/2017', 'age': '32', 'clubName': 'Málaga CF', 'clubID': '1084', 'value': '€1.80m'}, {'date': '05/06/2017', 'age': '32', 'clubName': 'Málaga CF', 'clubID': '1084', 'value': '€1.50m'}, {'date': '01/01/2018', 'age': '33', 'clubName': 'Málaga CF', 'clubID': '1084', 'value': '€1.50m'}, {'date': '22/03/2018', 'age': '33', 'clubName': 'Málaga CF', 'clubID': '1084', 'value': '€1.00m'}, {'date': '30/05/2018', 'age': '33', 'clubName': 'Málaga CF', 'clubID': '1084', 'value': '€800k'}, {'date': '03/03/2019', 'age': '34', 'clubName': 'Club Nacional', 'clubID': '866', 'value': '€200k'}, {'date': '06/01/2020', 'age': '35', 'clubName': 'Club Nacional', 'clubID': '866', 'value': '€75k'}, {'date': '02/01/2021', 'age': '36', 'clubName': 'Without Club', 'clubID': '515', 'value': '€75k'}, {'date': '10/09/2021', 'age': '36', 'clubName': 'CA River Plate Montevideo', 'clubID': '2419', 'value': '€50k'}, {'date': '01/01/2022', 'age': '37', 'clubName': 'CA River Plate Montevideo', 'clubID': '2419', 'value': '€50k'}, {'date': '02/06/2022', 'age': '37', 'clubName': 'CA River Plate Montevideo', 'clubID': '2419', 'value': '€50k'}, {'date': '12/11/2022', 'age': '38', 'clubName': 'CA River Plate Montevideo', 'clubID': '2419', 'value': '€25k'}, {'date': '10/07/2023', 'age': '38', 'clubName': 'CA River Plate Montevideo', 'clubID': '2419', 'value': '€25k'}, {'date': '28/12/2023', 'age': '39', 'clubName': 'Club Nacional', 'clubID': '866', 'value': '-'}]}</t>
  </si>
  <si>
    <t>1984-09-14</t>
  </si>
  <si>
    <t>Salvio</t>
  </si>
  <si>
    <t>{'marketValueHistory': [{'date': 'Dec 20, 2008', 'age': '18', 'clubName': 'CA Lanús', 'clubID': '333', 'value': '€1.80m'}, {'date': 'May 14, 2009', 'age': '18', 'clubName': 'CA Lanús', 'clubID': '333', 'value': '€2.50m'}, {'date': 'Oct 6, 2009', 'age': '19', 'clubName': 'CA Lanús', 'clubID': '333', 'value': '€3.50m'}, {'date': 'Jan 21, 2010', 'age': '19', 'clubName': 'Atlético de Madrid', 'clubID': '13', 'value': '€5.50m'}, {'date': 'Apr 12, 2010', 'age': '19', 'clubName': 'Atlético de Madrid', 'clubID': '13', 'value': '€6.00m'}, {'date': 'Feb 4, 2011', 'age': '20', 'clubName': 'SL Benfica', 'clubID': '294', 'value': '€7.20m'}, {'date': 'Jun 15, 2011', 'age': '20', 'clubName': 'SL Benfica', 'clubID': '294', 'value': '€10.00m'}, {'date': 'Jul 29, 2011', 'age': '21', 'clubName': 'Atlético de Madrid', 'clubID': '13', 'value': '€10.00m'}, {'date': 'Feb 3, 2012', 'age': '21', 'clubName': 'Atlético de Madrid', 'clubID': '13', 'value': '€10.00m'}, {'date': 'Nov 10, 2012', 'age': '22', 'clubName': 'SL Benfica', 'clubID': '294', 'value': '€11.50m'}, {'date': 'Mar 27, 2013', 'age': '22', 'clubName': 'SL Benfica', 'clubID': '294', 'value': '€14.00m'}, {'date': 'Jul 2, 2013', 'age': '22', 'clubName': 'SL Benfica', 'clubID': '294', 'value': '€17.00m'}, {'date': 'Jul 25, 2014', 'age': '24', 'clubName': 'SL Benfica', 'clubID': '294', 'value': '€17.00m'}, {'date': 'Feb 17, 2015', 'age': '24', 'clubName': 'SL Benfica', 'clubID': '294', 'value': '€19.50m'}, {'date': 'Jul 1, 2015', 'age': '24', 'clubName': 'SL Benfica', 'clubID': '294', 'value': '€22.00m'}, {'date': 'Feb 24, 2016', 'age': '25', 'clubName': 'SL Benfica', 'clubID': '294', 'value': '€18.00m'}, {'date': 'Jul 29, 2016', 'age': '26', 'clubName': 'SL Benfica', 'clubID': '294', 'value': '€15.00m'}, {'date': 'Feb 22, 2017', 'age': '26', 'clubName': 'SL Benfica', 'clubID': '294', 'value': '€16.00m'}, {'date': 'Jun 26, 2017', 'age': '26', 'clubName': 'SL Benfica', 'clubID': '294', 'value': '€18.00m'}, {'date': 'Feb 7, 2018', 'age': '27', 'clubName': 'SL Benfica', 'clubID': '294', 'value': '€20.00m'}, {'date': 'Jun 13, 2018', 'age': '27', 'clubName': 'SL Benfica', 'clubID': '294', 'value': '€22.00m'}, {'date': 'Jan 11, 2019', 'age': '28', 'clubName': 'SL Benfica', 'clubID': '294', 'value': '€17.00m'}, {'date': 'Jun 7, 2019', 'age': '28', 'clubName': 'SL Benfica', 'clubID': '294', 'value': '€10.00m'}, {'date': 'Aug 6, 2019', 'age': '29', 'clubName': 'CA Boca Juniors', 'clubID': '189', 'value': '€8.00m'}, {'date': 'Dec 5, 2019', 'age': '29', 'clubName': 'CA Boca Juniors', 'clubID': '189', 'value': '€8.00m'}, {'date': 'Apr 8, 2020', 'age': '29', 'clubName': 'CA Boca Juniors', 'clubID': '189', 'value': '€6.50m'}, {'date': 'Feb 8, 2021', 'age': '30', 'clubName': 'CA Boca Juniors', 'clubID': '189', 'value': '€7.00m'}, {'date': 'Oct 20, 2021', 'age': '31', 'clubName': 'CA Boca Juniors', 'clubID': '189', 'value': '€4.80m'}, {'date': 'May 24, 2022', 'age': '31', 'clubName': 'CA Boca Juniors', 'clubID': '189', 'value': '€3.80m'}, {'date': 'Sep 8, 2022', 'age': '32', 'clubName': 'UNAM Pumas', 'clubID': '7633', 'value': '€3.50m'}, {'date': 'Oct 31, 2022', 'age': '32', 'clubName': 'UNAM Pumas', 'clubID': '7633', 'value': '€3.50m'}, {'date': 'Mar 30, 2023', 'age': '32', 'clubName': 'UNAM Pumas', 'clubID': '7633', 'value': '€2.50m'}, {'date': 'Jun 29, 2023', 'age': '32', 'clubName': 'UNAM Pumas', 'clubID': '7633', 'value': '€2.20m'}, {'date': 'Dec 29, 2023', 'age': '33', 'clubName': 'UNAM Pumas', 'clubID': '7633', 'value': '€1.80m'}, {'date': 'Jun 14, 2024', 'age': '33', 'clubName': 'UNAM Pumas', 'clubID': '7633', 'value': '€1.50m'}, {'date': 'Dec 13, 2024', 'age': '34', 'clubName': 'CA Lanús', 'clubID': '333', 'value': '€1.30m'}, {'date': 'Apr 2, 2025', 'age': '34', 'clubName': 'CA Lanús', 'clubID': '333', 'value': '€1.20m'}, {'date': 'Jun 2, 2025', 'age': '34', 'clubName': 'CA Lanús', 'clubID': '333', 'value': '€1.00m'}, {'date': 'Dec 17, 2025', 'age': '35', 'clubName': 'CA Lanús', 'clubID': '333', 'value': '€900k'}]}</t>
  </si>
  <si>
    <t>1990-07-13</t>
  </si>
  <si>
    <t>Keita</t>
  </si>
  <si>
    <t>{'marketValueHistory': [{'date': '04/07/2014', 'age': '19', 'clubName': 'Red Bull Salzburg', 'clubID': '409', 'value': '€1.00m'}, {'date': '11/01/2015', 'age': '19', 'clubName': 'Red Bull Salzburg', 'clubID': '409', 'value': '€1.50m'}, {'date': '17/06/2015', 'age': '20', 'clubName': 'Red Bull Salzburg', 'clubID': '409', 'value': '€3.00m'}, {'date': '29/12/2015', 'age': '20', 'clubName': 'Red Bull Salzburg', 'clubID': '409', 'value': '€7.50m'}, {'date': '01/06/2016', 'age': '21', 'clubName': 'Red Bull Salzburg', 'clubID': '409', 'value': '€11.00m'}, {'date': '07/02/2017', 'age': '21', 'clubName': 'RB Leipzig', 'clubID': '23826', 'value': '€18.00m'}, {'date': '22/03/2017', 'age': '22', 'clubName': 'RB Leipzig', 'clubID': '23826', 'value': '€22.00m'}, {'date': '19/06/2017', 'age': '22', 'clubName': 'RB Leipzig', 'clubID': '23826', 'value': '€27.00m'}, {'date': '18/10/2017', 'age': '22', 'clubName': 'RB Leipzig', 'clubID': '23826', 'value': '€50.00m'}, {'date': '28/12/2017', 'age': '22', 'clubName': 'RB Leipzig', 'clubID': '23826', 'value': '€50.00m'}, {'date': '04/04/2018', 'age': '23', 'clubName': 'RB Leipzig', 'clubID': '23826', 'value': '€65.00m'}, {'date': '05/06/2018', 'age': '23', 'clubName': 'RB Leipzig', 'clubID': '23826', 'value': '€65.00m'}, {'date': '19/12/2018', 'age': '23', 'clubName': 'Liverpool FC', 'clubID': '31', 'value': '€65.00m'}, {'date': '13/06/2019', 'age': '24', 'clubName': 'Liverpool FC', 'clubID': '31', 'value': '€60.00m'}, {'date': '12/09/2019', 'age': '24', 'clubName': 'Liverpool FC', 'clubID': '31', 'value': '€50.00m'}, {'date': '10/12/2019', 'age': '24', 'clubName': 'Liverpool FC', 'clubID': '31', 'value': '€42.00m'}, {'date': '08/04/2020', 'age': '25', 'clubName': 'Liverpool FC', 'clubID': '31', 'value': '€33.50m'}, {'date': '30/07/2020', 'age': '25', 'clubName': 'Liverpool FC', 'clubID': '31', 'value': '€40.00m'}, {'date': '13/10/2020', 'age': '25', 'clubName': 'Liverpool FC', 'clubID': '31', 'value': '€40.00m'}, {'date': '18/03/2021', 'age': '26', 'clubName': 'Liverpool FC', 'clubID': '31', 'value': '€38.00m'}, {'date': '08/06/2021', 'age': '26', 'clubName': 'Liverpool FC', 'clubID': '31', 'value': '€32.00m'}, {'date': '23/12/2021', 'age': '26', 'clubName': 'Liverpool FC', 'clubID': '31', 'value': '€30.00m'}, {'date': '15/06/2022', 'age': '27', 'clubName': 'Liverpool FC', 'clubID': '31', 'value': '€25.00m'}, {'date': '03/11/2022', 'age': '27', 'clubName': 'Liverpool FC', 'clubID': '31', 'value': '€20.00m'}, {'date': '16/03/2023', 'age': '28', 'clubName': 'Liverpool FC', 'clubID': '31', 'value': '€17.00m'}, {'date': '20/06/2023', 'age': '28', 'clubName': 'Liverpool FC', 'clubID': '31', 'value': '€12.00m'}, {'date': '18/10/2023', 'age': '28', 'clubName': 'SV Werder Bremen', 'clubID': '86', 'value': '€9.00m'}, {'date': '14/12/2023', 'age': '28', 'clubName': 'SV Werder Bremen', 'clubID': '86', 'value': '€6.00m'}, {'date': '27/03/2024', 'age': '29', 'clubName': 'SV Werder Bremen', 'clubID': '86', 'value': '€4.00m'}, {'date': '29/05/2024', 'age': '29', 'clubName': 'SV Werder Bremen', 'clubID': '86', 'value': '€2.00m'}, {'date': '09/10/2024', 'age': '29', 'clubName': 'SV Werder Bremen', 'clubID': '86', 'value': '€1.00m'}, {'date': '20/12/2024', 'age': '29', 'clubName': 'SV Werder Bremen', 'clubID': '86', 'value': '€1.00m'}, {'date': '28/05/2025', 'age': '30', 'clubName': 'Ferencvárosi TC', 'clubID': '279', 'value': '€1.00m'}, {'date': '08/12/2025', 'age': '30', 'clubName': 'Ferencvárosi TC', 'clubID': '279', 'value': '€1.50m'}]}</t>
  </si>
  <si>
    <t>Guinea</t>
  </si>
  <si>
    <t>1995-02-10</t>
  </si>
  <si>
    <t>S. Srnic</t>
  </si>
  <si>
    <t>{'marketValueHistory': [{'date': 'Nov 16, 2010', 'age': '18', 'clubName': 'Red Star Belgrade', 'clubID': '159', 'value': '€150k'}, {'date': 'Apr 19, 2011', 'age': '19', 'clubName': 'Red Star Belgrade', 'clubID': '159', 'value': '€200k'}, {'date': 'Oct 26, 2011', 'age': '19', 'clubName': 'FK Sopot Belgrad', 'clubID': '25070', 'value': '€200k'}, {'date': 'Nov 15, 2013', 'age': '21', 'clubName': 'FK Cukaricki', 'clubID': '6621', 'value': '€600k'}, {'date': 'Nov 11, 2014', 'age': '22', 'clubName': 'FK Cukaricki', 'clubID': '6621', 'value': '€800k'}, {'date': 'Jun 15, 2015', 'age': '23', 'clubName': 'FK Cukaricki', 'clubID': '6621', 'value': '€1.25m'}, {'date': 'Nov 23, 2015', 'age': '23', 'clubName': 'Red Star Belgrade', 'clubID': '159', 'value': '€1.50m'}, {'date': 'May 29, 2016', 'age': '24', 'clubName': 'Red Star Belgrade', 'clubID': '159', 'value': '€1.75m'}, {'date': 'Dec 18, 2016', 'age': '24', 'clubName': 'Red Star Belgrade', 'clubID': '159', 'value': '€1.50m'}, {'date': 'May 4, 2017', 'age': '25', 'clubName': 'Red Star Belgrade', 'clubID': '159', 'value': '€1.10m'}, {'date': 'Jan 10, 2018', 'age': '25', 'clubName': 'Red Star Belgrade', 'clubID': '159', 'value': '€1.75m'}, {'date': 'Jul 2, 2018', 'age': '26', 'clubName': 'Red Star Belgrade', 'clubID': '159', 'value': '€2.00m'}, {'date': 'Jan 14, 2019', 'age': '27', 'clubName': 'Red Star Belgrade', 'clubID': '159', 'value': '€1.75m'}, {'date': 'Feb 19, 2019', 'age': '27', 'clubName': 'UD Las Palmas', 'clubID': '472', 'value': '€1.00m'}, {'date': 'Jun 29, 2019', 'age': '27', 'clubName': 'UD Las Palmas', 'clubID': '472', 'value': '€600k'}, {'date': 'Dec 20, 2019', 'age': '27', 'clubName': 'UD Las Palmas', 'clubID': '472', 'value': '€600k'}, {'date': 'Apr 8, 2020', 'age': '28', 'clubName': 'UD Las Palmas', 'clubID': '472', 'value': '€475k'}, {'date': 'Oct 8, 2020', 'age': '28', 'clubName': 'Without Club', 'clubID': '515', 'value': '€400k'}, {'date': 'Jun 12, 2021', 'age': '29', 'clubName': 'Red Star Belgrade', 'clubID': '159', 'value': '€700k'}, {'date': 'Dec 25, 2021', 'age': '29', 'clubName': 'Red Star Belgrade', 'clubID': '159', 'value': '€700k'}, {'date': 'Jun 26, 2022', 'age': '30', 'clubName': 'Red Star Belgrade', 'clubID': '159', 'value': '€1.00m'}, {'date': 'Nov 18, 2022', 'age': '30', 'clubName': 'Red Star Belgrade', 'clubID': '159', 'value': '€800k'}, {'date': 'Jun 22, 2023', 'age': '31', 'clubName': 'Red Star Belgrade', 'clubID': '159', 'value': '€500k'}, {'date': 'Sep 29, 2023', 'age': '31', 'clubName': 'AEL Limassol', 'clubID': '786', 'value': '€450k'}, {'date': 'Dec 28, 2023', 'age': '31', 'clubName': 'AEL Limassol', 'clubID': '786', 'value': '€425k'}, {'date': 'Mar 26, 2024', 'age': '32', 'clubName': 'AEL Limassol', 'clubID': '786', 'value': '€400k'}, {'date': 'May 17, 2024', 'age': '32', 'clubName': 'AEL Limassol', 'clubID': '786', 'value': '€350k'}, {'date': 'Sep 27, 2024', 'age': '32', 'clubName': 'Al-Dhafra FC', 'clubID': '14456', 'value': '-'}, {'date': 'Mar 25, 2025', 'age': '33', 'clubName': 'FK Cukaricki', 'clubID': '6621', 'value': '€100k'}, {'date': 'Jun 12, 2025', 'age': '33', 'clubName': 'FK Cukaricki', 'clubID': '6621', 'value': '€100k'}, {'date': 'Sep 16, 2025', 'age': '33', 'clubName': 'FK Cukaricki', 'clubID': '6621', 'value': '€75k'}, {'date': 'Dec 11, 2025', 'age': '33', 'clubName': 'FK Cukaricki', 'clubID': '6621', 'value': '€75k'}]}</t>
  </si>
  <si>
    <t>Dalot</t>
  </si>
  <si>
    <t>{'marketValueHistory': [{'date': '30/09/2016', 'age': '17', 'clubName': 'FC Porto U19', 'clubID': '9844', 'value': '€50k'}, {'date': '30/06/2017', 'age': '18', 'clubName': 'FC Porto B', 'clubID': '10331', 'value': '€350k'}, {'date': '08/09/2017', 'age': '18', 'clubName': 'FC Porto B', 'clubID': '10331', 'value': '€600k'}, {'date': '23/02/2018', 'age': '18', 'clubName': 'FC Porto', 'clubID': '720', 'value': '€1.75m'}, {'date': '16/04/2018', 'age': '19', 'clubName': 'FC Porto', 'clubID': '720', 'value': '€7.00m'}, {'date': '13/06/2018', 'age': '19', 'clubName': 'FC Porto', 'clubID': '720', 'value': '€15.00m'}, {'date': '19/12/2018', 'age': '19', 'clubName': 'Manchester United', 'clubID': '985', 'value': '€15.00m'}, {'date': '13/06/2019', 'age': '20', 'clubName': 'Manchester United', 'clubID': '985', 'value': '€20.00m'}, {'date': '10/12/2019', 'age': '20', 'clubName': 'Manchester United', 'clubID': '985', 'value': '€20.00m'}, {'date': '08/04/2020', 'age': '21', 'clubName': 'Manchester United', 'clubID': '985', 'value': '€18.00m'}, {'date': '30/07/2020', 'age': '21', 'clubName': 'Manchester United', 'clubID': '985', 'value': '€12.00m'}, {'date': '29/12/2020', 'age': '21', 'clubName': 'AC Milan', 'clubID': '5', 'value': '€12.00m'}, {'date': '23/03/2021', 'age': '22', 'clubName': 'AC Milan', 'clubID': '5', 'value': '€10.00m'}, {'date': '03/06/2021', 'age': '22', 'clubName': 'AC Milan', 'clubID': '5', 'value': '€10.00m'}, {'date': '23/12/2021', 'age': '22', 'clubName': 'Manchester United', 'clubID': '985', 'value': '€12.00m'}, {'date': '29/03/2022', 'age': '23', 'clubName': 'Manchester United', 'clubID': '985', 'value': '€18.00m'}, {'date': '15/06/2022', 'age': '23', 'clubName': 'Manchester United', 'clubID': '985', 'value': '€20.00m'}, {'date': '15/09/2022', 'age': '23', 'clubName': 'Manchester United', 'clubID': '985', 'value': '€28.00m'}, {'date': '03/11/2022', 'age': '23', 'clubName': 'Manchester United', 'clubID': '985', 'value': '€32.00m'}, {'date': '16/03/2023', 'age': '23', 'clubName': 'Manchester United', 'clubID': '985', 'value': '€35.00m'}, {'date': '20/06/2023', 'age': '24', 'clubName': 'Manchester United', 'clubID': '985', 'value': '€40.00m'}, {'date': '19/12/2023', 'age': '24', 'clubName': 'Manchester United', 'clubID': '985', 'value': '€35.00m'}, {'date': '27/05/2024', 'age': '25', 'clubName': 'Manchester United', 'clubID': '985', 'value': '€35.00m'}, {'date': '01/10/2024', 'age': '25', 'clubName': 'Manchester United', 'clubID': '985', 'value': '€40.00m'}, {'date': '16/12/2024', 'age': '25', 'clubName': 'Manchester United', 'clubID': '985', 'value': '€40.00m'}, {'date': '18/03/2025', 'age': '26', 'clubName': 'Manchester United', 'clubID': '985', 'value': '€35.00m'}, {'date': '30/05/2025', 'age': '26', 'clubName': 'Manchester United', 'clubID': '985', 'value': '€30.00m'}, {'date': '17/10/2025', 'age': '26', 'clubName': 'Manchester United', 'clubID': '985', 'value': '€28.00m'}, {'date': '09/12/2025', 'age': '26', 'clubName': 'Manchester United', 'clubID': '985', 'value': '€28.00m'}, {'date': '09/03/2026', 'age': '26', 'clubName': 'Manchester United', 'clubID': '985', 'value': '€30.00m'}]}</t>
  </si>
  <si>
    <t>1999-03-18</t>
  </si>
  <si>
    <t>Krmencik</t>
  </si>
  <si>
    <t>{'marketValueHistory': [{'date': 'May 30, 2011', 'age': '18', 'clubName': 'FC Viktoria Plzen', 'clubID': '941', 'value': '€50k'}, {'date': 'Aug 12, 2011', 'age': '18', 'clubName': 'FC Viktoria Plzen', 'clubID': '941', 'value': '€100k'}, {'date': 'Mar 31, 2013', 'age': '20', 'clubName': 'FK Caslav', 'clubID': '11116', 'value': '€125k'}, {'date': 'Apr 17, 2014', 'age': '21', 'clubName': 'FC Banik Ostrava', 'clubID': '377', 'value': '€200k'}, {'date': 'Sep 3, 2014', 'age': '21', 'clubName': 'FK Dukla Prague', 'clubID': '450', 'value': '€250k'}, {'date': 'Oct 14, 2015', 'age': '22', 'clubName': 'FK Dukla Prague', 'clubID': '450', 'value': '€250k'}, {'date': 'Aug 3, 2016', 'age': '23', 'clubName': 'FC Viktoria Plzen', 'clubID': '941', 'value': '€500k'}, {'date': 'Oct 16, 2016', 'age': '23', 'clubName': 'FC Viktoria Plzen', 'clubID': '941', 'value': '€750k'}, {'date': 'Dec 19, 2016', 'age': '23', 'clubName': 'FC Viktoria Plzen', 'clubID': '941', 'value': '€1.00m'}, {'date': 'Apr 15, 2017', 'age': '24', 'clubName': 'FC Viktoria Plzen', 'clubID': '941', 'value': '€1.30m'}, {'date': 'Jun 10, 2017', 'age': '24', 'clubName': 'FC Viktoria Plzen', 'clubID': '941', 'value': '€1.50m'}, {'date': 'Sep 12, 2017', 'age': '24', 'clubName': 'FC Viktoria Plzen', 'clubID': '941', 'value': '€1.75m'}, {'date': 'Oct 7, 2017', 'age': '24', 'clubName': 'FC Viktoria Plzen', 'clubID': '941', 'value': '€2.25m'}, {'date': 'Dec 21, 2017', 'age': '24', 'clubName': 'FC Viktoria Plzen', 'clubID': '941', 'value': '€3.50m'}, {'date': 'Jul 14, 2018', 'age': '25', 'clubName': 'FC Viktoria Plzen', 'clubID': '941', 'value': '€3.50m'}, {'date': 'Oct 29, 2018', 'age': '25', 'clubName': 'FC Viktoria Plzen', 'clubID': '941', 'value': '€4.00m'}, {'date': 'Dec 30, 2018', 'age': '25', 'clubName': 'FC Viktoria Plzen', 'clubID': '941', 'value': '€4.00m'}, {'date': 'Jun 25, 2019', 'age': '26', 'clubName': 'FC Viktoria Plzen', 'clubID': '941', 'value': '€4.00m'}, {'date': 'Sep 25, 2019', 'age': '26', 'clubName': 'FC Viktoria Plzen', 'clubID': '941', 'value': '€3.50m'}, {'date': 'Dec 7, 2019', 'age': '26', 'clubName': 'FC Viktoria Plzen', 'clubID': '941', 'value': '€3.50m'}, {'date': 'Feb 11, 2020', 'age': '26', 'clubName': 'Club Brugge KV', 'clubID': '2282', 'value': '€4.50m'}, {'date': 'Apr 8, 2020', 'age': '27', 'clubName': 'Club Brugge KV', 'clubID': '2282', 'value': '€3.50m'}, {'date': 'Oct 16, 2020', 'age': '27', 'clubName': 'Club Brugge KV', 'clubID': '2282', 'value': '€4.50m'}, {'date': 'Jan 4, 2021', 'age': '27', 'clubName': 'PAOK Thessaloniki', 'clubID': '1091', 'value': '€4.00m'}, {'date': 'May 28, 2021', 'age': '28', 'clubName': 'PAOK Thessaloniki', 'clubID': '1091', 'value': '€4.00m'}, {'date': 'Oct 12, 2021', 'age': '28', 'clubName': 'SK Slavia Prague', 'clubID': '62', 'value': '€3.50m'}, {'date': 'Dec 26, 2021', 'age': '28', 'clubName': 'SK Slavia Prague', 'clubID': '62', 'value': '€2.50m'}, {'date': 'Jun 22, 2022', 'age': '29', 'clubName': 'SK Slavia Prague', 'clubID': '62', 'value': '€1.50m'}, {'date': 'Mar 10, 2023', 'age': '29', 'clubName': 'Persija Jakarta', 'clubID': '14107', 'value': '€900k'}, {'date': 'Sep 29, 2023', 'age': '30', 'clubName': 'Apollon Limassol', 'clubID': '429', 'value': '€800k'}, {'date': 'Dec 28, 2023', 'age': '30', 'clubName': 'Apollon Limassol', 'clubID': '429', 'value': '€700k'}, {'date': 'Mar 26, 2024', 'age': '31', 'clubName': 'Apollon Limassol', 'clubID': '429', 'value': '€650k'}, {'date': 'May 17, 2024', 'age': '31', 'clubName': 'Apollon Limassol', 'clubID': '429', 'value': '€450k'}, {'date': 'Dec 20, 2024', 'age': '31', 'clubName': '1.FC Slovacko', 'clubID': '5544', 'value': '€350k'}, {'date': 'Apr 1, 2025', 'age': '32', 'clubName': '1.FC Slovacko', 'clubID': '5544', 'value': '€300k'}, {'date': 'Jun 17, 2025', 'age': '32', 'clubName': '1.FC Slovacko', 'clubID': '5544', 'value': '€275k'}, {'date': 'Sep 23, 2025', 'age': '32', 'clubName': '1.FC Slovacko', 'clubID': '5544', 'value': '€225k'}, {'date': 'Dec 22, 2025', 'age': '32', 'clubName': '1.FC Slovacko', 'clubID': '5544', 'value': '€200k'}, {'date': 'Mar 24, 2026', 'age': '33', 'clubName': '1.FC Slovacko', 'clubID': '5544', 'value': '€175k'}]}</t>
  </si>
  <si>
    <t>Rudy</t>
  </si>
  <si>
    <t>{'marketValueHistory': [{'date': '23/04/2008', 'age': '18', 'clubName': 'VfB Stuttgart II', 'clubID': '102', 'value': '€50k'}, {'date': '11/07/2008', 'age': '18', 'clubName': 'VfB Stuttgart', 'clubID': '79', 'value': '€200k'}, {'date': '21/01/2009', 'age': '18', 'clubName': 'VfB Stuttgart', 'clubID': '79', 'value': '€400k'}, {'date': '30/08/2009', 'age': '19', 'clubName': 'VfB Stuttgart', 'clubID': '79', 'value': '€800k'}, {'date': '09/11/2009', 'age': '19', 'clubName': 'VfB Stuttgart', 'clubID': '79', 'value': '€1.00m'}, {'date': '17/01/2010', 'age': '19', 'clubName': 'VfB Stuttgart', 'clubID': '79', 'value': '€1.50m'}, {'date': '25/08/2010', 'age': '20', 'clubName': 'TSG 1899 Hoffenheim', 'clubID': '533', 'value': '€4.00m'}, {'date': '12/01/2011', 'age': '20', 'clubName': 'TSG 1899 Hoffenheim', 'clubID': '533', 'value': '€5.00m'}, {'date': '29/06/2011', 'age': '21', 'clubName': 'TSG 1899 Hoffenheim', 'clubID': '533', 'value': '€6.50m'}, {'date': '23/01/2012', 'age': '21', 'clubName': 'TSG 1899 Hoffenheim', 'clubID': '533', 'value': '€6.50m'}, {'date': '29/06/2012', 'age': '22', 'clubName': 'TSG 1899 Hoffenheim', 'clubID': '533', 'value': '€5.50m'}, {'date': '13/01/2013', 'age': '22', 'clubName': 'TSG 1899 Hoffenheim', 'clubID': '533', 'value': '€5.00m'}, {'date': '11/03/2013', 'age': '23', 'clubName': 'TSG 1899 Hoffenheim', 'clubID': '533', 'value': '€4.00m'}, {'date': '30/06/2013', 'age': '23', 'clubName': 'TSG 1899 Hoffenheim', 'clubID': '533', 'value': '€4.00m'}, {'date': '12/02/2014', 'age': '23', 'clubName': 'TSG 1899 Hoffenheim', 'clubID': '533', 'value': '€3.00m'}, {'date': '10/07/2014', 'age': '24', 'clubName': 'TSG 1899 Hoffenheim', 'clubID': '533', 'value': '€3.00m'}, {'date': '03/11/2014', 'age': '24', 'clubName': 'TSG 1899 Hoffenheim', 'clubID': '533', 'value': '€4.50m'}, {'date': '04/02/2015', 'age': '24', 'clubName': 'TSG 1899 Hoffenheim', 'clubID': '533', 'value': '€5.00m'}, {'date': '01/07/2015', 'age': '25', 'clubName': 'TSG 1899 Hoffenheim', 'clubID': '533', 'value': '€5.00m'}, {'date': '15/02/2016', 'age': '25', 'clubName': 'TSG 1899 Hoffenheim', 'clubID': '533', 'value': '€4.00m'}, {'date': '22/07/2016', 'age': '26', 'clubName': 'TSG 1899 Hoffenheim', 'clubID': '533', 'value': '€4.00m'}, {'date': '07/02/2017', 'age': '26', 'clubName': 'TSG 1899 Hoffenheim', 'clubID': '533', 'value': '€6.50m'}, {'date': '19/06/2017', 'age': '27', 'clubName': 'TSG 1899 Hoffenheim', 'clubID': '533', 'value': '€8.00m'}, {'date': '18/10/2017', 'age': '27', 'clubName': 'Bayern Munich', 'clubID': '27', 'value': '€12.00m'}, {'date': '28/12/2017', 'age': '27', 'clubName': 'Bayern Munich', 'clubID': '27', 'value': '€15.00m'}, {'date': '05/06/2018', 'age': '28', 'clubName': 'Bayern Munich', 'clubID': '27', 'value': '€15.00m'}, {'date': '18/12/2018', 'age': '28', 'clubName': 'FC Schalke 04', 'clubID': '33', 'value': '€14.00m'}, {'date': '06/03/2019', 'age': '29', 'clubName': 'FC Schalke 04', 'clubID': '33', 'value': '€11.00m'}, {'date': '05/06/2019', 'age': '29', 'clubName': 'FC Schalke 04', 'clubID': '33', 'value': '€9.00m'}, {'date': '02/10/2019', 'age': '29', 'clubName': 'TSG 1899 Hoffenheim', 'clubID': '533', 'value': '€6.50m'}, {'date': '17/12/2019', 'age': '29', 'clubName': 'TSG 1899 Hoffenheim', 'clubID': '533', 'value': '€6.50m'}, {'date': '08/04/2020', 'age': '30', 'clubName': 'TSG 1899 Hoffenheim', 'clubID': '533', 'value': '€5.20m'}, {'date': '16/09/2020', 'age': '30', 'clubName': 'FC Schalke 04', 'clubID': '33', 'value': '€4.50m'}, {'date': '10/02/2021', 'age': '30', 'clubName': 'TSG 1899 Hoffenheim', 'clubID': '533', 'value': '€4.00m'}, {'date': '09/06/2021', 'age': '31', 'clubName': 'TSG 1899 Hoffenheim', 'clubID': '533', 'value': '€3.00m'}, {'date': '22/12/2021', 'age': '31', 'clubName': 'TSG 1899 Hoffenheim', 'clubID': '533', 'value': '€2.50m'}, {'date': '09/06/2022', 'age': '32', 'clubName': 'TSG 1899 Hoffenheim', 'clubID': '533', 'value': '€1.50m'}, {'date': '09/11/2022', 'age': '32', 'clubName': 'TSG 1899 Hoffenheim', 'clubID': '533', 'value': '€1.50m'}, {'date': '22/06/2023', 'age': '33', 'clubName': 'TSG 1899 Hoffenheim', 'clubID': '533', 'value': '€1.00m'}, {'date': '27/09/2023', 'age': '33', 'clubName': 'Retired', 'clubID': '123', 'value': '-'}]}</t>
  </si>
  <si>
    <t>1990-02-28</t>
  </si>
  <si>
    <t>Rafael</t>
  </si>
  <si>
    <t>{'marketValueHistory': [{'date': 'Sep 8, 2017', 'age': '18', 'clubName': 'Sporting CP B', 'clubID': '10949', 'value': '€500k'}, {'date': 'Feb 23, 2018', 'age': '18', 'clubName': 'Sporting CP', 'clubID': '336', 'value': '€1.50m'}, {'date': 'Apr 16, 2018', 'age': '18', 'clubName': 'Sporting CP', 'clubID': '336', 'value': '€4.00m'}, {'date': 'Jun 13, 2018', 'age': '19', 'clubName': 'Sporting CP', 'clubID': '336', 'value': '€6.00m'}, {'date': 'Dec 17, 2018', 'age': '19', 'clubName': 'LOSC Lille', 'clubID': '1082', 'value': '€6.00m'}, {'date': 'Mar 7, 2019', 'age': '19', 'clubName': 'LOSC Lille', 'clubID': '1082', 'value': '€12.00m'}, {'date': 'Jun 3, 2019', 'age': '19', 'clubName': 'LOSC Lille', 'clubID': '1082', 'value': '€15.00m'}, {'date': 'Oct 8, 2019', 'age': '20', 'clubName': 'AC Milan', 'clubID': '5', 'value': '€22.00m'}, {'date': 'Dec 12, 2019', 'age': '20', 'clubName': 'AC Milan', 'clubID': '5', 'value': '€22.00m'}, {'date': 'Apr 8, 2020', 'age': '20', 'clubName': 'AC Milan', 'clubID': '5', 'value': '€20.00m'}, {'date': 'Aug 25, 2020', 'age': '21', 'clubName': 'AC Milan', 'clubID': '5', 'value': '€24.00m'}, {'date': 'Oct 29, 2020', 'age': '21', 'clubName': 'AC Milan', 'clubID': '5', 'value': '€28.00m'}, {'date': 'Dec 29, 2020', 'age': '21', 'clubName': 'AC Milan', 'clubID': '5', 'value': '€28.00m'}, {'date': 'Jun 3, 2021', 'age': '21', 'clubName': 'AC Milan', 'clubID': '5', 'value': '€25.00m'}, {'date': 'Dec 28, 2021', 'age': '22', 'clubName': 'AC Milan', 'clubID': '5', 'value': '€35.00m'}, {'date': 'Mar 15, 2022', 'age': '22', 'clubName': 'AC Milan', 'clubID': '5', 'value': '€50.00m'}, {'date': 'Jun 7, 2022', 'age': '22', 'clubName': 'AC Milan', 'clubID': '5', 'value': '€70.00m'}, {'date': 'Nov 11, 2022', 'age': '23', 'clubName': 'AC Milan', 'clubID': '5', 'value': '€85.00m'}, {'date': 'Mar 21, 2023', 'age': '23', 'clubName': 'AC Milan', 'clubID': '5', 'value': '€80.00m'}, {'date': 'Jun 15, 2023', 'age': '24', 'clubName': 'AC Milan', 'clubID': '5', 'value': '€90.00m'}, {'date': 'Dec 20, 2023', 'age': '24', 'clubName': 'AC Milan', 'clubID': '5', 'value': '€90.00m'}, {'date': 'Jun 5, 2024', 'age': '24', 'clubName': 'AC Milan', 'clubID': '5', 'value': '€90.00m'}, {'date': 'Oct 18, 2024', 'age': '25', 'clubName': 'AC Milan', 'clubID': '5', 'value': '€75.00m'}, {'date': 'Dec 18, 2024', 'age': '25', 'clubName': 'AC Milan', 'clubID': '5', 'value': '€75.00m'}, {'date': 'Jun 17, 2025', 'age': '26', 'clubName': 'AC Milan', 'clubID': '5', 'value': '€70.00m'}, {'date': 'Dec 23, 2025', 'age': '26', 'clubName': 'AC Milan', 'clubID': '5', 'value': '€70.00m'}, {'date': 'Mar 24, 2026', 'age': '26', 'clubName': 'AC Milan', 'clubID': '5', 'value': '€65.00m'}]}</t>
  </si>
  <si>
    <t>1999-06-10</t>
  </si>
  <si>
    <t>Jovicic</t>
  </si>
  <si>
    <t>{'marketValueHistory': [{'date': '02/04/2012', 'age': '19', 'clubName': 'FK Borac Cacak', 'clubID': '2209', 'value': '€100k'}, {'date': '23/02/2015', 'age': '21', 'clubName': 'Amkar Perm', 'clubID': '4128', 'value': '€350k'}, {'date': '18/06/2015', 'age': '22', 'clubName': 'Amkar Perm', 'clubID': '4128', 'value': '€400k'}, {'date': '06/01/2016', 'age': '22', 'clubName': 'Amkar Perm', 'clubID': '4128', 'value': '€500k'}, {'date': '25/05/2016', 'age': '23', 'clubName': 'Amkar Perm', 'clubID': '4128', 'value': '€500k'}, {'date': '27/12/2016', 'age': '23', 'clubName': 'Amkar Perm', 'clubID': '4128', 'value': '€500k'}, {'date': '01/06/2017', 'age': '24', 'clubName': 'Amkar Perm', 'clubID': '4128', 'value': '€600k'}, {'date': '10/01/2018', 'age': '24', 'clubName': 'Red Star Belgrade', 'clubID': '159', 'value': '€1.00m'}, {'date': '02/07/2018', 'age': '25', 'clubName': 'Red Star Belgrade', 'clubID': '159', 'value': '€1.50m'}, {'date': '14/01/2019', 'age': '25', 'clubName': 'Red Star Belgrade', 'clubID': '159', 'value': '€1.75m'}, {'date': '09/06/2019', 'age': '26', 'clubName': 'Red Star Belgrade', 'clubID': '159', 'value': '€2.00m'}, {'date': '28/10/2019', 'age': '26', 'clubName': 'Red Star Belgrade', 'clubID': '159', 'value': '€1.80m'}, {'date': '08/04/2020', 'age': '27', 'clubName': 'Red Star Belgrade', 'clubID': '159', 'value': '€1.40m'}, {'date': '28/06/2020', 'age': '27', 'clubName': 'Red Star Belgrade', 'clubID': '159', 'value': '€1.40m'}, {'date': '29/12/2020', 'age': '27', 'clubName': 'Ural Yekaterinburg', 'clubID': '11127', 'value': '€1.50m'}, {'date': '02/06/2021', 'age': '28', 'clubName': 'Ural Yekaterinburg', 'clubID': '11127', 'value': '€1.50m'}, {'date': '29/12/2021', 'age': '28', 'clubName': 'Ural Yekaterinburg', 'clubID': '11127', 'value': '€1.20m'}, {'date': '27/05/2022', 'age': '29', 'clubName': 'LASK', 'clubID': '413', 'value': '€800k'}, {'date': '10/11/2022', 'age': '29', 'clubName': 'LASK', 'clubID': '413', 'value': '€800k'}, {'date': '12/06/2023', 'age': '30', 'clubName': 'LASK', 'clubID': '413', 'value': '€800k'}, {'date': '11/12/2023', 'age': '30', 'clubName': 'LASK', 'clubID': '413', 'value': '€800k'}, {'date': '21/05/2024', 'age': '31', 'clubName': 'LASK', 'clubID': '413', 'value': '€800k'}, {'date': '17/12/2024', 'age': '31', 'clubName': 'LASK', 'clubID': '413', 'value': '€700k'}, {'date': '06/06/2025', 'age': '32', 'clubName': 'LASK', 'clubID': '413', 'value': '€500k'}, {'date': '11/12/2025', 'age': '32', 'clubName': 'FK TSC Backa Topola', 'clubID': '3137', 'value': '€500k'}]}</t>
  </si>
  <si>
    <t>1993-03-18</t>
  </si>
  <si>
    <t>H. Magnusson</t>
  </si>
  <si>
    <t>{'marketValueHistory': [{'date': 'Jun 7, 2011', 'age': '18', 'clubName': 'Juventus Primavera', 'clubID': '506', 'value': '€50k'}, {'date': 'Mar 1, 2012', 'age': '19', 'clubName': 'Juventus Primavera', 'clubID': '506', 'value': '€50k'}, {'date': 'Aug 25, 2012', 'age': '19', 'clubName': 'Juventus Primavera', 'clubID': '506', 'value': '€100k'}, {'date': 'Jun 6, 2013', 'age': '20', 'clubName': 'Juventus Primavera', 'clubID': '506', 'value': '€100k'}, {'date': 'Jan 29, 2014', 'age': '20', 'clubName': 'Spezia Calcio', 'clubID': '3522', 'value': '€200k'}, {'date': 'Jul 15, 2014', 'age': '21', 'clubName': 'Spezia Calcio', 'clubID': '3522', 'value': '€400k'}, {'date': 'Jan 7, 2015', 'age': '21', 'clubName': 'AC Cesena', 'clubID': '1429', 'value': '€500k'}, {'date': 'Jul 1, 2015', 'age': '22', 'clubName': 'AC Cesena', 'clubID': '1429', 'value': '€500k'}, {'date': 'Dec 28, 2015', 'age': '22', 'clubName': 'AC Cesena', 'clubID': '1429', 'value': '€500k'}, {'date': 'Jun 1, 2016', 'age': '23', 'clubName': 'AC Cesena', 'clubID': '1429', 'value': '€600k'}, {'date': 'Sep 1, 2016', 'age': '23', 'clubName': 'Bristol City', 'clubID': '698', 'value': '€1.75m'}, {'date': 'Feb 27, 2017', 'age': '24', 'clubName': 'Bristol City', 'clubID': '698', 'value': '€1.75m'}, {'date': 'Sep 18, 2017', 'age': '24', 'clubName': 'Bristol City', 'clubID': '698', 'value': '€1.75m'}, {'date': 'Feb 27, 2018', 'age': '25', 'clubName': 'Bristol City', 'clubID': '698', 'value': '€1.50m'}, {'date': 'Jul 6, 2018', 'age': '25', 'clubName': 'CSKA Moscow', 'clubID': '2410', 'value': '€2.80m'}, {'date': 'Dec 20, 2018', 'age': '25', 'clubName': 'CSKA Moscow', 'clubID': '2410', 'value': '€5.00m'}, {'date': 'Jun 14, 2019', 'age': '26', 'clubName': 'CSKA Moscow', 'clubID': '2410', 'value': '€5.00m'}, {'date': 'Dec 23, 2019', 'age': '26', 'clubName': 'CSKA Moscow', 'clubID': '2410', 'value': '€5.00m'}, {'date': 'Apr 8, 2020', 'age': '27', 'clubName': 'CSKA Moscow', 'clubID': '2410', 'value': '€4.00m'}, {'date': 'Jul 29, 2020', 'age': '27', 'clubName': 'CSKA Moscow', 'clubID': '2410', 'value': '€4.00m'}, {'date': 'Dec 29, 2020', 'age': '27', 'clubName': 'CSKA Moscow', 'clubID': '2410', 'value': '€4.00m'}, {'date': 'Jun 2, 2021', 'age': '28', 'clubName': 'CSKA Moscow', 'clubID': '2410', 'value': '€3.50m'}, {'date': 'Dec 29, 2021', 'age': '28', 'clubName': 'CSKA Moscow', 'clubID': '2410', 'value': '€3.00m'}, {'date': 'Jun 2, 2022', 'age': '29', 'clubName': 'CSKA Moscow', 'clubID': '2410', 'value': '€2.50m'}, {'date': 'Nov 7, 2022', 'age': '29', 'clubName': 'Panathinaikos', 'clubID': '265', 'value': '€2.50m'}, {'date': 'May 22, 2023', 'age': '30', 'clubName': 'Panathinaikos', 'clubID': '265', 'value': '€2.00m'}, {'date': 'Dec 20, 2023', 'age': '30', 'clubName': 'Panathinaikos', 'clubID': '265', 'value': '€2.00m'}, {'date': 'Mar 6, 2024', 'age': '31', 'clubName': 'Panathinaikos', 'clubID': '265', 'value': '€1.80m'}, {'date': 'May 30, 2024', 'age': '31', 'clubName': 'Panathinaikos', 'clubID': '265', 'value': '€1.50m'}, {'date': 'Sep 26, 2024', 'age': '31', 'clubName': 'Panathinaikos', 'clubID': '265', 'value': '€1.20m'}, {'date': 'Dec 18, 2024', 'age': '31', 'clubName': 'Panathinaikos', 'clubID': '265', 'value': '€900k'}, {'date': 'Mar 14, 2025', 'age': '32', 'clubName': 'Panathinaikos', 'clubID': '265', 'value': '€800k'}, {'date': 'May 23, 2025', 'age': '32', 'clubName': 'Panathinaikos', 'clubID': '265', 'value': '€600k'}, {'date': 'Dec 12, 2025', 'age': '32', 'clubName': 'Levadiakos', 'clubID': '2672', 'value': '€500k'}]}</t>
  </si>
  <si>
    <t>1993-02-11</t>
  </si>
  <si>
    <t>Llorente</t>
  </si>
  <si>
    <t>{'marketValueHistory': [{'date': '07/03/2014', 'age': '19', 'clubName': 'Real Madrid U19', 'clubID': '28870', 'value': '€200k'}, {'date': '04/08/2014', 'age': '19', 'clubName': 'Real Madrid Castilla', 'clubID': '6767', 'value': '-'}, {'date': '01/08/2016', 'age': '21', 'clubName': 'Real Madrid', 'clubID': '418', 'value': '€800k'}, {'date': '27/10/2016', 'age': '21', 'clubName': 'Deportivo Alavés', 'clubID': '1108', 'value': '€5.00m'}, {'date': '24/01/2017', 'age': '21', 'clubName': 'Deportivo Alavés', 'clubID': '1108', 'value': '€7.50m'}, {'date': '05/06/2017', 'age': '22', 'clubName': 'Deportivo Alavés', 'clubID': '1108', 'value': '€15.00m'}, {'date': '01/01/2018', 'age': '22', 'clubName': 'Real Madrid', 'clubID': '418', 'value': '€15.00m'}, {'date': '22/03/2018', 'age': '23', 'clubName': 'Real Madrid', 'clubID': '418', 'value': '€12.00m'}, {'date': '30/05/2018', 'age': '23', 'clubName': 'Real Madrid', 'clubID': '418', 'value': '€12.00m'}, {'date': '21/12/2018', 'age': '23', 'clubName': 'Real Madrid', 'clubID': '418', 'value': '€15.00m'}, {'date': '11/06/2019', 'age': '24', 'clubName': 'Real Madrid', 'clubID': '418', 'value': '€20.00m'}, {'date': '10/09/2019', 'age': '24', 'clubName': 'Atlético de Madrid', 'clubID': '13', 'value': '€30.00m'}, {'date': '20/12/2019', 'age': '24', 'clubName': 'Atlético de Madrid', 'clubID': '13', 'value': '€20.00m'}, {'date': '08/04/2020', 'age': '25', 'clubName': 'Atlético de Madrid', 'clubID': '13', 'value': '€16.00m'}, {'date': '23/07/2020', 'age': '25', 'clubName': 'Atlético de Madrid', 'clubID': '13', 'value': '€40.00m'}, {'date': '08/10/2020', 'age': '25', 'clubName': 'Atlético de Madrid', 'clubID': '13', 'value': '€40.00m'}, {'date': '23/11/2020', 'age': '25', 'clubName': 'Atlético de Madrid', 'clubID': '13', 'value': '€45.00m'}, {'date': '05/01/2021', 'age': '25', 'clubName': 'Atlético de Madrid', 'clubID': '13', 'value': '€50.00m'}, {'date': '19/03/2021', 'age': '26', 'clubName': 'Atlético de Madrid', 'clubID': '13', 'value': '€70.00m'}, {'date': '31/05/2021', 'age': '26', 'clubName': 'Atlético de Madrid', 'clubID': '13', 'value': '€80.00m'}, {'date': '30/12/2021', 'age': '26', 'clubName': 'Atlético de Madrid', 'clubID': '13', 'value': '€60.00m'}, {'date': '03/06/2022', 'age': '27', 'clubName': 'Atlético de Madrid', 'clubID': '13', 'value': '€45.00m'}, {'date': '23/09/2022', 'age': '27', 'clubName': 'Atlético de Madrid', 'clubID': '13', 'value': '€40.00m'}, {'date': '07/11/2022', 'age': '27', 'clubName': 'Atlético de Madrid', 'clubID': '13', 'value': '€35.00m'}, {'date': '13/06/2023', 'age': '28', 'clubName': 'Atlético de Madrid', 'clubID': '13', 'value': '€35.00m'}, {'date': '22/12/2023', 'age': '28', 'clubName': 'Atlético de Madrid', 'clubID': '13', 'value': '€30.00m'}, {'date': '07/06/2024', 'age': '29', 'clubName': 'Atlético de Madrid', 'clubID': '13', 'value': '€30.00m'}, {'date': '27/12/2024', 'age': '29', 'clubName': 'Atlético de Madrid', 'clubID': '13', 'value': '€28.00m'}, {'date': '09/06/2025', 'age': '30', 'clubName': 'Atlético de Madrid', 'clubID': '13', 'value': '€25.00m'}, {'date': '12/12/2025', 'age': '30', 'clubName': 'Atlético de Madrid', 'clubID': '13', 'value': '€22.00m'}]}</t>
  </si>
  <si>
    <t>1995-01-30</t>
  </si>
  <si>
    <t>Vinicius Junior</t>
  </si>
  <si>
    <t>{'marketValueHistory': [{'date': 'Oct 30, 2017', 'age': '17', 'clubName': 'CR Flamengo', 'clubID': '614', 'value': '€10.00m'}, {'date': 'Dec 7, 2017', 'age': '17', 'clubName': 'CR Flamengo', 'clubID': '614', 'value': '€20.00m'}, {'date': 'May 23, 2018', 'age': '17', 'clubName': 'CR Flamengo', 'clubID': '614', 'value': '€35.00m'}, {'date': 'Dec 21, 2018', 'age': '18', 'clubName': 'Real Madrid', 'clubID': '418', 'value': '€35.00m'}, {'date': 'Feb 28, 2019', 'age': '18', 'clubName': 'Real Madrid', 'clubID': '418', 'value': '€70.00m'}, {'date': 'Jun 11, 2019', 'age': '18', 'clubName': 'Real Madrid', 'clubID': '418', 'value': '€70.00m'}, {'date': 'Dec 20, 2019', 'age': '19', 'clubName': 'Real Madrid', 'clubID': '418', 'value': '€50.00m'}, {'date': 'Apr 8, 2020', 'age': '19', 'clubName': 'Real Madrid', 'clubID': '418', 'value': '€45.00m'}, {'date': 'Oct 8, 2020', 'age': '20', 'clubName': 'Real Madrid', 'clubID': '418', 'value': '€50.00m'}, {'date': 'Jan 5, 2021', 'age': '20', 'clubName': 'Real Madrid', 'clubID': '418', 'value': '€40.00m'}, {'date': 'Jun 10, 2021', 'age': '20', 'clubName': 'Real Madrid', 'clubID': '418', 'value': '€40.00m'}, {'date': 'Oct 13, 2021', 'age': '21', 'clubName': 'Real Madrid', 'clubID': '418', 'value': '€50.00m'}, {'date': 'Dec 30, 2021', 'age': '21', 'clubName': 'Real Madrid', 'clubID': '418', 'value': '€100.00m'}, {'date': 'Jun 3, 2022', 'age': '21', 'clubName': 'Real Madrid', 'clubID': '418', 'value': '€100.00m'}, {'date': 'Sep 23, 2022', 'age': '22', 'clubName': 'Real Madrid', 'clubID': '418', 'value': '€120.00m'}, {'date': 'Nov 7, 2022', 'age': '22', 'clubName': 'Real Madrid', 'clubID': '418', 'value': '€120.00m'}, {'date': 'Jun 13, 2023', 'age': '22', 'clubName': 'Real Madrid', 'clubID': '418', 'value': '€150.00m'}, {'date': 'Dec 22, 2023', 'age': '23', 'clubName': 'Real Madrid', 'clubID': '418', 'value': '€150.00m'}, {'date': 'Jun 7, 2024', 'age': '23', 'clubName': 'Real Madrid', 'clubID': '418', 'value': '€180.00m'}, {'date': 'Oct 11, 2024', 'age': '24', 'clubName': 'Real Madrid', 'clubID': '418', 'value': '€200.00m'}, {'date': 'Dec 27, 2024', 'age': '24', 'clubName': 'Real Madrid', 'clubID': '418', 'value': '€200.00m'}, {'date': 'Jun 9, 2025', 'age': '24', 'clubName': 'Real Madrid', 'clubID': '418', 'value': '€170.00m'}, {'date': 'Oct 2, 2025', 'age': '25', 'clubName': 'Real Madrid', 'clubID': '418', 'value': '€150.00m'}, {'date': 'Dec 12, 2025', 'age': '25', 'clubName': 'Real Madrid', 'clubID': '418', 'value': '€150.00m'}]}</t>
  </si>
  <si>
    <t>2000-07-12</t>
  </si>
  <si>
    <t>Burgstaller</t>
  </si>
  <si>
    <t>{'marketValueHistory': [{'date': '01/07/2007', 'age': '18', 'clubName': 'FC Kärnten', 'clubID': '155', 'value': '€50k'}, {'date': '12/07/2007', 'age': '18', 'clubName': 'FC Kärnten', 'clubID': '155', 'value': '€100k'}, {'date': '05/11/2007', 'age': '18', 'clubName': 'FC Kärnten', 'clubID': '155', 'value': '€125k'}, {'date': '18/05/2008', 'age': '19', 'clubName': 'FC Kärnten', 'clubID': '155', 'value': '€150k'}, {'date': '09/10/2008', 'age': '19', 'clubName': 'FC Magna Wiener Neustadt', 'clubID': '17444', 'value': '€200k'}, {'date': '13/04/2009', 'age': '19', 'clubName': 'FC Magna Wiener Neustadt', 'clubID': '17444', 'value': '€250k'}, {'date': '10/06/2009', 'age': '20', 'clubName': 'FC Magna Wiener Neustadt', 'clubID': '17444', 'value': '€300k'}, {'date': '22/06/2010', 'age': '21', 'clubName': 'SC Magna Wiener Neustadt', 'clubID': '17444', 'value': '€400k'}, {'date': '01/10/2010', 'age': '21', 'clubName': 'SC Magna Wiener Neustadt', 'clubID': '17444', 'value': '€500k'}, {'date': '07/04/2011', 'age': '21', 'clubName': 'SC Magna Wiener Neustadt', 'clubID': '17444', 'value': '€650k'}, {'date': '22/06/2011', 'age': '22', 'clubName': 'SC Magna Wiener Neustadt', 'clubID': '17444', 'value': '€750k'}, {'date': '30/12/2011', 'age': '22', 'clubName': 'Rapid Vienna', 'clubID': '170', 'value': '€750k'}, {'date': '30/05/2012', 'age': '23', 'clubName': 'Rapid Vienna', 'clubID': '170', 'value': '€1.00m'}, {'date': '24/09/2012', 'age': '23', 'clubName': 'Rapid Vienna', 'clubID': '170', 'value': '€1.30m'}, {'date': '19/12/2012', 'age': '23', 'clubName': 'Rapid Vienna', 'clubID': '170', 'value': '€1.50m'}, {'date': '04/06/2013', 'age': '24', 'clubName': 'Rapid Vienna', 'clubID': '170', 'value': '€1.20m'}, {'date': '16/09/2013', 'age': '24', 'clubName': 'Rapid Vienna', 'clubID': '170', 'value': '€1.50m'}, {'date': '27/12/2013', 'age': '24', 'clubName': 'Rapid Vienna', 'clubID': '170', 'value': '€1.50m'}, {'date': '20/06/2014', 'age': '25', 'clubName': 'Rapid Vienna', 'clubID': '170', 'value': '€1.50m'}, {'date': '29/03/2015', 'age': '25', 'clubName': '1.FC Nuremberg', 'clubID': '4', 'value': '€1.00m'}, {'date': '01/07/2015', 'age': '26', 'clubName': '1.FC Nuremberg', 'clubID': '4', 'value': '€1.30m'}, {'date': '22/10/2015', 'age': '26', 'clubName': '1.FC Nuremberg', 'clubID': '4', 'value': '€1.50m'}, {'date': '11/02/2016', 'age': '26', 'clubName': '1.FC Nuremberg', 'clubID': '4', 'value': '€1.80m'}, {'date': '22/07/2016', 'age': '27', 'clubName': '1.FC Nuremberg', 'clubID': '4', 'value': '€2.00m'}, {'date': '07/02/2017', 'age': '27', 'clubName': 'FC Schalke 04', 'clubID': '33', 'value': '€3.00m'}, {'date': '22/03/2017', 'age': '27', 'clubName': 'FC Schalke 04', 'clubID': '33', 'value': '€5.00m'}, {'date': '19/06/2017', 'age': '28', 'clubName': 'FC Schalke 04', 'clubID': '33', 'value': '€7.00m'}, {'date': '28/12/2017', 'age': '28', 'clubName': 'FC Schalke 04', 'clubID': '33', 'value': '€8.00m'}, {'date': '04/04/2018', 'age': '28', 'clubName': 'FC Schalke 04', 'clubID': '33', 'value': '€10.00m'}, {'date': '05/06/2018', 'age': '29', 'clubName': 'FC Schalke 04', 'clubID': '33', 'value': '€13.00m'}, {'date': '18/12/2018', 'age': '29', 'clubName': 'FC Schalke 04', 'clubID': '33', 'value': '€9.00m'}, {'date': '05/06/2019', 'age': '30', 'clubName': 'FC Schalke 04', 'clubID': '33', 'value': '€5.50m'}, {'date': '17/12/2019', 'age': '30', 'clubName': 'FC Schalke 04', 'clubID': '33', 'value': '€3.00m'}, {'date': '08/04/2020', 'age': '30', 'clubName': 'FC Schalke 04', 'clubID': '33', 'value': '€2.40m'}, {'date': '08/07/2020', 'age': '31', 'clubName': 'FC Schalke 04', 'clubID': '33', 'value': '€1.80m'}, {'date': '16/09/2020', 'age': '31', 'clubName': 'FC Schalke 04', 'clubID': '33', 'value': '€1.50m'}, {'date': '08/02/2021', 'age': '31', 'clubName': 'FC St. Pauli', 'clubID': '35', 'value': '€1.00m'}, {'date': '16/06/2021', 'age': '32', 'clubName': 'FC St. Pauli', 'clubID': '35', 'value': '€900k'}, {'date': '15/12/2021', 'age': '32', 'clubName': 'FC St. Pauli', 'clubID': '35', 'value': '€1.00m'}, {'date': '16/06/2022', 'age': '33', 'clubName': 'FC St. Pauli', 'clubID': '35', 'value': '€900k'}, {'date': '10/11/2022', 'age': '33', 'clubName': 'Rapid Vienna', 'clubID': '170', 'value': '€900k'}, {'date': '12/06/2023', 'age': '34', 'clubName': 'Rapid Vienna', 'clubID': '170', 'value': '€1.00m'}, {'date': '11/12/2023', 'age': '34', 'clubName': 'Rapid Vienna', 'clubID': '170', 'value': '€1.00m'}, {'date': '21/05/2024', 'age': '35', 'clubName': 'Rapid Vienna', 'clubID': '170', 'value': '€700k'}, {'date': '17/12/2024', 'age': '35', 'clubName': 'Rapid Vienna', 'clubID': '170', 'value': '€500k'}, {'date': '17/03/2025', 'age': '35', 'clubName': 'Rapid Vienna', 'clubID': '170', 'value': '€350k'}, {'date': '06/06/2025', 'age': '36', 'clubName': 'Rapid Vienna', 'clubID': '170', 'value': '€250k'}, {'date': '01/07/2025', 'age': '36', 'clubName': 'Retired', 'clubID': '123', 'value': '-'}]}</t>
  </si>
  <si>
    <t>1989-04-29</t>
  </si>
  <si>
    <t>Valero</t>
  </si>
  <si>
    <t>{'marketValueHistory': [{'date': 'Oct 26, 2006', 'age': '21', 'clubName': 'Real Madrid Castilla', 'clubID': '6767', 'value': '€300k'}, {'date': 'Aug 27, 2007', 'age': '22', 'clubName': 'RCD Mallorca', 'clubID': '237', 'value': '€500k'}, {'date': 'Feb 4, 2008', 'age': '23', 'clubName': 'RCD Mallorca', 'clubID': '237', 'value': '€1.20m'}, {'date': 'Apr 8, 2008', 'age': '23', 'clubName': 'RCD Mallorca', 'clubID': '237', 'value': '€3.00m'}, {'date': 'Jul 15, 2008', 'age': '23', 'clubName': 'RCD Mallorca', 'clubID': '237', 'value': '€3.80m'}, {'date': 'Feb 23, 2009', 'age': '24', 'clubName': 'West Bromwich Albion', 'clubID': '984', 'value': '€3.60m'}, {'date': 'Jun 25, 2009', 'age': '24', 'clubName': 'West Bromwich Albion', 'clubID': '984', 'value': '€3.30m'}, {'date': 'Sep 4, 2009', 'age': '24', 'clubName': 'RCD Mallorca', 'clubID': '237', 'value': '€3.40m'}, {'date': 'Dec 1, 2009', 'age': '24', 'clubName': 'RCD Mallorca', 'clubID': '237', 'value': '€5.00m'}, {'date': 'Apr 8, 2010', 'age': '25', 'clubName': 'RCD Mallorca', 'clubID': '237', 'value': '€5.00m'}, {'date': 'Aug 27, 2010', 'age': '25', 'clubName': 'Villarreal CF', 'clubID': '1050', 'value': '€6.00m'}, {'date': 'Feb 4, 2011', 'age': '26', 'clubName': 'Villarreal CF', 'clubID': '1050', 'value': '€9.00m'}, {'date': 'Apr 1, 2011', 'age': '26', 'clubName': 'Villarreal CF', 'clubID': '1050', 'value': '€12.00m'}, {'date': 'Jul 29, 2011', 'age': '26', 'clubName': 'Villarreal CF', 'clubID': '1050', 'value': '€12.00m'}, {'date': 'Feb 3, 2012', 'age': '27', 'clubName': 'Villarreal CF', 'clubID': '1050', 'value': '€12.00m'}, {'date': 'Jan 15, 2013', 'age': '28', 'clubName': 'ACF Fiorentina', 'clubID': '430', 'value': '€15.00m'}, {'date': 'Jun 19, 2013', 'age': '28', 'clubName': 'ACF Fiorentina', 'clubID': '430', 'value': '€19.00m'}, {'date': 'Jan 7, 2014', 'age': '28', 'clubName': 'ACF Fiorentina', 'clubID': '430', 'value': '€23.00m'}, {'date': 'Jul 1, 2014', 'age': '29', 'clubName': 'ACF Fiorentina', 'clubID': '430', 'value': '€23.00m'}, {'date': 'Nov 8, 2014', 'age': '29', 'clubName': 'ACF Fiorentina', 'clubID': '430', 'value': '€20.00m'}, {'date': 'Jan 7, 2015', 'age': '29', 'clubName': 'ACF Fiorentina', 'clubID': '430', 'value': '€18.00m'}, {'date': 'Jul 1, 2015', 'age': '30', 'clubName': 'ACF Fiorentina', 'clubID': '430', 'value': '€14.00m'}, {'date': 'Jan 4, 2016', 'age': '30', 'clubName': 'ACF Fiorentina', 'clubID': '430', 'value': '€14.00m'}, {'date': 'Jul 15, 2016', 'age': '31', 'clubName': 'ACF Fiorentina', 'clubID': '430', 'value': '€14.00m'}, {'date': 'Jan 2, 2017', 'age': '31', 'clubName': 'ACF Fiorentina', 'clubID': '430', 'value': '€12.00m'}, {'date': 'Mar 28, 2017', 'age': '32', 'clubName': 'ACF Fiorentina', 'clubID': '430', 'value': '€10.00m'}, {'date': 'Jun 8, 2017', 'age': '32', 'clubName': 'ACF Fiorentina', 'clubID': '430', 'value': '€9.00m'}, {'date': 'Oct 13, 2017', 'age': '32', 'clubName': 'Inter Milan', 'clubID': '46', 'value': '€7.50m'}, {'date': 'Dec 29, 2017', 'age': '32', 'clubName': 'Inter Milan', 'clubID': '46', 'value': '€7.50m'}, {'date': 'Mar 24, 2018', 'age': '33', 'clubName': 'Inter Milan', 'clubID': '46', 'value': '€6.00m'}, {'date': 'Jun 7, 2018', 'age': '33', 'clubName': 'Inter Milan', 'clubID': '46', 'value': '€4.00m'}, {'date': 'Dec 20, 2018', 'age': '33', 'clubName': 'Inter Milan', 'clubID': '46', 'value': '€4.00m'}, {'date': 'Jun 6, 2019', 'age': '34', 'clubName': 'Inter Milan', 'clubID': '46', 'value': '€2.50m'}, {'date': 'Dec 12, 2019', 'age': '34', 'clubName': 'Inter Milan', 'clubID': '46', 'value': '€1.50m'}, {'date': 'Apr 8, 2020', 'age': '35', 'clubName': 'Inter Milan', 'clubID': '46', 'value': '€1.20m'}, {'date': 'Aug 25, 2020', 'age': '35', 'clubName': 'Inter Milan', 'clubID': '46', 'value': '€1.20m'}, {'date': 'Dec 29, 2020', 'age': '35', 'clubName': 'ACF Fiorentina', 'clubID': '430', 'value': '€1.00m'}, {'date': 'Jun 3, 2021', 'age': '36', 'clubName': 'ACF Fiorentina', 'clubID': '430', 'value': '€900k'}, {'date': 'Jul 1, 2021', 'age': '36', 'clubName': 'ACF Fiorentina', 'clubID': '430', 'value': '-'}]}</t>
  </si>
  <si>
    <t>1985-01-12</t>
  </si>
  <si>
    <t>Golovin</t>
  </si>
  <si>
    <t>{'marketValueHistory': [{'date': '19/08/2013', 'age': '17', 'clubName': 'CSKA Moscow II', 'clubID': '11755', 'value': '€50k'}, {'date': '06/05/2015', 'age': '18', 'clubName': 'CSKA Moscow II', 'clubID': '11755', 'value': '€100k'}, {'date': '24/07/2015', 'age': '19', 'clubName': 'CSKA Moscow', 'clubID': '2410', 'value': '€350k'}, {'date': '25/08/2015', 'age': '19', 'clubName': 'CSKA Moscow', 'clubID': '2410', 'value': '€400k'}, {'date': '06/01/2016', 'age': '19', 'clubName': 'CSKA Moscow', 'clubID': '2410', 'value': '€500k'}, {'date': '01/06/2016', 'age': '20', 'clubName': 'CSKA Moscow', 'clubID': '2410', 'value': '€3.00m'}, {'date': '01/07/2016', 'age': '20', 'clubName': 'CSKA Moscow', 'clubID': '2410', 'value': '€2.00m'}, {'date': '16/10/2016', 'age': '20', 'clubName': 'CSKA Moscow', 'clubID': '2410', 'value': '€2.50m'}, {'date': '27/12/2016', 'age': '20', 'clubName': 'CSKA Moscow', 'clubID': '2410', 'value': '€3.00m'}, {'date': '01/06/2017', 'age': '21', 'clubName': 'CSKA Moscow', 'clubID': '2410', 'value': '€5.00m'}, {'date': '01/07/2017', 'age': '21', 'clubName': 'CSKA Moscow', 'clubID': '2410', 'value': '€6.00m'}, {'date': '02/10/2017', 'age': '21', 'clubName': 'CSKA Moscow', 'clubID': '2410', 'value': '€8.00m'}, {'date': '23/12/2017', 'age': '21', 'clubName': 'CSKA Moscow', 'clubID': '2410', 'value': '€10.00m'}, {'date': '06/06/2018', 'age': '22', 'clubName': 'CSKA Moscow', 'clubID': '2410', 'value': '€18.00m'}, {'date': '15/07/2018', 'age': '22', 'clubName': 'CSKA Moscow', 'clubID': '2410', 'value': '€25.00m'}, {'date': '06/09/2018', 'age': '22', 'clubName': 'AS Monaco', 'clubID': '162', 'value': '€30.00m'}, {'date': '17/12/2018', 'age': '22', 'clubName': 'AS Monaco', 'clubID': '162', 'value': '€30.00m'}, {'date': '03/06/2019', 'age': '23', 'clubName': 'AS Monaco', 'clubID': '162', 'value': '€25.00m'}, {'date': '19/12/2019', 'age': '23', 'clubName': 'AS Monaco', 'clubID': '162', 'value': '€25.00m'}, {'date': '08/04/2020', 'age': '23', 'clubName': 'AS Monaco', 'clubID': '162', 'value': '€20.00m'}, {'date': '12/10/2020', 'age': '24', 'clubName': 'AS Monaco', 'clubID': '162', 'value': '€20.00m'}, {'date': '07/01/2021', 'age': '24', 'clubName': 'AS Monaco', 'clubID': '162', 'value': '€19.00m'}, {'date': '09/04/2021', 'age': '24', 'clubName': 'AS Monaco', 'clubID': '162', 'value': '€23.00m'}, {'date': '26/05/2021', 'age': '24', 'clubName': 'AS Monaco', 'clubID': '162', 'value': '€28.00m'}, {'date': '16/12/2021', 'age': '25', 'clubName': 'AS Monaco', 'clubID': '162', 'value': '€25.00m'}, {'date': '30/05/2022', 'age': '26', 'clubName': 'AS Monaco', 'clubID': '162', 'value': '€25.00m'}, {'date': '02/11/2022', 'age': '26', 'clubName': 'AS Monaco', 'clubID': '162', 'value': '€22.00m'}, {'date': '27/03/2023', 'age': '26', 'clubName': 'AS Monaco', 'clubID': '162', 'value': '€25.00m'}, {'date': '27/06/2023', 'age': '27', 'clubName': 'AS Monaco', 'clubID': '162', 'value': '€28.00m'}, {'date': '16/10/2023', 'age': '27', 'clubName': 'AS Monaco', 'clubID': '162', 'value': '€30.00m'}, {'date': '18/12/2023', 'age': '27', 'clubName': 'AS Monaco', 'clubID': '162', 'value': '€30.00m'}, {'date': '03/06/2024', 'age': '28', 'clubName': 'AS Monaco', 'clubID': '162', 'value': '€30.00m'}, {'date': '10/12/2024', 'age': '28', 'clubName': 'AS Monaco', 'clubID': '162', 'value': '€30.00m'}, {'date': '24/03/2025', 'age': '28', 'clubName': 'AS Monaco', 'clubID': '162', 'value': '€25.00m'}, {'date': '03/06/2025', 'age': '29', 'clubName': 'AS Monaco', 'clubID': '162', 'value': '€20.00m'}, {'date': '15/12/2025', 'age': '29', 'clubName': 'AS Monaco', 'clubID': '162', 'value': '€18.00m'}]}</t>
  </si>
  <si>
    <t>1996-05-30</t>
  </si>
  <si>
    <t>Petrzela</t>
  </si>
  <si>
    <t>{'marketValueHistory': [{'date': 'Oct 4, 2007', 'age': '24', 'clubName': 'AC Sparta Prague', 'clubID': '197', 'value': '€400k'}, {'date': 'Jan 2, 2009', 'age': '25', 'clubName': 'FC Viktoria Plzen', 'clubID': '941', 'value': '€650k'}, {'date': 'Mar 17, 2009', 'age': '25', 'clubName': 'FC Viktoria Plzen', 'clubID': '941', 'value': '€750k'}, {'date': 'Sep 4, 2009', 'age': '26', 'clubName': 'FC Viktoria Plzen', 'clubID': '941', 'value': '€850k'}, {'date': 'Oct 19, 2010', 'age': '27', 'clubName': 'FC Viktoria Plzen', 'clubID': '941', 'value': '€1.00m'}, {'date': 'May 30, 2011', 'age': '27', 'clubName': 'FC Viktoria Plzen', 'clubID': '941', 'value': '€1.20m'}, {'date': 'Aug 24, 2011', 'age': '28', 'clubName': 'FC Viktoria Plzen', 'clubID': '941', 'value': '€1.50m'}, {'date': 'Dec 24, 2011', 'age': '28', 'clubName': 'FC Viktoria Plzen', 'clubID': '941', 'value': '€1.70m'}, {'date': 'Jul 5, 2012', 'age': '29', 'clubName': 'FC Augsburg', 'clubID': '167', 'value': '€1.25m'}, {'date': 'Jan 13, 2013', 'age': '29', 'clubName': 'FC Augsburg', 'clubID': '167', 'value': '€800k'}, {'date': 'Jun 30, 2013', 'age': '30', 'clubName': 'FC Augsburg', 'clubID': '167', 'value': '€500k'}, {'date': 'Jul 25, 2013', 'age': '30', 'clubName': 'FC Viktoria Plzen', 'clubID': '941', 'value': '€500k'}, {'date': 'Aug 7, 2014', 'age': '31', 'clubName': 'FC Viktoria Plzen', 'clubID': '941', 'value': '€500k'}, {'date': 'Jan 17, 2015', 'age': '31', 'clubName': 'FC Viktoria Plzen', 'clubID': '941', 'value': '€650k'}, {'date': 'Oct 14, 2015', 'age': '32', 'clubName': 'FC Viktoria Plzen', 'clubID': '941', 'value': '€650k'}, {'date': 'Mar 18, 2016', 'age': '32', 'clubName': 'FC Viktoria Plzen', 'clubID': '941', 'value': '€500k'}, {'date': 'Aug 3, 2016', 'age': '33', 'clubName': 'FC Viktoria Plzen', 'clubID': '941', 'value': '€400k'}, {'date': 'Oct 16, 2016', 'age': '33', 'clubName': 'FC Viktoria Plzen', 'clubID': '941', 'value': '€500k'}, {'date': 'Dec 19, 2016', 'age': '33', 'clubName': 'FC Viktoria Plzen', 'clubID': '941', 'value': '€500k'}, {'date': 'Jun 10, 2017', 'age': '33', 'clubName': 'FC Viktoria Plzen', 'clubID': '941', 'value': '€500k'}, {'date': 'Dec 21, 2017', 'age': '34', 'clubName': 'FC Viktoria Plzen', 'clubID': '941', 'value': '€500k'}, {'date': 'Jul 14, 2018', 'age': '35', 'clubName': 'FC Viktoria Plzen', 'clubID': '941', 'value': '€500k'}, {'date': 'Dec 30, 2018', 'age': '35', 'clubName': 'FC Viktoria Plzen', 'clubID': '941', 'value': '€500k'}, {'date': 'Jun 25, 2019', 'age': '36', 'clubName': 'FC Viktoria Plzen', 'clubID': '941', 'value': '€300k'}, {'date': 'Dec 7, 2019', 'age': '36', 'clubName': '1.FC Slovacko', 'clubID': '5544', 'value': '€300k'}, {'date': 'Jul 10, 2020', 'age': '37', 'clubName': '1.FC Slovacko', 'clubID': '5544', 'value': '€250k'}, {'date': 'Dec 27, 2020', 'age': '37', 'clubName': '1.FC Slovacko', 'clubID': '5544', 'value': '€250k'}, {'date': 'Jun 25, 2021', 'age': '38', 'clubName': '1.FC Slovacko', 'clubID': '5544', 'value': '€100k'}, {'date': 'Dec 26, 2021', 'age': '38', 'clubName': '1.FC Slovacko', 'clubID': '5544', 'value': '€100k'}, {'date': 'Jun 22, 2022', 'age': '39', 'clubName': '1.FC Slovacko', 'clubID': '5544', 'value': '€75k'}, {'date': 'Dec 14, 2022', 'age': '39', 'clubName': '1.FC Slovacko', 'clubID': '5544', 'value': '€75k'}, {'date': 'Jun 20, 2023', 'age': '40', 'clubName': '1.FC Slovacko', 'clubID': '5544', 'value': '€75k'}, {'date': 'Dec 20, 2023', 'age': '40', 'clubName': '1.FC Slovacko', 'clubID': '5544', 'value': '€75k'}, {'date': 'Mar 27, 2024', 'age': '40', 'clubName': '1.FC Slovacko', 'clubID': '5544', 'value': '€50k'}, {'date': 'Jun 5, 2024', 'age': '40', 'clubName': '1.FC Slovacko', 'clubID': '5544', 'value': '€25k'}, {'date': 'Dec 20, 2024', 'age': '41', 'clubName': '1.FC Slovacko', 'clubID': '5544', 'value': '€10k'}, {'date': 'Jun 17, 2025', 'age': '41', 'clubName': 'FK Viktoria Zizkov', 'clubID': '892', 'value': '€10k'}, {'date': 'Dec 22, 2025', 'age': '42', 'clubName': '1.FC Slovacko', 'clubID': '5544', 'value': '€10k'}]}</t>
  </si>
  <si>
    <t>1983-06-19</t>
  </si>
  <si>
    <t>Odriozola</t>
  </si>
  <si>
    <t>{'marketValueHistory': [{'date': '01/08/2016', 'age': '20', 'clubName': 'Real Sociedad B', 'clubID': '9899', 'value': '€300k'}, {'date': '02/02/2017', 'age': '21', 'clubName': 'Real Sociedad', 'clubID': '681', 'value': '€300k'}, {'date': '29/03/2017', 'age': '21', 'clubName': 'Real Sociedad', 'clubID': '681', 'value': '€1.00m'}, {'date': '05/06/2017', 'age': '21', 'clubName': 'Real Sociedad', 'clubID': '681', 'value': '€7.50m'}, {'date': '17/08/2017', 'age': '21', 'clubName': 'Real Sociedad', 'clubID': '681', 'value': '€10.00m'}, {'date': '01/01/2018', 'age': '22', 'clubName': 'Real Sociedad', 'clubID': '681', 'value': '€20.00m'}, {'date': '22/03/2018', 'age': '22', 'clubName': 'Real Sociedad', 'clubID': '681', 'value': '€25.00m'}, {'date': '30/05/2018', 'age': '22', 'clubName': 'Real Sociedad', 'clubID': '681', 'value': '€25.00m'}, {'date': '15/07/2018', 'age': '22', 'clubName': 'Real Madrid', 'clubID': '418', 'value': '€30.00m'}, {'date': '21/12/2018', 'age': '23', 'clubName': 'Real Madrid', 'clubID': '418', 'value': '€30.00m'}, {'date': '11/06/2019', 'age': '23', 'clubName': 'Real Madrid', 'clubID': '418', 'value': '€25.00m'}, {'date': '20/12/2019', 'age': '24', 'clubName': 'Real Madrid', 'clubID': '418', 'value': '€20.00m'}, {'date': '08/04/2020', 'age': '24', 'clubName': 'Bayern Munich', 'clubID': '27', 'value': '€16.00m'}, {'date': '08/10/2020', 'age': '24', 'clubName': 'Real Madrid', 'clubID': '418', 'value': '€14.00m'}, {'date': '05/01/2021', 'age': '25', 'clubName': 'Real Madrid', 'clubID': '418', 'value': '€10.00m'}, {'date': '10/06/2021', 'age': '25', 'clubName': 'Real Madrid', 'clubID': '418', 'value': '€10.00m'}, {'date': '28/12/2021', 'age': '26', 'clubName': 'ACF Fiorentina', 'clubID': '430', 'value': '€10.00m'}, {'date': '15/03/2022', 'age': '26', 'clubName': 'ACF Fiorentina', 'clubID': '430', 'value': '€13.00m'}, {'date': '07/06/2022', 'age': '26', 'clubName': 'ACF Fiorentina', 'clubID': '430', 'value': '€12.00m'}, {'date': '23/09/2022', 'age': '26', 'clubName': 'Real Madrid', 'clubID': '418', 'value': '€10.00m'}, {'date': '07/11/2022', 'age': '26', 'clubName': 'Real Madrid', 'clubID': '418', 'value': '€6.00m'}, {'date': '23/03/2023', 'age': '27', 'clubName': 'Real Madrid', 'clubID': '418', 'value': '€5.00m'}, {'date': '13/06/2023', 'age': '27', 'clubName': 'Real Madrid', 'clubID': '418', 'value': '€5.00m'}, {'date': '13/10/2023', 'age': '27', 'clubName': 'Real Sociedad', 'clubID': '681', 'value': '€4.00m'}, {'date': '22/12/2023', 'age': '28', 'clubName': 'Real Sociedad', 'clubID': '681', 'value': '€3.00m'}, {'date': '07/06/2024', 'age': '28', 'clubName': 'Real Sociedad', 'clubID': '681', 'value': '€2.50m'}, {'date': '11/10/2024', 'age': '28', 'clubName': 'Real Sociedad', 'clubID': '681', 'value': '€1.50m'}, {'date': '27/12/2024', 'age': '29', 'clubName': 'Real Sociedad', 'clubID': '681', 'value': '€1.20m'}, {'date': '09/06/2025', 'age': '29', 'clubName': 'Real Sociedad', 'clubID': '681', 'value': '€1.00m'}, {'date': '02/10/2025', 'age': '29', 'clubName': 'Real Sociedad', 'clubID': '681', 'value': '€800k'}, {'date': '12/12/2025', 'age': '29', 'clubName': 'Real Sociedad', 'clubID': '681', 'value': '€800k'}]}</t>
  </si>
  <si>
    <t>1995-12-14</t>
  </si>
  <si>
    <t>Aebischer</t>
  </si>
  <si>
    <t>{'marketValueHistory': [{'date': 'Dec 20, 2016', 'age': '19', 'clubName': 'BSC Young Boys U21', 'clubID': '5508', 'value': '€100k'}, {'date': 'Apr 14, 2017', 'age': '20', 'clubName': 'BSC Young Boys', 'clubID': '452', 'value': '€400k'}, {'date': 'Jul 12, 2017', 'age': '20', 'clubName': 'BSC Young Boys', 'clubID': '452', 'value': '€900k'}, {'date': 'Jan 8, 2018', 'age': '21', 'clubName': 'BSC Young Boys', 'clubID': '452', 'value': '€900k'}, {'date': 'Apr 24, 2018', 'age': '21', 'clubName': 'BSC Young Boys', 'clubID': '452', 'value': '€900k'}, {'date': 'Jul 12, 2018', 'age': '21', 'clubName': 'BSC Young Boys', 'clubID': '452', 'value': '€2.00m'}, {'date': 'Oct 19, 2018', 'age': '21', 'clubName': 'BSC Young Boys', 'clubID': '452', 'value': '€2.50m'}, {'date': 'Jan 21, 2019', 'age': '22', 'clubName': 'BSC Young Boys', 'clubID': '452', 'value': '€3.00m'}, {'date': 'Apr 15, 2019', 'age': '22', 'clubName': 'BSC Young Boys', 'clubID': '452', 'value': '€4.50m'}, {'date': 'Jun 4, 2019', 'age': '22', 'clubName': 'BSC Young Boys', 'clubID': '452', 'value': '€4.50m'}, {'date': 'Jan 6, 2020', 'age': '23', 'clubName': 'BSC Young Boys', 'clubID': '452', 'value': '€5.50m'}, {'date': 'Apr 8, 2020', 'age': '23', 'clubName': 'BSC Young Boys', 'clubID': '452', 'value': '€4.50m'}, {'date': 'Jul 31, 2020', 'age': '23', 'clubName': 'BSC Young Boys', 'clubID': '452', 'value': '€4.50m'}, {'date': 'Dec 28, 2020', 'age': '23', 'clubName': 'BSC Young Boys', 'clubID': '452', 'value': '€3.50m'}, {'date': 'Jun 23, 2021', 'age': '24', 'clubName': 'BSC Young Boys', 'clubID': '452', 'value': '€3.50m'}, {'date': 'Jan 3, 2022', 'age': '24', 'clubName': 'BSC Young Boys', 'clubID': '452', 'value': '€3.50m'}, {'date': 'Jun 7, 2022', 'age': '25', 'clubName': 'Bologna FC 1909', 'clubID': '1025', 'value': '€3.50m'}, {'date': 'Nov 11, 2022', 'age': '25', 'clubName': 'Bologna FC 1909', 'clubID': '1025', 'value': '€3.50m'}, {'date': 'Jun 15, 2023', 'age': '26', 'clubName': 'Bologna FC 1909', 'clubID': '1025', 'value': '€4.00m'}, {'date': 'Dec 20, 2023', 'age': '26', 'clubName': 'Bologna FC 1909', 'clubID': '1025', 'value': '€6.00m'}, {'date': 'Jun 5, 2024', 'age': '27', 'clubName': 'Bologna FC 1909', 'clubID': '1025', 'value': '€9.00m'}, {'date': 'Jul 18, 2024', 'age': '27', 'clubName': 'Bologna FC 1909', 'clubID': '1025', 'value': '€11.00m'}, {'date': 'Dec 18, 2024', 'age': '27', 'clubName': 'Bologna FC 1909', 'clubID': '1025', 'value': '€10.00m'}, {'date': 'Jun 17, 2025', 'age': '28', 'clubName': 'Bologna FC 1909', 'clubID': '1025', 'value': '€7.50m'}, {'date': 'Oct 7, 2025', 'age': '28', 'clubName': 'Pisa Sporting Club', 'clubID': '4172', 'value': '€4.50m'}, {'date': 'Dec 23, 2025', 'age': '28', 'clubName': 'Pisa Sporting Club', 'clubID': '4172', 'value': '€4.50m'}]}</t>
  </si>
  <si>
    <t>1997-01-06</t>
  </si>
  <si>
    <t>Mascarell</t>
  </si>
  <si>
    <t>{'marketValueHistory': [{'date': 'Aug 19, 2012', 'age': '19', 'clubName': 'Real Madrid Castilla', 'clubID': '6767', 'value': '€300k'}, {'date': 'Jan 22, 2013', 'age': '19', 'clubName': 'Real Madrid Castilla', 'clubID': '6767', 'value': '€400k'}, {'date': 'May 9, 2013', 'age': '20', 'clubName': 'Real Madrid Castilla', 'clubID': '6767', 'value': '€400k'}, {'date': 'Oct 8, 2013', 'age': '20', 'clubName': 'Real Madrid Castilla', 'clubID': '6767', 'value': '€400k'}, {'date': 'Feb 6, 2014', 'age': '21', 'clubName': 'Real Madrid Castilla', 'clubID': '6767', 'value': '€1.00m'}, {'date': 'Feb 24, 2015', 'age': '22', 'clubName': 'Derby County', 'clubID': '22', 'value': '€500k'}, {'date': 'Aug 25, 2015', 'age': '22', 'clubName': 'Sporting Gijón', 'clubID': '2448', 'value': '€1.00m'}, {'date': 'Nov 23, 2015', 'age': '22', 'clubName': 'Sporting Gijón', 'clubID': '2448', 'value': '€1.50m'}, {'date': 'Feb 22, 2016', 'age': '23', 'clubName': 'Sporting Gijón', 'clubID': '2448', 'value': '€1.50m'}, {'date': 'Jul 22, 2016', 'age': '23', 'clubName': 'Eintracht Frankfurt', 'clubID': '24', 'value': '€2.00m'}, {'date': 'Feb 7, 2017', 'age': '24', 'clubName': 'Eintracht Frankfurt', 'clubID': '24', 'value': '€4.00m'}, {'date': 'Jun 19, 2017', 'age': '24', 'clubName': 'Eintracht Frankfurt', 'clubID': '24', 'value': '€4.50m'}, {'date': 'Dec 28, 2017', 'age': '24', 'clubName': 'Eintracht Frankfurt', 'clubID': '24', 'value': '€4.50m'}, {'date': 'Apr 4, 2018', 'age': '25', 'clubName': 'Eintracht Frankfurt', 'clubID': '24', 'value': '€8.00m'}, {'date': 'Jun 5, 2018', 'age': '25', 'clubName': 'Eintracht Frankfurt', 'clubID': '24', 'value': '€8.00m'}, {'date': 'Dec 18, 2018', 'age': '25', 'clubName': 'FC Schalke 04', 'clubID': '33', 'value': '€8.00m'}, {'date': 'Jun 5, 2019', 'age': '26', 'clubName': 'FC Schalke 04', 'clubID': '33', 'value': '€8.00m'}, {'date': 'Dec 17, 2019', 'age': '26', 'clubName': 'FC Schalke 04', 'clubID': '33', 'value': '€14.00m'}, {'date': 'Apr 8, 2020', 'age': '27', 'clubName': 'FC Schalke 04', 'clubID': '33', 'value': '€11.00m'}, {'date': 'Sep 16, 2020', 'age': '27', 'clubName': 'FC Schalke 04', 'clubID': '33', 'value': '€10.00m'}, {'date': 'Feb 10, 2021', 'age': '28', 'clubName': 'FC Schalke 04', 'clubID': '33', 'value': '€7.50m'}, {'date': 'Mar 31, 2021', 'age': '28', 'clubName': 'FC Schalke 04', 'clubID': '33', 'value': '€5.50m'}, {'date': 'Jun 9, 2021', 'age': '28', 'clubName': 'FC Schalke 04', 'clubID': '33', 'value': '€4.50m'}, {'date': 'Oct 13, 2021', 'age': '28', 'clubName': 'Elche CF', 'clubID': '1531', 'value': '€3.50m'}, {'date': 'Dec 30, 2021', 'age': '28', 'clubName': 'Elche CF', 'clubID': '1531', 'value': '€3.50m'}, {'date': 'Jun 3, 2022', 'age': '29', 'clubName': 'Elche CF', 'clubID': '1531', 'value': '€4.00m'}, {'date': 'Nov 7, 2022', 'age': '29', 'clubName': 'Elche CF', 'clubID': '1531', 'value': '€3.50m'}, {'date': 'Jun 13, 2023', 'age': '30', 'clubName': 'Elche CF', 'clubID': '1531', 'value': '€3.00m'}, {'date': 'Oct 13, 2023', 'age': '30', 'clubName': 'RCD Mallorca', 'clubID': '237', 'value': '€1.00m'}, {'date': 'Dec 22, 2023', 'age': '30', 'clubName': 'RCD Mallorca', 'clubID': '237', 'value': '€1.00m'}, {'date': 'Jun 7, 2024', 'age': '31', 'clubName': 'RCD Mallorca', 'clubID': '237', 'value': '€1.00m'}, {'date': 'Dec 27, 2024', 'age': '31', 'clubName': 'RCD Mallorca', 'clubID': '237', 'value': '€900k'}, {'date': 'Jun 9, 2025', 'age': '32', 'clubName': 'RCD Mallorca', 'clubID': '237', 'value': '€900k'}, {'date': 'Dec 12, 2025', 'age': '32', 'clubName': 'RCD Mallorca', 'clubID': '237', 'value': '€800k'}]}</t>
  </si>
  <si>
    <t>1993-02-02</t>
  </si>
  <si>
    <t>Khocholava</t>
  </si>
  <si>
    <t>{'marketValueHistory': [{'date': '20/01/2012', 'age': '18', 'clubName': 'Dinamo Tbilisi', 'clubID': '663', 'value': '€50k'}, {'date': '13/07/2012', 'age': '19', 'clubName': 'Dinamo Tbilisi', 'clubID': '663', 'value': '€75k'}, {'date': '13/09/2013', 'age': '20', 'clubName': 'Dinamo Tbilisi', 'clubID': '663', 'value': '€100k'}, {'date': '15/03/2015', 'age': '22', 'clubName': 'Shukura Kobuleti', 'clubID': '37760', 'value': '€200k'}, {'date': '14/10/2015', 'age': '22', 'clubName': 'Chornomorets Odesa', 'clubID': '6992', 'value': '€400k'}, {'date': '17/12/2015', 'age': '22', 'clubName': 'Chornomorets Odesa', 'clubID': '6992', 'value': '€500k'}, {'date': '21/07/2016', 'age': '23', 'clubName': 'Chornomorets Odesa', 'clubID': '6992', 'value': '€600k'}, {'date': '30/09/2016', 'age': '23', 'clubName': 'Chornomorets Odesa', 'clubID': '6992', 'value': '€700k'}, {'date': '03/01/2017', 'age': '23', 'clubName': 'Chornomorets Odesa', 'clubID': '6992', 'value': '€900k'}, {'date': '26/06/2017', 'age': '24', 'clubName': 'Chornomorets Odesa', 'clubID': '6992', 'value': '€1.00m'}, {'date': '12/01/2018', 'age': '24', 'clubName': 'Shakhtar Donetsk', 'clubID': '660', 'value': '€1.00m'}, {'date': '14/05/2018', 'age': '25', 'clubName': 'Shakhtar Donetsk', 'clubID': '660', 'value': '€1.80m'}, {'date': '06/08/2018', 'age': '25', 'clubName': 'Shakhtar Donetsk', 'clubID': '660', 'value': '€2.50m'}, {'date': '10/12/2018', 'age': '25', 'clubName': 'Shakhtar Donetsk', 'clubID': '660', 'value': '€3.00m'}, {'date': '20/06/2019', 'age': '26', 'clubName': 'Shakhtar Donetsk', 'clubID': '660', 'value': '€5.00m'}, {'date': '08/01/2020', 'age': '26', 'clubName': 'Shakhtar Donetsk', 'clubID': '660', 'value': '€4.00m'}, {'date': '08/04/2020', 'age': '27', 'clubName': 'Shakhtar Donetsk', 'clubID': '660', 'value': '€3.20m'}, {'date': '04/09/2020', 'age': '27', 'clubName': 'Shakhtar Donetsk', 'clubID': '660', 'value': '€3.00m'}, {'date': '14/01/2021', 'age': '27', 'clubName': 'Shakhtar Donetsk', 'clubID': '660', 'value': '€3.50m'}, {'date': '07/06/2021', 'age': '28', 'clubName': 'Shakhtar Donetsk', 'clubID': '660', 'value': '€3.00m'}, {'date': '28/12/2021', 'age': '28', 'clubName': 'FC Copenhagen', 'clubID': '190', 'value': '€3.00m'}, {'date': '20/06/2022', 'age': '29', 'clubName': 'FC Copenhagen', 'clubID': '190', 'value': '€3.00m'}, {'date': '22/12/2022', 'age': '29', 'clubName': 'FC Copenhagen', 'clubID': '190', 'value': '€2.50m'}, {'date': '26/06/2023', 'age': '30', 'clubName': 'FC Copenhagen', 'clubID': '190', 'value': '€2.00m'}, {'date': '19/09/2023', 'age': '30', 'clubName': 'FC Copenhagen', 'clubID': '190', 'value': '€1.80m'}, {'date': '21/12/2023', 'age': '30', 'clubName': 'FC Copenhagen', 'clubID': '190', 'value': '€1.00m'}, {'date': '10/06/2024', 'age': '31', 'clubName': 'FC Copenhagen', 'clubID': '190', 'value': '€800k'}, {'date': '07/07/2024', 'age': '31', 'clubName': 'Retired', 'clubID': '123', 'value': '-'}]}</t>
  </si>
  <si>
    <t>1993-02-08</t>
  </si>
  <si>
    <t>Babic</t>
  </si>
  <si>
    <t>{'marketValueHistory': [{'date': 'Nov 11, 2014', 'age': '18', 'clubName': 'FK Vojvodina Novi Sad', 'clubID': '448', 'value': '€700k'}, {'date': 'Jun 15, 2015', 'age': '19', 'clubName': 'FK Vojvodina Novi Sad', 'clubID': '448', 'value': '€1.25m'}, {'date': 'Jul 15, 2015', 'age': '19', 'clubName': 'Real Sociedad B', 'clubID': '9899', 'value': '-'}, {'date': 'Sep 2, 2015', 'age': '19', 'clubName': 'Real Sociedad B', 'clubID': '9899', 'value': '€1.00m'}, {'date': 'Aug 1, 2016', 'age': '20', 'clubName': 'Real Sociedad B', 'clubID': '9899', 'value': '€1.00m'}, {'date': 'Oct 27, 2016', 'age': '20', 'clubName': 'CF Reus Deportiu', 'clubID': '13225', 'value': '€700k'}, {'date': 'Jan 24, 2017', 'age': '20', 'clubName': 'CF Reus Deportiu', 'clubID': '13225', 'value': '€700k'}, {'date': 'Jun 29, 2017', 'age': '21', 'clubName': 'CF Reus Deportiu', 'clubID': '13225', 'value': '€600k'}, {'date': 'Jan 10, 2018', 'age': '21', 'clubName': 'Red Star Belgrade', 'clubID': '159', 'value': '€850k'}, {'date': 'Jul 2, 2018', 'age': '22', 'clubName': 'Red Star Belgrade', 'clubID': '159', 'value': '€1.00m'}, {'date': 'Jan 14, 2019', 'age': '22', 'clubName': 'Red Star Belgrade', 'clubID': '159', 'value': '€1.50m'}, {'date': 'Jun 9, 2019', 'age': '23', 'clubName': 'Red Star Belgrade', 'clubID': '159', 'value': '€1.75m'}, {'date': 'Oct 28, 2019', 'age': '23', 'clubName': 'Red Star Belgrade', 'clubID': '159', 'value': '€1.50m'}, {'date': 'Apr 8, 2020', 'age': '23', 'clubName': 'Red Star Belgrade', 'clubID': '159', 'value': '€1.20m'}, {'date': 'Jun 28, 2020', 'age': '24', 'clubName': 'Red Star Belgrade', 'clubID': '159', 'value': '€1.40m'}, {'date': 'Jan 28, 2021', 'age': '24', 'clubName': 'FC Famalicão', 'clubID': '3329', 'value': '€1.50m'}, {'date': 'May 21, 2021', 'age': '25', 'clubName': 'FC Famalicão', 'clubID': '3329', 'value': '€1.50m'}, {'date': 'Dec 27, 2021', 'age': '25', 'clubName': 'UD Almería', 'clubID': '3302', 'value': '€1.50m'}, {'date': 'Jun 29, 2022', 'age': '26', 'clubName': 'UD Almería', 'clubID': '3302', 'value': '€2.00m'}, {'date': 'Sep 23, 2022', 'age': '26', 'clubName': 'UD Almería', 'clubID': '3302', 'value': '€3.00m'}, {'date': 'Nov 7, 2022', 'age': '26', 'clubName': 'UD Almería', 'clubID': '3302', 'value': '€3.00m'}, {'date': 'Mar 23, 2023', 'age': '26', 'clubName': 'UD Almería', 'clubID': '3302', 'value': '€3.50m'}, {'date': 'Jun 13, 2023', 'age': '27', 'clubName': 'UD Almería', 'clubID': '3302', 'value': '€3.50m'}, {'date': 'Oct 5, 2023', 'age': '27', 'clubName': 'Spartak Moscow', 'clubID': '232', 'value': '€4.00m'}, {'date': 'Dec 13, 2023', 'age': '27', 'clubName': 'Spartak Moscow', 'clubID': '232', 'value': '€4.00m'}, {'date': 'Jun 4, 2024', 'age': '28', 'clubName': 'Spartak Moscow', 'clubID': '232', 'value': '€4.00m'}, {'date': 'Sep 18, 2024', 'age': '28', 'clubName': 'Spartak Moscow', 'clubID': '232', 'value': '€6.00m'}, {'date': 'Dec 12, 2024', 'age': '28', 'clubName': 'Spartak Moscow', 'clubID': '232', 'value': '€6.00m'}, {'date': 'Jun 4, 2025', 'age': '29', 'clubName': 'Spartak Moscow', 'clubID': '232', 'value': '€6.00m'}, {'date': 'Dec 16, 2025', 'age': '29', 'clubName': 'Spartak Moscow', 'clubID': '232', 'value': '€5.00m'}]}</t>
  </si>
  <si>
    <t>1996-04-22</t>
  </si>
  <si>
    <t>Savic</t>
  </si>
  <si>
    <t>{'marketValueHistory': [{'date': '28/05/2013', 'age': '18', 'clubName': 'FK Vojvodina Novi Sad U19', 'clubID': '448', 'value': '€100k'}, {'date': '15/11/2013', 'age': '18', 'clubName': 'FK Vojvodina Novi Sad', 'clubID': '448', 'value': '€400k'}, {'date': '05/10/2014', 'age': '19', 'clubName': 'KRC Genk', 'clubID': '1184', 'value': '€1.00m'}, {'date': '07/01/2015', 'age': '19', 'clubName': 'KRC Genk', 'clubID': '1184', 'value': '€1.50m'}, {'date': '24/03/2015', 'age': '20', 'clubName': 'KRC Genk', 'clubID': '1184', 'value': '€2.50m'}, {'date': '24/06/2015', 'age': '20', 'clubName': 'KRC Genk', 'clubID': '1184', 'value': '€4.00m'}, {'date': '23/09/2015', 'age': '20', 'clubName': 'SS Lazio', 'clubID': '398', 'value': '€6.00m'}, {'date': '05/11/2015', 'age': '20', 'clubName': 'SS Lazio', 'clubID': '398', 'value': '€7.50m'}, {'date': '04/01/2016', 'age': '20', 'clubName': 'SS Lazio', 'clubID': '398', 'value': '€9.00m'}, {'date': '15/07/2016', 'age': '21', 'clubName': 'SS Lazio', 'clubID': '398', 'value': '€9.00m'}, {'date': '02/01/2017', 'age': '21', 'clubName': 'SS Lazio', 'clubID': '398', 'value': '€12.00m'}, {'date': '28/03/2017', 'age': '22', 'clubName': 'SS Lazio', 'clubID': '398', 'value': '€15.00m'}, {'date': '08/06/2017', 'age': '22', 'clubName': 'SS Lazio', 'clubID': '398', 'value': '€22.00m'}, {'date': '13/10/2017', 'age': '22', 'clubName': 'SS Lazio', 'clubID': '398', 'value': '€30.00m'}, {'date': '29/12/2017', 'age': '22', 'clubName': 'SS Lazio', 'clubID': '398', 'value': '€55.00m'}, {'date': '24/03/2018', 'age': '23', 'clubName': 'SS Lazio', 'clubID': '398', 'value': '€70.00m'}, {'date': '07/06/2018', 'age': '23', 'clubName': 'SS Lazio', 'clubID': '398', 'value': '€90.00m'}, {'date': '20/12/2018', 'age': '23', 'clubName': 'SS Lazio', 'clubID': '398', 'value': '€75.00m'}, {'date': '06/06/2019', 'age': '24', 'clubName': 'SS Lazio', 'clubID': '398', 'value': '€65.00m'}, {'date': '12/12/2019', 'age': '24', 'clubName': 'SS Lazio', 'clubID': '398', 'value': '€70.00m'}, {'date': '03/03/2020', 'age': '25', 'clubName': 'SS Lazio', 'clubID': '398', 'value': '€80.00m'}, {'date': '08/04/2020', 'age': '25', 'clubName': 'SS Lazio', 'clubID': '398', 'value': '€64.00m'}, {'date': '25/08/2020', 'age': '25', 'clubName': 'SS Lazio', 'clubID': '398', 'value': '€65.00m'}, {'date': '29/12/2020', 'age': '25', 'clubName': 'SS Lazio', 'clubID': '398', 'value': '€70.00m'}, {'date': '03/06/2021', 'age': '26', 'clubName': 'SS Lazio', 'clubID': '398', 'value': '€70.00m'}, {'date': '28/12/2021', 'age': '26', 'clubName': 'SS Lazio', 'clubID': '398', 'value': '€70.00m'}, {'date': '07/06/2022', 'age': '27', 'clubName': 'SS Lazio', 'clubID': '398', 'value': '€70.00m'}, {'date': '27/09/2022', 'age': '27', 'clubName': 'SS Lazio', 'clubID': '398', 'value': '€60.00m'}, {'date': '11/11/2022', 'age': '27', 'clubName': 'SS Lazio', 'clubID': '398', 'value': '€60.00m'}, {'date': '15/06/2023', 'age': '28', 'clubName': 'SS Lazio', 'clubID': '398', 'value': '€50.00m'}, {'date': '24/10/2023', 'age': '28', 'clubName': 'Al-Hilal SFC', 'clubID': '1114', 'value': '€40.00m'}, {'date': '15/12/2023', 'age': '28', 'clubName': 'Al-Hilal SFC', 'clubID': '1114', 'value': '€35.00m'}, {'date': '04/06/2024', 'age': '29', 'clubName': 'Al-Hilal SFC', 'clubID': '1114', 'value': '€30.00m'}, {'date': '13/12/2024', 'age': '29', 'clubName': 'Al-Hilal SFC', 'clubID': '1114', 'value': '€20.00m'}, {'date': '27/05/2025', 'age': '30', 'clubName': 'Al-Hilal SFC', 'clubID': '1114', 'value': '€17.00m'}, {'date': '18/12/2025', 'age': '30', 'clubName': 'Al-Hilal SFC', 'clubID': '1114', 'value': '€15.00m'}]}</t>
  </si>
  <si>
    <t>1995-02-27</t>
  </si>
  <si>
    <t>Havel</t>
  </si>
  <si>
    <t>{'marketValueHistory': [{'date': 'Jan 8, 2021', 'age': '17', 'clubName': 'FC Liefering', 'clubID': '37024', 'value': '€75k'}, {'date': 'Mar 23, 2021', 'age': '17', 'clubName': 'FC Liefering', 'clubID': '37024', 'value': '€250k'}, {'date': 'May 26, 2021', 'age': '18', 'clubName': 'FC Liefering', 'clubID': '37024', 'value': '€400k'}, {'date': 'Dec 1, 2021', 'age': '18', 'clubName': 'FC Liefering', 'clubID': '37024', 'value': '€400k'}, {'date': 'May 25, 2022', 'age': '19', 'clubName': 'FC Liefering', 'clubID': '37024', 'value': '€300k'}, {'date': 'Nov 17, 2022', 'age': '19', 'clubName': 'FC Liefering', 'clubID': '37024', 'value': '€300k'}, {'date': 'Jun 5, 2023', 'age': '20', 'clubName': 'FC Liefering', 'clubID': '37024', 'value': '€300k'}, {'date': 'Sep 11, 2023', 'age': '20', 'clubName': 'LASK', 'clubID': '413', 'value': '€500k'}, {'date': 'Dec 11, 2023', 'age': '20', 'clubName': 'LASK', 'clubID': '413', 'value': '€500k'}, {'date': 'May 21, 2024', 'age': '21', 'clubName': 'LASK', 'clubID': '413', 'value': '€500k'}, {'date': 'Dec 17, 2024', 'age': '21', 'clubName': 'TSV Hartberg', 'clubID': '4467', 'value': '€400k'}, {'date': 'Jun 6, 2025', 'age': '22', 'clubName': 'TSV Hartberg', 'clubID': '4467', 'value': '€350k'}, {'date': 'Sep 22, 2025', 'age': '22', 'clubName': 'TSV Hartberg', 'clubID': '4467', 'value': '€500k'}, {'date': 'Dec 22, 2025', 'age': '22', 'clubName': 'TSV Hartberg', 'clubID': '4467', 'value': '€2.00m'}]}</t>
  </si>
  <si>
    <t>2003-04-16</t>
  </si>
  <si>
    <t>Santi Mina</t>
  </si>
  <si>
    <t>{'marketValueHistory': [{'date': '05/02/2013', 'age': '17', 'clubName': 'Celta Vigo B', 'clubID': '8733', 'value': '€500k'}, {'date': '14/06/2013', 'age': '17', 'clubName': 'Celta Vigo B', 'clubID': '8733', 'value': '€1.00m'}, {'date': '23/01/2014', 'age': '18', 'clubName': 'Celta de Vigo', 'clubID': '940', 'value': '€1.50m'}, {'date': '20/07/2014', 'age': '18', 'clubName': 'Celta de Vigo', 'clubID': '940', 'value': '€2.50m'}, {'date': '23/01/2015', 'age': '19', 'clubName': 'Celta de Vigo', 'clubID': '940', 'value': '€2.50m'}, {'date': '01/07/2015', 'age': '19', 'clubName': 'Celta de Vigo', 'clubID': '940', 'value': '€4.00m'}, {'date': '15/07/2015', 'age': '19', 'clubName': 'Valencia CF', 'clubID': '1049', 'value': '€8.00m'}, {'date': '22/02/2016', 'age': '20', 'clubName': 'Valencia CF', 'clubID': '1049', 'value': '€7.00m'}, {'date': '15/07/2016', 'age': '20', 'clubName': 'Valencia CF', 'clubID': '1049', 'value': '€7.00m'}, {'date': '24/01/2017', 'age': '21', 'clubName': 'Valencia CF', 'clubID': '1049', 'value': '€7.00m'}, {'date': '05/06/2017', 'age': '21', 'clubName': 'Valencia CF', 'clubID': '1049', 'value': '€6.00m'}, {'date': '01/01/2018', 'age': '22', 'clubName': 'Valencia CF', 'clubID': '1049', 'value': '€10.00m'}, {'date': '22/03/2018', 'age': '22', 'clubName': 'Valencia CF', 'clubID': '1049', 'value': '€20.00m'}, {'date': '30/05/2018', 'age': '22', 'clubName': 'Valencia CF', 'clubID': '1049', 'value': '€20.00m'}, {'date': '21/12/2018', 'age': '23', 'clubName': 'Valencia CF', 'clubID': '1049', 'value': '€25.00m'}, {'date': '11/06/2019', 'age': '23', 'clubName': 'Valencia CF', 'clubID': '1049', 'value': '€30.00m'}, {'date': '20/12/2019', 'age': '24', 'clubName': 'Celta de Vigo', 'clubID': '940', 'value': '€18.00m'}, {'date': '08/04/2020', 'age': '24', 'clubName': 'Celta de Vigo', 'clubID': '940', 'value': '€14.50m'}, {'date': '08/10/2020', 'age': '24', 'clubName': 'Celta de Vigo', 'clubID': '940', 'value': '€15.00m'}, {'date': '05/01/2021', 'age': '25', 'clubName': 'Celta de Vigo', 'clubID': '940', 'value': '€12.00m'}, {'date': '10/06/2021', 'age': '25', 'clubName': 'Celta de Vigo', 'clubID': '940', 'value': '€15.00m'}, {'date': '30/12/2021', 'age': '26', 'clubName': 'Celta de Vigo', 'clubID': '940', 'value': '€15.00m'}, {'date': '06/05/2022', 'age': '26', 'clubName': 'Celta de Vigo', 'clubID': '940', 'value': '-'}, {'date': '02/12/2022', 'age': '26', 'clubName': 'Al-Shabab FC', 'clubID': '9840', 'value': '€4.00m'}, {'date': '12/06/2023', 'age': '27', 'clubName': 'Al-Shabab FC', 'clubID': '9840', 'value': '€4.00m'}, {'date': '25/10/2023', 'age': '27', 'clubName': 'Retired', 'clubID': '123', 'value': '€2.00m'}, {'date': '29/03/2024', 'age': '28', 'clubName': 'Retired', 'clubID': '123', 'value': '€1.00m'}, {'date': '16/10/2024', 'age': '28', 'clubName': 'Retired', 'clubID': '123', 'value': '€700k'}, {'date': '04/04/2025', 'age': '29', 'clubName': 'Retired', 'clubID': '123', 'value': '-'}]}</t>
  </si>
  <si>
    <t>1995-12-07</t>
  </si>
  <si>
    <t>Sinan Gumus</t>
  </si>
  <si>
    <t>{'marketValueHistory': [{'date': 'Jan 30, 2013', 'age': '19', 'clubName': 'VfB Stuttgart II', 'clubID': '102', 'value': '€50k'}, {'date': 'Jun 28, 2013', 'age': '19', 'clubName': 'VfB Stuttgart II', 'clubID': '102', 'value': '€100k'}, {'date': 'Jan 24, 2014', 'age': '20', 'clubName': 'VfB Stuttgart II', 'clubID': '102', 'value': '€200k'}, {'date': 'Aug 11, 2014', 'age': '20', 'clubName': 'Galatasaray', 'clubID': '141', 'value': '€350k'}, {'date': 'Jan 26, 2015', 'age': '21', 'clubName': 'Galatasaray', 'clubID': '141', 'value': '€650k'}, {'date': 'Jun 25, 2015', 'age': '21', 'clubName': 'Galatasaray', 'clubID': '141', 'value': '€800k'}, {'date': 'Oct 8, 2015', 'age': '21', 'clubName': 'Galatasaray', 'clubID': '141', 'value': '€2.20m'}, {'date': 'Jan 18, 2016', 'age': '22', 'clubName': 'Galatasaray', 'clubID': '141', 'value': '€3.00m'}, {'date': 'Jul 15, 2016', 'age': '22', 'clubName': 'Galatasaray', 'clubID': '141', 'value': '€3.50m'}, {'date': 'Jan 10, 2017', 'age': '22', 'clubName': 'Galatasaray', 'clubID': '141', 'value': '€3.20m'}, {'date': 'Jun 9, 2017', 'age': '23', 'clubName': 'Galatasaray', 'clubID': '141', 'value': '€3.00m'}, {'date': 'Feb 12, 2018', 'age': '24', 'clubName': 'Galatasaray', 'clubID': '141', 'value': '€2.00m'}, {'date': 'May 29, 2018', 'age': '24', 'clubName': 'Galatasaray', 'clubID': '141', 'value': '€2.00m'}, {'date': 'Jan 4, 2019', 'age': '24', 'clubName': 'Galatasaray', 'clubID': '141', 'value': '€2.00m'}, {'date': 'Jun 4, 2019', 'age': '25', 'clubName': 'Galatasaray', 'clubID': '141', 'value': '€1.30m'}, {'date': 'Dec 12, 2019', 'age': '25', 'clubName': 'Genoa CFC', 'clubID': '252', 'value': '€1.20m'}, {'date': 'Apr 8, 2020', 'age': '26', 'clubName': 'Antalyaspor', 'clubID': '589', 'value': '€950k'}, {'date': 'Aug 4, 2020', 'age': '26', 'clubName': 'Genoa CFC', 'clubID': '252', 'value': '€1.50m'}, {'date': 'Dec 23, 2020', 'age': '26', 'clubName': 'Fenerbahce', 'clubID': '36', 'value': '€1.20m'}, {'date': 'Mar 16, 2021', 'age': '27', 'clubName': 'Fenerbahce', 'clubID': '36', 'value': '€1.10m'}, {'date': 'May 21, 2021', 'age': '27', 'clubName': 'Fenerbahce', 'clubID': '36', 'value': '€1.10m'}, {'date': 'Oct 12, 2021', 'age': '27', 'clubName': 'Fenerbahce', 'clubID': '36', 'value': '€600k'}, {'date': 'Jan 4, 2022', 'age': '27', 'clubName': 'Fenerbahce', 'clubID': '36', 'value': '€300k'}, {'date': 'Mar 31, 2022', 'age': '28', 'clubName': 'Antalyaspor', 'clubID': '589', 'value': '€225k'}, {'date': 'Jun 1, 2022', 'age': '28', 'clubName': 'Antalyaspor', 'clubID': '589', 'value': '€200k'}, {'date': 'Oct 27, 2022', 'age': '28', 'clubName': 'Antalyaspor', 'clubID': '589', 'value': '€300k'}, {'date': 'Mar 14, 2023', 'age': '29', 'clubName': 'Antalyaspor', 'clubID': '589', 'value': '€300k'}, {'date': 'Jun 8, 2023', 'age': '29', 'clubName': 'Antalyaspor', 'clubID': '589', 'value': '€200k'}, {'date': 'Sep 27, 2023', 'age': '29', 'clubName': 'Antalyaspor', 'clubID': '589', 'value': '€150k'}, {'date': 'Dec 21, 2023', 'age': '29', 'clubName': 'Antalyaspor', 'clubID': '589', 'value': '€100k'}, {'date': 'Mar 26, 2024', 'age': '30', 'clubName': 'Eyüpspor', 'clubID': '7160', 'value': '€100k'}, {'date': 'Jun 13, 2024', 'age': '30', 'clubName': 'Eyüpspor', 'clubID': '7160', 'value': '€75k'}, {'date': 'Oct 4, 2024', 'age': '30', 'clubName': 'Eyüpspor', 'clubID': '7160', 'value': '€75k'}, {'date': 'Dec 23, 2024', 'age': '30', 'clubName': 'Eyüpspor', 'clubID': '7160', 'value': '€75k'}, {'date': 'Mar 20, 2025', 'age': '31', 'clubName': 'Eyüpspor', 'clubID': '7160', 'value': '€50k'}, {'date': 'Jun 18, 2025', 'age': '31', 'clubName': 'Eyüpspor', 'clubID': '7160', 'value': '€50k'}, {'date': 'Sep 29, 2025', 'age': '31', 'clubName': 'Without Club', 'clubID': '515', 'value': '-'}]}</t>
  </si>
  <si>
    <t>Garay</t>
  </si>
  <si>
    <t>{'marketValueHistory': [{'date': 'Nov 30, 2005', 'age': '19', 'clubName': "CA Newell's Old Boys", 'clubID': '1286', 'value': '€300k'}, {'date': 'Feb 28, 2007', 'age': '20', 'clubName': 'Racing Santander', 'clubID': '630', 'value': '€3.50m'}, {'date': 'Oct 1, 2007', 'age': '20', 'clubName': 'Racing Santander', 'clubID': '630', 'value': '€6.00m'}, {'date': 'Feb 4, 2008', 'age': '21', 'clubName': 'Racing Santander', 'clubID': '630', 'value': '€8.00m'}, {'date': 'Mar 19, 2008', 'age': '21', 'clubName': 'Racing Santander', 'clubID': '630', 'value': '€10.00m'}, {'date': 'Jul 14, 2008', 'age': '21', 'clubName': 'Real Madrid', 'clubID': '418', 'value': '€10.00m'}, {'date': 'Aug 4, 2008', 'age': '21', 'clubName': 'Racing Santander', 'clubID': '630', 'value': '€12.00m'}, {'date': 'Jan 24, 2009', 'age': '22', 'clubName': 'Racing Santander', 'clubID': '630', 'value': '€12.00m'}, {'date': 'Jul 22, 2009', 'age': '22', 'clubName': 'Real Madrid', 'clubID': '418', 'value': '€10.00m'}, {'date': 'Dec 3, 2009', 'age': '23', 'clubName': 'Real Madrid', 'clubID': '418', 'value': '€10.00m'}, {'date': 'Apr 12, 2010', 'age': '23', 'clubName': 'Real Madrid', 'clubID': '418', 'value': '€10.00m'}, {'date': 'Aug 27, 2010', 'age': '23', 'clubName': 'Real Madrid', 'clubID': '418', 'value': '€10.00m'}, {'date': 'Feb 4, 2011', 'age': '24', 'clubName': 'Real Madrid', 'clubID': '418', 'value': '€10.00m'}, {'date': 'Feb 2, 2012', 'age': '25', 'clubName': 'SL Benfica', 'clubID': '294', 'value': '€12.00m'}, {'date': 'Jul 7, 2012', 'age': '25', 'clubName': 'SL Benfica', 'clubID': '294', 'value': '€14.00m'}, {'date': 'Mar 27, 2013', 'age': '26', 'clubName': 'SL Benfica', 'clubID': '294', 'value': '€17.50m'}, {'date': 'Jul 2, 2013', 'age': '26', 'clubName': 'SL Benfica', 'clubID': '294', 'value': '€20.00m'}, {'date': 'Feb 23, 2015', 'age': '28', 'clubName': 'Zenit St. Petersburg', 'clubID': '964', 'value': '€20.00m'}, {'date': 'Jun 18, 2015', 'age': '28', 'clubName': 'Zenit St. Petersburg', 'clubID': '964', 'value': '€23.00m'}, {'date': 'Jan 6, 2016', 'age': '29', 'clubName': 'Zenit St. Petersburg', 'clubID': '964', 'value': '€23.00m'}, {'date': 'May 25, 2016', 'age': '29', 'clubName': 'Zenit St. Petersburg', 'clubID': '964', 'value': '€20.00m'}, {'date': 'Jan 24, 2017', 'age': '30', 'clubName': 'Valencia CF', 'clubID': '1049', 'value': '€15.00m'}, {'date': 'Jun 5, 2017', 'age': '30', 'clubName': 'Valencia CF', 'clubID': '1049', 'value': '€15.00m'}, {'date': 'Jan 1, 2018', 'age': '31', 'clubName': 'Valencia CF', 'clubID': '1049', 'value': '€15.00m'}, {'date': 'May 30, 2018', 'age': '31', 'clubName': 'Valencia CF', 'clubID': '1049', 'value': '€12.00m'}, {'date': 'Dec 21, 2018', 'age': '32', 'clubName': 'Valencia CF', 'clubID': '1049', 'value': '€9.00m'}, {'date': 'Jun 11, 2019', 'age': '32', 'clubName': 'Valencia CF', 'clubID': '1049', 'value': '€8.00m'}, {'date': 'Dec 20, 2019', 'age': '33', 'clubName': 'Valencia CF', 'clubID': '1049', 'value': '€8.00m'}, {'date': 'Mar 5, 2020', 'age': '33', 'clubName': 'Valencia CF', 'clubID': '1049', 'value': '€6.00m'}, {'date': 'Apr 8, 2020', 'age': '33', 'clubName': 'Valencia CF', 'clubID': '1049', 'value': '€4.80m'}, {'date': 'Nov 10, 2020', 'age': '34', 'clubName': 'Without Club', 'clubID': '515', 'value': '€2.50m'}, {'date': 'Apr 9, 2021', 'age': '34', 'clubName': 'Without Club', 'clubID': '515', 'value': '€1.00m'}, {'date': 'Jul 16, 2021', 'age': '34', 'clubName': 'Retired', 'clubID': '123', 'value': '-'}]}</t>
  </si>
  <si>
    <t>1986-10-10</t>
  </si>
  <si>
    <t>Origi</t>
  </si>
  <si>
    <t>{'marketValueHistory': [{'date': '22/07/2013', 'age': '18', 'clubName': 'LOSC Lille', 'clubID': '1082', 'value': '€250k'}, {'date': '13/09/2013', 'age': '18', 'clubName': 'LOSC Lille', 'clubID': '1082', 'value': '€750k'}, {'date': '14/01/2014', 'age': '18', 'clubName': 'LOSC Lille', 'clubID': '1082', 'value': '€1.00m'}, {'date': '07/08/2014', 'age': '19', 'clubName': 'LOSC Lille', 'clubID': '1082', 'value': '€6.50m'}, {'date': '20/11/2014', 'age': '19', 'clubName': 'LOSC Lille', 'clubID': '1082', 'value': '€9.00m'}, {'date': '14/01/2015', 'age': '19', 'clubName': 'LOSC Lille', 'clubID': '1082', 'value': '€9.00m'}, {'date': '06/06/2015', 'age': '20', 'clubName': 'LOSC Lille', 'clubID': '1082', 'value': '€9.00m'}, {'date': '09/02/2016', 'age': '20', 'clubName': 'Liverpool FC', 'clubID': '31', 'value': '€9.00m'}, {'date': '01/06/2016', 'age': '21', 'clubName': 'Liverpool FC', 'clubID': '31', 'value': '€11.00m'}, {'date': '01/08/2016', 'age': '21', 'clubName': 'Liverpool FC', 'clubID': '31', 'value': '€11.00m'}, {'date': '20/02/2017', 'age': '21', 'clubName': 'Liverpool FC', 'clubID': '31', 'value': '€12.00m'}, {'date': '28/06/2017', 'age': '22', 'clubName': 'Liverpool FC', 'clubID': '31', 'value': '€12.00m'}, {'date': '28/12/2017', 'age': '22', 'clubName': 'VfL Wolfsburg', 'clubID': '82', 'value': '€12.00m'}, {'date': '04/04/2018', 'age': '22', 'clubName': 'VfL Wolfsburg', 'clubID': '82', 'value': '€10.00m'}, {'date': '05/06/2018', 'age': '23', 'clubName': 'VfL Wolfsburg', 'clubID': '82', 'value': '€10.00m'}, {'date': '19/12/2018', 'age': '23', 'clubName': 'Liverpool FC', 'clubID': '31', 'value': '€10.00m'}, {'date': '13/06/2019', 'age': '24', 'clubName': 'Liverpool FC', 'clubID': '31', 'value': '€20.00m'}, {'date': '10/12/2019', 'age': '24', 'clubName': 'Liverpool FC', 'clubID': '31', 'value': '€20.00m'}, {'date': '08/04/2020', 'age': '24', 'clubName': 'Liverpool FC', 'clubID': '31', 'value': '€16.00m'}, {'date': '13/10/2020', 'age': '25', 'clubName': 'Liverpool FC', 'clubID': '31', 'value': '€16.00m'}, {'date': '18/03/2021', 'age': '25', 'clubName': 'Liverpool FC', 'clubID': '31', 'value': '€16.00m'}, {'date': '08/06/2021', 'age': '26', 'clubName': 'Liverpool FC', 'clubID': '31', 'value': '€12.00m'}, {'date': '23/12/2021', 'age': '26', 'clubName': 'Liverpool FC', 'clubID': '31', 'value': '€12.00m'}, {'date': '15/06/2022', 'age': '27', 'clubName': 'Liverpool FC', 'clubID': '31', 'value': '€12.00m'}, {'date': '11/11/2022', 'age': '27', 'clubName': 'AC Milan', 'clubID': '5', 'value': '€10.00m'}, {'date': '21/03/2023', 'age': '27', 'clubName': 'AC Milan', 'clubID': '5', 'value': '€8.00m'}, {'date': '15/06/2023', 'age': '28', 'clubName': 'AC Milan', 'clubID': '5', 'value': '€6.00m'}, {'date': '19/12/2023', 'age': '28', 'clubName': 'Nottingham Forest', 'clubID': '703', 'value': '€5.00m'}, {'date': '27/05/2024', 'age': '29', 'clubName': 'Nottingham Forest', 'clubID': '703', 'value': '€5.00m'}, {'date': '19/12/2024', 'age': '29', 'clubName': 'Milan Futuro', 'clubID': '41107', 'value': '€2.50m'}, {'date': '19/06/2025', 'age': '30', 'clubName': 'Milan Futuro', 'clubID': '41107', 'value': '€1.00m'}, {'date': '12/11/2025', 'age': '30', 'clubName': 'Milan Futuro', 'clubID': '41107', 'value': '€500k'}, {'date': '09/04/2026', 'age': '30', 'clubName': 'Without Club', 'clubID': '515', 'value': '€400k'}]}</t>
  </si>
  <si>
    <t>1995-04-18</t>
  </si>
  <si>
    <t>Pavkov</t>
  </si>
  <si>
    <t>{'marketValueHistory': [{'date': 'Nov 23, 2015', 'age': '21', 'clubName': 'FK Vojvodina Novi Sad', 'clubID': '448', 'value': '€150k'}, {'date': 'May 29, 2016', 'age': '22', 'clubName': 'FK Vojvodina Novi Sad', 'clubID': '448', 'value': '€150k'}, {'date': 'Dec 18, 2016', 'age': '22', 'clubName': 'FK Radnicki Nis', 'clubID': '7567', 'value': '€400k'}, {'date': 'May 4, 2017', 'age': '23', 'clubName': 'Red Star Belgrade', 'clubID': '159', 'value': '€400k'}, {'date': 'Jan 10, 2018', 'age': '23', 'clubName': 'FK Radnicki Nis', 'clubID': '7567', 'value': '€800k'}, {'date': 'Jul 2, 2018', 'age': '24', 'clubName': 'Red Star Belgrade', 'clubID': '159', 'value': '€1.25m'}, {'date': 'Jan 14, 2019', 'age': '24', 'clubName': 'Red Star Belgrade', 'clubID': '159', 'value': '€2.50m'}, {'date': 'Jun 9, 2019', 'age': '25', 'clubName': 'Red Star Belgrade', 'clubID': '159', 'value': '€4.00m'}, {'date': 'Oct 28, 2019', 'age': '25', 'clubName': 'Red Star Belgrade', 'clubID': '159', 'value': '€4.50m'}, {'date': 'Apr 8, 2020', 'age': '26', 'clubName': 'Red Star Belgrade', 'clubID': '159', 'value': '€3.50m'}, {'date': 'Jun 28, 2020', 'age': '26', 'clubName': 'Red Star Belgrade', 'clubID': '159', 'value': '€2.20m'}, {'date': 'Dec 22, 2020', 'age': '26', 'clubName': 'Red Star Belgrade', 'clubID': '159', 'value': '€1.20m'}, {'date': 'Jun 12, 2021', 'age': '27', 'clubName': 'Red Star Belgrade', 'clubID': '159', 'value': '€1.70m'}, {'date': 'Dec 25, 2021', 'age': '27', 'clubName': 'Red Star Belgrade', 'clubID': '159', 'value': '€2.50m'}, {'date': 'Jun 26, 2022', 'age': '28', 'clubName': 'Red Star Belgrade', 'clubID': '159', 'value': '€2.00m'}, {'date': 'Dec 2, 2022', 'age': '28', 'clubName': 'Al-Fayha FC', 'clubID': '50531', 'value': '€1.30m'}, {'date': 'Jun 12, 2023', 'age': '29', 'clubName': 'Al-Fayha FC', 'clubID': '50531', 'value': '€1.00m'}, {'date': 'Dec 15, 2023', 'age': '29', 'clubName': 'Al-Fayha FC', 'clubID': '50531', 'value': '€700k'}, {'date': 'Jun 10, 2024', 'age': '30', 'clubName': 'FK Cukaricki', 'clubID': '6621', 'value': '€700k'}, {'date': 'Dec 27, 2024', 'age': '30', 'clubName': 'FK Cukaricki', 'clubID': '6621', 'value': '€500k'}, {'date': 'Jun 12, 2025', 'age': '31', 'clubName': 'FK Cukaricki', 'clubID': '6621', 'value': '€400k'}, {'date': 'Dec 11, 2025', 'age': '31', 'clubName': 'FK Cukaricki', 'clubID': '6621', 'value': '€350k'}]}</t>
  </si>
  <si>
    <t>1994-02-09</t>
  </si>
  <si>
    <t>Cornet</t>
  </si>
  <si>
    <t>{'marketValueHistory': [{'date': '09/10/2012', 'age': '16', 'clubName': 'FC Metz', 'clubID': '347', 'value': '€50k'}, {'date': '13/01/2014', 'age': '17', 'clubName': 'FC Metz', 'clubID': '347', 'value': '€300k'}, {'date': '07/08/2014', 'age': '17', 'clubName': 'FC Metz', 'clubID': '347', 'value': '€750k'}, {'date': '14/01/2015', 'age': '18', 'clubName': 'FC Metz', 'clubID': '347', 'value': '€1.00m'}, {'date': '06/06/2015', 'age': '18', 'clubName': 'Olympique Lyon', 'clubID': '1041', 'value': '€1.00m'}, {'date': '04/02/2016', 'age': '19', 'clubName': 'Olympique Lyon', 'clubID': '1041', 'value': '€2.50m'}, {'date': '13/07/2016', 'age': '19', 'clubName': 'Olympique Lyon', 'clubID': '1041', 'value': '€7.00m'}, {'date': '01/11/2016', 'age': '20', 'clubName': 'Olympique Lyon', 'clubID': '1041', 'value': '€8.00m'}, {'date': '16/01/2017', 'age': '20', 'clubName': 'Olympique Lyon', 'clubID': '1041', 'value': '€8.00m'}, {'date': '01/06/2017', 'age': '20', 'clubName': 'Olympique Lyon', 'clubID': '1041', 'value': '€10.00m'}, {'date': '24/01/2018', 'age': '21', 'clubName': 'Olympique Lyon', 'clubID': '1041', 'value': '€18.00m'}, {'date': '20/03/2018', 'age': '21', 'clubName': 'Olympique Lyon', 'clubID': '1041', 'value': '€15.00m'}, {'date': '04/06/2018', 'age': '21', 'clubName': 'Olympique Lyon', 'clubID': '1041', 'value': '€15.00m'}, {'date': '24/10/2018', 'age': '22', 'clubName': 'Olympique Lyon', 'clubID': '1041', 'value': '€12.00m'}, {'date': '17/12/2018', 'age': '22', 'clubName': 'Olympique Lyon', 'clubID': '1041', 'value': '€12.00m'}, {'date': '03/06/2019', 'age': '22', 'clubName': 'Olympique Lyon', 'clubID': '1041', 'value': '€15.00m'}, {'date': '19/12/2019', 'age': '23', 'clubName': 'Olympique Lyon', 'clubID': '1041', 'value': '€13.00m'}, {'date': '08/04/2020', 'age': '23', 'clubName': 'Olympique Lyon', 'clubID': '1041', 'value': '€10.50m'}, {'date': '15/10/2020', 'age': '24', 'clubName': 'Olympique Lyon', 'clubID': '1041', 'value': '€10.50m'}, {'date': '07/01/2021', 'age': '24', 'clubName': 'Olympique Lyon', 'clubID': '1041', 'value': '€12.00m'}, {'date': '04/06/2021', 'age': '24', 'clubName': 'Olympique Lyon', 'clubID': '1041', 'value': '€12.00m'}, {'date': '23/12/2021', 'age': '25', 'clubName': 'Burnley FC', 'clubID': '1132', 'value': '€14.00m'}, {'date': '15/06/2022', 'age': '25', 'clubName': 'Burnley FC', 'clubID': '1132', 'value': '€15.00m'}, {'date': '15/09/2022', 'age': '25', 'clubName': 'West Ham United', 'clubID': '379', 'value': '€17.00m'}, {'date': '03/11/2022', 'age': '26', 'clubName': 'West Ham United', 'clubID': '379', 'value': '€15.00m'}, {'date': '20/06/2023', 'age': '26', 'clubName': 'West Ham United', 'clubID': '379', 'value': '€12.00m'}, {'date': '19/12/2023', 'age': '27', 'clubName': 'West Ham United', 'clubID': '379', 'value': '€10.00m'}, {'date': '27/05/2024', 'age': '27', 'clubName': 'West Ham United', 'clubID': '379', 'value': '€9.00m'}, {'date': '16/12/2024', 'age': '28', 'clubName': 'Southampton FC', 'clubID': '180', 'value': '€8.00m'}, {'date': '17/06/2025', 'age': '28', 'clubName': 'Genoa CFC', 'clubID': '252', 'value': '€8.00m'}, {'date': '23/12/2025', 'age': '29', 'clubName': 'Genoa CFC', 'clubID': '252', 'value': '€5.00m'}, {'date': '24/03/2026', 'age': '29', 'clubName': 'Genoa CFC', 'clubID': '252', 'value': '€2.50m'}]}</t>
  </si>
  <si>
    <t>1996-09-27</t>
  </si>
  <si>
    <t>Horava</t>
  </si>
  <si>
    <t>{'marketValueHistory': [{'date': 'May 20, 2008', 'age': '19', 'clubName': 'SK Sigma Olomouc', 'clubID': '2311', 'value': '€125k'}, {'date': 'Aug 28, 2008', 'age': '20', 'clubName': 'SK Sigma Olomouc', 'clubID': '2311', 'value': '€200k'}, {'date': 'Nov 10, 2008', 'age': '20', 'clubName': 'SK Sigma Olomouc', 'clubID': '2311', 'value': '€550k'}, {'date': 'Mar 17, 2009', 'age': '20', 'clubName': 'SK Sigma Olomouc', 'clubID': '2311', 'value': '€650k'}, {'date': 'Oct 19, 2010', 'age': '22', 'clubName': 'SK Sigma Olomouc', 'clubID': '2311', 'value': '€750k'}, {'date': 'Feb 21, 2011', 'age': '22', 'clubName': 'SK Sigma Olomouc', 'clubID': '2311', 'value': '€1.00m'}, {'date': 'Dec 29, 2011', 'age': '23', 'clubName': 'SK Sigma Olomouc', 'clubID': '2311', 'value': '€1.00m'}, {'date': 'Aug 9, 2012', 'age': '24', 'clubName': 'SK Sigma Olomouc', 'clubID': '2311', 'value': '€800k'}, {'date': 'Jul 25, 2013', 'age': '25', 'clubName': 'FC Viktoria Plzen', 'clubID': '941', 'value': '€800k'}, {'date': 'Aug 29, 2013', 'age': '25', 'clubName': 'FC Viktoria Plzen', 'clubID': '941', 'value': '€1.25m'}, {'date': 'Apr 17, 2014', 'age': '25', 'clubName': 'FC Viktoria Plzen', 'clubID': '941', 'value': '€1.50m'}, {'date': 'Aug 7, 2014', 'age': '26', 'clubName': 'FC Viktoria Plzen', 'clubID': '941', 'value': '€1.50m'}, {'date': 'Jan 17, 2015', 'age': '26', 'clubName': 'FC Viktoria Plzen', 'clubID': '941', 'value': '€1.75m'}, {'date': 'Oct 14, 2015', 'age': '27', 'clubName': 'FC Viktoria Plzen', 'clubID': '941', 'value': '€1.75m'}, {'date': 'Aug 3, 2016', 'age': '28', 'clubName': 'FC Viktoria Plzen', 'clubID': '941', 'value': '€1.50m'}, {'date': 'Oct 16, 2016', 'age': '28', 'clubName': 'FC Viktoria Plzen', 'clubID': '941', 'value': '€1.80m'}, {'date': 'Dec 19, 2016', 'age': '28', 'clubName': 'FC Viktoria Plzen', 'clubID': '941', 'value': '€2.00m'}, {'date': 'Apr 15, 2017', 'age': '28', 'clubName': 'FC Viktoria Plzen', 'clubID': '941', 'value': '€2.25m'}, {'date': 'Jun 10, 2017', 'age': '29', 'clubName': 'FC Viktoria Plzen', 'clubID': '941', 'value': '€2.50m'}, {'date': 'Dec 21, 2017', 'age': '29', 'clubName': 'FC Viktoria Plzen', 'clubID': '941', 'value': '€2.80m'}, {'date': 'Jul 14, 2018', 'age': '30', 'clubName': 'FC Viktoria Plzen', 'clubID': '941', 'value': '€2.80m'}, {'date': 'Dec 30, 2018', 'age': '30', 'clubName': 'FC Viktoria Plzen', 'clubID': '941', 'value': '€2.50m'}, {'date': 'Apr 30, 2019', 'age': '30', 'clubName': 'FC Viktoria Plzen', 'clubID': '941', 'value': '€1.50m'}, {'date': 'Jun 25, 2019', 'age': '31', 'clubName': 'FC Viktoria Plzen', 'clubID': '941', 'value': '€1.00m'}, {'date': 'Sep 25, 2019', 'age': '31', 'clubName': 'FC Viktoria Plzen', 'clubID': '941', 'value': '€800k'}, {'date': 'Dec 7, 2019', 'age': '31', 'clubName': 'FC Viktoria Plzen', 'clubID': '941', 'value': '€800k'}, {'date': 'Apr 8, 2020', 'age': '31', 'clubName': 'FC Viktoria Plzen', 'clubID': '941', 'value': '€650k'}, {'date': 'Jul 10, 2020', 'age': '32', 'clubName': 'FC Viktoria Plzen', 'clubID': '941', 'value': '€650k'}, {'date': 'Dec 27, 2020', 'age': '32', 'clubName': 'FC Viktoria Plzen', 'clubID': '941', 'value': '€450k'}, {'date': 'Jun 25, 2021', 'age': '33', 'clubName': 'FC Viktoria Plzen', 'clubID': '941', 'value': '€250k'}, {'date': 'Jul 1, 2021', 'age': '33', 'clubName': 'Retired', 'clubID': '123', 'value': '-'}]}</t>
  </si>
  <si>
    <t>1988-05-29</t>
  </si>
  <si>
    <t>Schennikov</t>
  </si>
  <si>
    <t>{'marketValueHistory': [{'date': '11/04/2008', 'age': '16', 'clubName': 'CSKA Moscow II', 'clubID': '2410', 'value': '€50k'}, {'date': '26/02/2009', 'age': '17', 'clubName': 'CSKA Moscow', 'clubID': '2410', 'value': '€700k'}, {'date': '17/08/2009', 'age': '18', 'clubName': 'CSKA Moscow', 'clubID': '2410', 'value': '€1.50m'}, {'date': '29/09/2009', 'age': '18', 'clubName': 'CSKA Moscow', 'clubID': '2410', 'value': '€1.00m'}, {'date': '14/12/2009', 'age': '18', 'clubName': 'CSKA Moscow', 'clubID': '2410', 'value': '€2.20m'}, {'date': '08/01/2010', 'age': '18', 'clubName': 'CSKA Moscow', 'clubID': '2410', 'value': '€2.00m'}, {'date': '22/06/2010', 'age': '19', 'clubName': 'CSKA Moscow', 'clubID': '2410', 'value': '€3.50m'}, {'date': '18/07/2011', 'age': '20', 'clubName': 'CSKA Moscow', 'clubID': '2410', 'value': '€3.50m'}, {'date': '19/12/2011', 'age': '20', 'clubName': 'CSKA Moscow', 'clubID': '2410', 'value': '€3.50m'}, {'date': '02/07/2012', 'age': '21', 'clubName': 'CSKA Moscow', 'clubID': '2410', 'value': '€4.00m'}, {'date': '13/01/2013', 'age': '21', 'clubName': 'CSKA Moscow', 'clubID': '2410', 'value': '€3.50m'}, {'date': '19/06/2013', 'age': '22', 'clubName': 'CSKA Moscow', 'clubID': '2410', 'value': '€3.50m'}, {'date': '03/03/2014', 'age': '22', 'clubName': 'CSKA Moscow', 'clubID': '2410', 'value': '€4.00m'}, {'date': '31/07/2014', 'age': '23', 'clubName': 'CSKA Moscow', 'clubID': '2410', 'value': '€5.00m'}, {'date': '23/02/2015', 'age': '23', 'clubName': 'CSKA Moscow', 'clubID': '2410', 'value': '€6.00m'}, {'date': '18/06/2015', 'age': '24', 'clubName': 'CSKA Moscow', 'clubID': '2410', 'value': '€5.00m'}, {'date': '06/01/2016', 'age': '24', 'clubName': 'CSKA Moscow', 'clubID': '2410', 'value': '€5.00m'}, {'date': '01/06/2016', 'age': '25', 'clubName': 'CSKA Moscow', 'clubID': '2410', 'value': '€4.00m'}, {'date': '27/12/2016', 'age': '25', 'clubName': 'CSKA Moscow', 'clubID': '2410', 'value': '€3.00m'}, {'date': '01/06/2017', 'age': '26', 'clubName': 'CSKA Moscow', 'clubID': '2410', 'value': '€3.00m'}, {'date': '02/10/2017', 'age': '26', 'clubName': 'CSKA Moscow', 'clubID': '2410', 'value': '€4.00m'}, {'date': '23/12/2017', 'age': '26', 'clubName': 'CSKA Moscow', 'clubID': '2410', 'value': '€4.80m'}, {'date': '06/06/2018', 'age': '27', 'clubName': 'CSKA Moscow', 'clubID': '2410', 'value': '€5.00m'}, {'date': '20/12/2018', 'age': '27', 'clubName': 'CSKA Moscow', 'clubID': '2410', 'value': '€5.00m'}, {'date': '14/06/2019', 'age': '28', 'clubName': 'CSKA Moscow', 'clubID': '2410', 'value': '€5.00m'}, {'date': '23/12/2019', 'age': '28', 'clubName': 'CSKA Moscow', 'clubID': '2410', 'value': '€3.50m'}, {'date': '08/04/2020', 'age': '28', 'clubName': 'CSKA Moscow', 'clubID': '2410', 'value': '€2.80m'}, {'date': '29/07/2020', 'age': '29', 'clubName': 'CSKA Moscow', 'clubID': '2410', 'value': '€2.50m'}, {'date': '29/12/2020', 'age': '29', 'clubName': 'CSKA Moscow', 'clubID': '2410', 'value': '€2.50m'}, {'date': '02/06/2021', 'age': '30', 'clubName': 'CSKA Moscow', 'clubID': '2410', 'value': '€2.00m'}, {'date': '29/12/2021', 'age': '30', 'clubName': 'CSKA Moscow', 'clubID': '2410', 'value': '€1.80m'}, {'date': '02/06/2022', 'age': '31', 'clubName': 'CSKA Moscow', 'clubID': '2410', 'value': '€1.50m'}, {'date': '12/09/2022', 'age': '31', 'clubName': 'CSKA Moscow', 'clubID': '2410', 'value': '€1.20m'}, {'date': '21/11/2022', 'age': '31', 'clubName': 'CSKA Moscow', 'clubID': '2410', 'value': '€900k'}, {'date': '13/04/2023', 'age': '31', 'clubName': 'CSKA Moscow', 'clubID': '2410', 'value': '€700k'}, {'date': '14/06/2023', 'age': '32', 'clubName': 'CSKA Moscow', 'clubID': '2410', 'value': '€400k'}, {'date': '25/10/2023', 'age': '32', 'clubName': 'Career break', 'clubID': '2113', 'value': '€300k'}, {'date': '04/03/2024', 'age': '32', 'clubName': 'Career break', 'clubID': '2113', 'value': '-'}]}</t>
  </si>
  <si>
    <t>1991-04-27</t>
  </si>
  <si>
    <t>Juan Jesus</t>
  </si>
  <si>
    <t>{'marketValueHistory': [{'date': 'Mar 13, 2010', 'age': '18', 'clubName': 'Sport Club Internacional', 'clubID': '6600', 'value': '€300k'}, {'date': 'Apr 14, 2010', 'age': '18', 'clubName': 'Sport Club Internacional', 'clubID': '6600', 'value': '€600k'}, {'date': 'Feb 21, 2011', 'age': '19', 'clubName': 'Sport Club Internacional', 'clubID': '6600', 'value': '€750k'}, {'date': 'May 30, 2011', 'age': '19', 'clubName': 'Sport Club Internacional', 'clubID': '6600', 'value': '€750k'}, {'date': 'Aug 29, 2011', 'age': '20', 'clubName': 'Sport Club Internacional', 'clubID': '6600', 'value': '€1.00m'}, {'date': 'Dec 8, 2011', 'age': '20', 'clubName': 'Sport Club Internacional', 'clubID': '6600', 'value': '€3.00m'}, {'date': 'Feb 2, 2012', 'age': '20', 'clubName': 'Inter Milan', 'clubID': '46', 'value': '€4.00m'}, {'date': 'Jun 8, 2012', 'age': '20', 'clubName': 'Inter Milan', 'clubID': '46', 'value': '€5.00m'}, {'date': 'Nov 7, 2012', 'age': '21', 'clubName': 'Inter Milan', 'clubID': '46', 'value': '€7.50m'}, {'date': 'Jan 15, 2013', 'age': '21', 'clubName': 'Inter Milan', 'clubID': '46', 'value': '€11.00m'}, {'date': 'Jun 19, 2013', 'age': '22', 'clubName': 'Inter Milan', 'clubID': '46', 'value': '€11.00m'}, {'date': 'Jan 7, 2014', 'age': '22', 'clubName': 'Inter Milan', 'clubID': '46', 'value': '€12.00m'}, {'date': 'Jul 1, 2014', 'age': '23', 'clubName': 'Inter Milan', 'clubID': '46', 'value': '€12.00m'}, {'date': 'Nov 8, 2014', 'age': '23', 'clubName': 'Inter Milan', 'clubID': '46', 'value': '€14.00m'}, {'date': 'Jan 7, 2015', 'age': '23', 'clubName': 'Inter Milan', 'clubID': '46', 'value': '€13.00m'}, {'date': 'Jul 1, 2015', 'age': '24', 'clubName': 'Inter Milan', 'clubID': '46', 'value': '€11.00m'}, {'date': 'Nov 5, 2015', 'age': '24', 'clubName': 'Inter Milan', 'clubID': '46', 'value': '€10.00m'}, {'date': 'Jan 4, 2016', 'age': '24', 'clubName': 'Inter Milan', 'clubID': '46', 'value': '€9.00m'}, {'date': 'Jul 15, 2016', 'age': '25', 'clubName': 'AS Roma', 'clubID': '12', 'value': '€9.00m'}, {'date': 'Jan 2, 2017', 'age': '25', 'clubName': 'AS Roma', 'clubID': '12', 'value': '€7.50m'}, {'date': 'Jun 8, 2017', 'age': '25', 'clubName': 'AS Roma', 'clubID': '12', 'value': '€7.50m'}, {'date': 'Dec 29, 2017', 'age': '26', 'clubName': 'AS Roma', 'clubID': '12', 'value': '€10.00m'}, {'date': 'Jun 7, 2018', 'age': '26', 'clubName': 'AS Roma', 'clubID': '12', 'value': '€13.00m'}, {'date': 'Dec 20, 2018', 'age': '27', 'clubName': 'AS Roma', 'clubID': '12', 'value': '€11.00m'}, {'date': 'Jun 6, 2019', 'age': '27', 'clubName': 'AS Roma', 'clubID': '12', 'value': '€9.00m'}, {'date': 'Dec 12, 2019', 'age': '28', 'clubName': 'AS Roma', 'clubID': '12', 'value': '€7.00m'}, {'date': 'Mar 3, 2020', 'age': '28', 'clubName': 'AS Roma', 'clubID': '12', 'value': '€5.00m'}, {'date': 'Apr 8, 2020', 'age': '28', 'clubName': 'AS Roma', 'clubID': '12', 'value': '€4.00m'}, {'date': 'Aug 25, 2020', 'age': '29', 'clubName': 'AS Roma', 'clubID': '12', 'value': '€3.50m'}, {'date': 'Dec 29, 2020', 'age': '29', 'clubName': 'AS Roma', 'clubID': '12', 'value': '€2.50m'}, {'date': 'Jun 3, 2021', 'age': '29', 'clubName': 'AS Roma', 'clubID': '12', 'value': '€2.00m'}, {'date': 'Dec 28, 2021', 'age': '30', 'clubName': 'SSC Napoli', 'clubID': '6195', 'value': '€2.50m'}, {'date': 'Mar 15, 2022', 'age': '30', 'clubName': 'SSC Napoli', 'clubID': '6195', 'value': '€4.00m'}, {'date': 'Jun 7, 2022', 'age': '30', 'clubName': 'SSC Napoli', 'clubID': '6195', 'value': '€4.00m'}, {'date': 'Nov 11, 2022', 'age': '31', 'clubName': 'SSC Napoli', 'clubID': '6195', 'value': '€4.00m'}, {'date': 'Jun 15, 2023', 'age': '32', 'clubName': 'SSC Napoli', 'clubID': '6195', 'value': '€3.50m'}, {'date': 'Dec 20, 2023', 'age': '32', 'clubName': 'SSC Napoli', 'clubID': '6195', 'value': '€3.00m'}, {'date': 'Jun 5, 2024', 'age': '32', 'clubName': 'SSC Napoli', 'clubID': '6195', 'value': '€2.50m'}, {'date': 'Dec 18, 2024', 'age': '33', 'clubName': 'SSC Napoli', 'clubID': '6195', 'value': '€1.50m'}, {'date': 'Jun 17, 2025', 'age': '34', 'clubName': 'SSC Napoli', 'clubID': '6195', 'value': '€1.50m'}, {'date': 'Dec 23, 2025', 'age': '34', 'clubName': 'SSC Napoli', 'clubID': '6195', 'value': '€1.50m'}]}</t>
  </si>
  <si>
    <t>1991-06-10</t>
  </si>
  <si>
    <t>Wolf</t>
  </si>
  <si>
    <t>1946-11-16</t>
  </si>
  <si>
    <t>Vlietinck</t>
  </si>
  <si>
    <t>{'marketValueHistory': [{'date': 'Jan 21, 2017', 'age': '19', 'clubName': 'FC Brügge U21', 'clubID': '2282', 'value': '€250k'}, {'date': 'Jun 6, 2017', 'age': '19', 'clubName': 'FC Brügge U21', 'clubID': '2282', 'value': '€250k'}, {'date': 'Jan 9, 2018', 'age': '20', 'clubName': 'Club Brugge KV', 'clubID': '2282', 'value': '€250k'}, {'date': 'Jun 3, 2018', 'age': '20', 'clubName': 'Club Brugge KV', 'clubID': '2282', 'value': '€250k'}, {'date': 'Dec 27, 2018', 'age': '21', 'clubName': 'Club Brugge KV', 'clubID': '2282', 'value': '€750k'}, {'date': 'Jun 10, 2019', 'age': '21', 'clubName': 'Club Brugge KV', 'clubID': '2282', 'value': '€750k'}, {'date': 'Dec 13, 2019', 'age': '22', 'clubName': 'Club Brugge KV', 'clubID': '2282', 'value': '€700k'}, {'date': 'Apr 8, 2020', 'age': '22', 'clubName': 'Club Brugge KV', 'clubID': '2282', 'value': '€550k'}, {'date': 'Oct 16, 2020', 'age': '23', 'clubName': 'Oud-Heverlee Leuven', 'clubID': '2727', 'value': '€550k'}, {'date': 'Mar 17, 2021', 'age': '23', 'clubName': 'Oud-Heverlee Leuven', 'clubID': '2727', 'value': '€700k'}, {'date': 'Jun 7, 2021', 'age': '23', 'clubName': 'Oud-Heverlee Leuven', 'clubID': '2727', 'value': '€700k'}, {'date': 'Oct 6, 2021', 'age': '24', 'clubName': 'Oud-Heverlee Leuven', 'clubID': '2727', 'value': '€500k'}, {'date': 'Jan 6, 2022', 'age': '24', 'clubName': 'Oud-Heverlee Leuven', 'clubID': '2727', 'value': '€400k'}, {'date': 'Apr 12, 2022', 'age': '24', 'clubName': 'Oud-Heverlee Leuven', 'clubID': '2727', 'value': '€400k'}, {'date': 'Nov 4, 2022', 'age': '25', 'clubName': 'Oud-Heverlee Leuven', 'clubID': '2727', 'value': '€350k'}, {'date': 'Jun 9, 2023', 'age': '25', 'clubName': 'Oud-Heverlee Leuven', 'clubID': '2727', 'value': '€400k'}, {'date': 'Oct 23, 2023', 'age': '26', 'clubName': 'Oud-Heverlee Leuven', 'clubID': '2727', 'value': '€600k'}, {'date': 'Dec 19, 2023', 'age': '26', 'clubName': 'Oud-Heverlee Leuven', 'clubID': '2727', 'value': '€500k'}, {'date': 'Jun 4, 2024', 'age': '26', 'clubName': 'Oud-Heverlee Leuven', 'clubID': '2727', 'value': '€400k'}, {'date': 'Dec 11, 2024', 'age': '27', 'clubName': 'Oud-Heverlee Leuven', 'clubID': '2727', 'value': '€600k'}, {'date': 'Jun 12, 2025', 'age': '27', 'clubName': 'Oud-Heverlee Leuven', 'clubID': '2727', 'value': '€600k'}, {'date': 'Dec 10, 2025', 'age': '28', 'clubName': 'Oud-Heverlee Leuven', 'clubID': '2727', 'value': '€500k'}]}</t>
  </si>
  <si>
    <t>1997-08-19</t>
  </si>
  <si>
    <t>Simic</t>
  </si>
  <si>
    <t>{'marketValueHistory': [{'date': 'Oct 4, 2004', 'age': '28', 'clubName': 'AC Milan', 'clubID': '5', 'value': '€2.00m'}, {'date': 'Jul 4, 2008', 'age': '32', 'clubName': 'AC Milan', 'clubID': '5', 'value': '€1.50m'}, {'date': 'Dec 30, 2008', 'age': '33', 'clubName': 'AS Monaco', 'clubID': '162', 'value': '€2.20m'}, {'date': 'May 18, 2009', 'age': '33', 'clubName': 'AS Monaco', 'clubID': '162', 'value': '€2.00m'}, {'date': 'Sep 4, 2009', 'age': '33', 'clubName': 'AS Monaco', 'clubID': '162', 'value': '€1.50m'}, {'date': 'Dec 22, 2009', 'age': '34', 'clubName': 'AS Monaco', 'clubID': '162', 'value': '€800k'}, {'date': 'May 18, 2010', 'age': '34', 'clubName': 'AS Monaco', 'clubID': '162', 'value': '€600k'}, {'date': 'Aug 11, 2010', 'age': '34', 'clubName': 'Retired', 'clubID': '123', 'value': '-'}]}</t>
  </si>
  <si>
    <t>1975-11-12</t>
  </si>
  <si>
    <t>Alexis Sanchez</t>
  </si>
  <si>
    <t>{'marketValueHistory': [{'date': '29/12/2006', 'age': '18', 'clubName': 'CSD Colo-Colo', 'clubID': '2433', 'value': '€50k'}, {'date': '24/09/2007', 'age': '18', 'clubName': 'CA River Plate', 'clubID': '15108', 'value': '€2.75m'}, {'date': '31/03/2008', 'age': '19', 'clubName': 'CA River Plate', 'clubID': '15108', 'value': '€3.40m'}, {'date': '04/07/2008', 'age': '19', 'clubName': 'Udinese Calcio', 'clubID': '410', 'value': '€3.80m'}, {'date': '06/08/2009', 'age': '20', 'clubName': 'Udinese Calcio', 'clubID': '410', 'value': '€6.50m'}, {'date': '27/01/2010', 'age': '21', 'clubName': 'Udinese Calcio', 'clubID': '410', 'value': '€7.00m'}, {'date': '09/05/2010', 'age': '21', 'clubName': 'Udinese Calcio', 'clubID': '410', 'value': '€8.00m'}, {'date': '01/08/2010', 'age': '21', 'clubName': 'Udinese Calcio', 'clubID': '410', 'value': '€9.50m'}, {'date': '10/01/2011', 'age': '22', 'clubName': 'Udinese Calcio', 'clubID': '410', 'value': '€13.50m'}, {'date': '18/03/2011', 'age': '22', 'clubName': 'Udinese Calcio', 'clubID': '410', 'value': '€18.50m'}, {'date': '21/06/2011', 'age': '22', 'clubName': 'Udinese Calcio', 'clubID': '410', 'value': '€25.00m'}, {'date': '29/07/2011', 'age': '22', 'clubName': 'FC Barcelona', 'clubID': '131', 'value': '€26.00m'}, {'date': '03/02/2012', 'age': '23', 'clubName': 'FC Barcelona', 'clubID': '131', 'value': '€28.00m'}, {'date': '14/04/2012', 'age': '23', 'clubName': 'FC Barcelona', 'clubID': '131', 'value': '€30.00m'}, {'date': '07/08/2012', 'age': '23', 'clubName': 'FC Barcelona', 'clubID': '131', 'value': '€38.00m'}, {'date': '10/01/2013', 'age': '24', 'clubName': 'FC Barcelona', 'clubID': '131', 'value': '€28.00m'}, {'date': '07/03/2013', 'age': '24', 'clubName': 'FC Barcelona', 'clubID': '131', 'value': '€25.00m'}, {'date': '12/06/2013', 'age': '24', 'clubName': 'FC Barcelona', 'clubID': '131', 'value': '€26.00m'}, {'date': '23/01/2014', 'age': '25', 'clubName': 'FC Barcelona', 'clubID': '131', 'value': '€30.00m'}, {'date': '12/08/2014', 'age': '25', 'clubName': 'Arsenal FC', 'clubID': '11', 'value': '€38.00m'}, {'date': '12/02/2015', 'age': '26', 'clubName': 'Arsenal FC', 'clubID': '11', 'value': '€45.00m'}, {'date': '01/07/2015', 'age': '26', 'clubName': 'Arsenal FC', 'clubID': '11', 'value': '€55.00m'}, {'date': '09/02/2016', 'age': '27', 'clubName': 'Arsenal FC', 'clubID': '11', 'value': '€55.00m'}, {'date': '01/08/2016', 'age': '27', 'clubName': 'Arsenal FC', 'clubID': '11', 'value': '€55.00m'}, {'date': '20/02/2017', 'age': '28', 'clubName': 'Arsenal FC', 'clubID': '11', 'value': '€65.00m'}, {'date': '28/06/2017', 'age': '28', 'clubName': 'Arsenal FC', 'clubID': '11', 'value': '€65.00m'}, {'date': '02/01/2018', 'age': '29', 'clubName': 'Arsenal FC', 'clubID': '11', 'value': '€70.00m'}, {'date': '28/05/2018', 'age': '29', 'clubName': 'Manchester United', 'clubID': '985', 'value': '€70.00m'}, {'date': '17/10/2018', 'age': '29', 'clubName': 'Manchester United', 'clubID': '985', 'value': '€55.00m'}, {'date': '19/12/2018', 'age': '30', 'clubName': 'Manchester United', 'clubID': '985', 'value': '€45.00m'}, {'date': '13/06/2019', 'age': '30', 'clubName': 'Manchester United', 'clubID': '985', 'value': '€35.00m'}, {'date': '12/12/2019', 'age': '30', 'clubName': 'Inter Milan', 'clubID': '46', 'value': '€25.00m'}, {'date': '03/03/2020', 'age': '31', 'clubName': 'Inter Milan', 'clubID': '46', 'value': '€20.00m'}, {'date': '08/04/2020', 'age': '31', 'clubName': 'Inter Milan', 'clubID': '46', 'value': '€16.00m'}, {'date': '25/08/2020', 'age': '31', 'clubName': 'Inter Milan', 'clubID': '46', 'value': '€16.00m'}, {'date': '29/12/2020', 'age': '32', 'clubName': 'Inter Milan', 'clubID': '46', 'value': '€10.00m'}, {'date': '03/06/2021', 'age': '32', 'clubName': 'Inter Milan', 'clubID': '46', 'value': '€7.50m'}, {'date': '14/10/2021', 'age': '32', 'clubName': 'Inter Milan', 'clubID': '46', 'value': '€5.00m'}, {'date': '28/12/2021', 'age': '33', 'clubName': 'Inter Milan', 'clubID': '46', 'value': '€3.50m'}, {'date': '07/06/2022', 'age': '33', 'clubName': 'Inter Milan', 'clubID': '46', 'value': '€3.50m'}, {'date': '02/11/2022', 'age': '33', 'clubName': 'Olympique Marseille', 'clubID': '244', 'value': '€4.50m'}, {'date': '27/06/2023', 'age': '34', 'clubName': 'Olympique Marseille', 'clubID': '244', 'value': '€4.00m'}, {'date': '20/12/2023', 'age': '35', 'clubName': 'Inter Milan', 'clubID': '46', 'value': '€2.50m'}, {'date': '05/06/2024', 'age': '35', 'clubName': 'Inter Milan', 'clubID': '46', 'value': '€2.50m'}, {'date': '18/12/2024', 'age': '35', 'clubName': 'Udinese Calcio', 'clubID': '410', 'value': '€2.00m'}, {'date': '17/06/2025', 'age': '36', 'clubName': 'Udinese Calcio', 'clubID': '410', 'value': '€1.50m'}, {'date': '12/12/2025', 'age': '36', 'clubName': 'Sevilla FC', 'clubID': '368', 'value': '€1.40m'}]}</t>
  </si>
  <si>
    <t>Alan Patrick</t>
  </si>
  <si>
    <t>{'marketValueHistory': [{'date': 'Mar 8, 2009', 'age': '17', 'clubName': 'Santos FC', 'clubID': '221', 'value': '€50k'}, {'date': 'Jun 27, 2009', 'age': '18', 'clubName': 'Santos FC', 'clubID': '221', 'value': '€150k'}, {'date': 'Sep 6, 2010', 'age': '19', 'clubName': 'Santos FC', 'clubID': '221', 'value': '€500k'}, {'date': 'Dec 10, 2010', 'age': '19', 'clubName': 'Santos FC', 'clubID': '221', 'value': '€1.00m'}, {'date': 'May 30, 2011', 'age': '20', 'clubName': 'Santos FC', 'clubID': '221', 'value': '€1.50m'}, {'date': 'Jul 4, 2011', 'age': '20', 'clubName': 'Shakhtar Donetsk', 'clubID': '660', 'value': '€3.00m'}, {'date': 'Jan 5, 2012', 'age': '20', 'clubName': 'Shakhtar Donetsk', 'clubID': '660', 'value': '€2.00m'}, {'date': 'Jul 2, 2012', 'age': '21', 'clubName': 'Shakhtar Donetsk', 'clubID': '660', 'value': '€1.50m'}, {'date': 'Jun 17, 2013', 'age': '22', 'clubName': 'Shakhtar Donetsk', 'clubID': '660', 'value': '€2.00m'}, {'date': 'Aug 26, 2013', 'age': '22', 'clubName': 'Sport Club Internacional', 'clubID': '6600', 'value': '€1.50m'}, {'date': 'Aug 7, 2014', 'age': '23', 'clubName': 'Sport Club Internacional', 'clubID': '6600', 'value': '€1.50m'}, {'date': 'Feb 1, 2015', 'age': '23', 'clubName': 'Sociedade Esportiva Palmeiras', 'clubID': '1023', 'value': '€2.50m'}, {'date': 'May 31, 2015', 'age': '24', 'clubName': 'Sociedade Esportiva Palmeiras', 'clubID': '1023', 'value': '€2.25m'}, {'date': 'Sep 11, 2015', 'age': '24', 'clubName': 'CR Flamengo', 'clubID': '614', 'value': '€3.25m'}, {'date': 'Dec 15, 2015', 'age': '24', 'clubName': 'CR Flamengo', 'clubID': '614', 'value': '€3.50m'}, {'date': 'May 27, 2016', 'age': '25', 'clubName': 'CR Flamengo', 'clubID': '614', 'value': '€3.50m'}, {'date': 'Nov 28, 2016', 'age': '25', 'clubName': 'CR Flamengo', 'clubID': '614', 'value': '€3.00m'}, {'date': 'Jun 26, 2017', 'age': '26', 'clubName': 'Shakhtar Donetsk', 'clubID': '660', 'value': '€2.00m'}, {'date': 'Jan 12, 2018', 'age': '26', 'clubName': 'Shakhtar Donetsk', 'clubID': '660', 'value': '€2.00m'}, {'date': 'Aug 6, 2018', 'age': '27', 'clubName': 'Shakhtar Donetsk', 'clubID': '660', 'value': '€3.50m'}, {'date': 'Dec 10, 2018', 'age': '27', 'clubName': 'Shakhtar Donetsk', 'clubID': '660', 'value': '€4.00m'}, {'date': 'Jun 20, 2019', 'age': '28', 'clubName': 'Shakhtar Donetsk', 'clubID': '660', 'value': '€4.00m'}, {'date': 'Jan 8, 2020', 'age': '28', 'clubName': 'Shakhtar Donetsk', 'clubID': '660', 'value': '€6.00m'}, {'date': 'Apr 8, 2020', 'age': '28', 'clubName': 'Shakhtar Donetsk', 'clubID': '660', 'value': '€4.80m'}, {'date': 'Sep 4, 2020', 'age': '29', 'clubName': 'Shakhtar Donetsk', 'clubID': '660', 'value': '€8.00m'}, {'date': 'Jan 14, 2021', 'age': '29', 'clubName': 'Shakhtar Donetsk', 'clubID': '660', 'value': '€8.00m'}, {'date': 'Jun 7, 2021', 'age': '30', 'clubName': 'Shakhtar Donetsk', 'clubID': '660', 'value': '€8.00m'}, {'date': 'Dec 20, 2021', 'age': '30', 'clubName': 'Shakhtar Donetsk', 'clubID': '660', 'value': '€7.00m'}, {'date': 'Aug 19, 2022', 'age': '31', 'clubName': 'Sport Club Internacional', 'clubID': '6600', 'value': '€6.00m'}, {'date': 'Nov 14, 2022', 'age': '31', 'clubName': 'Sport Club Internacional', 'clubID': '6600', 'value': '€5.50m'}, {'date': 'Apr 7, 2023', 'age': '31', 'clubName': 'Sport Club Internacional', 'clubID': '6600', 'value': '€5.00m'}, {'date': 'Jul 25, 2023', 'age': '32', 'clubName': 'Sport Club Internacional', 'clubID': '6600', 'value': '€4.00m'}, {'date': 'Dec 11, 2023', 'age': '32', 'clubName': 'Sport Club Internacional', 'clubID': '6600', 'value': '€4.00m'}, {'date': 'Mar 28, 2024', 'age': '32', 'clubName': 'Sport Club Internacional', 'clubID': '6600', 'value': '€4.00m'}, {'date': 'Jun 17, 2024', 'age': '33', 'clubName': 'Sport Club Internacional', 'clubID': '6600', 'value': '€4.00m'}, {'date': 'Dec 9, 2024', 'age': '33', 'clubName': 'Sport Club Internacional', 'clubID': '6600', 'value': '€3.50m'}, {'date': 'Jun 6, 2025', 'age': '34', 'clubName': 'Sport Club Internacional', 'clubID': '6600', 'value': '€3.00m'}, {'date': 'Dec 10, 2025', 'age': '34', 'clubName': 'Sport Club Internacional', 'clubID': '6600', 'value': '€2.50m'}]}</t>
  </si>
  <si>
    <t>Kompany</t>
  </si>
  <si>
    <t>{'marketValueHistory': [{'date': '04/10/2004', 'age': '18', 'clubName': 'RSC Anderlecht', 'clubID': '58', 'value': '€10.00m'}, {'date': '02/09/2005', 'age': '19', 'clubName': 'RSC Anderlecht', 'clubID': '58', 'value': '€15.00m'}, {'date': '08/02/2006', 'age': '19', 'clubName': 'RSC Anderlecht', 'clubID': '58', 'value': '€13.50m'}, {'date': '15/01/2007', 'age': '20', 'clubName': 'Hamburger SV', 'clubID': '41', 'value': '€10.00m'}, {'date': '01/01/2008', 'age': '21', 'clubName': 'Hamburger SV', 'clubID': '41', 'value': '€13.00m'}, {'date': '04/06/2008', 'age': '22', 'clubName': 'Hamburger SV', 'clubID': '41', 'value': '€10.00m'}, {'date': '22/08/2008', 'age': '22', 'clubName': 'Manchester City', 'clubID': '281', 'value': '€8.00m'}, {'date': '23/02/2009', 'age': '22', 'clubName': 'Manchester City', 'clubID': '281', 'value': '€9.00m'}, {'date': '26/06/2009', 'age': '23', 'clubName': 'Manchester City', 'clubID': '281', 'value': '€10.00m'}, {'date': '24/01/2010', 'age': '23', 'clubName': 'Manchester City', 'clubID': '281', 'value': '€12.00m'}, {'date': '13/08/2010', 'age': '24', 'clubName': 'Manchester City', 'clubID': '281', 'value': '€15.00m'}, {'date': '01/02/2011', 'age': '24', 'clubName': 'Manchester City', 'clubID': '281', 'value': '€20.00m'}, {'date': '08/08/2011', 'age': '25', 'clubName': 'Manchester City', 'clubID': '281', 'value': '€25.00m'}, {'date': '06/02/2012', 'age': '25', 'clubName': 'Manchester City', 'clubID': '281', 'value': '€35.00m'}, {'date': '24/06/2012', 'age': '26', 'clubName': 'Manchester City', 'clubID': '281', 'value': '€35.00m'}, {'date': '28/01/2013', 'age': '26', 'clubName': 'Manchester City', 'clubID': '281', 'value': '€35.00m'}, {'date': '02/07/2013', 'age': '27', 'clubName': 'Manchester City', 'clubID': '281', 'value': '€35.00m'}, {'date': '15/01/2014', 'age': '27', 'clubName': 'Manchester City', 'clubID': '281', 'value': '€35.00m'}, {'date': '12/08/2014', 'age': '28', 'clubName': 'Manchester City', 'clubID': '281', 'value': '€33.00m'}, {'date': '12/02/2015', 'age': '28', 'clubName': 'Manchester City', 'clubID': '281', 'value': '€33.00m'}, {'date': '01/07/2015', 'age': '29', 'clubName': 'Manchester City', 'clubID': '281', 'value': '€30.00m'}, {'date': '09/02/2016', 'age': '29', 'clubName': 'Manchester City', 'clubID': '281', 'value': '€30.00m'}, {'date': '01/08/2016', 'age': '30', 'clubName': 'Manchester City', 'clubID': '281', 'value': '€30.00m'}, {'date': '20/02/2017', 'age': '30', 'clubName': 'Manchester City', 'clubID': '281', 'value': '€25.00m'}, {'date': '28/06/2017', 'age': '31', 'clubName': 'Manchester City', 'clubID': '281', 'value': '€22.00m'}, {'date': '23/10/2017', 'age': '31', 'clubName': 'Manchester City', 'clubID': '281', 'value': '€15.00m'}, {'date': '02/01/2018', 'age': '31', 'clubName': 'Manchester City', 'clubID': '281', 'value': '€10.00m'}, {'date': '28/05/2018', 'age': '32', 'clubName': 'Manchester City', 'clubID': '281', 'value': '€10.00m'}, {'date': '19/12/2018', 'age': '32', 'clubName': 'Manchester City', 'clubID': '281', 'value': '€10.00m'}, {'date': '13/06/2019', 'age': '33', 'clubName': 'Manchester City', 'clubID': '281', 'value': '€8.00m'}, {'date': '13/09/2019', 'age': '33', 'clubName': 'RSC Anderlecht', 'clubID': '58', 'value': '€6.50m'}, {'date': '13/12/2019', 'age': '33', 'clubName': 'RSC Anderlecht', 'clubID': '58', 'value': '€5.00m'}, {'date': '08/04/2020', 'age': '33', 'clubName': 'RSC Anderlecht', 'clubID': '58', 'value': '€4.00m'}, {'date': '17/08/2020', 'age': '34', 'clubName': 'Retired', 'clubID': '123', 'value': '-'}]}</t>
  </si>
  <si>
    <t>1986-04-10</t>
  </si>
  <si>
    <t>Dani Alves</t>
  </si>
  <si>
    <t>{'marketValueHistory': [{'date': 'Oct 12, 2004', 'age': '21', 'clubName': 'Sevilla FC', 'clubID': '368', 'value': '€5.00m'}, {'date': 'Jan 31, 2007', 'age': '23', 'clubName': 'Sevilla FC', 'clubID': '368', 'value': '€10.00m'}, {'date': 'May 9, 2007', 'age': '24', 'clubName': 'Sevilla FC', 'clubID': '368', 'value': '€22.00m'}, {'date': 'Aug 24, 2007', 'age': '24', 'clubName': 'Sevilla FC', 'clubID': '368', 'value': '€25.00m'}, {'date': 'Feb 4, 2008', 'age': '24', 'clubName': 'Sevilla FC', 'clubID': '368', 'value': '€20.00m'}, {'date': 'Jul 10, 2008', 'age': '25', 'clubName': 'FC Barcelona', 'clubID': '131', 'value': '€26.00m'}, {'date': 'Jan 26, 2009', 'age': '25', 'clubName': 'FC Barcelona', 'clubID': '131', 'value': '€28.00m'}, {'date': 'Jul 22, 2009', 'age': '26', 'clubName': 'FC Barcelona', 'clubID': '131', 'value': '€30.00m'}, {'date': 'Dec 3, 2009', 'age': '26', 'clubName': 'FC Barcelona', 'clubID': '131', 'value': '€30.00m'}, {'date': 'Apr 12, 2010', 'age': '26', 'clubName': 'FC Barcelona', 'clubID': '131', 'value': '€30.00m'}, {'date': 'Aug 27, 2010', 'age': '27', 'clubName': 'FC Barcelona', 'clubID': '131', 'value': '€30.00m'}, {'date': 'Feb 4, 2011', 'age': '27', 'clubName': 'FC Barcelona', 'clubID': '131', 'value': '€30.00m'}, {'date': 'Mar 23, 2011', 'age': '27', 'clubName': 'FC Barcelona', 'clubID': '131', 'value': '€35.00m'}, {'date': 'Jul 29, 2011', 'age': '28', 'clubName': 'FC Barcelona', 'clubID': '131', 'value': '€35.00m'}, {'date': 'Feb 3, 2012', 'age': '28', 'clubName': 'FC Barcelona', 'clubID': '131', 'value': '€36.00m'}, {'date': 'Aug 7, 2012', 'age': '29', 'clubName': 'FC Barcelona', 'clubID': '131', 'value': '€30.00m'}, {'date': 'Jan 10, 2013', 'age': '29', 'clubName': 'FC Barcelona', 'clubID': '131', 'value': '€26.00m'}, {'date': 'Jun 12, 2013', 'age': '30', 'clubName': 'FC Barcelona', 'clubID': '131', 'value': '€20.00m'}, {'date': 'Jan 23, 2014', 'age': '30', 'clubName': 'FC Barcelona', 'clubID': '131', 'value': '€18.00m'}, {'date': 'Jul 20, 2014', 'age': '31', 'clubName': 'FC Barcelona', 'clubID': '131', 'value': '€12.00m'}, {'date': 'Jan 23, 2015', 'age': '31', 'clubName': 'FC Barcelona', 'clubID': '131', 'value': '€10.00m'}, {'date': 'Jul 1, 2015', 'age': '32', 'clubName': 'FC Barcelona', 'clubID': '131', 'value': '€10.00m'}, {'date': 'Feb 22, 2016', 'age': '32', 'clubName': 'FC Barcelona', 'clubID': '131', 'value': '€9.00m'}, {'date': 'Jul 15, 2016', 'age': '33', 'clubName': 'Juventus FC', 'clubID': '506', 'value': '€7.50m'}, {'date': 'Jan 2, 2017', 'age': '33', 'clubName': 'Juventus FC', 'clubID': '506', 'value': '€6.00m'}, {'date': 'Jun 8, 2017', 'age': '34', 'clubName': 'Juventus FC', 'clubID': '506', 'value': '€6.00m'}, {'date': 'Jan 24, 2018', 'age': '34', 'clubName': 'Paris Saint-Germain', 'clubID': '583', 'value': '€6.00m'}, {'date': 'Jun 4, 2018', 'age': '35', 'clubName': 'Paris Saint-Germain', 'clubID': '583', 'value': '€4.00m'}, {'date': 'Dec 17, 2018', 'age': '35', 'clubName': 'Paris Saint-Germain', 'clubID': '583', 'value': '€3.00m'}, {'date': 'Jun 3, 2019', 'age': '36', 'clubName': 'Paris Saint-Germain', 'clubID': '583', 'value': '€2.50m'}, {'date': 'Nov 27, 2019', 'age': '36', 'clubName': 'São Paulo Futebol Clube', 'clubID': '585', 'value': '€2.00m'}, {'date': 'Apr 8, 2020', 'age': '36', 'clubName': 'São Paulo Futebol Clube', 'clubID': '585', 'value': '€1.60m'}, {'date': 'Sep 9, 2020', 'age': '37', 'clubName': 'São Paulo Futebol Clube', 'clubID': '585', 'value': '€1.60m'}, {'date': 'Feb 9, 2021', 'age': '37', 'clubName': 'São Paulo Futebol Clube', 'clubID': '585', 'value': '€1.30m'}, {'date': 'May 28, 2021', 'age': '38', 'clubName': 'São Paulo Futebol Clube', 'clubID': '585', 'value': '€2.00m'}, {'date': 'Oct 28, 2021', 'age': '38', 'clubName': 'Without Club', 'clubID': '515', 'value': '€1.00m'}, {'date': 'Dec 30, 2021', 'age': '38', 'clubName': 'FC Barcelona', 'clubID': '131', 'value': '€1.00m'}, {'date': 'Jun 3, 2022', 'age': '39', 'clubName': 'FC Barcelona', 'clubID': '131', 'value': '€1.00m'}, {'date': 'Oct 31, 2022', 'age': '39', 'clubName': 'UNAM Pumas', 'clubID': '7633', 'value': '€1.00m'}, {'date': 'Jan 21, 2023', 'age': '39', 'clubName': 'Retired', 'clubID': '123', 'value': '-'}]}</t>
  </si>
  <si>
    <t>1983-05-06</t>
  </si>
  <si>
    <t>Alef</t>
  </si>
  <si>
    <t>{'marketValueHistory': [{'date': '31/10/2018', 'age': '19', 'clubName': 'Atlético Malagueño', 'clubID': '5649', 'value': '€150k'}, {'date': '19/02/2019', 'age': '19', 'clubName': 'Atlético Malagueño', 'clubID': '5649', 'value': '€150k'}, {'date': '29/06/2019', 'age': '19', 'clubName': 'Atlético Malagueño', 'clubID': '5649', 'value': '€150k'}, {'date': '23/07/2020', 'age': '21', 'clubName': 'Atlético Malagueño', 'clubID': '5649', 'value': '€800k'}, {'date': '08/10/2020', 'age': '21', 'clubName': 'Málaga CF', 'clubID': '1084', 'value': '€1.50m'}, {'date': '08/01/2021', 'age': '21', 'clubName': 'Málaga CF', 'clubID': '1084', 'value': '€1.50m'}, {'date': '24/06/2021', 'age': '21', 'clubName': 'Málaga CF', 'clubID': '1084', 'value': '€2.00m'}, {'date': '27/12/2021', 'age': '22', 'clubName': 'Málaga CF', 'clubID': '1084', 'value': '€2.00m'}, {'date': '29/06/2022', 'age': '22', 'clubName': 'Málaga CF', 'clubID': '1084', 'value': '€2.00m'}, {'date': '29/12/2022', 'age': '23', 'clubName': 'Málaga CF', 'clubID': '1084', 'value': '€1.60m'}, {'date': '14/06/2023', 'age': '23', 'clubName': 'Málaga CF', 'clubID': '1084', 'value': '€1.60m'}, {'date': '13/10/2023', 'age': '24', 'clubName': 'Málaga CF', 'clubID': '1084', 'value': '€1.00m'}, {'date': '20/12/2023', 'age': '24', 'clubName': 'Málaga CF', 'clubID': '1084', 'value': '€500k'}, {'date': '26/03/2024', 'age': '24', 'clubName': 'Málaga CF', 'clubID': '1084', 'value': '€400k'}, {'date': '24/06/2024', 'age': '24', 'clubName': 'Málaga CF', 'clubID': '1084', 'value': '€400k'}, {'date': '13/12/2024', 'age': '25', 'clubName': 'CD Tenerife', 'clubID': '648', 'value': '€400k'}, {'date': '24/06/2025', 'age': '25', 'clubName': 'CD Tenerife', 'clubID': '648', 'value': '€400k'}, {'date': '08/12/2025', 'age': '26', 'clubName': 'Piast Gliwice', 'clubID': '6112', 'value': '€550k'}, {'date': '26/03/2026', 'age': '26', 'clubName': 'Piast Gliwice', 'clubID': '6112', 'value': '€700k'}]}</t>
  </si>
  <si>
    <t>1999-07-07</t>
  </si>
  <si>
    <t>Ngamaleu</t>
  </si>
  <si>
    <t>{'marketValueHistory': [{'date': '26/08/2013', 'age': '19', 'clubName': 'Coton Sport FC de Garoua', 'clubID': '4675', 'value': '€25k'}, {'date': '04/08/2016', 'age': '22', 'clubName': 'SCR Altach', 'clubID': '3551', 'value': '€200k'}, {'date': '22/12/2016', 'age': '22', 'clubName': 'SCR Altach', 'clubID': '3551', 'value': '€500k'}, {'date': '02/06/2017', 'age': '22', 'clubName': 'SCR Altach', 'clubID': '3551', 'value': '€800k'}, {'date': '29/09/2017', 'age': '23', 'clubName': 'BSC Young Boys', 'clubID': '452', 'value': '€1.50m'}, {'date': '08/01/2018', 'age': '23', 'clubName': 'BSC Young Boys', 'clubID': '452', 'value': '€1.50m'}, {'date': '24/04/2018', 'age': '23', 'clubName': 'BSC Young Boys', 'clubID': '452', 'value': '€1.50m'}, {'date': '12/07/2018', 'age': '24', 'clubName': 'BSC Young Boys', 'clubID': '452', 'value': '€2.50m'}, {'date': '19/10/2018', 'age': '24', 'clubName': 'BSC Young Boys', 'clubID': '452', 'value': '€3.75m'}, {'date': '21/01/2019', 'age': '24', 'clubName': 'BSC Young Boys', 'clubID': '452', 'value': '€3.75m'}, {'date': '15/04/2019', 'age': '24', 'clubName': 'BSC Young Boys', 'clubID': '452', 'value': '€3.75m'}, {'date': '04/06/2019', 'age': '24', 'clubName': 'BSC Young Boys', 'clubID': '452', 'value': '€3.75m'}, {'date': '07/10/2019', 'age': '25', 'clubName': 'BSC Young Boys', 'clubID': '452', 'value': '€6.00m'}, {'date': '06/01/2020', 'age': '25', 'clubName': 'BSC Young Boys', 'clubID': '452', 'value': '€6.00m'}, {'date': '08/04/2020', 'age': '25', 'clubName': 'BSC Young Boys', 'clubID': '452', 'value': '€4.80m'}, {'date': '31/07/2020', 'age': '26', 'clubName': 'BSC Young Boys', 'clubID': '452', 'value': '€4.80m'}, {'date': '28/12/2020', 'age': '26', 'clubName': 'BSC Young Boys', 'clubID': '452', 'value': '€4.80m'}, {'date': '15/04/2021', 'age': '26', 'clubName': 'BSC Young Boys', 'clubID': '452', 'value': '€3.80m'}, {'date': '23/06/2021', 'age': '26', 'clubName': 'BSC Young Boys', 'clubID': '452', 'value': '€4.50m'}, {'date': '31/12/2021', 'age': '27', 'clubName': 'BSC Young Boys', 'clubID': '452', 'value': '€4.50m'}, {'date': '08/06/2022', 'age': '27', 'clubName': 'BSC Young Boys', 'clubID': '452', 'value': '€4.70m'}, {'date': '14/11/2022', 'age': '28', 'clubName': 'Dynamo Moscow', 'clubID': '121', 'value': '€4.00m'}, {'date': '14/06/2023', 'age': '28', 'clubName': 'Dynamo Moscow', 'clubID': '121', 'value': '€3.00m'}, {'date': '05/10/2023', 'age': '29', 'clubName': 'Dynamo Moscow', 'clubID': '121', 'value': '€3.50m'}, {'date': '13/12/2023', 'age': '29', 'clubName': 'Dynamo Moscow', 'clubID': '121', 'value': '€3.50m'}, {'date': '04/06/2024', 'age': '29', 'clubName': 'Dynamo Moscow', 'clubID': '121', 'value': '€4.50m'}, {'date': '12/12/2024', 'age': '30', 'clubName': 'Dynamo Moscow', 'clubID': '121', 'value': '€5.00m'}, {'date': '04/06/2025', 'age': '30', 'clubName': 'Dynamo Moscow', 'clubID': '121', 'value': '€4.00m'}, {'date': '18/09/2025', 'age': '31', 'clubName': 'Dynamo Moscow', 'clubID': '121', 'value': '€3.50m'}, {'date': '16/12/2025', 'age': '31', 'clubName': 'Dynamo Moscow', 'clubID': '121', 'value': '€2.80m'}]}</t>
  </si>
  <si>
    <t>Cameroon</t>
  </si>
  <si>
    <t>1994-07-09</t>
  </si>
  <si>
    <t>Tete</t>
  </si>
  <si>
    <t>{'marketValueHistory': [{'date': 'Mar 22, 2019', 'age': '19', 'clubName': 'Shakhtar Donetsk', 'clubID': '660', 'value': '€10.00m'}, {'date': 'Jun 20, 2019', 'age': '19', 'clubName': 'Shakhtar Donetsk', 'clubID': '660', 'value': '€15.00m'}, {'date': 'Jan 8, 2020', 'age': '19', 'clubName': 'Shakhtar Donetsk', 'clubID': '660', 'value': '€17.00m'}, {'date': 'Apr 8, 2020', 'age': '20', 'clubName': 'Shakhtar Donetsk', 'clubID': '660', 'value': '€15.50m'}, {'date': 'Sep 4, 2020', 'age': '20', 'clubName': 'Shakhtar Donetsk', 'clubID': '660', 'value': '€17.00m'}, {'date': 'Jan 14, 2021', 'age': '20', 'clubName': 'Shakhtar Donetsk', 'clubID': '660', 'value': '€20.00m'}, {'date': 'Jun 7, 2021', 'age': '21', 'clubName': 'Shakhtar Donetsk', 'clubID': '660', 'value': '€20.00m'}, {'date': 'Dec 20, 2021', 'age': '21', 'clubName': 'Shakhtar Donetsk', 'clubID': '660', 'value': '€20.00m'}, {'date': 'May 30, 2022', 'age': '22', 'clubName': 'Olympique Lyon', 'clubID': '1041', 'value': '€22.00m'}, {'date': 'Sep 19, 2022', 'age': '22', 'clubName': 'Olympique Lyon', 'clubID': '1041', 'value': '€28.00m'}, {'date': 'Nov 2, 2022', 'age': '22', 'clubName': 'Olympique Lyon', 'clubID': '1041', 'value': '€25.00m'}, {'date': 'Jun 20, 2023', 'age': '23', 'clubName': 'Leicester City', 'clubID': '1003', 'value': '€25.00m'}, {'date': 'Sep 27, 2023', 'age': '23', 'clubName': 'Galatasaray', 'clubID': '141', 'value': '€24.00m'}, {'date': 'Dec 21, 2023', 'age': '23', 'clubName': 'Galatasaray', 'clubID': '141', 'value': '€20.00m'}, {'date': 'Mar 15, 2024', 'age': '24', 'clubName': 'Galatasaray', 'clubID': '141', 'value': '€14.00m'}, {'date': 'May 31, 2024', 'age': '24', 'clubName': 'Galatasaray', 'clubID': '141', 'value': '€10.00m'}, {'date': 'Dec 18, 2024', 'age': '24', 'clubName': 'Panathinaikos', 'clubID': '265', 'value': '€11.00m'}, {'date': 'May 23, 2025', 'age': '25', 'clubName': 'Panathinaikos', 'clubID': '265', 'value': '€11.00m'}, {'date': 'Dec 12, 2025', 'age': '25', 'clubName': 'Panathinaikos', 'clubID': '265', 'value': '€11.00m'}]}</t>
  </si>
  <si>
    <t>2000-02-15</t>
  </si>
  <si>
    <t>Schmelzer</t>
  </si>
  <si>
    <t>{'marketValueHistory': [{'date': '01/07/2007', 'age': '19', 'clubName': 'Borussia Dortmund II', 'clubID': '17', 'value': '€50k'}, {'date': '31/08/2008', 'age': '20', 'clubName': 'Borussia Dortmund', 'clubID': '16', 'value': '€200k'}, {'date': '09/10/2008', 'age': '20', 'clubName': 'Borussia Dortmund', 'clubID': '16', 'value': '€500k'}, {'date': '30/08/2009', 'age': '21', 'clubName': 'Borussia Dortmund', 'clubID': '16', 'value': '€1.00m'}, {'date': '17/01/2010', 'age': '21', 'clubName': 'Borussia Dortmund', 'clubID': '16', 'value': '€1.75m'}, {'date': '20/02/2010', 'age': '22', 'clubName': 'Borussia Dortmund', 'clubID': '16', 'value': '€2.00m'}, {'date': '26/03/2010', 'age': '22', 'clubName': 'Borussia Dortmund', 'clubID': '16', 'value': '€3.00m'}, {'date': '13/06/2010', 'age': '22', 'clubName': 'Borussia Dortmund', 'clubID': '16', 'value': '€3.50m'}, {'date': '28/09/2010', 'age': '22', 'clubName': 'Borussia Dortmund', 'clubID': '16', 'value': '€4.50m'}, {'date': '16/11/2010', 'age': '22', 'clubName': 'Borussia Dortmund', 'clubID': '16', 'value': '€5.50m'}, {'date': '18/03/2011', 'age': '23', 'clubName': 'Borussia Dortmund', 'clubID': '16', 'value': '€6.50m'}, {'date': '29/06/2011', 'age': '23', 'clubName': 'Borussia Dortmund', 'clubID': '16', 'value': '€7.50m'}, {'date': '23/01/2012', 'age': '24', 'clubName': 'Borussia Dortmund', 'clubID': '16', 'value': '€7.50m'}, {'date': '29/06/2012', 'age': '24', 'clubName': 'Borussia Dortmund', 'clubID': '16', 'value': '€7.50m'}, {'date': '13/01/2013', 'age': '24', 'clubName': 'Borussia Dortmund', 'clubID': '16', 'value': '€9.00m'}, {'date': '30/06/2013', 'age': '25', 'clubName': 'Borussia Dortmund', 'clubID': '16', 'value': '€10.00m'}, {'date': '10/07/2014', 'age': '26', 'clubName': 'Borussia Dortmund', 'clubID': '16', 'value': '€10.00m'}, {'date': '03/11/2014', 'age': '26', 'clubName': 'Borussia Dortmund', 'clubID': '16', 'value': '€8.00m'}, {'date': '04/02/2015', 'age': '27', 'clubName': 'Borussia Dortmund', 'clubID': '16', 'value': '€7.00m'}, {'date': '01/07/2015', 'age': '27', 'clubName': 'Borussia Dortmund', 'clubID': '16', 'value': '€7.00m'}, {'date': '15/02/2016', 'age': '28', 'clubName': 'Borussia Dortmund', 'clubID': '16', 'value': '€7.00m'}, {'date': '22/07/2016', 'age': '28', 'clubName': 'Borussia Dortmund', 'clubID': '16', 'value': '€9.00m'}, {'date': '07/02/2017', 'age': '29', 'clubName': 'Borussia Dortmund', 'clubID': '16', 'value': '€9.00m'}, {'date': '19/06/2017', 'age': '29', 'clubName': 'Borussia Dortmund', 'clubID': '16', 'value': '€9.00m'}, {'date': '28/12/2017', 'age': '29', 'clubName': 'Borussia Dortmund', 'clubID': '16', 'value': '€7.00m'}, {'date': '05/06/2018', 'age': '30', 'clubName': 'Borussia Dortmund', 'clubID': '16', 'value': '€5.00m'}, {'date': '18/12/2018', 'age': '30', 'clubName': 'Borussia Dortmund', 'clubID': '16', 'value': '€5.00m'}, {'date': '05/06/2019', 'age': '31', 'clubName': 'Borussia Dortmund', 'clubID': '16', 'value': '€2.50m'}, {'date': '17/12/2019', 'age': '31', 'clubName': 'Borussia Dortmund', 'clubID': '16', 'value': '€1.70m'}, {'date': '08/04/2020', 'age': '32', 'clubName': 'Borussia Dortmund', 'clubID': '16', 'value': '€1.40m'}, {'date': '16/09/2020', 'age': '32', 'clubName': 'Borussia Dortmund', 'clubID': '16', 'value': '€1.00m'}, {'date': '10/02/2021', 'age': '33', 'clubName': 'Borussia Dortmund', 'clubID': '16', 'value': '€700k'}, {'date': '09/06/2021', 'age': '33', 'clubName': 'Borussia Dortmund', 'clubID': '16', 'value': '€700k'}, {'date': '22/12/2021', 'age': '33', 'clubName': 'Borussia Dortmund', 'clubID': '16', 'value': '€500k'}, {'date': '09/06/2022', 'age': '34', 'clubName': 'Borussia Dortmund', 'clubID': '16', 'value': '€500k'}, {'date': '01/07/2022', 'age': '34', 'clubName': 'Retired', 'clubID': '123', 'value': '-'}]}</t>
  </si>
  <si>
    <t>1988-01-22</t>
  </si>
  <si>
    <t>Pereira</t>
  </si>
  <si>
    <t>1928-10-08</t>
  </si>
  <si>
    <t>Boakye</t>
  </si>
  <si>
    <t>{'marketValueHistory': [{'date': '23/11/2009', 'age': '16', 'clubName': 'Genoa U19', 'clubID': '252', 'value': '€100k'}, {'date': '21/06/2011', 'age': '18', 'clubName': 'Genoa CFC', 'clubID': '252', 'value': '€800k'}, {'date': '28/01/2012', 'age': '19', 'clubName': 'US Sassuolo', 'clubID': '6574', 'value': '€1.00m'}, {'date': '12/06/2012', 'age': '19', 'clubName': 'US Sassuolo', 'clubID': '6574', 'value': '€5.00m'}, {'date': '26/12/2012', 'age': '19', 'clubName': 'US Sassuolo', 'clubID': '6574', 'value': '€6.00m'}, {'date': '25/06/2013', 'age': '20', 'clubName': 'US Sassuolo', 'clubID': '6574', 'value': '€6.00m'}, {'date': '17/09/2013', 'age': '20', 'clubName': 'Elche CF', 'clubID': '1531', 'value': '€6.00m'}, {'date': '23/01/2014', 'age': '20', 'clubName': 'Elche CF', 'clubID': '1531', 'value': '€3.00m'}, {'date': '07/01/2015', 'age': '21', 'clubName': 'Atalanta BC', 'clubID': '800', 'value': '€3.00m'}, {'date': '01/07/2015', 'age': '22', 'clubName': 'Atalanta BC', 'clubID': '800', 'value': '€2.50m'}, {'date': '11/11/2015', 'age': '22', 'clubName': 'Roda JC Kerkrade', 'clubID': '192', 'value': '€2.00m'}, {'date': '13/06/2016', 'age': '23', 'clubName': 'US Latina Calcio', 'clubID': '22045', 'value': '€1.50m'}, {'date': '19/12/2016', 'age': '23', 'clubName': 'US Latina Calcio', 'clubID': '22045', 'value': '€1.40m'}, {'date': '04/05/2017', 'age': '24', 'clubName': 'Red Star Belgrade', 'clubID': '159', 'value': '€2.00m'}, {'date': '10/01/2018', 'age': '24', 'clubName': 'Red Star Belgrade', 'clubID': '159', 'value': '€6.00m'}, {'date': '12/03/2018', 'age': '25', 'clubName': 'Jiangsu Suning', 'clubID': '22219', 'value': '€5.00m'}, {'date': '05/06/2018', 'age': '25', 'clubName': 'Jiangsu Suning', 'clubID': '22219', 'value': '€4.50m'}, {'date': '14/01/2019', 'age': '25', 'clubName': 'Red Star Belgrade', 'clubID': '159', 'value': '€4.00m'}, {'date': '09/06/2019', 'age': '26', 'clubName': 'Red Star Belgrade', 'clubID': '159', 'value': '€3.50m'}, {'date': '28/10/2019', 'age': '26', 'clubName': 'Red Star Belgrade', 'clubID': '159', 'value': '€3.80m'}, {'date': '08/04/2020', 'age': '27', 'clubName': 'Red Star Belgrade', 'clubID': '159', 'value': '€3.00m'}, {'date': '28/06/2020', 'age': '27', 'clubName': 'Red Star Belgrade', 'clubID': '159', 'value': '€2.00m'}, {'date': '22/12/2020', 'age': '27', 'clubName': 'Red Star Belgrade', 'clubID': '159', 'value': '€1.50m'}, {'date': '21/05/2021', 'age': '28', 'clubName': 'Górnik Zabrze', 'clubID': '428', 'value': '€700k'}, {'date': '31/12/2021', 'age': '28', 'clubName': 'Beitar Jerusalem', 'clubID': '3793', 'value': '€500k'}, {'date': '04/06/2022', 'age': '29', 'clubName': 'Beitar Jerusalem', 'clubID': '3793', 'value': '€400k'}, {'date': '07/11/2022', 'age': '29', 'clubName': 'PAS Lamia 1964', 'clubID': '3999', 'value': '€400k'}, {'date': '18/12/2023', 'age': '30', 'clubName': 'Selangor FC', 'clubID': '15831', 'value': '€375k'}, {'date': '29/03/2024', 'age': '31', 'clubName': 'Without Club', 'clubID': '515', 'value': '€300k'}, {'date': '16/10/2024', 'age': '31', 'clubName': 'Without Club', 'clubID': '515', 'value': '€250k'}, {'date': '18/03/2025', 'age': '32', 'clubName': 'FK Sloga Meridian', 'clubID': '7569', 'value': '€150k'}, {'date': '04/06/2025', 'age': '32', 'clubName': 'FK Sloga Meridian', 'clubID': '7569', 'value': '€150k'}, {'date': '21/10/2025', 'age': '32', 'clubName': 'Without Club', 'clubID': '515', 'value': '€100k'}, {'date': '16/01/2026', 'age': '32', 'clubName': 'Renato Curi Angolana', 'clubID': '19366', 'value': '-'}]}</t>
  </si>
  <si>
    <t>Miranda</t>
  </si>
  <si>
    <t>1932-08-08</t>
  </si>
  <si>
    <t>Milik</t>
  </si>
  <si>
    <t>{'marketValueHistory': [{'date': '24/03/2012', 'age': '18', 'clubName': 'Górnik Zabrze', 'clubID': '428', 'value': '€350k'}, {'date': '31/08/2012', 'age': '18', 'clubName': 'Górnik Zabrze', 'clubID': '428', 'value': '€1.50m'}, {'date': '12/11/2012', 'age': '18', 'clubName': 'Górnik Zabrze', 'clubID': '428', 'value': '€2.50m'}, {'date': '30/06/2013', 'age': '19', 'clubName': 'Bayer 04 Leverkusen', 'clubID': '15', 'value': '€2.50m'}, {'date': '16/02/2015', 'age': '20', 'clubName': 'Ajax Amsterdam', 'clubID': '610', 'value': '€5.00m'}, {'date': '01/07/2015', 'age': '21', 'clubName': 'Ajax Amsterdam', 'clubID': '610', 'value': '€6.50m'}, {'date': '05/02/2016', 'age': '21', 'clubName': 'Ajax Amsterdam', 'clubID': '610', 'value': '€7.00m'}, {'date': '08/04/2016', 'age': '22', 'clubName': 'Ajax Amsterdam', 'clubID': '610', 'value': '€10.00m'}, {'date': '01/06/2016', 'age': '22', 'clubName': 'Ajax Amsterdam', 'clubID': '610', 'value': '€10.00m'}, {'date': '15/07/2016', 'age': '22', 'clubName': 'Ajax Amsterdam', 'clubID': '610', 'value': '€12.00m'}, {'date': '14/10/2016', 'age': '22', 'clubName': 'SSC Napoli', 'clubID': '6195', 'value': '€20.00m'}, {'date': '02/01/2017', 'age': '22', 'clubName': 'SSC Napoli', 'clubID': '6195', 'value': '€20.00m'}, {'date': '08/06/2017', 'age': '23', 'clubName': 'SSC Napoli', 'clubID': '6195', 'value': '€19.00m'}, {'date': '13/10/2017', 'age': '23', 'clubName': 'SSC Napoli', 'clubID': '6195', 'value': '€18.00m'}, {'date': '29/12/2017', 'age': '23', 'clubName': 'SSC Napoli', 'clubID': '6195', 'value': '€18.00m'}, {'date': '07/06/2018', 'age': '24', 'clubName': 'SSC Napoli', 'clubID': '6195', 'value': '€20.00m'}, {'date': '20/12/2018', 'age': '24', 'clubName': 'SSC Napoli', 'clubID': '6195', 'value': '€25.00m'}, {'date': '01/03/2019', 'age': '25', 'clubName': 'SSC Napoli', 'clubID': '6195', 'value': '€35.00m'}, {'date': '06/06/2019', 'age': '25', 'clubName': 'SSC Napoli', 'clubID': '6195', 'value': '€40.00m'}, {'date': '12/12/2019', 'age': '25', 'clubName': 'SSC Napoli', 'clubID': '6195', 'value': '€40.00m'}, {'date': '08/04/2020', 'age': '26', 'clubName': 'SSC Napoli', 'clubID': '6195', 'value': '€32.00m'}, {'date': '25/08/2020', 'age': '26', 'clubName': 'SSC Napoli', 'clubID': '6195', 'value': '€32.00m'}, {'date': '29/10/2020', 'age': '26', 'clubName': 'SSC Napoli', 'clubID': '6195', 'value': '€27.00m'}, {'date': '29/12/2020', 'age': '26', 'clubName': 'SSC Napoli', 'clubID': '6195', 'value': '€22.00m'}, {'date': '31/05/2021', 'age': '27', 'clubName': 'Olympique Marseille', 'clubID': '244', 'value': '€22.00m'}, {'date': '08/10/2021', 'age': '27', 'clubName': 'Olympique Marseille', 'clubID': '244', 'value': '€20.00m'}, {'date': '16/12/2021', 'age': '27', 'clubName': 'Olympique Marseille', 'clubID': '244', 'value': '€17.00m'}, {'date': '30/05/2022', 'age': '28', 'clubName': 'Olympique Marseille', 'clubID': '244', 'value': '€16.00m'}, {'date': '27/09/2022', 'age': '28', 'clubName': 'Juventus FC', 'clubID': '506', 'value': '€10.00m'}, {'date': '11/11/2022', 'age': '28', 'clubName': 'Juventus FC', 'clubID': '506', 'value': '€10.00m'}, {'date': '15/06/2023', 'age': '29', 'clubName': 'Juventus FC', 'clubID': '506', 'value': '€8.00m'}, {'date': '20/12/2023', 'age': '29', 'clubName': 'Juventus FC', 'clubID': '506', 'value': '€7.00m'}, {'date': '05/06/2024', 'age': '30', 'clubName': 'Juventus FC', 'clubID': '506', 'value': '€6.00m'}, {'date': '18/10/2024', 'age': '30', 'clubName': 'Juventus FC', 'clubID': '506', 'value': '€4.00m'}, {'date': '18/12/2024', 'age': '30', 'clubName': 'Juventus FC', 'clubID': '506', 'value': '€4.00m'}, {'date': '25/03/2025', 'age': '31', 'clubName': 'Juventus FC', 'clubID': '506', 'value': '€2.00m'}, {'date': '17/06/2025', 'age': '31', 'clubName': 'Juventus FC', 'clubID': '506', 'value': '€2.00m'}, {'date': '07/10/2025', 'age': '31', 'clubName': 'Juventus FC', 'clubID': '506', 'value': '€1.50m'}, {'date': '23/12/2025', 'age': '31', 'clubName': 'Juventus FC', 'clubID': '506', 'value': '€1.50m'}]}</t>
  </si>
  <si>
    <t>1994-02-28</t>
  </si>
  <si>
    <t>Grandsir</t>
  </si>
  <si>
    <t>{'marketValueHistory': [{'date': 'Jul 13, 2016', 'age': '19', 'clubName': 'ESTAC Troyes', 'clubID': '1095', 'value': '€100k'}, {'date': 'Mar 20, 2017', 'age': '20', 'clubName': 'ESTAC Troyes', 'clubID': '1095', 'value': '€600k'}, {'date': 'Jun 15, 2017', 'age': '20', 'clubName': 'ESTAC Troyes', 'clubID': '1095', 'value': '€700k'}, {'date': 'Oct 12, 2017', 'age': '21', 'clubName': 'ESTAC Troyes', 'clubID': '1095', 'value': '€1.50m'}, {'date': 'Jan 24, 2018', 'age': '21', 'clubName': 'ESTAC Troyes', 'clubID': '1095', 'value': '€5.00m'}, {'date': 'Jun 4, 2018', 'age': '21', 'clubName': 'ESTAC Troyes', 'clubID': '1095', 'value': '€5.00m'}, {'date': 'Dec 17, 2018', 'age': '22', 'clubName': 'AS Monaco', 'clubID': '162', 'value': '€3.50m'}, {'date': 'Jun 3, 2019', 'age': '22', 'clubName': 'RC Strasbourg Alsace', 'clubID': '667', 'value': '€3.00m'}, {'date': 'Dec 19, 2019', 'age': '23', 'clubName': 'Stade Brestois 29', 'clubID': '3911', 'value': '€3.00m'}, {'date': 'Apr 8, 2020', 'age': '23', 'clubName': 'Stade Brestois 29', 'clubID': '3911', 'value': '€2.40m'}, {'date': 'Aug 3, 2020', 'age': '23', 'clubName': 'AS Monaco', 'clubID': '162', 'value': '€3.00m'}, {'date': 'Oct 12, 2020', 'age': '24', 'clubName': 'AS Monaco', 'clubID': '162', 'value': '€3.00m'}, {'date': 'Jan 7, 2021', 'age': '24', 'clubName': 'AS Monaco', 'clubID': '162', 'value': '€2.00m'}, {'date': 'Jul 9, 2021', 'age': '24', 'clubName': 'Los Angeles Galaxy', 'clubID': '1061', 'value': '€2.00m'}, {'date': 'Nov 9, 2021', 'age': '25', 'clubName': 'Los Angeles Galaxy', 'clubID': '1061', 'value': '€2.00m'}, {'date': 'Aug 18, 2022', 'age': '26', 'clubName': 'Los Angeles Galaxy', 'clubID': '1061', 'value': '€2.00m'}, {'date': 'Nov 8, 2022', 'age': '26', 'clubName': 'Los Angeles Galaxy', 'clubID': '1061', 'value': '€2.00m'}, {'date': 'Jun 16, 2023', 'age': '26', 'clubName': 'Le Havre AC', 'clubID': '738', 'value': '€2.00m'}, {'date': 'Dec 18, 2023', 'age': '27', 'clubName': 'Le Havre AC', 'clubID': '738', 'value': '€1.80m'}, {'date': 'Jun 3, 2024', 'age': '27', 'clubName': 'Le Havre AC', 'clubID': '738', 'value': '€1.50m'}, {'date': 'Dec 10, 2024', 'age': '28', 'clubName': 'Le Havre AC', 'clubID': '738', 'value': '€1.20m'}, {'date': 'Mar 12, 2025', 'age': '28', 'clubName': 'SM Caen', 'clubID': '1162', 'value': '€1.00m'}, {'date': 'Jun 2, 2025', 'age': '28', 'clubName': 'SM Caen', 'clubID': '1162', 'value': '€800k'}, {'date': 'Oct 21, 2025', 'age': '29', 'clubName': 'Without Club', 'clubID': '515', 'value': '€700k'}, {'date': 'Apr 9, 2026', 'age': '29', 'clubName': 'Without Club', 'clubID': '515', 'value': '€500k'}]}</t>
  </si>
  <si>
    <t>Nordtveit</t>
  </si>
  <si>
    <t>{'marketValueHistory': [{'date': '17/06/2007', 'age': '16', 'clubName': 'FK Haugesund', 'clubID': '2761', 'value': '€3.00m'}, {'date': '19/08/2008', 'age': '18', 'clubName': 'UD Salamanca', 'clubID': '1087', 'value': '€500k'}, {'date': '05/07/2009', 'age': '19', 'clubName': 'Arsenal FC Reserves', 'clubID': '9249', 'value': '€700k'}, {'date': '17/01/2010', 'age': '19', 'clubName': '1.FC Nuremberg', 'clubID': '4', 'value': '€1.00m'}, {'date': '12/01/2011', 'age': '20', 'clubName': 'Borussia Mönchengladbach', 'clubID': '18', 'value': '€750k'}, {'date': '02/03/2011', 'age': '20', 'clubName': 'Borussia Mönchengladbach', 'clubID': '18', 'value': '€1.00m'}, {'date': '29/06/2011', 'age': '21', 'clubName': 'Borussia Mönchengladbach', 'clubID': '18', 'value': '€2.00m'}, {'date': '30/08/2011', 'age': '21', 'clubName': 'Borussia Mönchengladbach', 'clubID': '18', 'value': '€3.00m'}, {'date': '23/01/2012', 'age': '21', 'clubName': 'Borussia Mönchengladbach', 'clubID': '18', 'value': '€3.50m'}, {'date': '29/06/2012', 'age': '22', 'clubName': 'Borussia Mönchengladbach', 'clubID': '18', 'value': '€5.50m'}, {'date': '13/01/2013', 'age': '22', 'clubName': 'Borussia Mönchengladbach', 'clubID': '18', 'value': '€8.00m'}, {'date': '30/06/2013', 'age': '23', 'clubName': 'Borussia Mönchengladbach', 'clubID': '18', 'value': '€8.00m'}, {'date': '12/02/2014', 'age': '23', 'clubName': 'Borussia Mönchengladbach', 'clubID': '18', 'value': '€6.50m'}, {'date': '10/07/2014', 'age': '24', 'clubName': 'Borussia Mönchengladbach', 'clubID': '18', 'value': '€6.50m'}, {'date': '04/02/2015', 'age': '24', 'clubName': 'Borussia Mönchengladbach', 'clubID': '18', 'value': '€6.00m'}, {'date': '01/07/2015', 'age': '25', 'clubName': 'Borussia Mönchengladbach', 'clubID': '18', 'value': '€5.00m'}, {'date': '15/02/2016', 'age': '25', 'clubName': 'Borussia Mönchengladbach', 'clubID': '18', 'value': '€6.00m'}, {'date': '01/08/2016', 'age': '26', 'clubName': 'West Ham United', 'clubID': '379', 'value': '€6.00m'}, {'date': '20/02/2017', 'age': '26', 'clubName': 'West Ham United', 'clubID': '379', 'value': '€5.00m'}, {'date': '28/06/2017', 'age': '27', 'clubName': 'West Ham United', 'clubID': '379', 'value': '€5.00m'}, {'date': '18/10/2017', 'age': '27', 'clubName': 'TSG 1899 Hoffenheim', 'clubID': '533', 'value': '€6.50m'}, {'date': '28/12/2017', 'age': '27', 'clubName': 'TSG 1899 Hoffenheim', 'clubID': '533', 'value': '€5.00m'}, {'date': '05/06/2018', 'age': '27', 'clubName': 'TSG 1899 Hoffenheim', 'clubID': '533', 'value': '€4.00m'}, {'date': '18/12/2018', 'age': '28', 'clubName': 'TSG 1899 Hoffenheim', 'clubID': '533', 'value': '€4.00m'}, {'date': '13/06/2019', 'age': '28', 'clubName': 'Fulham FC', 'clubID': '931', 'value': '€4.00m'}, {'date': '02/10/2019', 'age': '29', 'clubName': 'TSG 1899 Hoffenheim', 'clubID': '533', 'value': '€2.50m'}, {'date': '17/12/2019', 'age': '29', 'clubName': 'TSG 1899 Hoffenheim', 'clubID': '533', 'value': '€2.00m'}, {'date': '08/04/2020', 'age': '29', 'clubName': 'TSG 1899 Hoffenheim', 'clubID': '533', 'value': '€1.60m'}, {'date': '10/02/2021', 'age': '30', 'clubName': 'TSG 1899 Hoffenheim', 'clubID': '533', 'value': '€1.50m'}, {'date': '09/06/2021', 'age': '30', 'clubName': 'TSG 1899 Hoffenheim', 'clubID': '533', 'value': '€1.50m'}, {'date': '22/12/2021', 'age': '31', 'clubName': 'TSG 1899 Hoffenheim', 'clubID': '533', 'value': '€1.50m'}, {'date': '09/06/2022', 'age': '31', 'clubName': 'TSG 1899 Hoffenheim', 'clubID': '533', 'value': '€1.00m'}, {'date': '07/10/2022', 'age': '32', 'clubName': 'Without Club', 'clubID': '515', 'value': '€600k'}, {'date': '06/04/2023', 'age': '32', 'clubName': 'Skjold IL', 'clubID': '45587', 'value': '-'}]}</t>
  </si>
  <si>
    <t>1990-06-21</t>
  </si>
  <si>
    <t>Ceballos</t>
  </si>
  <si>
    <t>{'marketValueHistory': [{'date': 'Jan 8, 2015', 'age': '18', 'clubName': 'Real Betis B', 'clubID': '150', 'value': '€2.00m'}, {'date': 'Jul 1, 2015', 'age': '18', 'clubName': 'Real Betis Balompié', 'clubID': '150', 'value': '€2.50m'}, {'date': 'Sep 20, 2015', 'age': '19', 'clubName': 'Real Betis Balompié', 'clubID': '150', 'value': '€5.00m'}, {'date': 'Feb 22, 2016', 'age': '19', 'clubName': 'Real Betis Balompié', 'clubID': '150', 'value': '€5.00m'}, {'date': 'Jul 15, 2016', 'age': '19', 'clubName': 'Real Betis Balompié', 'clubID': '150', 'value': '€6.00m'}, {'date': 'Jan 24, 2017', 'age': '20', 'clubName': 'Real Betis Balompié', 'clubID': '150', 'value': '€6.00m'}, {'date': 'Jun 5, 2017', 'age': '20', 'clubName': 'Real Betis Balompié', 'clubID': '150', 'value': '€10.00m'}, {'date': 'Aug 17, 2017', 'age': '21', 'clubName': 'Real Madrid', 'clubID': '418', 'value': '€17.00m'}, {'date': 'Jan 1, 2018', 'age': '21', 'clubName': 'Real Madrid', 'clubID': '418', 'value': '€17.00m'}, {'date': 'Mar 22, 2018', 'age': '21', 'clubName': 'Real Madrid', 'clubID': '418', 'value': '€12.00m'}, {'date': 'May 30, 2018', 'age': '21', 'clubName': 'Real Madrid', 'clubID': '418', 'value': '€12.00m'}, {'date': 'Oct 31, 2018', 'age': '22', 'clubName': 'Real Madrid', 'clubID': '418', 'value': '€20.00m'}, {'date': 'Dec 21, 2018', 'age': '22', 'clubName': 'Real Madrid', 'clubID': '418', 'value': '€20.00m'}, {'date': 'Jun 11, 2019', 'age': '22', 'clubName': 'Real Madrid', 'clubID': '418', 'value': '€30.00m'}, {'date': 'Sep 12, 2019', 'age': '23', 'clubName': 'Arsenal FC', 'clubID': '11', 'value': '€45.00m'}, {'date': 'Dec 10, 2019', 'age': '23', 'clubName': 'Arsenal FC', 'clubID': '11', 'value': '€40.00m'}, {'date': 'Apr 8, 2020', 'age': '23', 'clubName': 'Arsenal FC', 'clubID': '11', 'value': '€32.00m'}, {'date': 'Oct 13, 2020', 'age': '24', 'clubName': 'Arsenal FC', 'clubID': '11', 'value': '€32.00m'}, {'date': 'Mar 18, 2021', 'age': '24', 'clubName': 'Arsenal FC', 'clubID': '11', 'value': '€30.00m'}, {'date': 'Jun 8, 2021', 'age': '24', 'clubName': 'Arsenal FC', 'clubID': '11', 'value': '€27.00m'}, {'date': 'Oct 13, 2021', 'age': '25', 'clubName': 'Real Madrid', 'clubID': '418', 'value': '€20.00m'}, {'date': 'Dec 30, 2021', 'age': '25', 'clubName': 'Real Madrid', 'clubID': '418', 'value': '€18.00m'}, {'date': 'Mar 21, 2022', 'age': '25', 'clubName': 'Real Madrid', 'clubID': '418', 'value': '€15.00m'}, {'date': 'Jun 3, 2022', 'age': '25', 'clubName': 'Real Madrid', 'clubID': '418', 'value': '€14.00m'}, {'date': 'Nov 7, 2022', 'age': '26', 'clubName': 'Real Madrid', 'clubID': '418', 'value': '€9.00m'}, {'date': 'Mar 23, 2023', 'age': '26', 'clubName': 'Real Madrid', 'clubID': '418', 'value': '€12.00m'}, {'date': 'Jun 13, 2023', 'age': '26', 'clubName': 'Real Madrid', 'clubID': '418', 'value': '€12.00m'}, {'date': 'Dec 22, 2023', 'age': '27', 'clubName': 'Real Madrid', 'clubID': '418', 'value': '€9.00m'}, {'date': 'Mar 21, 2024', 'age': '27', 'clubName': 'Real Madrid', 'clubID': '418', 'value': '€8.00m'}, {'date': 'Jun 7, 2024', 'age': '27', 'clubName': 'Real Madrid', 'clubID': '418', 'value': '€6.00m'}, {'date': 'Oct 11, 2024', 'age': '28', 'clubName': 'Real Madrid', 'clubID': '418', 'value': '€4.00m'}, {'date': 'Dec 27, 2024', 'age': '28', 'clubName': 'Real Madrid', 'clubID': '418', 'value': '€4.00m'}, {'date': 'Mar 21, 2025', 'age': '28', 'clubName': 'Real Madrid', 'clubID': '418', 'value': '€10.00m'}, {'date': 'Jun 9, 2025', 'age': '28', 'clubName': 'Real Madrid', 'clubID': '418', 'value': '€10.00m'}, {'date': 'Oct 2, 2025', 'age': '29', 'clubName': 'Real Madrid', 'clubID': '418', 'value': '€8.00m'}, {'date': 'Dec 12, 2025', 'age': '29', 'clubName': 'Real Madrid', 'clubID': '418', 'value': '€8.00m'}]}</t>
  </si>
  <si>
    <t>1996-08-07</t>
  </si>
  <si>
    <t>Mariano Ferreira</t>
  </si>
  <si>
    <t>{'marketValueHistory': [{'date': '18/02/2008', 'age': '21', 'clubName': 'Ipatinga Futebol Clube (MG)', 'clubID': '3270', 'value': '€600k'}, {'date': '08/08/2008', 'age': '22', 'clubName': 'Clube Atlético Mineiro', 'clubID': '330', 'value': '€800k'}, {'date': '27/06/2009', 'age': '23', 'clubName': 'Fluminense Football Club', 'clubID': '2462', 'value': '€500k'}, {'date': '08/12/2009', 'age': '23', 'clubName': 'Fluminense Football Club', 'clubID': '2462', 'value': '€1.00m'}, {'date': '15/04/2010', 'age': '23', 'clubName': 'Fluminense Football Club', 'clubID': '2462', 'value': '€1.70m'}, {'date': '06/06/2010', 'age': '23', 'clubName': 'Fluminense Football Club', 'clubID': '2462', 'value': '€2.00m'}, {'date': '06/09/2010', 'age': '24', 'clubName': 'Fluminense Football Club', 'clubID': '2462', 'value': '€2.50m'}, {'date': '10/12/2010', 'age': '24', 'clubName': 'Fluminense Football Club', 'clubID': '2462', 'value': '€3.00m'}, {'date': '30/05/2011', 'age': '24', 'clubName': 'Fluminense Football Club', 'clubID': '2462', 'value': '€3.00m'}, {'date': '29/08/2011', 'age': '25', 'clubName': 'Fluminense Football Club', 'clubID': '2462', 'value': '€3.50m'}, {'date': '08/12/2011', 'age': '25', 'clubName': 'Fluminense Football Club', 'clubID': '2462', 'value': '€3.50m'}, {'date': '23/05/2012', 'age': '25', 'clubName': 'FC Girondins Bordeaux', 'clubID': '40', 'value': '€4.50m'}, {'date': '07/01/2013', 'age': '26', 'clubName': 'FC Girondins Bordeaux', 'clubID': '40', 'value': '€5.00m'}, {'date': '30/05/2013', 'age': '26', 'clubName': 'FC Girondins Bordeaux', 'clubID': '40', 'value': '€5.00m'}, {'date': '14/01/2014', 'age': '27', 'clubName': 'FC Girondins Bordeaux', 'clubID': '40', 'value': '€5.00m'}, {'date': '03/08/2014', 'age': '28', 'clubName': 'FC Girondins Bordeaux', 'clubID': '40', 'value': '€5.00m'}, {'date': '14/01/2015', 'age': '28', 'clubName': 'FC Girondins Bordeaux', 'clubID': '40', 'value': '€4.50m'}, {'date': '06/06/2015', 'age': '28', 'clubName': 'FC Girondins Bordeaux', 'clubID': '40', 'value': '€4.50m'}, {'date': '22/02/2016', 'age': '29', 'clubName': 'Sevilla FC', 'clubID': '368', 'value': '€7.00m'}, {'date': '15/07/2016', 'age': '30', 'clubName': 'Sevilla FC', 'clubID': '368', 'value': '€7.00m'}, {'date': '27/10/2016', 'age': '30', 'clubName': 'Sevilla FC', 'clubID': '368', 'value': '€8.00m'}, {'date': '24/01/2017', 'age': '30', 'clubName': 'Sevilla FC', 'clubID': '368', 'value': '€8.00m'}, {'date': '05/06/2017', 'age': '30', 'clubName': 'Sevilla FC', 'clubID': '368', 'value': '€8.00m'}, {'date': '06/10/2017', 'age': '31', 'clubName': 'Galatasaray', 'clubID': '141', 'value': '€6.50m'}, {'date': '12/02/2018', 'age': '31', 'clubName': 'Galatasaray', 'clubID': '141', 'value': '€5.00m'}, {'date': '29/05/2018', 'age': '31', 'clubName': 'Galatasaray', 'clubID': '141', 'value': '€4.00m'}, {'date': '04/01/2019', 'age': '32', 'clubName': 'Galatasaray', 'clubID': '141', 'value': '€2.75m'}, {'date': '04/06/2019', 'age': '32', 'clubName': 'Galatasaray', 'clubID': '141', 'value': '€2.00m'}, {'date': '03/01/2020', 'age': '33', 'clubName': 'Galatasaray', 'clubID': '141', 'value': '€1.30m'}, {'date': '08/04/2020', 'age': '33', 'clubName': 'Galatasaray', 'clubID': '141', 'value': '€1.00m'}, {'date': '09/09/2020', 'age': '34', 'clubName': 'Clube Atlético Mineiro', 'clubID': '330', 'value': '€1.00m'}, {'date': '09/02/2021', 'age': '34', 'clubName': 'Clube Atlético Mineiro', 'clubID': '330', 'value': '€900k'}, {'date': '28/05/2021', 'age': '34', 'clubName': 'Clube Atlético Mineiro', 'clubID': '330', 'value': '€700k'}, {'date': '17/12/2021', 'age': '35', 'clubName': 'Clube Atlético Mineiro', 'clubID': '330', 'value': '€500k'}, {'date': '06/04/2022', 'age': '35', 'clubName': 'Clube Atlético Mineiro', 'clubID': '330', 'value': '€400k'}, {'date': '19/08/2022', 'age': '36', 'clubName': 'Clube Atlético Mineiro', 'clubID': '330', 'value': '€400k'}, {'date': '14/11/2022', 'age': '36', 'clubName': 'Clube Atlético Mineiro', 'clubID': '330', 'value': '€300k'}, {'date': '07/04/2023', 'age': '36', 'clubName': 'Clube Atlético Mineiro', 'clubID': '330', 'value': '€300k'}, {'date': '25/07/2023', 'age': '37', 'clubName': 'Clube Atlético Mineiro', 'clubID': '330', 'value': '€300k'}, {'date': '11/12/2023', 'age': '37', 'clubName': 'Clube Atlético Mineiro', 'clubID': '330', 'value': '€300k'}, {'date': '28/03/2024', 'age': '37', 'clubName': 'Clube Atlético Mineiro', 'clubID': '330', 'value': '€300k'}, {'date': '17/06/2024', 'age': '37', 'clubName': 'Clube Atlético Mineiro', 'clubID': '330', 'value': '€250k'}, {'date': '09/12/2024', 'age': '38', 'clubName': 'Clube Atlético Mineiro', 'clubID': '330', 'value': '€200k'}, {'date': '27/06/2025', 'age': '39', 'clubName': 'América Futebol Clube (MG)', 'clubID': '2863', 'value': '€150k'}, {'date': '24/11/2025', 'age': '39', 'clubName': 'América Futebol Clube (MG)', 'clubID': '2863', 'value': '€75k'}, {'date': '09/04/2026', 'age': '39', 'clubName': 'Without Club', 'clubID': '515', 'value': '€50k'}]}</t>
  </si>
  <si>
    <t>1986-06-23</t>
  </si>
  <si>
    <t>Zielinski</t>
  </si>
  <si>
    <t>{'marketValueHistory': [{'date': 'May 30, 2011', 'age': '17', 'clubName': 'Zaglebie Lubin II', 'clubID': '8372', 'value': '€50k'}, {'date': 'Sep 25, 2011', 'age': '17', 'clubName': 'Udinese Primavera', 'clubID': '10959', 'value': '€100k'}, {'date': 'Jan 15, 2013', 'age': '18', 'clubName': 'Udinese Calcio', 'clubID': '410', 'value': '€300k'}, {'date': 'Jun 19, 2013', 'age': '19', 'clubName': 'Udinese Calcio', 'clubID': '410', 'value': '€3.00m'}, {'date': 'Jan 7, 2014', 'age': '19', 'clubName': 'Udinese Calcio', 'clubID': '410', 'value': '€3.00m'}, {'date': 'Jul 1, 2014', 'age': '20', 'clubName': 'Udinese Calcio', 'clubID': '410', 'value': '€2.50m'}, {'date': 'Jan 7, 2015', 'age': '20', 'clubName': 'FC Empoli', 'clubID': '749', 'value': '€2.50m'}, {'date': 'Jul 1, 2015', 'age': '21', 'clubName': 'FC Empoli', 'clubID': '749', 'value': '€2.50m'}, {'date': 'Jan 4, 2016', 'age': '21', 'clubName': 'FC Empoli', 'clubID': '749', 'value': '€4.00m'}, {'date': 'Apr 1, 2016', 'age': '21', 'clubName': 'FC Empoli', 'clubID': '749', 'value': '€7.00m'}, {'date': 'Jun 1, 2016', 'age': '22', 'clubName': 'FC Empoli', 'clubID': '749', 'value': '€12.00m'}, {'date': 'Jul 15, 2016', 'age': '22', 'clubName': 'Udinese Calcio', 'clubID': '410', 'value': '€12.00m'}, {'date': 'Oct 14, 2016', 'age': '22', 'clubName': 'SSC Napoli', 'clubID': '6195', 'value': '€14.00m'}, {'date': 'Jan 2, 2017', 'age': '22', 'clubName': 'SSC Napoli', 'clubID': '6195', 'value': '€16.00m'}, {'date': 'Jun 8, 2017', 'age': '23', 'clubName': 'SSC Napoli', 'clubID': '6195', 'value': '€20.00m'}, {'date': 'Dec 29, 2017', 'age': '23', 'clubName': 'SSC Napoli', 'clubID': '6195', 'value': '€25.00m'}, {'date': 'Jun 7, 2018', 'age': '24', 'clubName': 'SSC Napoli', 'clubID': '6195', 'value': '€32.00m'}, {'date': 'Oct 12, 2018', 'age': '24', 'clubName': 'SSC Napoli', 'clubID': '6195', 'value': '€40.00m'}, {'date': 'Dec 20, 2018', 'age': '24', 'clubName': 'SSC Napoli', 'clubID': '6195', 'value': '€40.00m'}, {'date': 'Jun 6, 2019', 'age': '25', 'clubName': 'SSC Napoli', 'clubID': '6195', 'value': '€40.00m'}, {'date': 'Dec 12, 2019', 'age': '25', 'clubName': 'SSC Napoli', 'clubID': '6195', 'value': '€40.00m'}, {'date': 'Apr 8, 2020', 'age': '25', 'clubName': 'SSC Napoli', 'clubID': '6195', 'value': '€32.00m'}, {'date': 'Aug 25, 2020', 'age': '26', 'clubName': 'SSC Napoli', 'clubID': '6195', 'value': '€35.00m'}, {'date': 'Dec 29, 2020', 'age': '26', 'clubName': 'SSC Napoli', 'clubID': '6195', 'value': '€40.00m'}, {'date': 'Mar 23, 2021', 'age': '26', 'clubName': 'SSC Napoli', 'clubID': '6195', 'value': '€46.00m'}, {'date': 'May 31, 2021', 'age': '27', 'clubName': 'SSC Napoli', 'clubID': '6195', 'value': '€50.00m'}, {'date': 'Dec 28, 2021', 'age': '27', 'clubName': 'SSC Napoli', 'clubID': '6195', 'value': '€50.00m'}, {'date': 'Jun 7, 2022', 'age': '28', 'clubName': 'SSC Napoli', 'clubID': '6195', 'value': '€40.00m'}, {'date': 'Nov 11, 2022', 'age': '28', 'clubName': 'SSC Napoli', 'clubID': '6195', 'value': '€40.00m'}, {'date': 'Jun 15, 2023', 'age': '29', 'clubName': 'SSC Napoli', 'clubID': '6195', 'value': '€35.00m'}, {'date': 'Dec 20, 2023', 'age': '29', 'clubName': 'SSC Napoli', 'clubID': '6195', 'value': '€30.00m'}, {'date': 'Mar 12, 2024', 'age': '29', 'clubName': 'SSC Napoli', 'clubID': '6195', 'value': '€25.00m'}, {'date': 'Jun 5, 2024', 'age': '30', 'clubName': 'SSC Napoli', 'clubID': '6195', 'value': '€22.00m'}, {'date': 'Dec 18, 2024', 'age': '30', 'clubName': 'Inter Milan', 'clubID': '46', 'value': '€18.00m'}, {'date': 'Mar 25, 2025', 'age': '30', 'clubName': 'Inter Milan', 'clubID': '46', 'value': '€14.00m'}, {'date': 'Jun 17, 2025', 'age': '31', 'clubName': 'Inter Milan', 'clubID': '46', 'value': '€10.00m'}, {'date': 'Dec 23, 2025', 'age': '31', 'clubName': 'Inter Milan', 'clubID': '46', 'value': '€10.00m'}]}</t>
  </si>
  <si>
    <t>1994-05-20</t>
  </si>
  <si>
    <t>Massengo</t>
  </si>
  <si>
    <t>{'marketValueHistory': [{'date': '17/12/2018', 'age': '17', 'clubName': 'AS Monaco B', 'clubID': '9668', 'value': '€2.50m'}, {'date': '17/10/2019', 'age': '18', 'clubName': 'Bristol City', 'clubID': '698', 'value': '€5.00m'}, {'date': '27/02/2020', 'age': '18', 'clubName': 'Bristol City', 'clubID': '698', 'value': '€8.00m'}, {'date': '08/04/2020', 'age': '18', 'clubName': 'Bristol City', 'clubID': '698', 'value': '€7.20m'}, {'date': '15/10/2020', 'age': '19', 'clubName': 'Bristol City', 'clubID': '698', 'value': '€5.50m'}, {'date': '10/03/2021', 'age': '19', 'clubName': 'Bristol City', 'clubID': '698', 'value': '€4.00m'}, {'date': '29/06/2021', 'age': '19', 'clubName': 'Bristol City', 'clubID': '698', 'value': '€5.00m'}, {'date': '24/11/2021', 'age': '20', 'clubName': 'Bristol City', 'clubID': '698', 'value': '€4.00m'}, {'date': '13/05/2022', 'age': '20', 'clubName': 'Bristol City', 'clubID': '698', 'value': '€4.00m'}, {'date': '27/10/2022', 'age': '21', 'clubName': 'Bristol City', 'clubID': '698', 'value': '€3.50m'}, {'date': '27/03/2023', 'age': '21', 'clubName': 'AJ Auxerre', 'clubID': '290', 'value': '€4.00m'}, {'date': '27/06/2023', 'age': '21', 'clubName': 'AJ Auxerre', 'clubID': '290', 'value': '€5.00m'}, {'date': '19/12/2023', 'age': '22', 'clubName': 'Burnley FC', 'clubID': '1132', 'value': '€4.00m'}, {'date': '27/05/2024', 'age': '22', 'clubName': 'Burnley FC', 'clubID': '1132', 'value': '€4.00m'}, {'date': '24/09/2024', 'age': '23', 'clubName': 'Burnley FC', 'clubID': '1132', 'value': '€3.00m'}, {'date': '30/12/2024', 'age': '23', 'clubName': 'Burnley FC', 'clubID': '1132', 'value': '€3.00m'}, {'date': '24/03/2025', 'age': '23', 'clubName': 'AJ Auxerre', 'clubID': '290', 'value': '€5.00m'}, {'date': '03/06/2025', 'age': '23', 'clubName': 'AJ Auxerre', 'clubID': '290', 'value': '€5.00m'}, {'date': '19/12/2025', 'age': '24', 'clubName': 'FC Augsburg', 'clubID': '167', 'value': '€5.00m'}, {'date': '20/03/2026', 'age': '24', 'clubName': 'FC Augsburg', 'clubID': '167', 'value': '€6.00m'}]}</t>
  </si>
  <si>
    <t>2001-07-07</t>
  </si>
  <si>
    <t>Lovren</t>
  </si>
  <si>
    <t>{'marketValueHistory': [{'date': 'Feb 21, 2006', 'age': '16', 'clubName': 'GNK Dinamo Zagreb', 'clubID': '419', 'value': '€800k'}, {'date': 'Oct 6, 2006', 'age': '17', 'clubName': 'NK Inter Zapresic', 'clubID': '918', 'value': '€600k'}, {'date': 'Oct 9, 2007', 'age': '18', 'clubName': 'NK Inter Zapresic', 'clubID': '918', 'value': '€900k'}, {'date': 'Apr 13, 2008', 'age': '18', 'clubName': 'NK Inter Zapresic', 'clubID': '918', 'value': '€1.10m'}, {'date': 'Sep 15, 2008', 'age': '19', 'clubName': 'GNK Dinamo Zagreb', 'clubID': '419', 'value': '€1.30m'}, {'date': 'Feb 8, 2009', 'age': '19', 'clubName': 'GNK Dinamo Zagreb', 'clubID': '419', 'value': '€1.60m'}, {'date': 'Oct 5, 2009', 'age': '20', 'clubName': 'GNK Dinamo Zagreb', 'clubID': '419', 'value': '€2.50m'}, {'date': 'Jan 14, 2010', 'age': '20', 'clubName': 'Olympique Lyon', 'clubID': '1041', 'value': '€7.50m'}, {'date': 'May 18, 2010', 'age': '20', 'clubName': 'Olympique Lyon', 'clubID': '1041', 'value': '€7.00m'}, {'date': 'May 24, 2011', 'age': '21', 'clubName': 'Olympique Lyon', 'clubID': '1041', 'value': '€7.25m'}, {'date': 'Dec 24, 2011', 'age': '22', 'clubName': 'Olympique Lyon', 'clubID': '1041', 'value': '€8.00m'}, {'date': 'May 23, 2012', 'age': '22', 'clubName': 'Olympique Lyon', 'clubID': '1041', 'value': '€8.00m'}, {'date': 'Jan 7, 2013', 'age': '23', 'clubName': 'Olympique Lyon', 'clubID': '1041', 'value': '€8.00m'}, {'date': 'May 30, 2013', 'age': '23', 'clubName': 'Olympique Lyon', 'clubID': '1041', 'value': '€7.00m'}, {'date': 'Sep 18, 2013', 'age': '24', 'clubName': 'Southampton FC', 'clubID': '180', 'value': '€10.00m'}, {'date': 'Jan 15, 2014', 'age': '24', 'clubName': 'Southampton FC', 'clubID': '180', 'value': '€12.00m'}, {'date': 'Aug 12, 2014', 'age': '25', 'clubName': 'Liverpool FC', 'clubID': '31', 'value': '€20.00m'}, {'date': 'Feb 12, 2015', 'age': '25', 'clubName': 'Liverpool FC', 'clubID': '31', 'value': '€15.00m'}, {'date': 'Jul 1, 2015', 'age': '25', 'clubName': 'Liverpool FC', 'clubID': '31', 'value': '€13.00m'}, {'date': 'Feb 9, 2016', 'age': '26', 'clubName': 'Liverpool FC', 'clubID': '31', 'value': '€13.00m'}, {'date': 'Aug 1, 2016', 'age': '27', 'clubName': 'Liverpool FC', 'clubID': '31', 'value': '€15.00m'}, {'date': 'Feb 20, 2017', 'age': '27', 'clubName': 'Liverpool FC', 'clubID': '31', 'value': '€15.00m'}, {'date': 'Jun 28, 2017', 'age': '27', 'clubName': 'Liverpool FC', 'clubID': '31', 'value': '€17.00m'}, {'date': 'Jan 2, 2018', 'age': '28', 'clubName': 'Liverpool FC', 'clubID': '31', 'value': '€17.00m'}, {'date': 'May 28, 2018', 'age': '28', 'clubName': 'Liverpool FC', 'clubID': '31', 'value': '€20.00m'}, {'date': 'Dec 19, 2018', 'age': '29', 'clubName': 'Liverpool FC', 'clubID': '31', 'value': '€20.00m'}, {'date': 'Jun 13, 2019', 'age': '29', 'clubName': 'Liverpool FC', 'clubID': '31', 'value': '€20.00m'}, {'date': 'Dec 10, 2019', 'age': '30', 'clubName': 'Liverpool FC', 'clubID': '31', 'value': '€20.00m'}, {'date': 'Apr 8, 2020', 'age': '30', 'clubName': 'Liverpool FC', 'clubID': '31', 'value': '€16.00m'}, {'date': 'Jul 30, 2020', 'age': '31', 'clubName': 'Liverpool FC', 'clubID': '31', 'value': '€12.00m'}, {'date': 'Dec 29, 2020', 'age': '31', 'clubName': 'Zenit St. Petersburg', 'clubID': '964', 'value': '€11.00m'}, {'date': 'May 28, 2021', 'age': '31', 'clubName': 'Zenit St. Petersburg', 'clubID': '964', 'value': '€10.00m'}, {'date': 'Dec 29, 2021', 'age': '32', 'clubName': 'Zenit St. Petersburg', 'clubID': '964', 'value': '€7.00m'}, {'date': 'Jun 2, 2022', 'age': '32', 'clubName': 'Zenit St. Petersburg', 'clubID': '964', 'value': '€4.50m'}, {'date': 'Nov 14, 2022', 'age': '33', 'clubName': 'Zenit St. Petersburg', 'clubID': '964', 'value': '€3.50m'}, {'date': 'Mar 27, 2023', 'age': '33', 'clubName': 'Olympique Lyon', 'clubID': '1041', 'value': '€3.00m'}, {'date': 'Jun 27, 2023', 'age': '33', 'clubName': 'Olympique Lyon', 'clubID': '1041', 'value': '€2.50m'}, {'date': 'Dec 18, 2023', 'age': '34', 'clubName': 'Olympique Lyon', 'clubID': '1041', 'value': '€2.00m'}, {'date': 'Jun 3, 2024', 'age': '34', 'clubName': 'Olympique Lyon', 'clubID': '1041', 'value': '€1.20m'}, {'date': 'Sep 26, 2024', 'age': '35', 'clubName': 'PAOK Thessaloniki', 'clubID': '1091', 'value': '€1.00m'}, {'date': 'Dec 18, 2024', 'age': '35', 'clubName': 'PAOK Thessaloniki', 'clubID': '1091', 'value': '€800k'}, {'date': 'May 23, 2025', 'age': '35', 'clubName': 'PAOK Thessaloniki', 'clubID': '1091', 'value': '€600k'}, {'date': 'Dec 12, 2025', 'age': '36', 'clubName': 'PAOK Thessaloniki', 'clubID': '1091', 'value': '€500k'}]}</t>
  </si>
  <si>
    <t>1989-07-05</t>
  </si>
  <si>
    <t>Dennis</t>
  </si>
  <si>
    <t>{'marketValueHistory': [{'date': '18/06/2015', 'age': '18', 'clubName': 'Servette FC', 'clubID': '61', 'value': '€100k'}, {'date': '08/10/2015', 'age': '18', 'clubName': 'BSC Young Boys', 'clubID': '452', 'value': '€1.00m'}, {'date': '18/12/2015', 'age': '19', 'clubName': 'BSC Young Boys', 'clubID': '452', 'value': '€1.50m'}, {'date': '20/04/2016', 'age': '19', 'clubName': 'BSC Young Boys', 'clubID': '452', 'value': '€2.50m'}, {'date': '01/06/2016', 'age': '19', 'clubName': 'BSC Young Boys', 'clubID': '452', 'value': '€4.00m'}, {'date': '16/07/2016', 'age': '19', 'clubName': 'BSC Young Boys', 'clubID': '452', 'value': '€4.00m'}, {'date': '20/12/2016', 'age': '20', 'clubName': 'BSC Young Boys', 'clubID': '452', 'value': '€4.00m'}, {'date': '18/10/2017', 'age': '20', 'clubName': 'Borussia Mönchengladbach', 'clubID': '18', 'value': '€12.00m'}, {'date': '28/12/2017', 'age': '21', 'clubName': 'Borussia Mönchengladbach', 'clubID': '18', 'value': '€16.00m'}, {'date': '04/04/2018', 'age': '21', 'clubName': 'Borussia Mönchengladbach', 'clubID': '18', 'value': '€20.00m'}, {'date': '05/06/2018', 'age': '21', 'clubName': 'Borussia Mönchengladbach', 'clubID': '18', 'value': '€20.00m'}, {'date': '18/12/2018', 'age': '22', 'clubName': 'Borussia Mönchengladbach', 'clubID': '18', 'value': '€17.00m'}, {'date': '05/06/2019', 'age': '22', 'clubName': 'Borussia Mönchengladbach', 'clubID': '18', 'value': '€20.00m'}, {'date': '02/10/2019', 'age': '22', 'clubName': 'Borussia Mönchengladbach', 'clubID': '18', 'value': '€28.00m'}, {'date': '17/12/2019', 'age': '23', 'clubName': 'Borussia Mönchengladbach', 'clubID': '18', 'value': '€45.00m'}, {'date': '08/04/2020', 'age': '23', 'clubName': 'Borussia Mönchengladbach', 'clubID': '18', 'value': '€36.00m'}, {'date': '08/07/2020', 'age': '23', 'clubName': 'Borussia Mönchengladbach', 'clubID': '18', 'value': '€40.00m'}, {'date': '10/02/2021', 'age': '24', 'clubName': 'Borussia Mönchengladbach', 'clubID': '18', 'value': '€40.00m'}, {'date': '31/03/2021', 'age': '24', 'clubName': 'Borussia Mönchengladbach', 'clubID': '18', 'value': '€32.00m'}, {'date': '25/05/2021', 'age': '24', 'clubName': 'Borussia Mönchengladbach', 'clubID': '18', 'value': '€30.00m'}, {'date': '07/10/2021', 'age': '24', 'clubName': 'Borussia Mönchengladbach', 'clubID': '18', 'value': '€27.00m'}, {'date': '22/12/2021', 'age': '25', 'clubName': 'Borussia Mönchengladbach', 'clubID': '18', 'value': '€27.00m'}, {'date': '07/06/2022', 'age': '25', 'clubName': 'Juventus FC', 'clubID': '506', 'value': '€27.00m'}, {'date': '03/11/2022', 'age': '25', 'clubName': 'Chelsea FC', 'clubID': '631', 'value': '€20.00m'}, {'date': '20/06/2023', 'age': '26', 'clubName': 'Chelsea FC', 'clubID': '631', 'value': '€18.00m'}, {'date': '16/10/2023', 'age': '26', 'clubName': 'AS Monaco', 'clubID': '162', 'value': '€20.00m'}, {'date': '18/12/2023', 'age': '27', 'clubName': 'AS Monaco', 'clubID': '162', 'value': '€22.00m'}, {'date': '19/03/2024', 'age': '27', 'clubName': 'AS Monaco', 'clubID': '162', 'value': '€25.00m'}, {'date': '03/06/2024', 'age': '27', 'clubName': 'AS Monaco', 'clubID': '162', 'value': '€25.00m'}, {'date': '07/10/2024', 'age': '27', 'clubName': 'AS Monaco', 'clubID': '162', 'value': '€28.00m'}, {'date': '10/12/2024', 'age': '28', 'clubName': 'AS Monaco', 'clubID': '162', 'value': '€30.00m'}, {'date': '03/06/2025', 'age': '28', 'clubName': 'AS Monaco', 'clubID': '162', 'value': '€30.00m'}, {'date': '15/12/2025', 'age': '29', 'clubName': 'AS Monaco', 'clubID': '162', 'value': '€25.00m'}]}</t>
  </si>
  <si>
    <t>1996-11-20</t>
  </si>
  <si>
    <t>Bistrovic</t>
  </si>
  <si>
    <t>{'marketValueHistory': [{'date': 'Oct 23, 2017', 'age': '19', 'clubName': 'Slaven Belupo Koprivnica', 'clubID': '2362', 'value': '€250k'}, {'date': 'Jan 12, 2018', 'age': '19', 'clubName': 'CSKA Moscow', 'clubID': '2410', 'value': '€500k'}, {'date': 'Jun 6, 2018', 'age': '20', 'clubName': 'CSKA Moscow', 'clubID': '2410', 'value': '€1.00m'}, {'date': 'Sep 1, 2018', 'age': '20', 'clubName': 'CSKA Moscow', 'clubID': '2410', 'value': '€2.00m'}, {'date': 'Dec 20, 2018', 'age': '20', 'clubName': 'CSKA Moscow', 'clubID': '2410', 'value': '€3.50m'}, {'date': 'Jun 14, 2019', 'age': '21', 'clubName': 'CSKA Moscow', 'clubID': '2410', 'value': '€3.50m'}, {'date': 'Dec 23, 2019', 'age': '21', 'clubName': 'CSKA Moscow', 'clubID': '2410', 'value': '€3.50m'}, {'date': 'Apr 8, 2020', 'age': '21', 'clubName': 'CSKA Moscow', 'clubID': '2410', 'value': '€3.20m'}, {'date': 'Jul 29, 2020', 'age': '22', 'clubName': 'CSKA Moscow', 'clubID': '2410', 'value': '€3.00m'}, {'date': 'Dec 29, 2020', 'age': '22', 'clubName': 'CSKA Moscow', 'clubID': '2410', 'value': '€2.50m'}, {'date': 'Mar 16, 2021', 'age': '22', 'clubName': 'Kasimpasa', 'clubID': '10484', 'value': '€2.50m'}, {'date': 'May 21, 2021', 'age': '23', 'clubName': 'Kasimpasa', 'clubID': '10484', 'value': '€2.50m'}, {'date': 'Dec 29, 2021', 'age': '23', 'clubName': 'CSKA Moscow', 'clubID': '2410', 'value': '€2.00m'}, {'date': 'Mar 31, 2022', 'age': '23', 'clubName': 'Fatih Karagümrük', 'clubID': '6646', 'value': '€2.10m'}, {'date': 'Jun 1, 2022', 'age': '24', 'clubName': 'Fatih Karagümrük', 'clubID': '6646', 'value': '€2.20m'}, {'date': 'Nov 11, 2022', 'age': '24', 'clubName': 'US Lecce', 'clubID': '1005', 'value': '€2.20m'}, {'date': 'Mar 17, 2023', 'age': '24', 'clubName': 'Fortuna Sittard', 'clubID': '385', 'value': '€2.60m'}, {'date': 'Jun 23, 2023', 'age': '25', 'clubName': 'Fortuna Sittard', 'clubID': '385', 'value': '€2.50m'}, {'date': 'Oct 5, 2023', 'age': '25', 'clubName': 'Baltika Kaliningrad', 'clubID': '2741', 'value': '€2.00m'}, {'date': 'Dec 13, 2023', 'age': '25', 'clubName': 'Baltika Kaliningrad', 'clubID': '2741', 'value': '€2.00m'}, {'date': 'Jun 4, 2024', 'age': '26', 'clubName': 'Baltika Kaliningrad', 'clubID': '2741', 'value': '€2.00m'}, {'date': 'Dec 12, 2024', 'age': '26', 'clubName': 'CSKA Moscow', 'clubID': '2410', 'value': '€1.80m'}, {'date': 'Jun 4, 2025', 'age': '27', 'clubName': 'CSKA Moscow', 'clubID': '2410', 'value': '€2.00m'}, {'date': 'Dec 16, 2025', 'age': '27', 'clubName': 'Akron Tolyatti', 'clubID': '71985', 'value': '€1.80m'}]}</t>
  </si>
  <si>
    <t>1998-04-09</t>
  </si>
  <si>
    <t>Bakasetas</t>
  </si>
  <si>
    <t>{'marketValueHistory': [{'date': '23/09/2010', 'age': '17', 'clubName': 'Asteras Tripolis', 'clubID': '6676', 'value': '€100k'}, {'date': '01/07/2011', 'age': '18', 'clubName': 'Asteras Tripolis', 'clubID': '6676', 'value': '€250k'}, {'date': '14/11/2011', 'age': '18', 'clubName': 'Asteras Tripolis', 'clubID': '6676', 'value': '€300k'}, {'date': '26/02/2012', 'age': '18', 'clubName': 'Asteras Tripolis', 'clubID': '6676', 'value': '€350k'}, {'date': '21/09/2012', 'age': '19', 'clubName': 'Asteras Tripolis', 'clubID': '6676', 'value': '€500k'}, {'date': '10/02/2013', 'age': '19', 'clubName': 'Asteras Tripolis', 'clubID': '6676', 'value': '€500k'}, {'date': '28/03/2014', 'age': '20', 'clubName': 'Aris Thessaloniki', 'clubID': '605', 'value': '€500k'}, {'date': '11/11/2014', 'age': '21', 'clubName': 'Asteras Tripolis', 'clubID': '6676', 'value': '€500k'}, {'date': '10/05/2015', 'age': '21', 'clubName': 'Panionios FC', 'clubID': '169', 'value': '€500k'}, {'date': '27/09/2015', 'age': '22', 'clubName': 'Panionios FC', 'clubID': '169', 'value': '€500k'}, {'date': '21/02/2016', 'age': '22', 'clubName': 'Panionios FC', 'clubID': '169', 'value': '€700k'}, {'date': '21/06/2016', 'age': '22', 'clubName': 'Panionios FC', 'clubID': '169', 'value': '€900k'}, {'date': '21/12/2016', 'age': '23', 'clubName': 'AEK Athens', 'clubID': '2441', 'value': '€1.00m'}, {'date': '11/05/2017', 'age': '23', 'clubName': 'AEK Athens', 'clubID': '2441', 'value': '€1.00m'}, {'date': '18/12/2017', 'age': '24', 'clubName': 'AEK Athens', 'clubID': '2441', 'value': '€1.00m'}, {'date': '22/05/2018', 'age': '24', 'clubName': 'AEK Athens', 'clubID': '2441', 'value': '€1.50m'}, {'date': '07/12/2018', 'age': '25', 'clubName': 'AEK Athens', 'clubID': '2441', 'value': '€1.50m'}, {'date': '21/05/2019', 'age': '25', 'clubName': 'AEK Athens', 'clubID': '2441', 'value': '€1.50m'}, {'date': '03/01/2020', 'age': '26', 'clubName': 'Alanyaspor', 'clubID': '11282', 'value': '€2.60m'}, {'date': '08/04/2020', 'age': '26', 'clubName': 'Alanyaspor', 'clubID': '11282', 'value': '€2.00m'}, {'date': '04/08/2020', 'age': '27', 'clubName': 'Alanyaspor', 'clubID': '11282', 'value': '€3.00m'}, {'date': '23/12/2020', 'age': '27', 'clubName': 'Alanyaspor', 'clubID': '11282', 'value': '€5.00m'}, {'date': '16/03/2021', 'age': '27', 'clubName': 'Trabzonspor', 'clubID': '449', 'value': '€6.50m'}, {'date': '21/05/2021', 'age': '27', 'clubName': 'Trabzonspor', 'clubID': '449', 'value': '€7.00m'}, {'date': '12/10/2021', 'age': '28', 'clubName': 'Trabzonspor', 'clubID': '449', 'value': '€10.00m'}, {'date': '04/01/2022', 'age': '28', 'clubName': 'Trabzonspor', 'clubID': '449', 'value': '€10.00m'}, {'date': '31/03/2022', 'age': '28', 'clubName': 'Trabzonspor', 'clubID': '449', 'value': '€10.00m'}, {'date': '01/06/2022', 'age': '28', 'clubName': 'Trabzonspor', 'clubID': '449', 'value': '€9.50m'}, {'date': '27/10/2022', 'age': '29', 'clubName': 'Trabzonspor', 'clubID': '449', 'value': '€11.00m'}, {'date': '14/03/2023', 'age': '29', 'clubName': 'Trabzonspor', 'clubID': '449', 'value': '€11.00m'}, {'date': '08/06/2023', 'age': '29', 'clubName': 'Trabzonspor', 'clubID': '449', 'value': '€10.00m'}, {'date': '27/09/2023', 'age': '30', 'clubName': 'Trabzonspor', 'clubID': '449', 'value': '€10.00m'}, {'date': '21/12/2023', 'age': '30', 'clubName': 'Trabzonspor', 'clubID': '449', 'value': '€9.00m'}, {'date': '06/03/2024', 'age': '30', 'clubName': 'Panathinaikos', 'clubID': '265', 'value': '€7.00m'}, {'date': '30/05/2024', 'age': '30', 'clubName': 'Panathinaikos', 'clubID': '265', 'value': '€6.00m'}, {'date': '26/09/2024', 'age': '31', 'clubName': 'Panathinaikos', 'clubID': '265', 'value': '€5.00m'}, {'date': '18/12/2024', 'age': '31', 'clubName': 'Panathinaikos', 'clubID': '265', 'value': '€4.50m'}, {'date': '23/05/2025', 'age': '31', 'clubName': 'Panathinaikos', 'clubID': '265', 'value': '€4.00m'}, {'date': '12/12/2025', 'age': '32', 'clubName': 'Panathinaikos', 'clubID': '265', 'value': '€3.50m'}]}</t>
  </si>
  <si>
    <t>1993-06-28</t>
  </si>
  <si>
    <t>Posch</t>
  </si>
  <si>
    <t>{'marketValueHistory': [{'date': 'Jul 3, 2014', 'age': '17', 'clubName': 'FC Admira Wacker Mödling', 'clubID': '503', 'value': '€125k'}, {'date': 'Jan 11, 2015', 'age': '17', 'clubName': 'FC Admira Wacker Mödling', 'clubID': '503', 'value': '€125k'}, {'date': 'Jun 17, 2015', 'age': '18', 'clubName': 'FC Admira Wacker Mödling', 'clubID': '503', 'value': '€100k'}, {'date': 'Jul 8, 2015', 'age': '18', 'clubName': 'FC Admira Wacker Mödling', 'clubID': '503', 'value': '-'}, {'date': 'Aug 9, 2016', 'age': '19', 'clubName': 'TSG 1899 Hoffenheim II', 'clubID': '983', 'value': '€75k'}, {'date': 'Feb 6, 2017', 'age': '19', 'clubName': 'TSG 1899 Hoffenheim II', 'clubID': '983', 'value': '€100k'}, {'date': 'Oct 18, 2017', 'age': '20', 'clubName': 'TSG 1899 Hoffenheim', 'clubID': '533', 'value': '€300k'}, {'date': 'Dec 28, 2017', 'age': '20', 'clubName': 'TSG 1899 Hoffenheim', 'clubID': '533', 'value': '€2.50m'}, {'date': 'Jun 5, 2018', 'age': '21', 'clubName': 'TSG 1899 Hoffenheim', 'clubID': '533', 'value': '€2.50m'}, {'date': 'Dec 18, 2018', 'age': '21', 'clubName': 'TSG 1899 Hoffenheim', 'clubID': '533', 'value': '€2.50m'}, {'date': 'Mar 6, 2019', 'age': '21', 'clubName': 'TSG 1899 Hoffenheim', 'clubID': '533', 'value': '€5.50m'}, {'date': 'Jun 5, 2019', 'age': '22', 'clubName': 'TSG 1899 Hoffenheim', 'clubID': '533', 'value': '€5.50m'}, {'date': 'Oct 2, 2019', 'age': '22', 'clubName': 'TSG 1899 Hoffenheim', 'clubID': '533', 'value': '€9.00m'}, {'date': 'Dec 17, 2019', 'age': '22', 'clubName': 'TSG 1899 Hoffenheim', 'clubID': '533', 'value': '€14.00m'}, {'date': 'Apr 8, 2020', 'age': '22', 'clubName': 'TSG 1899 Hoffenheim', 'clubID': '533', 'value': '€11.00m'}, {'date': 'Nov 26, 2020', 'age': '23', 'clubName': 'TSG 1899 Hoffenheim', 'clubID': '533', 'value': '€13.00m'}, {'date': 'Feb 10, 2021', 'age': '23', 'clubName': 'TSG 1899 Hoffenheim', 'clubID': '533', 'value': '€13.00m'}, {'date': 'May 27, 2021', 'age': '24', 'clubName': 'TSG 1899 Hoffenheim', 'clubID': '533', 'value': '€13.00m'}, {'date': 'Oct 7, 2021', 'age': '24', 'clubName': 'TSG 1899 Hoffenheim', 'clubID': '533', 'value': '€11.00m'}, {'date': 'Dec 22, 2021', 'age': '24', 'clubName': 'TSG 1899 Hoffenheim', 'clubID': '533', 'value': '€11.00m'}, {'date': 'Jun 9, 2022', 'age': '25', 'clubName': 'TSG 1899 Hoffenheim', 'clubID': '533', 'value': '€10.00m'}, {'date': 'Sep 27, 2022', 'age': '25', 'clubName': 'Bologna FC 1909', 'clubID': '1025', 'value': '€7.00m'}, {'date': 'Nov 11, 2022', 'age': '25', 'clubName': 'Bologna FC 1909', 'clubID': '1025', 'value': '€7.00m'}, {'date': 'Mar 21, 2023', 'age': '25', 'clubName': 'Bologna FC 1909', 'clubID': '1025', 'value': '€10.00m'}, {'date': 'Jun 15, 2023', 'age': '26', 'clubName': 'Bologna FC 1909', 'clubID': '1025', 'value': '€14.00m'}, {'date': 'Dec 20, 2023', 'age': '26', 'clubName': 'Bologna FC 1909', 'clubID': '1025', 'value': '€14.00m'}, {'date': 'Jun 5, 2024', 'age': '27', 'clubName': 'Bologna FC 1909', 'clubID': '1025', 'value': '€14.00m'}, {'date': 'Dec 18, 2024', 'age': '27', 'clubName': 'Bologna FC 1909', 'clubID': '1025', 'value': '€10.00m'}, {'date': 'Jun 17, 2025', 'age': '28', 'clubName': 'Atalanta BC', 'clubID': '800', 'value': '€8.00m'}, {'date': 'Oct 7, 2025', 'age': '28', 'clubName': 'Como 1907', 'clubID': '1047', 'value': '€7.00m'}, {'date': 'Dec 23, 2025', 'age': '28', 'clubName': 'Como 1907', 'clubID': '1047', 'value': '€5.50m'}]}</t>
  </si>
  <si>
    <t>Amrabat</t>
  </si>
  <si>
    <t>{'marketValueHistory': [{'date': '25/09/2014', 'age': '18', 'clubName': 'FC Utrecht U21', 'clubID': '200', 'value': '€50k'}, {'date': '16/02/2015', 'age': '18', 'clubName': 'FC Utrecht U21', 'clubID': '200', 'value': '€100k'}, {'date': '01/07/2015', 'age': '18', 'clubName': 'FC Utrecht', 'clubID': '200', 'value': '€350k'}, {'date': '05/02/2016', 'age': '19', 'clubName': 'FC Utrecht', 'clubID': '200', 'value': '€400k'}, {'date': '15/07/2016', 'age': '19', 'clubName': 'FC Utrecht', 'clubID': '200', 'value': '€450k'}, {'date': '17/10/2016', 'age': '20', 'clubName': 'FC Utrecht', 'clubID': '200', 'value': '€650k'}, {'date': '18/01/2017', 'age': '20', 'clubName': 'FC Utrecht', 'clubID': '200', 'value': '€900k'}, {'date': '07/06/2017', 'age': '20', 'clubName': 'FC Utrecht', 'clubID': '200', 'value': '€3.00m'}, {'date': '26/10/2017', 'age': '21', 'clubName': 'Feyenoord Rotterdam', 'clubID': '234', 'value': '€4.00m'}, {'date': '17/01/2018', 'age': '21', 'clubName': 'Feyenoord Rotterdam', 'clubID': '234', 'value': '€5.00m'}, {'date': '12/06/2018', 'age': '21', 'clubName': 'Feyenoord Rotterdam', 'clubID': '234', 'value': '€4.50m'}, {'date': '27/12/2018', 'age': '22', 'clubName': 'Club Brugge KV', 'clubID': '2282', 'value': '€3.80m'}, {'date': '10/06/2019', 'age': '22', 'clubName': 'Club Brugge KV', 'clubID': '2282', 'value': '€3.00m'}, {'date': '12/12/2019', 'age': '23', 'clubName': 'Hellas Verona', 'clubID': '276', 'value': '€10.00m'}, {'date': '11/02/2020', 'age': '23', 'clubName': 'Hellas Verona', 'clubID': '276', 'value': '€18.00m'}, {'date': '08/04/2020', 'age': '23', 'clubName': 'Hellas Verona', 'clubID': '276', 'value': '€14.50m'}, {'date': '25/08/2020', 'age': '24', 'clubName': 'Hellas Verona', 'clubID': '276', 'value': '€20.00m'}, {'date': '29/12/2020', 'age': '24', 'clubName': 'ACF Fiorentina', 'clubID': '430', 'value': '€18.00m'}, {'date': '03/06/2021', 'age': '24', 'clubName': 'ACF Fiorentina', 'clubID': '430', 'value': '€15.00m'}, {'date': '14/10/2021', 'age': '25', 'clubName': 'ACF Fiorentina', 'clubID': '430', 'value': '€12.00m'}, {'date': '28/12/2021', 'age': '25', 'clubName': 'ACF Fiorentina', 'clubID': '430', 'value': '€9.00m'}, {'date': '07/06/2022', 'age': '25', 'clubName': 'ACF Fiorentina', 'clubID': '430', 'value': '€10.00m'}, {'date': '11/11/2022', 'age': '26', 'clubName': 'ACF Fiorentina', 'clubID': '430', 'value': '€10.00m'}, {'date': '23/12/2022', 'age': '26', 'clubName': 'ACF Fiorentina', 'clubID': '430', 'value': '€25.00m'}, {'date': '15/06/2023', 'age': '26', 'clubName': 'ACF Fiorentina', 'clubID': '430', 'value': '€30.00m'}, {'date': '19/12/2023', 'age': '27', 'clubName': 'Manchester United', 'clubID': '985', 'value': '€28.00m'}, {'date': '14/03/2024', 'age': '27', 'clubName': 'Manchester United', 'clubID': '985', 'value': '€22.00m'}, {'date': '27/05/2024', 'age': '27', 'clubName': 'Manchester United', 'clubID': '985', 'value': '€22.00m'}, {'date': '04/10/2024', 'age': '28', 'clubName': 'Fenerbahce', 'clubID': '36', 'value': '€22.00m'}, {'date': '23/12/2024', 'age': '28', 'clubName': 'Fenerbahce', 'clubID': '36', 'value': '€22.00m'}, {'date': '20/03/2025', 'age': '28', 'clubName': 'Fenerbahce', 'clubID': '36', 'value': '€20.00m'}, {'date': '18/06/2025', 'age': '28', 'clubName': 'Fenerbahce', 'clubID': '36', 'value': '€17.00m'}, {'date': '02/10/2025', 'age': '29', 'clubName': 'Real Betis Balompié', 'clubID': '150', 'value': '€12.00m'}, {'date': '12/12/2025', 'age': '29', 'clubName': 'Real Betis Balompié', 'clubID': '150', 'value': '€12.00m'}]}</t>
  </si>
  <si>
    <t>1996-08-21</t>
  </si>
  <si>
    <t>Rybus</t>
  </si>
  <si>
    <t>{'marketValueHistory': [{'date': 'Nov 23, 2007', 'age': '18', 'clubName': 'Legia Warszawa', 'clubID': '255', 'value': '€50k'}, {'date': 'May 28, 2008', 'age': '18', 'clubName': 'Legia Warszawa', 'clubID': '255', 'value': '€200k'}, {'date': 'Feb 26, 2009', 'age': '19', 'clubName': 'Legia Warszawa', 'clubID': '255', 'value': '€550k'}, {'date': 'Jul 3, 2009', 'age': '19', 'clubName': 'Legia Warszawa', 'clubID': '255', 'value': '€925k'}, {'date': 'Mar 17, 2010', 'age': '20', 'clubName': 'Legia Warszawa', 'clubID': '255', 'value': '€1.60m'}, {'date': 'Feb 1, 2011', 'age': '21', 'clubName': 'Legia Warszawa', 'clubID': '255', 'value': '€1.20m'}, {'date': 'Jul 18, 2011', 'age': '21', 'clubName': 'Legia Warszawa', 'clubID': '255', 'value': '€950k'}, {'date': 'Feb 2, 2012', 'age': '22', 'clubName': 'Terek Grozny', 'clubID': '3725', 'value': '€2.00m'}, {'date': 'Jun 24, 2012', 'age': '22', 'clubName': 'Terek Grozny', 'clubID': '3725', 'value': '€3.00m'}, {'date': 'Jan 27, 2013', 'age': '23', 'clubName': 'Terek Grozny', 'clubID': '3725', 'value': '€3.20m'}, {'date': 'Jun 19, 2013', 'age': '23', 'clubName': 'Terek Grozny', 'clubID': '3725', 'value': '€4.50m'}, {'date': 'Mar 28, 2014', 'age': '24', 'clubName': 'Terek Grozny', 'clubID': '3725', 'value': '€4.50m'}, {'date': 'Jul 31, 2014', 'age': '24', 'clubName': 'Terek Grozny', 'clubID': '3725', 'value': '€4.00m'}, {'date': 'Feb 23, 2015', 'age': '25', 'clubName': 'Terek Grozny', 'clubID': '3725', 'value': '€5.00m'}, {'date': 'Jun 18, 2015', 'age': '25', 'clubName': 'Terek Grozny', 'clubID': '3725', 'value': '€4.00m'}, {'date': 'Jan 6, 2016', 'age': '26', 'clubName': 'Terek Grozny', 'clubID': '3725', 'value': '€5.00m'}, {'date': 'May 25, 2016', 'age': '26', 'clubName': 'Terek Grozny', 'clubID': '3725', 'value': '€5.00m'}, {'date': 'Jul 13, 2016', 'age': '26', 'clubName': 'Olympique Lyon', 'clubID': '1041', 'value': '€5.00m'}, {'date': 'Jan 16, 2017', 'age': '27', 'clubName': 'Olympique Lyon', 'clubID': '1041', 'value': '€4.00m'}, {'date': 'Jun 1, 2017', 'age': '27', 'clubName': 'Olympique Lyon', 'clubID': '1041', 'value': '€3.50m'}, {'date': 'Dec 23, 2017', 'age': '28', 'clubName': 'Lokomotiv Moscow', 'clubID': '932', 'value': '€3.00m'}, {'date': 'Jun 6, 2018', 'age': '28', 'clubName': 'Lokomotiv Moscow', 'clubID': '932', 'value': '€3.20m'}, {'date': 'Dec 20, 2018', 'age': '29', 'clubName': 'Lokomotiv Moscow', 'clubID': '932', 'value': '€3.20m'}, {'date': 'Jun 14, 2019', 'age': '29', 'clubName': 'Lokomotiv Moscow', 'clubID': '932', 'value': '€3.00m'}, {'date': 'Dec 23, 2019', 'age': '30', 'clubName': 'Lokomotiv Moscow', 'clubID': '932', 'value': '€3.00m'}, {'date': 'Apr 8, 2020', 'age': '30', 'clubName': 'Lokomotiv Moscow', 'clubID': '932', 'value': '€2.40m'}, {'date': 'Jul 29, 2020', 'age': '30', 'clubName': 'Lokomotiv Moscow', 'clubID': '932', 'value': '€2.50m'}, {'date': 'Dec 29, 2020', 'age': '31', 'clubName': 'Lokomotiv Moscow', 'clubID': '932', 'value': '€2.00m'}, {'date': 'May 31, 2021', 'age': '31', 'clubName': 'Lokomotiv Moscow', 'clubID': '932', 'value': '€2.00m'}, {'date': 'Dec 29, 2021', 'age': '32', 'clubName': 'Lokomotiv Moscow', 'clubID': '932', 'value': '€1.80m'}, {'date': 'Jun 2, 2022', 'age': '32', 'clubName': 'Lokomotiv Moscow', 'clubID': '932', 'value': '€1.20m'}, {'date': 'Nov 21, 2022', 'age': '33', 'clubName': 'Spartak Moscow', 'clubID': '232', 'value': '€700k'}, {'date': 'Apr 13, 2023', 'age': '33', 'clubName': 'Spartak Moscow', 'clubID': '232', 'value': '€500k'}, {'date': 'Jun 14, 2023', 'age': '33', 'clubName': 'Spartak Moscow', 'clubID': '232', 'value': '€300k'}, {'date': 'Dec 13, 2023', 'age': '34', 'clubName': 'Rubin Kazan', 'clubID': '2698', 'value': '€200k'}, {'date': 'Jun 4, 2024', 'age': '34', 'clubName': 'Rubin Kazan', 'clubID': '2698', 'value': '€150k'}, {'date': 'Oct 1, 2024', 'age': '35', 'clubName': 'Medialiga (RU)', 'clubID': '112192', 'value': '-'}]}</t>
  </si>
  <si>
    <t>1989-08-19</t>
  </si>
  <si>
    <t>Akpoguma</t>
  </si>
  <si>
    <t>{'marketValueHistory': [{'date': '11/07/2012', 'age': '17', 'clubName': 'Karlsruher SC', 'clubID': '48', 'value': '€100k'}, {'date': '30/12/2012', 'age': '17', 'clubName': 'Karlsruher SC', 'clubID': '48', 'value': '€200k'}, {'date': '23/02/2013', 'age': '17', 'clubName': 'Karlsruher SC', 'clubID': '48', 'value': '€400k'}, {'date': '28/06/2013', 'age': '18', 'clubName': 'Karlsruher SC', 'clubID': '48', 'value': '€450k'}, {'date': '27/08/2013', 'age': '18', 'clubName': 'TSG 1899 Hoffenheim', 'clubID': '533', 'value': '€800k'}, {'date': '01/04/2014', 'age': '18', 'clubName': 'TSG 1899 Hoffenheim', 'clubID': '533', 'value': '€600k'}, {'date': '10/07/2014', 'age': '19', 'clubName': 'TSG 1899 Hoffenheim', 'clubID': '533', 'value': '€600k'}, {'date': '04/02/2015', 'age': '19', 'clubName': 'TSG 1899 Hoffenheim', 'clubID': '533', 'value': '€600k'}, {'date': '01/07/2015', 'age': '20', 'clubName': 'Fortuna Düsseldorf', 'clubID': '38', 'value': '€400k'}, {'date': '11/02/2016', 'age': '20', 'clubName': 'Fortuna Düsseldorf', 'clubID': '38', 'value': '€400k'}, {'date': '22/07/2016', 'age': '21', 'clubName': 'Fortuna Düsseldorf', 'clubID': '38', 'value': '€600k'}, {'date': '06/10/2016', 'age': '21', 'clubName': 'Fortuna Düsseldorf', 'clubID': '38', 'value': '€1.00m'}, {'date': '23/01/2017', 'age': '21', 'clubName': 'Fortuna Düsseldorf', 'clubID': '38', 'value': '€1.25m'}, {'date': '27/06/2017', 'age': '22', 'clubName': 'Fortuna Düsseldorf', 'clubID': '38', 'value': '€1.25m'}, {'date': '28/12/2017', 'age': '22', 'clubName': 'TSG 1899 Hoffenheim', 'clubID': '533', 'value': '€3.00m'}, {'date': '04/04/2018', 'age': '22', 'clubName': 'TSG 1899 Hoffenheim', 'clubID': '533', 'value': '€5.50m'}, {'date': '05/06/2018', 'age': '23', 'clubName': 'TSG 1899 Hoffenheim', 'clubID': '533', 'value': '€8.00m'}, {'date': '22/08/2018', 'age': '23', 'clubName': 'TSG 1899 Hoffenheim', 'clubID': '533', 'value': '€12.00m'}, {'date': '18/12/2018', 'age': '23', 'clubName': 'TSG 1899 Hoffenheim', 'clubID': '533', 'value': '€10.00m'}, {'date': '05/06/2019', 'age': '24', 'clubName': 'Hannover 96', 'clubID': '42', 'value': '€6.50m'}, {'date': '02/10/2019', 'age': '24', 'clubName': 'TSG 1899 Hoffenheim', 'clubID': '533', 'value': '€4.00m'}, {'date': '17/12/2019', 'age': '24', 'clubName': 'TSG 1899 Hoffenheim', 'clubID': '533', 'value': '€6.00m'}, {'date': '08/04/2020', 'age': '24', 'clubName': 'TSG 1899 Hoffenheim', 'clubID': '533', 'value': '€4.80m'}, {'date': '26/11/2020', 'age': '25', 'clubName': 'TSG 1899 Hoffenheim', 'clubID': '533', 'value': '€6.00m'}, {'date': '10/02/2021', 'age': '25', 'clubName': 'TSG 1899 Hoffenheim', 'clubID': '533', 'value': '€6.00m'}, {'date': '09/06/2021', 'age': '26', 'clubName': 'TSG 1899 Hoffenheim', 'clubID': '533', 'value': '€5.00m'}, {'date': '22/12/2021', 'age': '26', 'clubName': 'TSG 1899 Hoffenheim', 'clubID': '533', 'value': '€6.00m'}, {'date': '09/06/2022', 'age': '27', 'clubName': 'TSG 1899 Hoffenheim', 'clubID': '533', 'value': '€6.00m'}, {'date': '09/11/2022', 'age': '27', 'clubName': 'TSG 1899 Hoffenheim', 'clubID': '533', 'value': '€5.00m'}, {'date': '29/03/2023', 'age': '27', 'clubName': 'TSG 1899 Hoffenheim', 'clubID': '533', 'value': '€4.00m'}, {'date': '22/06/2023', 'age': '28', 'clubName': 'TSG 1899 Hoffenheim', 'clubID': '533', 'value': '€3.50m'}, {'date': '14/12/2023', 'age': '28', 'clubName': 'TSG 1899 Hoffenheim', 'clubID': '533', 'value': '€3.50m'}, {'date': '29/05/2024', 'age': '29', 'clubName': 'TSG 1899 Hoffenheim', 'clubID': '533', 'value': '€3.00m'}, {'date': '20/12/2024', 'age': '29', 'clubName': 'TSG 1899 Hoffenheim', 'clubID': '533', 'value': '€2.50m'}, {'date': '05/06/2025', 'age': '30', 'clubName': 'TSG 1899 Hoffenheim', 'clubID': '533', 'value': '€2.50m'}, {'date': '19/12/2025', 'age': '30', 'clubName': 'TSG 1899 Hoffenheim', 'clubID': '533', 'value': '€2.00m'}]}</t>
  </si>
  <si>
    <t>Oczipka</t>
  </si>
  <si>
    <t>{'marketValueHistory': [{'date': 'Jul 17, 2008', 'age': '19', 'clubName': 'Bayer 04 Leverkusen', 'clubID': '15', 'value': '€50k'}, {'date': 'Aug 29, 2008', 'age': '19', 'clubName': 'FC Hansa Rostock', 'clubID': '30', 'value': '€200k'}, {'date': 'Nov 4, 2008', 'age': '19', 'clubName': 'FC Hansa Rostock', 'clubID': '30', 'value': '€400k'}, {'date': 'Jan 20, 2009', 'age': '20', 'clubName': 'FC Hansa Rostock', 'clubID': '30', 'value': '€700k'}, {'date': 'Jun 10, 2009', 'age': '20', 'clubName': 'FC Hansa Rostock', 'clubID': '30', 'value': '€900k'}, {'date': 'Jun 13, 2010', 'age': '21', 'clubName': 'FC St. Pauli', 'clubID': '35', 'value': '€1.20m'}, {'date': 'Oct 5, 2010', 'age': '21', 'clubName': 'FC St. Pauli', 'clubID': '35', 'value': '€1.75m'}, {'date': 'Jan 12, 2011', 'age': '22', 'clubName': 'FC St. Pauli', 'clubID': '35', 'value': '€2.50m'}, {'date': 'Jun 29, 2011', 'age': '22', 'clubName': 'FC St. Pauli', 'clubID': '35', 'value': '€2.50m'}, {'date': 'Jan 23, 2012', 'age': '23', 'clubName': 'Bayer 04 Leverkusen', 'clubID': '15', 'value': '€2.00m'}, {'date': 'Jun 29, 2012', 'age': '23', 'clubName': 'Bayer 04 Leverkusen', 'clubID': '15', 'value': '€1.50m'}, {'date': 'Oct 23, 2012', 'age': '23', 'clubName': 'Eintracht Frankfurt', 'clubID': '24', 'value': '€2.50m'}, {'date': 'Jan 13, 2013', 'age': '24', 'clubName': 'Eintracht Frankfurt', 'clubID': '24', 'value': '€4.00m'}, {'date': 'Jun 30, 2013', 'age': '24', 'clubName': 'Eintracht Frankfurt', 'clubID': '24', 'value': '€4.00m'}, {'date': 'Feb 12, 2014', 'age': '25', 'clubName': 'Eintracht Frankfurt', 'clubID': '24', 'value': '€3.00m'}, {'date': 'Jul 10, 2014', 'age': '25', 'clubName': 'Eintracht Frankfurt', 'clubID': '24', 'value': '€3.00m'}, {'date': 'Feb 4, 2015', 'age': '26', 'clubName': 'Eintracht Frankfurt', 'clubID': '24', 'value': '€3.00m'}, {'date': 'Jul 1, 2015', 'age': '26', 'clubName': 'Eintracht Frankfurt', 'clubID': '24', 'value': '€3.00m'}, {'date': 'Feb 15, 2016', 'age': '27', 'clubName': 'Eintracht Frankfurt', 'clubID': '24', 'value': '€3.00m'}, {'date': 'Jul 22, 2016', 'age': '27', 'clubName': 'Eintracht Frankfurt', 'clubID': '24', 'value': '€2.50m'}, {'date': 'Feb 7, 2017', 'age': '28', 'clubName': 'Eintracht Frankfurt', 'clubID': '24', 'value': '€3.00m'}, {'date': 'Jun 19, 2017', 'age': '28', 'clubName': 'Eintracht Frankfurt', 'clubID': '24', 'value': '€3.50m'}, {'date': 'Oct 18, 2017', 'age': '28', 'clubName': 'FC Schalke 04', 'clubID': '33', 'value': '€4.50m'}, {'date': 'Dec 28, 2017', 'age': '28', 'clubName': 'FC Schalke 04', 'clubID': '33', 'value': '€5.50m'}, {'date': 'Apr 4, 2018', 'age': '29', 'clubName': 'FC Schalke 04', 'clubID': '33', 'value': '€7.00m'}, {'date': 'Jun 5, 2018', 'age': '29', 'clubName': 'FC Schalke 04', 'clubID': '33', 'value': '€7.00m'}, {'date': 'Dec 18, 2018', 'age': '29', 'clubName': 'FC Schalke 04', 'clubID': '33', 'value': '€5.50m'}, {'date': 'Jun 5, 2019', 'age': '30', 'clubName': 'FC Schalke 04', 'clubID': '33', 'value': '€4.00m'}, {'date': 'Dec 17, 2019', 'age': '30', 'clubName': 'FC Schalke 04', 'clubID': '33', 'value': '€4.00m'}, {'date': 'Apr 8, 2020', 'age': '31', 'clubName': 'FC Schalke 04', 'clubID': '33', 'value': '€3.20m'}, {'date': 'Sep 16, 2020', 'age': '31', 'clubName': 'FC Schalke 04', 'clubID': '33', 'value': '€2.80m'}, {'date': 'Feb 10, 2021', 'age': '32', 'clubName': 'FC Schalke 04', 'clubID': '33', 'value': '€1.50m'}, {'date': 'Mar 31, 2021', 'age': '32', 'clubName': 'FC Schalke 04', 'clubID': '33', 'value': '€800k'}, {'date': 'Jun 9, 2021', 'age': '32', 'clubName': 'FC Schalke 04', 'clubID': '33', 'value': '€600k'}, {'date': 'Dec 22, 2021', 'age': '32', 'clubName': '1.FC Union Berlin', 'clubID': '89', 'value': '€600k'}, {'date': 'Jun 9, 2022', 'age': '33', 'clubName': '1.FC Union Berlin', 'clubID': '89', 'value': '€600k'}, {'date': 'Nov 30, 2022', 'age': '33', 'clubName': 'Arminia Bielefeld', 'clubID': '10', 'value': '€400k'}, {'date': 'Jun 28, 2023', 'age': '34', 'clubName': 'Arminia Bielefeld', 'clubID': '10', 'value': '€300k'}, {'date': 'Jul 1, 2023', 'age': '34', 'clubName': 'Retired', 'clubID': '123', 'value': '-'}]}</t>
  </si>
  <si>
    <t>Badiashile</t>
  </si>
  <si>
    <t>{'marketValueHistory': [{'date': '06/09/2018', 'age': '17', 'clubName': 'AS Monaco', 'clubID': '162', 'value': '€150k'}, {'date': '17/12/2018', 'age': '17', 'clubName': 'AS Monaco', 'clubID': '162', 'value': '€4.00m'}, {'date': '07/03/2019', 'age': '17', 'clubName': 'AS Monaco', 'clubID': '162', 'value': '€9.00m'}, {'date': '03/06/2019', 'age': '18', 'clubName': 'AS Monaco', 'clubID': '162', 'value': '€9.00m'}, {'date': '27/09/2019', 'age': '18', 'clubName': 'AS Monaco', 'clubID': '162', 'value': '€18.00m'}, {'date': '19/12/2019', 'age': '18', 'clubName': 'AS Monaco', 'clubID': '162', 'value': '€20.00m'}, {'date': '08/04/2020', 'age': '19', 'clubName': 'AS Monaco', 'clubID': '162', 'value': '€18.00m'}, {'date': '03/08/2020', 'age': '19', 'clubName': 'AS Monaco', 'clubID': '162', 'value': '€20.00m'}, {'date': '15/10/2020', 'age': '19', 'clubName': 'AS Monaco', 'clubID': '162', 'value': '€25.00m'}, {'date': '09/04/2021', 'age': '20', 'clubName': 'AS Monaco', 'clubID': '162', 'value': '€28.00m'}, {'date': '04/06/2021', 'age': '20', 'clubName': 'AS Monaco', 'clubID': '162', 'value': '€28.00m'}, {'date': '16/12/2021', 'age': '20', 'clubName': 'AS Monaco', 'clubID': '162', 'value': '€28.00m'}, {'date': '30/05/2022', 'age': '21', 'clubName': 'AS Monaco', 'clubID': '162', 'value': '€30.00m'}, {'date': '02/11/2022', 'age': '21', 'clubName': 'AS Monaco', 'clubID': '162', 'value': '€40.00m'}, {'date': '20/06/2023', 'age': '22', 'clubName': 'Chelsea FC', 'clubID': '631', 'value': '€40.00m'}, {'date': '19/12/2023', 'age': '22', 'clubName': 'Chelsea FC', 'clubID': '631', 'value': '€35.00m'}, {'date': '14/03/2024', 'age': '22', 'clubName': 'Chelsea FC', 'clubID': '631', 'value': '€32.00m'}, {'date': '27/05/2024', 'age': '23', 'clubName': 'Chelsea FC', 'clubID': '631', 'value': '€30.00m'}, {'date': '16/12/2024', 'age': '23', 'clubName': 'Chelsea FC', 'clubID': '631', 'value': '€28.00m'}, {'date': '18/03/2025', 'age': '23', 'clubName': 'Chelsea FC', 'clubID': '631', 'value': '€25.00m'}, {'date': '30/05/2025', 'age': '24', 'clubName': 'Chelsea FC', 'clubID': '631', 'value': '€22.00m'}, {'date': '17/10/2025', 'age': '24', 'clubName': 'Chelsea FC', 'clubID': '631', 'value': '€20.00m'}, {'date': '09/12/2025', 'age': '24', 'clubName': 'Chelsea FC', 'clubID': '631', 'value': '€18.00m'}]}</t>
  </si>
  <si>
    <t>2001-03-26</t>
  </si>
  <si>
    <t>Bruma</t>
  </si>
  <si>
    <t>{'marketValueHistory': [{'date': 'Nov 10, 2012', 'age': '18', 'clubName': 'Sporting CP B', 'clubID': '10949', 'value': '€1.70m'}, {'date': 'Mar 28, 2013', 'age': '18', 'clubName': 'Sporting CP', 'clubID': '336', 'value': '€2.50m'}, {'date': 'Sep 13, 2013', 'age': '18', 'clubName': 'Galatasaray', 'clubID': '141', 'value': '€10.00m'}, {'date': 'Jan 27, 2014', 'age': '19', 'clubName': 'Galatasaray', 'clubID': '141', 'value': '€10.00m'}, {'date': 'Aug 11, 2014', 'age': '19', 'clubName': 'Galatasaray', 'clubID': '141', 'value': '€9.00m'}, {'date': 'Oct 27, 2014', 'age': '20', 'clubName': 'Galatasaray', 'clubID': '141', 'value': '€8.00m'}, {'date': 'Jan 26, 2015', 'age': '20', 'clubName': 'Galatasaray', 'clubID': '141', 'value': '€8.00m'}, {'date': 'Jun 25, 2015', 'age': '20', 'clubName': 'Galatasaray', 'clubID': '141', 'value': '€7.25m'}, {'date': 'Jul 16, 2015', 'age': '20', 'clubName': 'Real Sociedad', 'clubID': '681', 'value': '€7.00m'}, {'date': 'Feb 22, 2016', 'age': '21', 'clubName': 'Real Sociedad', 'clubID': '681', 'value': '€7.00m'}, {'date': 'Apr 7, 2016', 'age': '21', 'clubName': 'Real Sociedad', 'clubID': '681', 'value': '€5.00m'}, {'date': 'Jul 15, 2016', 'age': '21', 'clubName': 'Galatasaray', 'clubID': '141', 'value': '€5.00m'}, {'date': 'Jan 10, 2017', 'age': '22', 'clubName': 'Galatasaray', 'clubID': '141', 'value': '€8.00m'}, {'date': 'Jun 9, 2017', 'age': '22', 'clubName': 'Galatasaray', 'clubID': '141', 'value': '€11.00m'}, {'date': 'Dec 28, 2017', 'age': '23', 'clubName': 'RB Leipzig', 'clubID': '23826', 'value': '€12.50m'}, {'date': 'Jun 5, 2018', 'age': '23', 'clubName': 'RB Leipzig', 'clubID': '23826', 'value': '€12.50m'}, {'date': 'Dec 18, 2018', 'age': '24', 'clubName': 'RB Leipzig', 'clubID': '23826', 'value': '€12.50m'}, {'date': 'Jun 5, 2019', 'age': '24', 'clubName': 'RB Leipzig', 'clubID': '23826', 'value': '€10.00m'}, {'date': 'Dec 18, 2019', 'age': '25', 'clubName': 'PSV Eindhoven', 'clubID': '383', 'value': '€10.00m'}, {'date': 'Mar 12, 2020', 'age': '25', 'clubName': 'PSV Eindhoven', 'clubID': '383', 'value': '€8.00m'}, {'date': 'Apr 8, 2020', 'age': '25', 'clubName': 'PSV Eindhoven', 'clubID': '383', 'value': '€6.50m'}, {'date': 'Oct 12, 2020', 'age': '25', 'clubName': 'Olympiacos Piraeus', 'clubID': '683', 'value': '€7.00m'}, {'date': 'Feb 12, 2021', 'age': '26', 'clubName': 'Olympiacos Piraeus', 'clubID': '683', 'value': '€5.00m'}, {'date': 'Jan 5, 2022', 'age': '27', 'clubName': 'PSV Eindhoven', 'clubID': '383', 'value': '€5.00m'}, {'date': 'Jun 8, 2022', 'age': '27', 'clubName': 'PSV Eindhoven', 'clubID': '383', 'value': '€6.00m'}, {'date': 'Oct 27, 2022', 'age': '28', 'clubName': 'Fenerbahce', 'clubID': '36', 'value': '€3.60m'}, {'date': 'Jun 16, 2023', 'age': '28', 'clubName': 'SC Braga', 'clubID': '1075', 'value': '€6.00m'}, {'date': 'Sep 29, 2023', 'age': '28', 'clubName': 'SC Braga', 'clubID': '1075', 'value': '€6.50m'}, {'date': 'Dec 27, 2023', 'age': '29', 'clubName': 'SC Braga', 'clubID': '1075', 'value': '€6.50m'}, {'date': 'Jun 6, 2024', 'age': '29', 'clubName': 'SC Braga', 'clubID': '1075', 'value': '€7.00m'}, {'date': 'Dec 19, 2024', 'age': '30', 'clubName': 'SC Braga', 'clubID': '1075', 'value': '€8.00m'}, {'date': 'May 30, 2025', 'age': '30', 'clubName': 'SL Benfica', 'clubID': '294', 'value': '€7.00m'}, {'date': 'Dec 18, 2025', 'age': '31', 'clubName': 'SL Benfica', 'clubID': '294', 'value': '€5.00m'}]}</t>
  </si>
  <si>
    <t>1994-10-24</t>
  </si>
  <si>
    <t>Wolfli</t>
  </si>
  <si>
    <t>{'marketValueHistory': [{'date': '04/10/2004', 'age': '22', 'clubName': 'BSC Young Boys', 'clubID': '452', 'value': '€600k'}, {'date': '28/12/2004', 'age': '22', 'clubName': 'BSC Young Boys', 'clubID': '452', 'value': '€650k'}, {'date': '22/08/2005', 'age': '23', 'clubName': 'BSC Young Boys', 'clubID': '452', 'value': '€750k'}, {'date': '30/12/2005', 'age': '23', 'clubName': 'BSC Young Boys', 'clubID': '452', 'value': '€650k'}, {'date': '29/01/2006', 'age': '23', 'clubName': 'BSC Young Boys', 'clubID': '452', 'value': '€800k'}, {'date': '15/03/2007', 'age': '24', 'clubName': 'BSC Young Boys', 'clubID': '452', 'value': '€750k'}, {'date': '04/10/2007', 'age': '25', 'clubName': 'BSC Young Boys', 'clubID': '452', 'value': '€800k'}, {'date': '09/02/2008', 'age': '25', 'clubName': 'BSC Young Boys', 'clubID': '452', 'value': '€1.00m'}, {'date': '13/10/2008', 'age': '26', 'clubName': 'BSC Young Boys', 'clubID': '452', 'value': '€1.20m'}, {'date': '19/11/2008', 'age': '26', 'clubName': 'BSC Young Boys', 'clubID': '452', 'value': '€1.50m'}, {'date': '27/06/2009', 'age': '26', 'clubName': 'BSC Young Boys', 'clubID': '452', 'value': '€2.00m'}, {'date': '13/07/2010', 'age': '27', 'clubName': 'BSC Young Boys', 'clubID': '452', 'value': '€1.80m'}, {'date': '15/06/2011', 'age': '28', 'clubName': 'BSC Young Boys', 'clubID': '452', 'value': '€1.50m'}, {'date': '21/11/2011', 'age': '29', 'clubName': 'BSC Young Boys', 'clubID': '452', 'value': '€1.20m'}, {'date': '30/05/2012', 'age': '29', 'clubName': 'BSC Young Boys', 'clubID': '452', 'value': '€1.20m'}, {'date': '29/10/2012', 'age': '30', 'clubName': 'BSC Young Boys', 'clubID': '452', 'value': '€1.00m'}, {'date': '05/01/2013', 'age': '30', 'clubName': 'BSC Young Boys', 'clubID': '452', 'value': '€800k'}, {'date': '17/06/2013', 'age': '30', 'clubName': 'BSC Young Boys', 'clubID': '452', 'value': '€800k'}, {'date': '14/02/2014', 'age': '31', 'clubName': 'BSC Young Boys', 'clubID': '452', 'value': '€800k'}, {'date': '12/09/2014', 'age': '32', 'clubName': 'BSC Young Boys', 'clubID': '452', 'value': '€600k'}, {'date': '15/12/2014', 'age': '32', 'clubName': 'BSC Young Boys', 'clubID': '452', 'value': '€400k'}, {'date': '18/06/2015', 'age': '32', 'clubName': 'BSC Young Boys', 'clubID': '452', 'value': '€400k'}, {'date': '18/12/2015', 'age': '33', 'clubName': 'BSC Young Boys', 'clubID': '452', 'value': '€400k'}, {'date': '20/04/2016', 'age': '33', 'clubName': 'BSC Young Boys', 'clubID': '452', 'value': '€250k'}, {'date': '16/07/2016', 'age': '33', 'clubName': 'BSC Young Boys', 'clubID': '452', 'value': '€250k'}, {'date': '20/12/2016', 'age': '34', 'clubName': 'BSC Young Boys', 'clubID': '452', 'value': '€250k'}, {'date': '12/07/2017', 'age': '34', 'clubName': 'BSC Young Boys', 'clubID': '452', 'value': '€250k'}, {'date': '08/01/2018', 'age': '35', 'clubName': 'BSC Young Boys', 'clubID': '452', 'value': '€250k'}, {'date': '24/04/2018', 'age': '35', 'clubName': 'BSC Young Boys', 'clubID': '452', 'value': '€250k'}, {'date': '12/07/2018', 'age': '35', 'clubName': 'BSC Young Boys', 'clubID': '452', 'value': '€350k'}, {'date': '21/01/2019', 'age': '36', 'clubName': 'BSC Young Boys', 'clubID': '452', 'value': '€350k'}, {'date': '15/04/2019', 'age': '36', 'clubName': 'BSC Young Boys', 'clubID': '452', 'value': '€350k'}, {'date': '04/06/2019', 'age': '36', 'clubName': 'BSC Young Boys', 'clubID': '452', 'value': '€350k'}, {'date': '06/01/2020', 'age': '37', 'clubName': 'BSC Young Boys', 'clubID': '452', 'value': '€100k'}, {'date': '31/07/2020', 'age': '37', 'clubName': 'BSC Young Boys', 'clubID': '452', 'value': '€100k'}, {'date': '12/08/2020', 'age': '37', 'clubName': 'BSC Young Boys', 'clubID': '452', 'value': '-'}]}</t>
  </si>
  <si>
    <t>1982-08-22</t>
  </si>
  <si>
    <t>Nubel</t>
  </si>
  <si>
    <t>{'marketValueHistory': [{'date': 'Aug 21, 2014', 'age': '17', 'clubName': 'SC Paderborn 07', 'clubID': '127', 'value': '€100k'}, {'date': 'Feb 4, 2015', 'age': '18', 'clubName': 'SC Paderborn 07', 'clubID': '127', 'value': '€100k'}, {'date': 'Jul 1, 2015', 'age': '18', 'clubName': 'SC Paderborn 07', 'clubID': '127', 'value': '€100k'}, {'date': 'Jan 15, 2016', 'age': '19', 'clubName': 'FC Schalke 04', 'clubID': '33', 'value': '€200k'}, {'date': 'Jul 22, 2016', 'age': '19', 'clubName': 'FC Schalke 04', 'clubID': '33', 'value': '€200k'}, {'date': 'Feb 7, 2017', 'age': '20', 'clubName': 'FC Schalke 04', 'clubID': '33', 'value': '€300k'}, {'date': 'Jun 19, 2017', 'age': '20', 'clubName': 'FC Schalke 04', 'clubID': '33', 'value': '€300k'}, {'date': 'Dec 28, 2017', 'age': '21', 'clubName': 'FC Schalke 04', 'clubID': '33', 'value': '€500k'}, {'date': 'Jun 5, 2018', 'age': '21', 'clubName': 'FC Schalke 04', 'clubID': '33', 'value': '€500k'}, {'date': 'Dec 18, 2018', 'age': '22', 'clubName': 'FC Schalke 04', 'clubID': '33', 'value': '€2.50m'}, {'date': 'Mar 6, 2019', 'age': '22', 'clubName': 'FC Schalke 04', 'clubID': '33', 'value': '€5.00m'}, {'date': 'Jun 5, 2019', 'age': '22', 'clubName': 'FC Schalke 04', 'clubID': '33', 'value': '€12.00m'}, {'date': 'Dec 17, 2019', 'age': '23', 'clubName': 'FC Schalke 04', 'clubID': '33', 'value': '€16.00m'}, {'date': 'Mar 11, 2020', 'age': '23', 'clubName': 'FC Schalke 04', 'clubID': '33', 'value': '€12.00m'}, {'date': 'Apr 8, 2020', 'age': '23', 'clubName': 'FC Schalke 04', 'clubID': '33', 'value': '€9.50m'}, {'date': 'Sep 16, 2020', 'age': '23', 'clubName': 'Bayern Munich', 'clubID': '27', 'value': '€8.00m'}, {'date': 'Feb 10, 2021', 'age': '24', 'clubName': 'Bayern Munich', 'clubID': '27', 'value': '€6.50m'}, {'date': 'Jun 9, 2021', 'age': '24', 'clubName': 'Bayern Munich', 'clubID': '27', 'value': '€6.00m'}, {'date': 'Dec 16, 2021', 'age': '25', 'clubName': 'AS Monaco', 'clubID': '162', 'value': '€6.00m'}, {'date': 'May 30, 2022', 'age': '25', 'clubName': 'AS Monaco', 'clubID': '162', 'value': '€8.00m'}, {'date': 'Sep 19, 2022', 'age': '25', 'clubName': 'AS Monaco', 'clubID': '162', 'value': '€10.00m'}, {'date': 'Nov 2, 2022', 'age': '26', 'clubName': 'AS Monaco', 'clubID': '162', 'value': '€10.00m'}, {'date': 'Jun 27, 2023', 'age': '26', 'clubName': 'AS Monaco', 'clubID': '162', 'value': '€8.00m'}, {'date': 'Dec 14, 2023', 'age': '27', 'clubName': 'VfB Stuttgart', 'clubID': '79', 'value': '€10.00m'}, {'date': 'May 29, 2024', 'age': '27', 'clubName': 'VfB Stuttgart', 'clubID': '79', 'value': '€12.00m'}, {'date': 'Dec 20, 2024', 'age': '28', 'clubName': 'VfB Stuttgart', 'clubID': '79', 'value': '€12.00m'}, {'date': 'Jun 5, 2025', 'age': '28', 'clubName': 'VfB Stuttgart', 'clubID': '79', 'value': '€12.00m'}, {'date': 'Dec 19, 2025', 'age': '29', 'clubName': 'VfB Stuttgart', 'clubID': '79', 'value': '€12.00m'}]}</t>
  </si>
  <si>
    <t>1996-09-30</t>
  </si>
  <si>
    <t>Kozacik</t>
  </si>
  <si>
    <t>{'marketValueHistory': [{'date': '13/02/2006', 'age': '22', 'clubName': 'SK Slavia Prague', 'clubID': '62', 'value': '€100k'}, {'date': '26/06/2007', 'age': '23', 'clubName': 'SK Slavia Prague', 'clubID': '62', 'value': '€800k'}, {'date': '16/05/2008', 'age': '24', 'clubName': 'AC Sparta Prague', 'clubID': '197', 'value': '€450k'}, {'date': '28/08/2008', 'age': '24', 'clubName': 'AC Sparta Prague', 'clubID': '197', 'value': '€900k'}, {'date': '17/03/2009', 'age': '25', 'clubName': 'AC Sparta Prague', 'clubID': '197', 'value': '€750k'}, {'date': '03/06/2009', 'age': '25', 'clubName': 'AC Sparta Prague', 'clubID': '197', 'value': '€700k'}, {'date': '12/06/2010', 'age': '26', 'clubName': 'AC Sparta Prague', 'clubID': '197', 'value': '€400k'}, {'date': '05/07/2012', 'age': '28', 'clubName': 'FC Viktoria Plzen', 'clubID': '941', 'value': '€400k'}, {'date': '08/11/2012', 'age': '28', 'clubName': 'FC Viktoria Plzen', 'clubID': '941', 'value': '€600k'}, {'date': '20/02/2013', 'age': '29', 'clubName': 'FC Viktoria Plzen', 'clubID': '941', 'value': '€750k'}, {'date': '25/07/2013', 'age': '29', 'clubName': 'FC Viktoria Plzen', 'clubID': '941', 'value': '€900k'}, {'date': '19/08/2013', 'age': '29', 'clubName': 'FC Viktoria Plzen', 'clubID': '941', 'value': '€1.00m'}, {'date': '07/08/2014', 'age': '30', 'clubName': 'FC Viktoria Plzen', 'clubID': '941', 'value': '€1.00m'}, {'date': '17/01/2015', 'age': '31', 'clubName': 'FC Viktoria Plzen', 'clubID': '941', 'value': '€1.00m'}, {'date': '14/10/2015', 'age': '31', 'clubName': 'FC Viktoria Plzen', 'clubID': '941', 'value': '€1.00m'}, {'date': '01/06/2016', 'age': '32', 'clubName': 'FC Viktoria Plzen', 'clubID': '941', 'value': '€1.00m'}, {'date': '03/08/2016', 'age': '32', 'clubName': 'FC Viktoria Plzen', 'clubID': '941', 'value': '€1.00m'}, {'date': '19/12/2016', 'age': '32', 'clubName': 'FC Viktoria Plzen', 'clubID': '941', 'value': '€1.00m'}, {'date': '10/06/2017', 'age': '33', 'clubName': 'FC Viktoria Plzen', 'clubID': '941', 'value': '€1.00m'}, {'date': '21/12/2017', 'age': '33', 'clubName': 'FC Viktoria Plzen', 'clubID': '941', 'value': '€1.00m'}, {'date': '14/07/2018', 'age': '34', 'clubName': 'FC Viktoria Plzen', 'clubID': '941', 'value': '€1.00m'}, {'date': '29/10/2018', 'age': '34', 'clubName': 'FC Viktoria Plzen', 'clubID': '941', 'value': '€800k'}, {'date': '30/12/2018', 'age': '35', 'clubName': 'FC Viktoria Plzen', 'clubID': '941', 'value': '€650k'}, {'date': '25/06/2019', 'age': '35', 'clubName': 'FC Viktoria Plzen', 'clubID': '941', 'value': '€500k'}, {'date': '25/09/2019', 'age': '35', 'clubName': 'FC Viktoria Plzen', 'clubID': '941', 'value': '€400k'}, {'date': '07/12/2019', 'age': '35', 'clubName': 'FC Viktoria Plzen', 'clubID': '941', 'value': '€300k'}, {'date': '01/01/2020', 'age': '36', 'clubName': 'Retired', 'clubID': '123', 'value': '-'}]}</t>
  </si>
  <si>
    <t>1983-12-27</t>
  </si>
  <si>
    <t>Mirante</t>
  </si>
  <si>
    <t>{'marketValueHistory': [{'date': 'Dec 9, 2004', 'age': '21', 'clubName': 'FC Crotone', 'clubID': '4083', 'value': '€50k'}, {'date': 'Jan 16, 2005', 'age': '21', 'clubName': 'FC Crotone', 'clubID': '4083', 'value': '€450k'}, {'date': 'Jul 23, 2005', 'age': '22', 'clubName': 'AC Siena', 'clubID': '1387', 'value': '€1.00m'}, {'date': 'Mar 9, 2007', 'age': '23', 'clubName': 'AC Siena', 'clubID': '1387', 'value': '€1.20m'}, {'date': 'Oct 11, 2007', 'age': '24', 'clubName': 'UC Sampdoria', 'clubID': '1038', 'value': '€3.00m'}, {'date': 'Feb 5, 2008', 'age': '24', 'clubName': 'UC Sampdoria', 'clubID': '1038', 'value': '€2.00m'}, {'date': 'Jan 27, 2010', 'age': '26', 'clubName': 'Parma FC', 'clubID': '130', 'value': '€3.00m'}, {'date': 'Jun 30, 2010', 'age': '26', 'clubName': 'Parma FC', 'clubID': '130', 'value': '€4.50m'}, {'date': 'Jun 21, 2011', 'age': '27', 'clubName': 'Parma FC', 'clubID': '130', 'value': '€4.50m'}, {'date': 'Jan 11, 2012', 'age': '28', 'clubName': 'Parma FC', 'clubID': '130', 'value': '€4.60m'}, {'date': 'Jun 8, 2012', 'age': '28', 'clubName': 'Parma FC', 'clubID': '130', 'value': '€4.80m'}, {'date': 'Jan 14, 2013', 'age': '29', 'clubName': 'Parma FC', 'clubID': '130', 'value': '€5.00m'}, {'date': 'Jun 19, 2013', 'age': '29', 'clubName': 'Parma FC', 'clubID': '130', 'value': '€5.50m'}, {'date': 'Jan 7, 2014', 'age': '30', 'clubName': 'Parma FC', 'clubID': '130', 'value': '€5.50m'}, {'date': 'Jul 1, 2014', 'age': '30', 'clubName': 'Parma FC', 'clubID': '130', 'value': '€6.00m'}, {'date': 'Nov 8, 2014', 'age': '31', 'clubName': 'Parma FC', 'clubID': '130', 'value': '€5.00m'}, {'date': 'Jan 7, 2015', 'age': '31', 'clubName': 'Parma FC', 'clubID': '130', 'value': '€4.00m'}, {'date': 'Jul 1, 2015', 'age': '31', 'clubName': 'Parma Calcio 1913', 'clubID': '130', 'value': '€3.00m'}, {'date': 'Jan 4, 2016', 'age': '32', 'clubName': 'Bologna FC 1909', 'clubID': '1025', 'value': '€3.00m'}, {'date': 'Jul 15, 2016', 'age': '33', 'clubName': 'Bologna FC 1909', 'clubID': '1025', 'value': '€2.80m'}, {'date': 'Jan 2, 2017', 'age': '33', 'clubName': 'Bologna FC 1909', 'clubID': '1025', 'value': '€2.30m'}, {'date': 'Jun 8, 2017', 'age': '33', 'clubName': 'Bologna FC 1909', 'clubID': '1025', 'value': '€2.00m'}, {'date': 'Dec 29, 2017', 'age': '34', 'clubName': 'Bologna FC 1909', 'clubID': '1025', 'value': '€1.50m'}, {'date': 'Jun 7, 2018', 'age': '34', 'clubName': 'Bologna FC 1909', 'clubID': '1025', 'value': '€1.00m'}, {'date': 'Dec 20, 2018', 'age': '35', 'clubName': 'AS Roma', 'clubID': '12', 'value': '€800k'}, {'date': 'Jun 6, 2019', 'age': '35', 'clubName': 'AS Roma', 'clubID': '12', 'value': '€800k'}, {'date': 'Dec 12, 2019', 'age': '36', 'clubName': 'AS Roma', 'clubID': '12', 'value': '€800k'}, {'date': 'Apr 8, 2020', 'age': '36', 'clubName': 'AS Roma', 'clubID': '12', 'value': '€650k'}, {'date': 'Aug 25, 2020', 'age': '37', 'clubName': 'AS Roma', 'clubID': '12', 'value': '€650k'}, {'date': 'Oct 29, 2020', 'age': '37', 'clubName': 'AS Roma', 'clubID': '12', 'value': '€1.50m'}, {'date': 'Dec 29, 2020', 'age': '37', 'clubName': 'AS Roma', 'clubID': '12', 'value': '€1.50m'}, {'date': 'Jun 3, 2021', 'age': '37', 'clubName': 'AS Roma', 'clubID': '12', 'value': '€1.00m'}, {'date': 'Oct 14, 2021', 'age': '38', 'clubName': 'AC Milan', 'clubID': '5', 'value': '€600k'}, {'date': 'Dec 28, 2021', 'age': '38', 'clubName': 'AC Milan', 'clubID': '5', 'value': '€500k'}, {'date': 'Jun 7, 2022', 'age': '38', 'clubName': 'AC Milan', 'clubID': '5', 'value': '€300k'}, {'date': 'Nov 11, 2022', 'age': '39', 'clubName': 'AC Milan', 'clubID': '5', 'value': '€300k'}, {'date': 'Jun 15, 2023', 'age': '39', 'clubName': 'AC Milan', 'clubID': '5', 'value': '€100k'}, {'date': 'Dec 20, 2023', 'age': '40', 'clubName': 'AC Milan', 'clubID': '5', 'value': '€100k'}, {'date': 'Jun 5, 2024', 'age': '40', 'clubName': 'AC Milan', 'clubID': '5', 'value': '€100k'}, {'date': 'Jul 1, 2024', 'age': '40', 'clubName': 'Retired', 'clubID': '123', 'value': '-'}]}</t>
  </si>
  <si>
    <t>1983-07-08</t>
  </si>
  <si>
    <t>Shaqiri</t>
  </si>
  <si>
    <t>{'marketValueHistory': [{'date': '06/01/2009', 'age': '17', 'clubName': 'FC Basel 1893 U21', 'clubID': '5299', 'value': '€50k'}, {'date': '31/08/2009', 'age': '17', 'clubName': 'FC Basel 1893', 'clubID': '26', 'value': '€400k'}, {'date': '12/01/2010', 'age': '18', 'clubName': 'FC Basel 1893', 'clubID': '26', 'value': '€750k'}, {'date': '03/03/2010', 'age': '18', 'clubName': 'FC Basel 1893', 'clubID': '26', 'value': '€1.25m'}, {'date': '23/04/2010', 'age': '18', 'clubName': 'FC Basel 1893', 'clubID': '26', 'value': '€2.50m'}, {'date': '10/05/2010', 'age': '18', 'clubName': 'FC Basel 1893', 'clubID': '26', 'value': '€4.00m'}, {'date': '20/08/2010', 'age': '18', 'clubName': 'FC Basel 1893', 'clubID': '26', 'value': '€5.00m'}, {'date': '22/12/2010', 'age': '19', 'clubName': 'FC Basel 1893', 'clubID': '26', 'value': '€7.00m'}, {'date': '15/06/2011', 'age': '19', 'clubName': 'FC Basel 1893', 'clubID': '26', 'value': '€8.00m'}, {'date': '14/07/2011', 'age': '19', 'clubName': 'FC Basel 1893', 'clubID': '26', 'value': '€10.00m'}, {'date': '29/10/2011', 'age': '20', 'clubName': 'FC Basel 1893', 'clubID': '26', 'value': '€12.50m'}, {'date': '30/05/2012', 'age': '20', 'clubName': 'FC Basel 1893', 'clubID': '26', 'value': '€12.50m'}, {'date': '13/01/2013', 'age': '21', 'clubName': 'Bayern Munich', 'clubID': '27', 'value': '€15.00m'}, {'date': '30/06/2013', 'age': '21', 'clubName': 'Bayern Munich', 'clubID': '27', 'value': '€16.00m'}, {'date': '27/08/2013', 'age': '21', 'clubName': 'Bayern Munich', 'clubID': '27', 'value': '€20.00m'}, {'date': '10/07/2014', 'age': '22', 'clubName': 'Bayern Munich', 'clubID': '27', 'value': '€20.00m'}, {'date': '04/02/2015', 'age': '23', 'clubName': 'Inter Milan', 'clubID': '46', 'value': '€18.00m'}, {'date': '01/07/2015', 'age': '23', 'clubName': 'Inter Milan', 'clubID': '46', 'value': '€17.00m'}, {'date': '14/10/2015', 'age': '24', 'clubName': 'Stoke City', 'clubID': '512', 'value': '€17.00m'}, {'date': '09/02/2016', 'age': '24', 'clubName': 'Stoke City', 'clubID': '512', 'value': '€16.00m'}, {'date': '01/06/2016', 'age': '24', 'clubName': 'Stoke City', 'clubID': '512', 'value': '€15.00m'}, {'date': '01/08/2016', 'age': '24', 'clubName': 'Stoke City', 'clubID': '512', 'value': '€15.00m'}, {'date': '20/02/2017', 'age': '25', 'clubName': 'Stoke City', 'clubID': '512', 'value': '€15.00m'}, {'date': '28/06/2017', 'age': '25', 'clubName': 'Stoke City', 'clubID': '512', 'value': '€15.00m'}, {'date': '02/01/2018', 'age': '26', 'clubName': 'Stoke City', 'clubID': '512', 'value': '€18.00m'}, {'date': '28/05/2018', 'age': '26', 'clubName': 'Stoke City', 'clubID': '512', 'value': '€18.00m'}, {'date': '17/10/2018', 'age': '27', 'clubName': 'Liverpool FC', 'clubID': '31', 'value': '€20.00m'}, {'date': '19/12/2018', 'age': '27', 'clubName': 'Liverpool FC', 'clubID': '31', 'value': '€25.00m'}, {'date': '13/06/2019', 'age': '27', 'clubName': 'Liverpool FC', 'clubID': '31', 'value': '€25.00m'}, {'date': '10/12/2019', 'age': '28', 'clubName': 'Liverpool FC', 'clubID': '31', 'value': '€22.00m'}, {'date': '09/03/2020', 'age': '28', 'clubName': 'Liverpool FC', 'clubID': '31', 'value': '€20.00m'}, {'date': '08/04/2020', 'age': '28', 'clubName': 'Liverpool FC', 'clubID': '31', 'value': '€16.00m'}, {'date': '13/10/2020', 'age': '29', 'clubName': 'Liverpool FC', 'clubID': '31', 'value': '€16.00m'}, {'date': '18/03/2021', 'age': '29', 'clubName': 'Liverpool FC', 'clubID': '31', 'value': '€14.00m'}, {'date': '25/05/2021', 'age': '29', 'clubName': 'Liverpool FC', 'clubID': '31', 'value': '€12.00m'}, {'date': '08/10/2021', 'age': '29', 'clubName': 'Olympique Lyon', 'clubID': '1041', 'value': '€10.00m'}, {'date': '16/12/2021', 'age': '30', 'clubName': 'Olympique Lyon', 'clubID': '1041', 'value': '€8.00m'}, {'date': '01/04/2022', 'age': '30', 'clubName': 'Chicago Fire FC', 'clubID': '432', 'value': '€7.00m'}, {'date': '18/08/2022', 'age': '30', 'clubName': 'Chicago Fire FC', 'clubID': '432', 'value': '€5.00m'}, {'date': '08/11/2022', 'age': '31', 'clubName': 'Chicago Fire FC', 'clubID': '432', 'value': '€4.00m'}, {'date': '22/08/2023', 'age': '31', 'clubName': 'Chicago Fire FC', 'clubID': '432', 'value': '€3.50m'}, {'date': '18/12/2023', 'age': '32', 'clubName': 'Chicago Fire FC', 'clubID': '432', 'value': '€2.50m'}, {'date': '10/06/2024', 'age': '32', 'clubName': 'Chicago Fire FC', 'clubID': '432', 'value': '€2.00m'}, {'date': '23/12/2024', 'age': '33', 'clubName': 'FC Basel 1893', 'clubID': '26', 'value': '€2.00m'}, {'date': '10/06/2025', 'age': '33', 'clubName': 'FC Basel 1893', 'clubID': '26', 'value': '€2.00m'}, {'date': '29/12/2025', 'age': '34', 'clubName': 'FC Basel 1893', 'clubID': '26', 'value': '€1.80m'}]}</t>
  </si>
  <si>
    <t>1991-10-10</t>
  </si>
  <si>
    <t>Aholou</t>
  </si>
  <si>
    <t>{'marketValueHistory': [{'date': 'Jul 13, 2016', 'age': '22', 'clubName': 'US Orléans', 'clubID': '10868', 'value': '€400k'}, {'date': 'Mar 20, 2017', 'age': '23', 'clubName': 'RC Strasbourg Alsace', 'clubID': '667', 'value': '€600k'}, {'date': 'Jun 15, 2017', 'age': '23', 'clubName': 'RC Strasbourg Alsace', 'clubID': '667', 'value': '€800k'}, {'date': 'Jan 24, 2018', 'age': '23', 'clubName': 'RC Strasbourg Alsace', 'clubID': '667', 'value': '€3.00m'}, {'date': 'Jun 4, 2018', 'age': '24', 'clubName': 'RC Strasbourg Alsace', 'clubID': '667', 'value': '€3.00m'}, {'date': 'Sep 6, 2018', 'age': '24', 'clubName': 'AS Monaco', 'clubID': '162', 'value': '€10.00m'}, {'date': 'Dec 17, 2018', 'age': '24', 'clubName': 'AS Monaco', 'clubID': '162', 'value': '€7.00m'}, {'date': 'Jun 3, 2019', 'age': '25', 'clubName': 'AS Monaco', 'clubID': '162', 'value': '€7.00m'}, {'date': 'Dec 19, 2019', 'age': '25', 'clubName': 'AS Saint-Étienne', 'clubID': '618', 'value': '€7.00m'}, {'date': 'Mar 13, 2020', 'age': '25', 'clubName': 'AS Saint-Étienne', 'clubID': '618', 'value': '€5.00m'}, {'date': 'Apr 8, 2020', 'age': '26', 'clubName': 'AS Saint-Étienne', 'clubID': '618', 'value': '€4.00m'}, {'date': 'Oct 15, 2020', 'age': '26', 'clubName': 'RC Strasbourg Alsace', 'clubID': '667', 'value': '€4.00m'}, {'date': 'Jun 4, 2021', 'age': '27', 'clubName': 'RC Strasbourg Alsace', 'clubID': '667', 'value': '€4.00m'}, {'date': 'Dec 16, 2021', 'age': '27', 'clubName': 'RC Strasbourg Alsace', 'clubID': '667', 'value': '€3.50m'}, {'date': 'May 30, 2022', 'age': '28', 'clubName': 'RC Strasbourg Alsace', 'clubID': '667', 'value': '€3.00m'}, {'date': 'Nov 2, 2022', 'age': '28', 'clubName': 'RC Strasbourg Alsace', 'clubID': '667', 'value': '€3.00m'}, {'date': 'Jun 27, 2023', 'age': '29', 'clubName': 'RC Strasbourg Alsace', 'clubID': '667', 'value': '€2.50m'}, {'date': 'Dec 18, 2023', 'age': '29', 'clubName': 'RC Strasbourg Alsace', 'clubID': '667', 'value': '€2.00m'}, {'date': 'Mar 19, 2024', 'age': '29', 'clubName': 'RC Strasbourg Alsace', 'clubID': '667', 'value': '€1.00m'}, {'date': 'Jun 3, 2024', 'age': '30', 'clubName': 'RC Strasbourg Alsace', 'clubID': '667', 'value': '€800k'}, {'date': 'Dec 10, 2024', 'age': '30', 'clubName': 'Angers SCO', 'clubID': '1420', 'value': '€1.50m'}, {'date': 'Mar 24, 2025', 'age': '31', 'clubName': 'Angers SCO', 'clubID': '1420', 'value': '€2.00m'}, {'date': 'Jun 3, 2025', 'age': '31', 'clubName': 'Angers SCO', 'clubID': '1420', 'value': '€2.00m'}, {'date': 'Dec 30, 2025', 'age': '31', 'clubName': 'Umm Salal SC', 'clubID': '10920', 'value': '€1.50m'}]}</t>
  </si>
  <si>
    <t>Togo</t>
  </si>
  <si>
    <t>1994-03-20</t>
  </si>
  <si>
    <t>B. Mendy</t>
  </si>
  <si>
    <t>Malen</t>
  </si>
  <si>
    <t>{'marketValueHistory': [{'date': 'Aug 31, 2017', 'age': '18', 'clubName': 'PSV Eindhoven U21', 'clubID': '383', 'value': '€200k'}, {'date': 'Jan 17, 2018', 'age': '18', 'clubName': 'PSV Eindhoven U21', 'clubID': '383', 'value': '€500k'}, {'date': 'Jun 12, 2018', 'age': '19', 'clubName': 'PSV Eindhoven U21', 'clubID': '383', 'value': '€750k'}, {'date': 'Oct 4, 2018', 'age': '19', 'clubName': 'PSV Eindhoven', 'clubID': '383', 'value': '€2.50m'}, {'date': 'Dec 28, 2018', 'age': '19', 'clubName': 'PSV Eindhoven', 'clubID': '383', 'value': '€5.00m'}, {'date': 'Jun 12, 2019', 'age': '20', 'clubName': 'PSV Eindhoven', 'clubID': '383', 'value': '€7.00m'}, {'date': 'Sep 19, 2019', 'age': '20', 'clubName': 'PSV Eindhoven', 'clubID': '383', 'value': '€18.00m'}, {'date': 'Dec 18, 2019', 'age': '20', 'clubName': 'PSV Eindhoven', 'clubID': '383', 'value': '€28.00m'}, {'date': 'Apr 8, 2020', 'age': '21', 'clubName': 'PSV Eindhoven', 'clubID': '383', 'value': '€25.00m'}, {'date': 'Oct 14, 2020', 'age': '21', 'clubName': 'PSV Eindhoven', 'clubID': '383', 'value': '€25.00m'}, {'date': 'Mar 9, 2021', 'age': '22', 'clubName': 'PSV Eindhoven', 'clubID': '383', 'value': '€30.00m'}, {'date': 'May 27, 2021', 'age': '22', 'clubName': 'PSV Eindhoven', 'clubID': '383', 'value': '€30.00m'}, {'date': 'Dec 22, 2021', 'age': '22', 'clubName': 'Borussia Dortmund', 'clubID': '16', 'value': '€30.00m'}, {'date': 'Mar 24, 2022', 'age': '23', 'clubName': 'Borussia Dortmund', 'clubID': '16', 'value': '€27.00m'}, {'date': 'Jun 9, 2022', 'age': '23', 'clubName': 'Borussia Dortmund', 'clubID': '16', 'value': '€27.00m'}, {'date': 'Nov 9, 2022', 'age': '23', 'clubName': 'Borussia Dortmund', 'clubID': '16', 'value': '€20.00m'}, {'date': 'Mar 29, 2023', 'age': '24', 'clubName': 'Borussia Dortmund', 'clubID': '16', 'value': '€16.00m'}, {'date': 'Jun 22, 2023', 'age': '24', 'clubName': 'Borussia Dortmund', 'clubID': '16', 'value': '€28.00m'}, {'date': 'Oct 18, 2023', 'age': '24', 'clubName': 'Borussia Dortmund', 'clubID': '16', 'value': '€35.00m'}, {'date': 'Dec 14, 2023', 'age': '24', 'clubName': 'Borussia Dortmund', 'clubID': '16', 'value': '€35.00m'}, {'date': 'Mar 27, 2024', 'age': '25', 'clubName': 'Borussia Dortmund', 'clubID': '16', 'value': '€40.00m'}, {'date': 'May 29, 2024', 'age': '25', 'clubName': 'Borussia Dortmund', 'clubID': '16', 'value': '€40.00m'}, {'date': 'Dec 20, 2024', 'age': '25', 'clubName': 'Borussia Dortmund', 'clubID': '16', 'value': '€28.00m'}, {'date': 'Mar 18, 2025', 'age': '26', 'clubName': 'Aston Villa', 'clubID': '405', 'value': '€25.00m'}, {'date': 'May 30, 2025', 'age': '26', 'clubName': 'Aston Villa', 'clubID': '405', 'value': '€25.00m'}, {'date': 'Dec 9, 2025', 'age': '26', 'clubName': 'Aston Villa', 'clubID': '405', 'value': '€25.00m'}, {'date': 'Mar 24, 2026', 'age': '27', 'clubName': 'AS Roma', 'clubID': '12', 'value': '€35.00m'}]}</t>
  </si>
  <si>
    <t>1999-01-19</t>
  </si>
  <si>
    <t>Dzagoev</t>
  </si>
  <si>
    <t>{'marketValueHistory': [{'date': '19/03/2008', 'age': '17', 'clubName': 'CSKA Moscow', 'clubID': '2410', 'value': '€500k'}, {'date': '05/09/2008', 'age': '18', 'clubName': 'CSKA Moscow', 'clubID': '2410', 'value': '€3.00m'}, {'date': '28/10/2008', 'age': '18', 'clubName': 'CSKA Moscow', 'clubID': '2410', 'value': '€5.00m'}, {'date': '26/02/2009', 'age': '18', 'clubName': 'CSKA Moscow', 'clubID': '2410', 'value': '€7.00m'}, {'date': '14/12/2009', 'age': '19', 'clubName': 'CSKA Moscow', 'clubID': '2410', 'value': '€11.00m'}, {'date': '13/01/2010', 'age': '19', 'clubName': 'CSKA Moscow', 'clubID': '2410', 'value': '€12.00m'}, {'date': '22/06/2010', 'age': '20', 'clubName': 'CSKA Moscow', 'clubID': '2410', 'value': '€12.00m'}, {'date': '15/07/2011', 'age': '21', 'clubName': 'CSKA Moscow', 'clubID': '2410', 'value': '€12.00m'}, {'date': '15/12/2011', 'age': '21', 'clubName': 'CSKA Moscow', 'clubID': '2410', 'value': '€16.00m'}, {'date': '02/07/2012', 'age': '22', 'clubName': 'CSKA Moscow', 'clubID': '2410', 'value': '€25.00m'}, {'date': '13/01/2013', 'age': '22', 'clubName': 'CSKA Moscow', 'clubID': '2410', 'value': '€25.00m'}, {'date': '19/06/2013', 'age': '23', 'clubName': 'CSKA Moscow', 'clubID': '2410', 'value': '€25.00m'}, {'date': '03/03/2014', 'age': '23', 'clubName': 'CSKA Moscow', 'clubID': '2410', 'value': '€23.00m'}, {'date': '31/07/2014', 'age': '24', 'clubName': 'CSKA Moscow', 'clubID': '2410', 'value': '€20.00m'}, {'date': '23/02/2015', 'age': '24', 'clubName': 'CSKA Moscow', 'clubID': '2410', 'value': '€18.00m'}, {'date': '18/06/2015', 'age': '25', 'clubName': 'CSKA Moscow', 'clubID': '2410', 'value': '€18.00m'}, {'date': '06/01/2016', 'age': '25', 'clubName': 'CSKA Moscow', 'clubID': '2410', 'value': '€16.00m'}, {'date': '25/05/2016', 'age': '25', 'clubName': 'CSKA Moscow', 'clubID': '2410', 'value': '€16.00m'}, {'date': '16/10/2016', 'age': '26', 'clubName': 'CSKA Moscow', 'clubID': '2410', 'value': '€15.00m'}, {'date': '27/12/2016', 'age': '26', 'clubName': 'CSKA Moscow', 'clubID': '2410', 'value': '€14.00m'}, {'date': '01/06/2017', 'age': '26', 'clubName': 'CSKA Moscow', 'clubID': '2410', 'value': '€13.00m'}, {'date': '23/12/2017', 'age': '27', 'clubName': 'CSKA Moscow', 'clubID': '2410', 'value': '€15.00m'}, {'date': '06/06/2018', 'age': '27', 'clubName': 'CSKA Moscow', 'clubID': '2410', 'value': '€15.00m'}, {'date': '20/12/2018', 'age': '28', 'clubName': 'CSKA Moscow', 'clubID': '2410', 'value': '€13.00m'}, {'date': '14/06/2019', 'age': '28', 'clubName': 'CSKA Moscow', 'clubID': '2410', 'value': '€8.00m'}, {'date': '23/12/2019', 'age': '29', 'clubName': 'CSKA Moscow', 'clubID': '2410', 'value': '€7.00m'}, {'date': '08/04/2020', 'age': '29', 'clubName': 'CSKA Moscow', 'clubID': '2410', 'value': '€5.50m'}, {'date': '29/07/2020', 'age': '30', 'clubName': 'CSKA Moscow', 'clubID': '2410', 'value': '€4.00m'}, {'date': '29/12/2020', 'age': '30', 'clubName': 'CSKA Moscow', 'clubID': '2410', 'value': '€3.50m'}, {'date': '02/06/2021', 'age': '30', 'clubName': 'CSKA Moscow', 'clubID': '2410', 'value': '€3.00m'}, {'date': '29/12/2021', 'age': '31', 'clubName': 'CSKA Moscow', 'clubID': '2410', 'value': '€2.50m'}, {'date': '02/06/2022', 'age': '31', 'clubName': 'CSKA Moscow', 'clubID': '2410', 'value': '€1.50m'}, {'date': '12/09/2022', 'age': '32', 'clubName': 'Rubin Kazan', 'clubID': '2698', 'value': '€1.20m'}, {'date': '08/12/2022', 'age': '32', 'clubName': 'Rubin Kazan', 'clubID': '2698', 'value': '€1.00m'}, {'date': '19/06/2023', 'age': '33', 'clubName': 'Rubin Kazan', 'clubID': '2698', 'value': '€700k'}, {'date': '21/11/2023', 'age': '33', 'clubName': 'Retired', 'clubID': '123', 'value': '-'}]}</t>
  </si>
  <si>
    <t>Bolbat</t>
  </si>
  <si>
    <t>{'marketValueHistory': [{'date': 'Sep 9, 2013', 'age': '20', 'clubName': 'Metalurg Donetsk', 'clubID': '2783', 'value': '€100k'}, {'date': 'Sep 13, 2013', 'age': '20', 'clubName': 'Metalurg Donetsk', 'clubID': '2783', 'value': '€100k'}, {'date': 'Jan 1, 2014', 'age': '20', 'clubName': 'Metalurg Donetsk', 'clubID': '2783', 'value': '€700k'}, {'date': 'Jan 2, 2014', 'age': '20', 'clubName': 'Metalurg Donetsk', 'clubID': '2783', 'value': '€700k'}, {'date': 'Dec 25, 2014', 'age': '21', 'clubName': 'Metalist Kharkiv', 'clubID': '6414', 'value': '€800k'}, {'date': 'Jun 7, 2015', 'age': '21', 'clubName': 'Metalist Kharkiv', 'clubID': '6414', 'value': '€900k'}, {'date': 'Oct 22, 2015', 'age': '22', 'clubName': 'KSC Lokeren (-2020)', 'clubID': '498', 'value': '€700k'}, {'date': 'Feb 7, 2016', 'age': '22', 'clubName': 'KSC Lokeren (-2020)', 'clubID': '498', 'value': '€700k'}, {'date': 'Jul 15, 2016', 'age': '23', 'clubName': 'KSC Lokeren (-2020)', 'clubID': '498', 'value': '€850k'}, {'date': 'Jan 21, 2017', 'age': '23', 'clubName': 'KSC Lokeren (-2020)', 'clubID': '498', 'value': '€900k'}, {'date': 'Jun 6, 2017', 'age': '23', 'clubName': 'KSC Lokeren (-2020)', 'clubID': '498', 'value': '€750k'}, {'date': 'Jan 12, 2018', 'age': '24', 'clubName': 'FC Mariupol', 'clubID': '6993', 'value': '€800k'}, {'date': 'Aug 6, 2018', 'age': '25', 'clubName': 'Shakhtar Donetsk', 'clubID': '660', 'value': '€800k'}, {'date': 'Dec 10, 2018', 'age': '25', 'clubName': 'Shakhtar Donetsk', 'clubID': '660', 'value': '€1.20m'}, {'date': 'Jun 20, 2019', 'age': '26', 'clubName': 'Shakhtar Donetsk', 'clubID': '660', 'value': '€3.00m'}, {'date': 'Jan 8, 2020', 'age': '26', 'clubName': 'Shakhtar Donetsk', 'clubID': '660', 'value': '€3.00m'}, {'date': 'Apr 8, 2020', 'age': '26', 'clubName': 'Shakhtar Donetsk', 'clubID': '660', 'value': '€2.40m'}, {'date': 'Sep 4, 2020', 'age': '27', 'clubName': 'Shakhtar Donetsk', 'clubID': '660', 'value': '€2.50m'}, {'date': 'Jan 14, 2021', 'age': '27', 'clubName': 'Shakhtar Donetsk', 'clubID': '660', 'value': '€2.00m'}, {'date': 'Jun 7, 2021', 'age': '27', 'clubName': 'Shakhtar Donetsk', 'clubID': '660', 'value': '€1.50m'}, {'date': 'Dec 20, 2021', 'age': '28', 'clubName': 'Desna Chernigiv', 'clubID': '16239', 'value': '€1.20m'}, {'date': 'May 18, 2022', 'age': '28', 'clubName': 'Shakhtar Donetsk', 'clubID': '660', 'value': '€1.20m'}, {'date': 'Dec 6, 2022', 'age': '29', 'clubName': 'Kolos Kovalivka', 'clubID': '48332', 'value': '€1.00m'}, {'date': 'Jun 21, 2023', 'age': '30', 'clubName': 'Kolos Kovalivka', 'clubID': '48332', 'value': '€800k'}, {'date': 'Dec 11, 2023', 'age': '30', 'clubName': 'Kolos Kovalivka', 'clubID': '48332', 'value': '€500k'}, {'date': 'Mar 29, 2024', 'age': '30', 'clubName': 'Without Club', 'clubID': '515', 'value': '€400k'}, {'date': 'Oct 16, 2024', 'age': '31', 'clubName': 'Without Club', 'clubID': '515', 'value': '€300k'}, {'date': 'Apr 4, 2025', 'age': '31', 'clubName': 'Without Club', 'clubID': '515', 'value': '€175k'}, {'date': 'Jul 1, 2025', 'age': '32', 'clubName': 'Retired', 'clubID': '123', 'value': '-'}]}</t>
  </si>
  <si>
    <t>Biancone</t>
  </si>
  <si>
    <t>{'marketValueHistory': [{'date': 'Feb 15, 2019', 'age': '18', 'clubName': 'AS Monaco', 'clubID': '162', 'value': '€500k'}, {'date': 'Jun 3, 2019', 'age': '19', 'clubName': 'AS Monaco', 'clubID': '162', 'value': '€500k'}, {'date': 'Sep 13, 2019', 'age': '19', 'clubName': 'Cercle Brugge ', 'clubID': '520', 'value': '€1.00m'}, {'date': 'Dec 13, 2019', 'age': '19', 'clubName': 'Cercle Brugge ', 'clubID': '520', 'value': '€1.30m'}, {'date': 'Apr 8, 2020', 'age': '20', 'clubName': 'Cercle Brugge ', 'clubID': '520', 'value': '€1.10m'}, {'date': 'Oct 16, 2020', 'age': '20', 'clubName': 'Cercle Brugge ', 'clubID': '520', 'value': '€1.30m'}, {'date': 'Jun 7, 2021', 'age': '21', 'clubName': 'Cercle Brugge ', 'clubID': '520', 'value': '€1.30m'}, {'date': 'Oct 8, 2021', 'age': '21', 'clubName': 'ESTAC Troyes', 'clubID': '1095', 'value': '€2.50m'}, {'date': 'Dec 16, 2021', 'age': '21', 'clubName': 'ESTAC Troyes', 'clubID': '1095', 'value': '€3.50m'}, {'date': 'May 30, 2022', 'age': '22', 'clubName': 'ESTAC Troyes', 'clubID': '1095', 'value': '€4.00m'}, {'date': 'Sep 15, 2022', 'age': '22', 'clubName': 'Nottingham Forest', 'clubID': '703', 'value': '€8.00m'}, {'date': 'Nov 3, 2022', 'age': '22', 'clubName': 'Nottingham Forest', 'clubID': '703', 'value': '€7.00m'}, {'date': 'Jun 20, 2023', 'age': '23', 'clubName': 'Nottingham Forest', 'clubID': '703', 'value': '€6.00m'}, {'date': 'Dec 20, 2023', 'age': '23', 'clubName': 'Olympiacos Piraeus', 'clubID': '683', 'value': '€5.00m'}, {'date': 'Mar 6, 2024', 'age': '23', 'clubName': 'Olympiacos Piraeus', 'clubID': '683', 'value': '€4.00m'}, {'date': 'May 30, 2024', 'age': '24', 'clubName': 'Olympiacos Piraeus', 'clubID': '683', 'value': '€3.00m'}, {'date': 'Dec 18, 2024', 'age': '24', 'clubName': 'Olympiacos Piraeus', 'clubID': '683', 'value': '€2.50m'}, {'date': 'May 23, 2025', 'age': '25', 'clubName': 'Olympiacos Piraeus', 'clubID': '683', 'value': '€2.50m'}, {'date': 'Dec 12, 2025', 'age': '25', 'clubName': 'Olympiacos Piraeus', 'clubID': '683', 'value': '€2.50m'}]}</t>
  </si>
  <si>
    <t>2000-03-31</t>
  </si>
  <si>
    <t>Marcano</t>
  </si>
  <si>
    <t>{'marketValueHistory': [{'date': '28/08/2007', 'age': '20', 'clubName': 'Racing Santander', 'clubID': '630', 'value': '€200k'}, {'date': '04/02/2008', 'age': '20', 'clubName': 'Racing Santander', 'clubID': '630', 'value': '€300k'}, {'date': '25/08/2008', 'age': '21', 'clubName': 'Racing Santander', 'clubID': '630', 'value': '€300k'}, {'date': '15/10/2008', 'age': '21', 'clubName': 'Racing Santander', 'clubID': '630', 'value': '€1.00m'}, {'date': '24/01/2009', 'age': '21', 'clubName': 'Racing Santander', 'clubID': '630', 'value': '€3.00m'}, {'date': '22/07/2009', 'age': '22', 'clubName': 'Villarreal CF', 'clubID': '1050', 'value': '€6.00m'}, {'date': '03/12/2009', 'age': '22', 'clubName': 'Villarreal CF', 'clubID': '1050', 'value': '€6.00m'}, {'date': '12/04/2010', 'age': '22', 'clubName': 'Villarreal CF', 'clubID': '1050', 'value': '€6.00m'}, {'date': '27/08/2010', 'age': '23', 'clubName': 'Getafe CF', 'clubID': '3709', 'value': '€5.00m'}, {'date': '10/12/2010', 'age': '23', 'clubName': 'Getafe CF', 'clubID': '3709', 'value': '€4.00m'}, {'date': '04/02/2011', 'age': '23', 'clubName': 'Getafe CF', 'clubID': '3709', 'value': '€4.00m'}, {'date': '21/11/2011', 'age': '24', 'clubName': 'Olympiacos Piraeus', 'clubID': '683', 'value': '€4.00m'}, {'date': '26/02/2012', 'age': '24', 'clubName': 'Olympiacos Piraeus', 'clubID': '683', 'value': '€3.75m'}, {'date': '02/07/2012', 'age': '25', 'clubName': 'Rubin Kazan', 'clubID': '2698', 'value': '€5.00m'}, {'date': '20/01/2013', 'age': '25', 'clubName': 'Rubin Kazan', 'clubID': '2698', 'value': '€4.00m'}, {'date': '19/06/2013', 'age': '25', 'clubName': 'Rubin Kazan', 'clubID': '2698', 'value': '€4.00m'}, {'date': '28/03/2014', 'age': '26', 'clubName': 'Olympiacos Piraeus', 'clubID': '683', 'value': '€4.00m'}, {'date': '31/07/2014', 'age': '27', 'clubName': 'Rubin Kazan', 'clubID': '2698', 'value': '€4.00m'}, {'date': '30/09/2014', 'age': '27', 'clubName': 'FC Porto', 'clubID': '720', 'value': '€3.00m'}, {'date': '17/02/2015', 'age': '27', 'clubName': 'FC Porto', 'clubID': '720', 'value': '€3.00m'}, {'date': '01/07/2015', 'age': '28', 'clubName': 'FC Porto', 'clubID': '720', 'value': '€4.70m'}, {'date': '07/10/2015', 'age': '28', 'clubName': 'FC Porto', 'clubID': '720', 'value': '€6.00m'}, {'date': '24/02/2016', 'age': '28', 'clubName': 'FC Porto', 'clubID': '720', 'value': '€7.00m'}, {'date': '29/07/2016', 'age': '29', 'clubName': 'FC Porto', 'clubID': '720', 'value': '€6.00m'}, {'date': '22/02/2017', 'age': '29', 'clubName': 'FC Porto', 'clubID': '720', 'value': '€8.00m'}, {'date': '26/06/2017', 'age': '30', 'clubName': 'FC Porto', 'clubID': '720', 'value': '€8.00m'}, {'date': '07/02/2018', 'age': '30', 'clubName': 'FC Porto', 'clubID': '720', 'value': '€8.00m'}, {'date': '13/06/2018', 'age': '30', 'clubName': 'FC Porto', 'clubID': '720', 'value': '€8.00m'}, {'date': '20/12/2018', 'age': '31', 'clubName': 'AS Roma', 'clubID': '12', 'value': '€6.00m'}, {'date': '06/06/2019', 'age': '31', 'clubName': 'AS Roma', 'clubID': '12', 'value': '€4.00m'}, {'date': '11/10/2019', 'age': '32', 'clubName': 'FC Porto', 'clubID': '720', 'value': '€3.00m'}, {'date': '30/12/2019', 'age': '32', 'clubName': 'FC Porto', 'clubID': '720', 'value': '€3.00m'}, {'date': '08/04/2020', 'age': '32', 'clubName': 'FC Porto', 'clubID': '720', 'value': '€2.40m'}, {'date': '17/08/2020', 'age': '33', 'clubName': 'FC Porto', 'clubID': '720', 'value': '€2.40m'}, {'date': '28/01/2021', 'age': '33', 'clubName': 'FC Porto', 'clubID': '720', 'value': '€1.50m'}, {'date': '21/05/2021', 'age': '33', 'clubName': 'FC Porto', 'clubID': '720', 'value': '€1.00m'}, {'date': '27/12/2021', 'age': '34', 'clubName': 'FC Porto', 'clubID': '720', 'value': '€800k'}, {'date': '31/05/2022', 'age': '34', 'clubName': 'FC Porto', 'clubID': '720', 'value': '€500k'}, {'date': '01/11/2022', 'age': '35', 'clubName': 'FC Porto', 'clubID': '720', 'value': '€500k'}, {'date': '05/06/2023', 'age': '35', 'clubName': 'FC Porto', 'clubID': '720', 'value': '€500k'}, {'date': '27/12/2023', 'age': '36', 'clubName': 'FC Porto', 'clubID': '720', 'value': '€300k'}, {'date': '06/06/2024', 'age': '36', 'clubName': 'FC Porto', 'clubID': '720', 'value': '€250k'}, {'date': '19/12/2024', 'age': '37', 'clubName': 'FC Porto', 'clubID': '720', 'value': '€200k'}, {'date': '30/05/2025', 'age': '37', 'clubName': 'FC Porto', 'clubID': '720', 'value': '€200k'}, {'date': '01/07/2025', 'age': '38', 'clubName': 'Retired', 'clubID': '123', 'value': '-'}]}</t>
  </si>
  <si>
    <t>1987-06-23</t>
  </si>
  <si>
    <t>Danjuma</t>
  </si>
  <si>
    <t>{'marketValueHistory': [{'date': 'Dec 7, 2015', 'age': '18', 'clubName': 'PSV Eindhoven U19', 'clubID': '383', 'value': '€25k'}, {'date': 'Jan 18, 2017', 'age': '19', 'clubName': 'NEC Nijmegen', 'clubID': '467', 'value': '€75k'}, {'date': 'Jun 7, 2017', 'age': '20', 'clubName': 'NEC Nijmegen', 'clubID': '467', 'value': '€150k'}, {'date': 'Oct 26, 2017', 'age': '20', 'clubName': 'NEC Nijmegen', 'clubID': '467', 'value': '€400k'}, {'date': 'Mar 1, 2018', 'age': '21', 'clubName': 'NEC Nijmegen', 'clubID': '467', 'value': '€1.00m'}, {'date': 'Jun 29, 2018', 'age': '21', 'clubName': 'NEC Nijmegen', 'clubID': '467', 'value': '€1.50m'}, {'date': 'Sep 11, 2018', 'age': '21', 'clubName': 'Club Brugge KV', 'clubID': '2282', 'value': '€4.00m'}, {'date': 'Dec 27, 2018', 'age': '21', 'clubName': 'Club Brugge KV', 'clubID': '2282', 'value': '€10.00m'}, {'date': 'Jun 10, 2019', 'age': '22', 'clubName': 'Club Brugge KV', 'clubID': '2282', 'value': '€12.00m'}, {'date': 'Dec 10, 2019', 'age': '22', 'clubName': 'AFC Bournemouth', 'clubID': '989', 'value': '€12.00m'}, {'date': 'Apr 8, 2020', 'age': '23', 'clubName': 'AFC Bournemouth', 'clubID': '989', 'value': '€9.50m'}, {'date': 'Oct 15, 2020', 'age': '23', 'clubName': 'AFC Bournemouth', 'clubID': '989', 'value': '€10.00m'}, {'date': 'Mar 10, 2021', 'age': '24', 'clubName': 'AFC Bournemouth', 'clubID': '989', 'value': '€12.00m'}, {'date': 'Jun 30, 2021', 'age': '24', 'clubName': 'AFC Bournemouth', 'clubID': '989', 'value': '€15.00m'}, {'date': 'Oct 13, 2021', 'age': '24', 'clubName': 'Villarreal CF', 'clubID': '1050', 'value': '€25.00m'}, {'date': 'Dec 30, 2021', 'age': '24', 'clubName': 'Villarreal CF', 'clubID': '1050', 'value': '€40.00m'}, {'date': 'Mar 21, 2022', 'age': '25', 'clubName': 'Villarreal CF', 'clubID': '1050', 'value': '€50.00m'}, {'date': 'Jun 3, 2022', 'age': '25', 'clubName': 'Villarreal CF', 'clubID': '1050', 'value': '€50.00m'}, {'date': 'Nov 7, 2022', 'age': '25', 'clubName': 'Villarreal CF', 'clubID': '1050', 'value': '€35.00m'}, {'date': 'Mar 16, 2023', 'age': '26', 'clubName': 'Tottenham Hotspur', 'clubID': '148', 'value': '€27.00m'}, {'date': 'Jun 20, 2023', 'age': '26', 'clubName': 'Tottenham Hotspur', 'clubID': '148', 'value': '€25.00m'}, {'date': 'Oct 9, 2023', 'age': '26', 'clubName': 'Everton FC', 'clubID': '29', 'value': '€20.00m'}, {'date': 'Dec 19, 2023', 'age': '26', 'clubName': 'Everton FC', 'clubID': '29', 'value': '€17.00m'}, {'date': 'May 27, 2024', 'age': '27', 'clubName': 'Everton FC', 'clubID': '29', 'value': '€13.00m'}, {'date': 'Dec 27, 2024', 'age': '27', 'clubName': 'Girona FC', 'clubID': '12321', 'value': '€8.00m'}, {'date': 'Mar 21, 2025', 'age': '28', 'clubName': 'Girona FC', 'clubID': '12321', 'value': '€5.00m'}, {'date': 'Jun 9, 2025', 'age': '28', 'clubName': 'Girona FC', 'clubID': '12321', 'value': '€4.00m'}, {'date': 'Dec 12, 2025', 'age': '28', 'clubName': 'Valencia CF', 'clubID': '1049', 'value': '€4.00m'}]}</t>
  </si>
  <si>
    <t>1997-01-31</t>
  </si>
  <si>
    <t>Sturridge</t>
  </si>
  <si>
    <t>{'marketValueHistory': [{'date': 'May 3, 2007', 'age': '17', 'clubName': 'Manchester City', 'clubID': '281', 'value': '€900k'}, {'date': 'Jul 29, 2007', 'age': '17', 'clubName': 'Manchester City', 'clubID': '281', 'value': '€500k'}, {'date': 'Feb 23, 2009', 'age': '19', 'clubName': 'Manchester City', 'clubID': '281', 'value': '€2.60m'}, {'date': 'Jun 26, 2009', 'age': '19', 'clubName': 'Manchester City', 'clubID': '281', 'value': '€3.00m'}, {'date': 'Jan 25, 2010', 'age': '20', 'clubName': 'Chelsea FC', 'clubID': '631', 'value': '€3.50m'}, {'date': 'Aug 13, 2010', 'age': '20', 'clubName': 'Chelsea FC', 'clubID': '631', 'value': '€4.00m'}, {'date': 'Feb 1, 2011', 'age': '21', 'clubName': 'Bolton Wanderers', 'clubID': '355', 'value': '€5.00m'}, {'date': 'Aug 8, 2011', 'age': '21', 'clubName': 'Chelsea FC', 'clubID': '631', 'value': '€8.00m'}, {'date': 'Feb 6, 2012', 'age': '22', 'clubName': 'Chelsea FC', 'clubID': '631', 'value': '€17.00m'}, {'date': 'Jun 24, 2012', 'age': '22', 'clubName': 'Chelsea FC', 'clubID': '631', 'value': '€16.00m'}, {'date': 'Jan 28, 2013', 'age': '23', 'clubName': 'Liverpool FC', 'clubID': '31', 'value': '€15.00m'}, {'date': 'Jul 2, 2013', 'age': '23', 'clubName': 'Liverpool FC', 'clubID': '31', 'value': '€18.00m'}, {'date': 'Jan 15, 2014', 'age': '24', 'clubName': 'Liverpool FC', 'clubID': '31', 'value': '€20.00m'}, {'date': 'Aug 12, 2014', 'age': '24', 'clubName': 'Liverpool FC', 'clubID': '31', 'value': '€25.00m'}, {'date': 'Feb 12, 2015', 'age': '25', 'clubName': 'Liverpool FC', 'clubID': '31', 'value': '€25.00m'}, {'date': 'Jul 1, 2015', 'age': '25', 'clubName': 'Liverpool FC', 'clubID': '31', 'value': '€25.00m'}, {'date': 'Feb 9, 2016', 'age': '26', 'clubName': 'Liverpool FC', 'clubID': '31', 'value': '€25.00m'}, {'date': 'Jun 1, 2016', 'age': '26', 'clubName': 'Liverpool FC', 'clubID': '31', 'value': '€25.00m'}, {'date': 'Aug 1, 2016', 'age': '26', 'clubName': 'Liverpool FC', 'clubID': '31', 'value': '€25.00m'}, {'date': 'Feb 20, 2017', 'age': '27', 'clubName': 'Liverpool FC', 'clubID': '31', 'value': '€22.00m'}, {'date': 'Jun 28, 2017', 'age': '27', 'clubName': 'Liverpool FC', 'clubID': '31', 'value': '€20.00m'}, {'date': 'Jan 2, 2018', 'age': '28', 'clubName': 'Liverpool FC', 'clubID': '31', 'value': '€20.00m'}, {'date': 'May 28, 2018', 'age': '28', 'clubName': 'West Bromwich Albion', 'clubID': '984', 'value': '€15.00m'}, {'date': 'Dec 19, 2018', 'age': '29', 'clubName': 'Liverpool FC', 'clubID': '31', 'value': '€15.00m'}, {'date': 'Jun 13, 2019', 'age': '29', 'clubName': 'Liverpool FC', 'clubID': '31', 'value': '€15.00m'}, {'date': 'Oct 4, 2019', 'age': '30', 'clubName': 'Trabzonspor', 'clubID': '449', 'value': '€11.00m'}, {'date': 'Jan 3, 2020', 'age': '30', 'clubName': 'Trabzonspor', 'clubID': '449', 'value': '€10.00m'}, {'date': 'Apr 8, 2020', 'age': '30', 'clubName': 'Disqualification', 'clubID': '2077', 'value': '€8.00m'}, {'date': 'Nov 10, 2020', 'age': '31', 'clubName': 'Disqualification', 'clubID': '2077', 'value': '€4.00m'}, {'date': 'Apr 9, 2021', 'age': '31', 'clubName': 'Disqualification', 'clubID': '2077', 'value': '€2.00m'}, {'date': 'May 6, 2022', 'age': '32', 'clubName': 'Perth Glory', 'clubID': '970', 'value': '€600k'}, {'date': 'Oct 7, 2022', 'age': '33', 'clubName': 'Without Club', 'clubID': '515', 'value': '€300k'}, {'date': 'Mar 28, 2023', 'age': '33', 'clubName': 'Without Club', 'clubID': '515', 'value': '€200k'}, {'date': 'Aug 11, 2023', 'age': '33', 'clubName': 'Without Club', 'clubID': '515', 'value': '-'}]}</t>
  </si>
  <si>
    <t>1989-09-01</t>
  </si>
  <si>
    <t>Terrier</t>
  </si>
  <si>
    <t>{'marketValueHistory': [{'date': '16/01/2017', 'age': '19', 'clubName': 'LOSC Lille', 'clubID': '1082', 'value': '€250k'}, {'date': '01/06/2017', 'age': '20', 'clubName': 'LOSC Lille', 'clubID': '1082', 'value': '€400k'}, {'date': '24/01/2018', 'age': '20', 'clubName': 'RC Strasbourg Alsace', 'clubID': '667', 'value': '€12.00m'}, {'date': '04/06/2018', 'age': '21', 'clubName': 'RC Strasbourg Alsace', 'clubID': '667', 'value': '€9.00m'}, {'date': '17/12/2018', 'age': '21', 'clubName': 'Olympique Lyon', 'clubID': '1041', 'value': '€9.00m'}, {'date': '03/06/2019', 'age': '22', 'clubName': 'Olympique Lyon', 'clubID': '1041', 'value': '€15.00m'}, {'date': '19/12/2019', 'age': '22', 'clubName': 'Olympique Lyon', 'clubID': '1041', 'value': '€13.00m'}, {'date': '08/04/2020', 'age': '23', 'clubName': 'Olympique Lyon', 'clubID': '1041', 'value': '€10.50m'}, {'date': '03/08/2020', 'age': '23', 'clubName': 'Stade Rennais FC', 'clubID': '273', 'value': '€12.00m'}, {'date': '15/10/2020', 'age': '23', 'clubName': 'Stade Rennais FC', 'clubID': '273', 'value': '€12.00m'}, {'date': '04/06/2021', 'age': '24', 'clubName': 'Stade Rennais FC', 'clubID': '273', 'value': '€13.00m'}, {'date': '16/12/2021', 'age': '24', 'clubName': 'Stade Rennais FC', 'clubID': '273', 'value': '€14.00m'}, {'date': '23/03/2022', 'age': '25', 'clubName': 'Stade Rennais FC', 'clubID': '273', 'value': '€16.00m'}, {'date': '30/05/2022', 'age': '25', 'clubName': 'Stade Rennais FC', 'clubID': '273', 'value': '€25.00m'}, {'date': '19/09/2022', 'age': '25', 'clubName': 'Stade Rennais FC', 'clubID': '273', 'value': '€32.00m'}, {'date': '02/11/2022', 'age': '25', 'clubName': 'Stade Rennais FC', 'clubID': '273', 'value': '€35.00m'}, {'date': '27/06/2023', 'age': '26', 'clubName': 'Stade Rennais FC', 'clubID': '273', 'value': '€30.00m'}, {'date': '18/12/2023', 'age': '26', 'clubName': 'Stade Rennais FC', 'clubID': '273', 'value': '€22.00m'}, {'date': '19/03/2024', 'age': '27', 'clubName': 'Stade Rennais FC', 'clubID': '273', 'value': '€25.00m'}, {'date': '03/06/2024', 'age': '27', 'clubName': 'Stade Rennais FC', 'clubID': '273', 'value': '€20.00m'}, {'date': '20/12/2024', 'age': '27', 'clubName': 'Bayer 04 Leverkusen', 'clubID': '15', 'value': '€20.00m'}, {'date': '27/03/2025', 'age': '28', 'clubName': 'Bayer 04 Leverkusen', 'clubID': '15', 'value': '€17.00m'}, {'date': '05/06/2025', 'age': '28', 'clubName': 'Bayer 04 Leverkusen', 'clubID': '15', 'value': '€17.00m'}, {'date': '19/12/2025', 'age': '28', 'clubName': 'Bayer 04 Leverkusen', 'clubID': '15', 'value': '€12.00m'}]}</t>
  </si>
  <si>
    <t>1997-03-04</t>
  </si>
  <si>
    <t>Douglas Costa</t>
  </si>
  <si>
    <t>{'marketValueHistory': [{'date': 'Oct 10, 2008', 'age': '18', 'clubName': 'Grêmio Foot-Ball Porto Alegrense', 'clubID': '210', 'value': '€2.00m'}, {'date': 'Dec 8, 2009', 'age': '19', 'clubName': 'Grêmio Foot-Ball Porto Alegrense', 'clubID': '210', 'value': '€4.00m'}, {'date': 'Feb 16, 2010', 'age': '19', 'clubName': 'Shakhtar Donetsk', 'clubID': '660', 'value': '€5.00m'}, {'date': 'May 11, 2010', 'age': '19', 'clubName': 'Shakhtar Donetsk', 'clubID': '660', 'value': '€6.00m'}, {'date': 'Aug 29, 2010', 'age': '19', 'clubName': 'Shakhtar Donetsk', 'clubID': '660', 'value': '€8.00m'}, {'date': 'Jan 2, 2011', 'age': '20', 'clubName': 'Shakhtar Donetsk', 'clubID': '660', 'value': '€9.00m'}, {'date': 'Mar 11, 2011', 'age': '20', 'clubName': 'Shakhtar Donetsk', 'clubID': '660', 'value': '€11.00m'}, {'date': 'Jan 5, 2012', 'age': '21', 'clubName': 'Shakhtar Donetsk', 'clubID': '660', 'value': '€12.00m'}, {'date': 'Nov 21, 2012', 'age': '22', 'clubName': 'Shakhtar Donetsk', 'clubID': '660', 'value': '€10.00m'}, {'date': 'Jan 2, 2014', 'age': '23', 'clubName': 'Shakhtar Donetsk', 'clubID': '660', 'value': '€12.00m'}, {'date': 'Jun 30, 2014', 'age': '23', 'clubName': 'Shakhtar Donetsk', 'clubID': '660', 'value': '€17.00m'}, {'date': 'Dec 25, 2014', 'age': '24', 'clubName': 'Shakhtar Donetsk', 'clubID': '660', 'value': '€19.00m'}, {'date': 'Jun 7, 2015', 'age': '24', 'clubName': 'Shakhtar Donetsk', 'clubID': '660', 'value': '€23.00m'}, {'date': 'Oct 16, 2015', 'age': '25', 'clubName': 'Bayern Munich', 'clubID': '27', 'value': '€35.00m'}, {'date': 'Feb 15, 2016', 'age': '25', 'clubName': 'Bayern Munich', 'clubID': '27', 'value': '€35.00m'}, {'date': 'Jul 22, 2016', 'age': '25', 'clubName': 'Bayern Munich', 'clubID': '27', 'value': '€35.00m'}, {'date': 'Feb 7, 2017', 'age': '26', 'clubName': 'Bayern Munich', 'clubID': '27', 'value': '€30.00m'}, {'date': 'Jun 19, 2017', 'age': '26', 'clubName': 'Bayern Munich', 'clubID': '27', 'value': '€30.00m'}, {'date': 'Dec 29, 2017', 'age': '27', 'clubName': 'Juventus FC', 'clubID': '506', 'value': '€35.00m'}, {'date': 'Mar 24, 2018', 'age': '27', 'clubName': 'Juventus FC', 'clubID': '506', 'value': '€40.00m'}, {'date': 'Jun 7, 2018', 'age': '27', 'clubName': 'Juventus FC', 'clubID': '506', 'value': '€55.00m'}, {'date': 'Dec 20, 2018', 'age': '28', 'clubName': 'Juventus FC', 'clubID': '506', 'value': '€45.00m'}, {'date': 'Jun 6, 2019', 'age': '28', 'clubName': 'Juventus FC', 'clubID': '506', 'value': '€38.00m'}, {'date': 'Dec 12, 2019', 'age': '29', 'clubName': 'Juventus FC', 'clubID': '506', 'value': '€38.00m'}, {'date': 'Mar 3, 2020', 'age': '29', 'clubName': 'Juventus FC', 'clubID': '506', 'value': '€30.00m'}, {'date': 'Apr 8, 2020', 'age': '29', 'clubName': 'Juventus FC', 'clubID': '506', 'value': '€24.00m'}, {'date': 'Aug 25, 2020', 'age': '29', 'clubName': 'Juventus FC', 'clubID': '506', 'value': '€20.00m'}, {'date': 'Feb 10, 2021', 'age': '30', 'clubName': 'Bayern Munich', 'clubID': '27', 'value': '€12.00m'}, {'date': 'May 28, 2021', 'age': '30', 'clubName': 'Grêmio Foot-Ball Porto Alegrense', 'clubID': '210', 'value': '€6.00m'}, {'date': 'Dec 17, 2021', 'age': '31', 'clubName': 'Grêmio Foot-Ball Porto Alegrense', 'clubID': '210', 'value': '€4.00m'}, {'date': 'Apr 1, 2022', 'age': '31', 'clubName': 'Los Angeles Galaxy', 'clubID': '1061', 'value': '€3.50m'}, {'date': 'Aug 18, 2022', 'age': '31', 'clubName': 'Los Angeles Galaxy', 'clubID': '1061', 'value': '€2.50m'}, {'date': 'Nov 8, 2022', 'age': '32', 'clubName': 'Los Angeles Galaxy', 'clubID': '1061', 'value': '€2.00m'}, {'date': 'Aug 22, 2023', 'age': '32', 'clubName': 'Los Angeles Galaxy', 'clubID': '1061', 'value': '€1.50m'}, {'date': 'Mar 28, 2024', 'age': '33', 'clubName': 'Fluminense Football Club', 'clubID': '2462', 'value': '€1.30m'}, {'date': 'Jun 17, 2024', 'age': '33', 'clubName': 'Fluminense Football Club', 'clubID': '2462', 'value': '€800k'}, {'date': 'Jan 9, 2025', 'age': '34', 'clubName': 'Sydney FC', 'clubID': '8054', 'value': '€700k'}, {'date': 'Jun 3, 2025', 'age': '34', 'clubName': 'Sydney FC', 'clubID': '8054', 'value': '€650k'}, {'date': 'Oct 21, 2025', 'age': '35', 'clubName': 'Without Club', 'clubID': '515', 'value': '€400k'}]}</t>
  </si>
  <si>
    <t>1990-09-14</t>
  </si>
  <si>
    <t>Bruun Larsen</t>
  </si>
  <si>
    <t>{'marketValueHistory': [{'date': '12/07/2017', 'age': '18', 'clubName': 'Borussia Dortmund', 'clubID': '16', 'value': '€250k'}, {'date': '28/12/2017', 'age': '19', 'clubName': 'Borussia Dortmund', 'clubID': '16', 'value': '€500k'}, {'date': '05/06/2018', 'age': '19', 'clubName': 'VfB Stuttgart', 'clubID': '79', 'value': '€500k'}, {'date': '22/08/2018', 'age': '19', 'clubName': 'Borussia Dortmund', 'clubID': '16', 'value': '€1.50m'}, {'date': '22/10/2018', 'age': '20', 'clubName': 'Borussia Dortmund', 'clubID': '16', 'value': '€15.00m'}, {'date': '18/12/2018', 'age': '20', 'clubName': 'Borussia Dortmund', 'clubID': '16', 'value': '€20.00m'}, {'date': '05/06/2019', 'age': '20', 'clubName': 'Borussia Dortmund', 'clubID': '16', 'value': '€15.00m'}, {'date': '17/12/2019', 'age': '21', 'clubName': 'Borussia Dortmund', 'clubID': '16', 'value': '€12.00m'}, {'date': '08/04/2020', 'age': '21', 'clubName': 'TSG 1899 Hoffenheim', 'clubID': '533', 'value': '€11.00m'}, {'date': '16/09/2020', 'age': '21', 'clubName': 'TSG 1899 Hoffenheim', 'clubID': '533', 'value': '€8.00m'}, {'date': '17/03/2021', 'age': '22', 'clubName': 'RSC Anderlecht', 'clubID': '58', 'value': '€6.40m'}, {'date': '07/06/2021', 'age': '22', 'clubName': 'RSC Anderlecht', 'clubID': '58', 'value': '€5.50m'}, {'date': '07/10/2021', 'age': '23', 'clubName': 'TSG 1899 Hoffenheim', 'clubID': '533', 'value': '€6.50m'}, {'date': '22/12/2021', 'age': '23', 'clubName': 'TSG 1899 Hoffenheim', 'clubID': '533', 'value': '€6.50m'}, {'date': '09/06/2022', 'age': '23', 'clubName': 'TSG 1899 Hoffenheim', 'clubID': '533', 'value': '€6.00m'}, {'date': '09/11/2022', 'age': '24', 'clubName': 'TSG 1899 Hoffenheim', 'clubID': '533', 'value': '€4.00m'}, {'date': '22/06/2023', 'age': '24', 'clubName': 'TSG 1899 Hoffenheim', 'clubID': '533', 'value': '€3.00m'}, {'date': '19/12/2023', 'age': '25', 'clubName': 'Burnley FC', 'clubID': '1132', 'value': '€3.00m'}, {'date': '27/05/2024', 'age': '25', 'clubName': 'Burnley FC', 'clubID': '1132', 'value': '€8.00m'}, {'date': '09/10/2024', 'age': '26', 'clubName': 'TSG 1899 Hoffenheim', 'clubID': '533', 'value': '€6.00m'}, {'date': '20/12/2024', 'age': '26', 'clubName': 'TSG 1899 Hoffenheim', 'clubID': '533', 'value': '€6.00m'}, {'date': '05/06/2025', 'age': '26', 'clubName': 'VfB Stuttgart', 'clubID': '79', 'value': '€5.00m'}, {'date': '09/12/2025', 'age': '27', 'clubName': 'Burnley FC', 'clubID': '1132', 'value': '€5.00m'}]}</t>
  </si>
  <si>
    <t>1998-09-19</t>
  </si>
  <si>
    <t>Ruben Vezo</t>
  </si>
  <si>
    <t>{'marketValueHistory': [{'date': 'Oct 22, 2013', 'age': '19', 'clubName': 'Vitória Setúbal FC', 'clubID': '1085', 'value': '€700k'}, {'date': 'Jan 23, 2014', 'age': '19', 'clubName': 'Valencia CF', 'clubID': '1049', 'value': '€1.60m'}, {'date': 'Jul 20, 2014', 'age': '20', 'clubName': 'Valencia CF', 'clubID': '1049', 'value': '€2.50m'}, {'date': 'Jan 23, 2015', 'age': '20', 'clubName': 'Valencia CF', 'clubID': '1049', 'value': '€2.50m'}, {'date': 'Jul 1, 2015', 'age': '21', 'clubName': 'Valencia CF', 'clubID': '1049', 'value': '€2.00m'}, {'date': 'Feb 22, 2016', 'age': '21', 'clubName': 'Valencia CF', 'clubID': '1049', 'value': '€2.00m'}, {'date': 'Jul 15, 2016', 'age': '22', 'clubName': 'Valencia CF', 'clubID': '1049', 'value': '€2.00m'}, {'date': 'Jan 24, 2017', 'age': '22', 'clubName': 'Granada CF', 'clubID': '16795', 'value': '€2.00m'}, {'date': 'Jun 5, 2017', 'age': '23', 'clubName': 'Granada CF', 'clubID': '16795', 'value': '€1.50m'}, {'date': 'Jan 1, 2018', 'age': '23', 'clubName': 'Valencia CF', 'clubID': '1049', 'value': '€4.00m'}, {'date': 'Mar 22, 2018', 'age': '23', 'clubName': 'Valencia CF', 'clubID': '1049', 'value': '€6.00m'}, {'date': 'May 30, 2018', 'age': '24', 'clubName': 'Valencia CF', 'clubID': '1049', 'value': '€6.00m'}, {'date': 'Dec 21, 2018', 'age': '24', 'clubName': 'Valencia CF', 'clubID': '1049', 'value': '€6.00m'}, {'date': 'Jun 11, 2019', 'age': '25', 'clubName': 'Levante UD', 'clubID': '3368', 'value': '€6.00m'}, {'date': 'Dec 20, 2019', 'age': '25', 'clubName': 'Levante UD', 'clubID': '3368', 'value': '€6.00m'}, {'date': 'Apr 8, 2020', 'age': '25', 'clubName': 'Levante UD', 'clubID': '3368', 'value': '€4.80m'}, {'date': 'Oct 8, 2020', 'age': '26', 'clubName': 'Levante UD', 'clubID': '3368', 'value': '€6.00m'}, {'date': 'Nov 23, 2020', 'age': '26', 'clubName': 'Levante UD', 'clubID': '3368', 'value': '€8.00m'}, {'date': 'Jan 5, 2021', 'age': '26', 'clubName': 'Levante UD', 'clubID': '3368', 'value': '€8.00m'}, {'date': 'Jun 10, 2021', 'age': '27', 'clubName': 'Levante UD', 'clubID': '3368', 'value': '€10.00m'}, {'date': 'Oct 13, 2021', 'age': '27', 'clubName': 'Levante UD', 'clubID': '3368', 'value': '€8.00m'}, {'date': 'Dec 30, 2021', 'age': '27', 'clubName': 'Levante UD', 'clubID': '3368', 'value': '€7.00m'}, {'date': 'Mar 21, 2022', 'age': '27', 'clubName': 'Levante UD', 'clubID': '3368', 'value': '€5.00m'}, {'date': 'Jun 3, 2022', 'age': '28', 'clubName': 'Levante UD', 'clubID': '3368', 'value': '€4.00m'}, {'date': 'Dec 29, 2022', 'age': '28', 'clubName': 'Levante UD', 'clubID': '3368', 'value': '€4.00m'}, {'date': 'Jun 14, 2023', 'age': '29', 'clubName': 'Levante UD', 'clubID': '3368', 'value': '€3.50m'}, {'date': 'Oct 13, 2023', 'age': '29', 'clubName': 'Levante UD', 'clubID': '3368', 'value': '€2.50m'}, {'date': 'Dec 20, 2023', 'age': '29', 'clubName': 'Levante UD', 'clubID': '3368', 'value': '€1.80m'}, {'date': 'May 30, 2024', 'age': '30', 'clubName': 'Olympiacos Piraeus', 'clubID': '683', 'value': '€1.50m'}, {'date': 'Oct 4, 2024', 'age': '30', 'clubName': 'Eyüpspor', 'clubID': '7160', 'value': '€1.50m'}, {'date': 'Dec 23, 2024', 'age': '30', 'clubName': 'Eyüpspor', 'clubID': '7160', 'value': '€1.50m'}, {'date': 'Mar 20, 2025', 'age': '30', 'clubName': 'Eyüpspor', 'clubID': '7160', 'value': '€1.40m'}, {'date': 'Jun 18, 2025', 'age': '31', 'clubName': 'Eyüpspor', 'clubID': '7160', 'value': '€1.40m'}, {'date': 'Sep 23, 2025', 'age': '31', 'clubName': 'Olympiacos Piraeus', 'clubID': '683', 'value': '€1.00m'}, {'date': 'Dec 12, 2025', 'age': '31', 'clubName': 'Olympiacos Piraeus', 'clubID': '683', 'value': '€800k'}, {'date': 'Mar 6, 2026', 'age': '31', 'clubName': 'Olympiacos Piraeus', 'clubID': '683', 'value': '€700k'}]}</t>
  </si>
  <si>
    <t>1994-04-25</t>
  </si>
  <si>
    <t>Hysaj</t>
  </si>
  <si>
    <t>{'marketValueHistory': [{'date': '01/11/2011', 'age': '17', 'clubName': 'Empoli Primavera', 'clubID': '749', 'value': '€50k'}, {'date': '03/03/2012', 'age': '18', 'clubName': 'Empoli Primavera', 'clubID': '749', 'value': '€100k'}, {'date': '25/12/2012', 'age': '18', 'clubName': 'FC Empoli', 'clubID': '749', 'value': '€900k'}, {'date': '25/06/2013', 'age': '19', 'clubName': 'FC Empoli', 'clubID': '749', 'value': '€2.50m'}, {'date': '29/01/2014', 'age': '19', 'clubName': 'FC Empoli', 'clubID': '749', 'value': '€2.50m'}, {'date': '15/07/2014', 'age': '20', 'clubName': 'FC Empoli', 'clubID': '749', 'value': '€2.50m'}, {'date': '07/01/2015', 'age': '20', 'clubName': 'FC Empoli', 'clubID': '749', 'value': '€3.80m'}, {'date': '01/07/2015', 'age': '21', 'clubName': 'FC Empoli', 'clubID': '749', 'value': '€4.50m'}, {'date': '05/11/2015', 'age': '21', 'clubName': 'SSC Napoli', 'clubID': '6195', 'value': '€7.50m'}, {'date': '04/01/2016', 'age': '21', 'clubName': 'SSC Napoli', 'clubID': '6195', 'value': '€9.00m'}, {'date': '01/06/2016', 'age': '22', 'clubName': 'SSC Napoli', 'clubID': '6195', 'value': '€12.00m'}, {'date': '15/07/2016', 'age': '22', 'clubName': 'SSC Napoli', 'clubID': '6195', 'value': '€13.00m'}, {'date': '02/01/2017', 'age': '22', 'clubName': 'SSC Napoli', 'clubID': '6195', 'value': '€14.00m'}, {'date': '08/06/2017', 'age': '23', 'clubName': 'SSC Napoli', 'clubID': '6195', 'value': '€18.00m'}, {'date': '29/12/2017', 'age': '23', 'clubName': 'SSC Napoli', 'clubID': '6195', 'value': '€20.00m'}, {'date': '07/06/2018', 'age': '24', 'clubName': 'SSC Napoli', 'clubID': '6195', 'value': '€25.00m'}, {'date': '20/12/2018', 'age': '24', 'clubName': 'SSC Napoli', 'clubID': '6195', 'value': '€23.00m'}, {'date': '06/06/2019', 'age': '25', 'clubName': 'SSC Napoli', 'clubID': '6195', 'value': '€23.00m'}, {'date': '08/10/2019', 'age': '25', 'clubName': 'SSC Napoli', 'clubID': '6195', 'value': '€18.00m'}, {'date': '12/12/2019', 'age': '25', 'clubName': 'SSC Napoli', 'clubID': '6195', 'value': '€16.00m'}, {'date': '08/04/2020', 'age': '26', 'clubName': 'SSC Napoli', 'clubID': '6195', 'value': '€13.00m'}, {'date': '25/08/2020', 'age': '26', 'clubName': 'SSC Napoli', 'clubID': '6195', 'value': '€14.00m'}, {'date': '29/12/2020', 'age': '26', 'clubName': 'SSC Napoli', 'clubID': '6195', 'value': '€14.00m'}, {'date': '03/06/2021', 'age': '27', 'clubName': 'SSC Napoli', 'clubID': '6195', 'value': '€13.00m'}, {'date': '28/12/2021', 'age': '27', 'clubName': 'SS Lazio', 'clubID': '398', 'value': '€10.00m'}, {'date': '15/03/2022', 'age': '28', 'clubName': 'SS Lazio', 'clubID': '398', 'value': '€7.00m'}, {'date': '07/06/2022', 'age': '28', 'clubName': 'SS Lazio', 'clubID': '398', 'value': '€5.00m'}, {'date': '11/11/2022', 'age': '28', 'clubName': 'SS Lazio', 'clubID': '398', 'value': '€4.00m'}, {'date': '15/06/2023', 'age': '29', 'clubName': 'SS Lazio', 'clubID': '398', 'value': '€5.00m'}, {'date': '20/12/2023', 'age': '29', 'clubName': 'SS Lazio', 'clubID': '398', 'value': '€4.00m'}, {'date': '12/03/2024', 'age': '30', 'clubName': 'SS Lazio', 'clubID': '398', 'value': '€3.00m'}, {'date': '05/06/2024', 'age': '30', 'clubName': 'SS Lazio', 'clubID': '398', 'value': '€2.50m'}, {'date': '18/12/2024', 'age': '30', 'clubName': 'SS Lazio', 'clubID': '398', 'value': '€2.00m'}, {'date': '17/06/2025', 'age': '31', 'clubName': 'SS Lazio', 'clubID': '398', 'value': '€1.50m'}, {'date': '23/12/2025', 'age': '31', 'clubName': 'SS Lazio', 'clubID': '398', 'value': '€1.50m'}]}</t>
  </si>
  <si>
    <t>Albania</t>
  </si>
  <si>
    <t>1994-02-02</t>
  </si>
  <si>
    <t>Perotti</t>
  </si>
  <si>
    <t>{'marketValueHistory': [{'date': 'Oct 4, 2007', 'age': '19', 'clubName': 'Sevilla Atlético', 'clubID': '8519', 'value': '€100k'}, {'date': 'Feb 5, 2008', 'age': '19', 'clubName': 'Sevilla Atlético', 'clubID': '8519', 'value': '€500k'}, {'date': 'Aug 31, 2008', 'age': '20', 'clubName': 'Sevilla Atlético', 'clubID': '8519', 'value': '€800k'}, {'date': 'Jan 5, 2009', 'age': '20', 'clubName': 'Sevilla FC', 'clubID': '368', 'value': '€800k'}, {'date': 'Mar 15, 2009', 'age': '20', 'clubName': 'Sevilla FC', 'clubID': '368', 'value': '€2.00m'}, {'date': 'Jul 22, 2009', 'age': '20', 'clubName': 'Sevilla FC', 'clubID': '368', 'value': '€4.00m'}, {'date': 'Dec 3, 2009', 'age': '21', 'clubName': 'Sevilla FC', 'clubID': '368', 'value': '€9.00m'}, {'date': 'Jan 7, 2010', 'age': '21', 'clubName': 'Sevilla FC', 'clubID': '368', 'value': '€12.00m'}, {'date': 'Apr 12, 2010', 'age': '21', 'clubName': 'Sevilla FC', 'clubID': '368', 'value': '€12.00m'}, {'date': 'Aug 27, 2010', 'age': '22', 'clubName': 'Sevilla FC', 'clubID': '368', 'value': '€16.00m'}, {'date': 'Dec 10, 2010', 'age': '22', 'clubName': 'Sevilla FC', 'clubID': '368', 'value': '€15.00m'}, {'date': 'Feb 4, 2011', 'age': '22', 'clubName': 'Sevilla FC', 'clubID': '368', 'value': '€12.00m'}, {'date': 'Jul 29, 2011', 'age': '23', 'clubName': 'Sevilla FC', 'clubID': '368', 'value': '€12.00m'}, {'date': 'Feb 3, 2012', 'age': '23', 'clubName': 'Sevilla FC', 'clubID': '368', 'value': '€9.00m'}, {'date': 'Aug 7, 2012', 'age': '24', 'clubName': 'Sevilla FC', 'clubID': '368', 'value': '€8.00m'}, {'date': 'Jan 11, 2013', 'age': '24', 'clubName': 'Sevilla FC', 'clubID': '368', 'value': '€6.00m'}, {'date': 'Feb 6, 2013', 'age': '24', 'clubName': 'Sevilla FC', 'clubID': '368', 'value': '€4.00m'}, {'date': 'Jun 12, 2013', 'age': '24', 'clubName': 'Sevilla FC', 'clubID': '368', 'value': '€4.00m'}, {'date': 'Jan 23, 2014', 'age': '25', 'clubName': 'Sevilla FC', 'clubID': '368', 'value': '€3.50m'}, {'date': 'Feb 10, 2014', 'age': '25', 'clubName': 'CA Boca Juniors', 'clubID': '189', 'value': '€3.25m'}, {'date': 'Sep 11, 2014', 'age': '26', 'clubName': 'Genoa CFC', 'clubID': '252', 'value': '€2.50m'}, {'date': 'Jan 7, 2015', 'age': '26', 'clubName': 'Genoa CFC', 'clubID': '252', 'value': '€7.00m'}, {'date': 'Jul 1, 2015', 'age': '26', 'clubName': 'Genoa CFC', 'clubID': '252', 'value': '€10.00m'}, {'date': 'Jan 4, 2016', 'age': '27', 'clubName': 'Genoa CFC', 'clubID': '252', 'value': '€9.50m'}, {'date': 'Apr 1, 2016', 'age': '27', 'clubName': 'AS Roma', 'clubID': '12', 'value': '€12.00m'}, {'date': 'Jul 15, 2016', 'age': '27', 'clubName': 'AS Roma', 'clubID': '12', 'value': '€15.00m'}, {'date': 'Jan 2, 2017', 'age': '28', 'clubName': 'AS Roma', 'clubID': '12', 'value': '€18.00m'}, {'date': 'Jun 8, 2017', 'age': '28', 'clubName': 'AS Roma', 'clubID': '12', 'value': '€17.00m'}, {'date': 'Dec 29, 2017', 'age': '29', 'clubName': 'AS Roma', 'clubID': '12', 'value': '€20.00m'}, {'date': 'Jun 7, 2018', 'age': '29', 'clubName': 'AS Roma', 'clubID': '12', 'value': '€20.00m'}, {'date': 'Dec 20, 2018', 'age': '30', 'clubName': 'AS Roma', 'clubID': '12', 'value': '€17.50m'}, {'date': 'Mar 1, 2019', 'age': '30', 'clubName': 'AS Roma', 'clubID': '12', 'value': '€15.00m'}, {'date': 'Jun 6, 2019', 'age': '30', 'clubName': 'AS Roma', 'clubID': '12', 'value': '€12.00m'}, {'date': 'Dec 12, 2019', 'age': '31', 'clubName': 'AS Roma', 'clubID': '12', 'value': '€8.00m'}, {'date': 'Apr 8, 2020', 'age': '31', 'clubName': 'AS Roma', 'clubID': '12', 'value': '€6.50m'}, {'date': 'Aug 25, 2020', 'age': '32', 'clubName': 'AS Roma', 'clubID': '12', 'value': '€4.00m'}, {'date': 'Oct 20, 2020', 'age': '32', 'clubName': 'Fenerbahce', 'clubID': '36', 'value': '€300k'}, {'date': 'Dec 23, 2020', 'age': '32', 'clubName': 'Fenerbahce', 'clubID': '36', 'value': '€4.00m'}, {'date': 'Mar 16, 2021', 'age': '32', 'clubName': 'Fenerbahce', 'clubID': '36', 'value': '€2.50m'}, {'date': 'May 21, 2021', 'age': '32', 'clubName': 'Fenerbahce', 'clubID': '36', 'value': '€1.80m'}, {'date': 'Oct 28, 2021', 'age': '33', 'clubName': 'Without Club', 'clubID': '515', 'value': '€1.20m'}, {'date': 'Mar 15, 2022', 'age': '33', 'clubName': 'US Salernitana 1919', 'clubID': '380', 'value': '€1.00m'}, {'date': 'Jun 7, 2022', 'age': '33', 'clubName': 'US Salernitana 1919', 'clubID': '380', 'value': '€500k'}, {'date': 'Jul 1, 2022', 'age': '33', 'clubName': 'Without Club', 'clubID': '515', 'value': '-'}]}</t>
  </si>
  <si>
    <t>1988-07-26</t>
  </si>
  <si>
    <t>Marcos Llorente</t>
  </si>
  <si>
    <t>{'marketValueHistory': [{'date': 'Oct 4, 2004', 'age': '20', 'clubName': 'Atlético de Madrid', 'clubID': '13', 'value': '€16.50m'}, {'date': 'Nov 29, 2004', 'age': '20', 'clubName': 'Atlético de Madrid', 'clubID': '13', 'value': '€25.00m'}, {'date': 'Jun 21, 2007', 'age': '23', 'clubName': 'Atlético de Madrid', 'clubID': '13', 'value': '€30.00m'}, {'date': 'Aug 2, 2007', 'age': '23', 'clubName': 'Liverpool FC', 'clubID': '31', 'value': '€35.00m'}, {'date': 'Jul 4, 2008', 'age': '24', 'clubName': 'Liverpool FC', 'clubID': '31', 'value': '€40.00m'}, {'date': 'Feb 23, 2009', 'age': '24', 'clubName': 'Liverpool FC', 'clubID': '31', 'value': '€43.00m'}, {'date': 'Jun 29, 2009', 'age': '25', 'clubName': 'Liverpool FC', 'clubID': '31', 'value': '€45.00m'}, {'date': 'Jan 25, 2010', 'age': '25', 'clubName': 'Liverpool FC', 'clubID': '31', 'value': '€50.00m'}, {'date': 'Aug 13, 2010', 'age': '26', 'clubName': 'Liverpool FC', 'clubID': '31', 'value': '€50.00m'}, {'date': 'Feb 1, 2011', 'age': '26', 'clubName': 'Chelsea FC', 'clubID': '631', 'value': '€46.00m'}, {'date': 'Aug 8, 2011', 'age': '27', 'clubName': 'Chelsea FC', 'clubID': '631', 'value': '€42.00m'}, {'date': 'Feb 6, 2012', 'age': '27', 'clubName': 'Chelsea FC', 'clubID': '631', 'value': '€35.00m'}, {'date': 'Jun 24, 2012', 'age': '28', 'clubName': 'Chelsea FC', 'clubID': '631', 'value': '€35.00m'}, {'date': 'Jan 28, 2013', 'age': '28', 'clubName': 'Chelsea FC', 'clubID': '631', 'value': '€28.00m'}, {'date': 'Jul 2, 2013', 'age': '29', 'clubName': 'Chelsea FC', 'clubID': '631', 'value': '€23.00m'}, {'date': 'Jan 15, 2014', 'age': '29', 'clubName': 'Chelsea FC', 'clubID': '631', 'value': '€19.00m'}, {'date': 'Aug 12, 2014', 'age': '30', 'clubName': 'Chelsea FC', 'clubID': '631', 'value': '€12.00m'}, {'date': 'Nov 8, 2014', 'age': '30', 'clubName': 'AC Milan', 'clubID': '5', 'value': '€7.00m'}, {'date': 'Jan 23, 2015', 'age': '30', 'clubName': 'Atlético de Madrid', 'clubID': '13', 'value': '€7.00m'}, {'date': 'Jul 1, 2015', 'age': '31', 'clubName': 'Atlético de Madrid', 'clubID': '13', 'value': '€7.00m'}, {'date': 'Feb 22, 2016', 'age': '31', 'clubName': 'Atlético de Madrid', 'clubID': '13', 'value': '€7.00m'}, {'date': 'Jul 15, 2016', 'age': '32', 'clubName': 'Atlético de Madrid', 'clubID': '13', 'value': '€10.00m'}, {'date': 'Jan 24, 2017', 'age': '32', 'clubName': 'Atlético de Madrid', 'clubID': '13', 'value': '€6.00m'}, {'date': 'Jun 5, 2017', 'age': '33', 'clubName': 'Atlético de Madrid', 'clubID': '13', 'value': '€4.00m'}, {'date': 'Jan 1, 2018', 'age': '33', 'clubName': 'Atlético de Madrid', 'clubID': '13', 'value': '€4.00m'}, {'date': 'May 30, 2018', 'age': '34', 'clubName': 'Atlético de Madrid', 'clubID': '13', 'value': '€4.00m'}, {'date': 'Jan 5, 2019', 'age': '34', 'clubName': 'Sagan Tosu', 'clubID': '22177', 'value': '€3.50m'}, {'date': 'Jun 27, 2019', 'age': '35', 'clubName': 'Sagan Tosu', 'clubID': '22177', 'value': '€2.50m'}, {'date': 'Aug 26, 2019', 'age': '35', 'clubName': 'Retired', 'clubID': '123', 'value': '-'}]}</t>
  </si>
  <si>
    <t>Bittencourt</t>
  </si>
  <si>
    <t>{'marketValueHistory': [{'date': '05/05/2011', 'age': '17', 'clubName': 'FC Energie Cottbus U19', 'clubID': '25', 'value': '€75k'}, {'date': '04/06/2011', 'age': '17', 'clubName': 'FC Energie Cottbus U19', 'clubID': '25', 'value': '€250k'}, {'date': '26/08/2011', 'age': '17', 'clubName': 'FC Energie Cottbus', 'clubID': '25', 'value': '€1.00m'}, {'date': '16/01/2012', 'age': '18', 'clubName': 'FC Energie Cottbus', 'clubID': '25', 'value': '€3.00m'}, {'date': '24/06/2012', 'age': '18', 'clubName': 'FC Energie Cottbus', 'clubID': '25', 'value': '€2.50m'}, {'date': '13/01/2013', 'age': '19', 'clubName': 'Borussia Dortmund', 'clubID': '16', 'value': '€2.50m'}, {'date': '30/06/2013', 'age': '19', 'clubName': 'Borussia Dortmund', 'clubID': '16', 'value': '€2.75m'}, {'date': '12/02/2014', 'age': '20', 'clubName': 'Hannover 96', 'clubID': '42', 'value': '€4.00m'}, {'date': '10/07/2014', 'age': '20', 'clubName': 'Hannover 96', 'clubID': '42', 'value': '€6.50m'}, {'date': '04/02/2015', 'age': '21', 'clubName': 'Hannover 96', 'clubID': '42', 'value': '€6.50m'}, {'date': '01/07/2015', 'age': '21', 'clubName': 'Hannover 96', 'clubID': '42', 'value': '€4.00m'}, {'date': '15/02/2016', 'age': '22', 'clubName': '1.FC Köln', 'clubID': '3', 'value': '€4.00m'}, {'date': '22/07/2016', 'age': '22', 'clubName': '1.FC Köln', 'clubID': '3', 'value': '€5.00m'}, {'date': '07/02/2017', 'age': '23', 'clubName': '1.FC Köln', 'clubID': '3', 'value': '€5.00m'}, {'date': '19/06/2017', 'age': '23', 'clubName': '1.FC Köln', 'clubID': '3', 'value': '€6.00m'}, {'date': '28/12/2017', 'age': '24', 'clubName': '1.FC Köln', 'clubID': '3', 'value': '€6.00m'}, {'date': '05/06/2018', 'age': '24', 'clubName': '1.FC Köln', 'clubID': '3', 'value': '€6.00m'}, {'date': '22/08/2018', 'age': '24', 'clubName': 'TSG 1899 Hoffenheim', 'clubID': '533', 'value': '€7.00m'}, {'date': '18/12/2018', 'age': '24', 'clubName': 'TSG 1899 Hoffenheim', 'clubID': '533', 'value': '€7.00m'}, {'date': '05/06/2019', 'age': '25', 'clubName': 'TSG 1899 Hoffenheim', 'clubID': '533', 'value': '€7.00m'}, {'date': '17/12/2019', 'age': '25', 'clubName': 'SV Werder Bremen', 'clubID': '86', 'value': '€7.00m'}, {'date': '11/03/2020', 'age': '26', 'clubName': 'SV Werder Bremen', 'clubID': '86', 'value': '€6.00m'}, {'date': '08/04/2020', 'age': '26', 'clubName': 'SV Werder Bremen', 'clubID': '86', 'value': '€4.80m'}, {'date': '26/11/2020', 'age': '26', 'clubName': 'SV Werder Bremen', 'clubID': '86', 'value': '€6.00m'}, {'date': '10/02/2021', 'age': '27', 'clubName': 'SV Werder Bremen', 'clubID': '86', 'value': '€6.00m'}, {'date': '09/06/2021', 'age': '27', 'clubName': 'SV Werder Bremen', 'clubID': '86', 'value': '€4.50m'}, {'date': '15/12/2021', 'age': '27', 'clubName': 'SV Werder Bremen', 'clubID': '86', 'value': '€4.50m'}, {'date': '23/03/2022', 'age': '28', 'clubName': 'SV Werder Bremen', 'clubID': '86', 'value': '€3.50m'}, {'date': '16/06/2022', 'age': '28', 'clubName': 'SV Werder Bremen', 'clubID': '86', 'value': '€3.50m'}, {'date': '09/11/2022', 'age': '28', 'clubName': 'SV Werder Bremen', 'clubID': '86', 'value': '€3.50m'}, {'date': '22/06/2023', 'age': '29', 'clubName': 'SV Werder Bremen', 'clubID': '86', 'value': '€2.80m'}, {'date': '14/12/2023', 'age': '29', 'clubName': 'SV Werder Bremen', 'clubID': '86', 'value': '€2.50m'}, {'date': '29/05/2024', 'age': '30', 'clubName': 'SV Werder Bremen', 'clubID': '86', 'value': '€2.50m'}, {'date': '20/12/2024', 'age': '31', 'clubName': 'SV Werder Bremen', 'clubID': '86', 'value': '€2.00m'}, {'date': '05/06/2025', 'age': '31', 'clubName': 'SV Werder Bremen', 'clubID': '86', 'value': '€1.50m'}, {'date': '19/12/2025', 'age': '32', 'clubName': 'SV Werder Bremen', 'clubID': '86', 'value': '€1.20m'}]}</t>
  </si>
  <si>
    <t>1993-12-19</t>
  </si>
  <si>
    <t>Nuhu</t>
  </si>
  <si>
    <t>{'marketValueHistory': [{'date': 'Jan 8, 2015', 'age': '19', 'clubName': 'RCD Mallorca B', 'clubID': '8494', 'value': '€600k'}, {'date': 'Jul 1, 2015', 'age': '20', 'clubName': 'RCD Mallorca', 'clubID': '237', 'value': '€500k'}, {'date': 'Nov 20, 2015', 'age': '20', 'clubName': 'RCD Mallorca', 'clubID': '237', 'value': '€400k'}, {'date': 'Feb 22, 2016', 'age': '20', 'clubName': 'RCD Mallorca', 'clubID': '237', 'value': '€400k'}, {'date': 'Jul 15, 2016', 'age': '21', 'clubName': 'RCD Mallorca', 'clubID': '237', 'value': '€400k'}, {'date': 'Dec 20, 2016', 'age': '21', 'clubName': 'BSC Young Boys', 'clubID': '452', 'value': '€800k'}, {'date': 'Jul 12, 2017', 'age': '22', 'clubName': 'BSC Young Boys', 'clubID': '452', 'value': '€1.00m'}, {'date': 'Sep 29, 2017', 'age': '22', 'clubName': 'BSC Young Boys', 'clubID': '452', 'value': '€2.00m'}, {'date': 'Jan 8, 2018', 'age': '22', 'clubName': 'BSC Young Boys', 'clubID': '452', 'value': '€3.00m'}, {'date': 'Apr 24, 2018', 'age': '22', 'clubName': 'BSC Young Boys', 'clubID': '452', 'value': '€5.75m'}, {'date': 'Jul 12, 2018', 'age': '23', 'clubName': 'BSC Young Boys', 'clubID': '452', 'value': '€8.50m'}, {'date': 'Dec 18, 2018', 'age': '23', 'clubName': 'TSG 1899 Hoffenheim', 'clubID': '533', 'value': '€8.50m'}, {'date': 'Jun 5, 2019', 'age': '23', 'clubName': 'TSG 1899 Hoffenheim', 'clubID': '533', 'value': '€7.00m'}, {'date': 'Dec 17, 2019', 'age': '24', 'clubName': 'Fortuna Düsseldorf', 'clubID': '38', 'value': '€7.00m'}, {'date': 'Mar 11, 2020', 'age': '24', 'clubName': 'Fortuna Düsseldorf', 'clubID': '38', 'value': '€4.00m'}, {'date': 'Apr 8, 2020', 'age': '24', 'clubName': 'Fortuna Düsseldorf', 'clubID': '38', 'value': '€3.20m'}, {'date': 'Sep 16, 2020', 'age': '25', 'clubName': 'TSG 1899 Hoffenheim', 'clubID': '533', 'value': '€2.50m'}, {'date': 'Feb 10, 2021', 'age': '25', 'clubName': 'TSG 1899 Hoffenheim', 'clubID': '533', 'value': '€2.00m'}, {'date': 'Jun 9, 2021', 'age': '25', 'clubName': 'TSG 1899 Hoffenheim', 'clubID': '533', 'value': '€1.70m'}, {'date': 'Dec 22, 2021', 'age': '26', 'clubName': 'TSG 1899 Hoffenheim', 'clubID': '533', 'value': '€1.20m'}, {'date': 'Jun 9, 2022', 'age': '26', 'clubName': 'TSG 1899 Hoffenheim', 'clubID': '533', 'value': '€1.00m'}, {'date': 'Nov 10, 2022', 'age': '27', 'clubName': 'FC Basel 1893', 'clubID': '26', 'value': '€1.50m'}, {'date': 'Mar 28, 2023', 'age': '27', 'clubName': 'FC Basel 1893', 'clubID': '26', 'value': '€1.30m'}, {'date': 'Jun 7, 2023', 'age': '27', 'clubName': 'FC Basel 1893', 'clubID': '26', 'value': '€700k'}, {'date': 'Dec 14, 2023', 'age': '28', 'clubName': 'TSG 1899 Hoffenheim', 'clubID': '533', 'value': '€700k'}, {'date': 'May 29, 2024', 'age': '28', 'clubName': 'TSG 1899 Hoffenheim', 'clubID': '533', 'value': '€700k'}, {'date': 'Dec 23, 2024', 'age': '29', 'clubName': 'Servette FC', 'clubID': '61', 'value': '€500k'}, {'date': 'Jun 10, 2025', 'age': '29', 'clubName': 'Servette FC', 'clubID': '61', 'value': '€500k'}, {'date': 'Oct 21, 2025', 'age': '30', 'clubName': 'Without Club', 'clubID': '515', 'value': '€450k'}]}</t>
  </si>
  <si>
    <t>1995-06-22</t>
  </si>
  <si>
    <t>Harit</t>
  </si>
  <si>
    <t>{'marketValueHistory': [{'date': '25/01/2008', 'age': '19', 'clubName': 'Deportivo Guadalajara', 'clubID': '6711', 'value': '€125k'}, {'date': '02/12/2008', 'age': '20', 'clubName': 'Deportivo Guadalajara', 'clubID': '6711', 'value': '€450k'}, {'date': '08/06/2009', 'age': '21', 'clubName': 'Deportivo Guadalajara', 'clubID': '6711', 'value': '€1.50m'}, {'date': '17/12/2009', 'age': '21', 'clubName': 'Deportivo Guadalajara', 'clubID': '6711', 'value': '€2.25m'}, {'date': '27/04/2010', 'age': '21', 'clubName': 'Deportivo Guadalajara', 'clubID': '6711', 'value': '€6.00m'}, {'date': '13/08/2010', 'age': '22', 'clubName': 'Manchester United', 'clubID': '985', 'value': '€8.00m'}, {'date': '01/02/2011', 'age': '22', 'clubName': 'Manchester United', 'clubID': '985', 'value': '€11.00m'}, {'date': '08/08/2011', 'age': '23', 'clubName': 'Manchester United', 'clubID': '985', 'value': '€19.00m'}, {'date': '06/02/2012', 'age': '23', 'clubName': 'Manchester United', 'clubID': '985', 'value': '€20.00m'}, {'date': '24/06/2012', 'age': '24', 'clubName': 'Manchester United', 'clubID': '985', 'value': '€18.00m'}, {'date': '28/01/2013', 'age': '24', 'clubName': 'Manchester United', 'clubID': '985', 'value': '€22.00m'}, {'date': '02/07/2013', 'age': '25', 'clubName': 'Manchester United', 'clubID': '985', 'value': '€22.00m'}, {'date': '15/01/2014', 'age': '25', 'clubName': 'Manchester United', 'clubID': '985', 'value': '€16.00m'}, {'date': '12/08/2014', 'age': '26', 'clubName': 'Manchester United', 'clubID': '985', 'value': '€14.00m'}, {'date': '23/01/2015', 'age': '26', 'clubName': 'Real Madrid', 'clubID': '418', 'value': '€10.00m'}, {'date': '01/07/2015', 'age': '27', 'clubName': 'Manchester United', 'clubID': '985', 'value': '€10.00m'}, {'date': '15/02/2016', 'age': '27', 'clubName': 'Bayer 04 Leverkusen', 'clubID': '15', 'value': '€18.00m'}, {'date': '22/07/2016', 'age': '28', 'clubName': 'Bayer 04 Leverkusen', 'clubID': '15', 'value': '€22.00m'}, {'date': '13/10/2016', 'age': '28', 'clubName': 'Bayer 04 Leverkusen', 'clubID': '15', 'value': '€25.00m'}, {'date': '07/02/2017', 'age': '28', 'clubName': 'Bayer 04 Leverkusen', 'clubID': '15', 'value': '€22.00m'}, {'date': '19/06/2017', 'age': '29', 'clubName': 'Bayer 04 Leverkusen', 'clubID': '15', 'value': '€18.00m'}, {'date': '02/01/2018', 'age': '29', 'clubName': 'West Ham United', 'clubID': '379', 'value': '€18.00m'}, {'date': '28/05/2018', 'age': '29', 'clubName': 'West Ham United', 'clubID': '379', 'value': '€15.00m'}, {'date': '17/10/2018', 'age': '30', 'clubName': 'West Ham United', 'clubID': '379', 'value': '€12.00m'}, {'date': '19/12/2018', 'age': '30', 'clubName': 'West Ham United', 'clubID': '379', 'value': '€12.00m'}, {'date': '13/06/2019', 'age': '31', 'clubName': 'West Ham United', 'clubID': '379', 'value': '€12.00m'}, {'date': '20/12/2019', 'age': '31', 'clubName': 'Sevilla FC', 'clubID': '368', 'value': '€9.00m'}, {'date': '28/02/2020', 'age': '31', 'clubName': 'Los Angeles Galaxy', 'clubID': '1061', 'value': '€8.50m'}, {'date': '08/04/2020', 'age': '31', 'clubName': 'Los Angeles Galaxy', 'clubID': '1061', 'value': '€6.80m'}, {'date': '26/08/2020', 'age': '32', 'clubName': 'Los Angeles Galaxy', 'clubID': '1061', 'value': '€6.50m'}, {'date': '13/11/2020', 'age': '32', 'clubName': 'Los Angeles Galaxy', 'clubID': '1061', 'value': '€3.00m'}, {'date': '18/12/2020', 'age': '32', 'clubName': 'Los Angeles Galaxy', 'clubID': '1061', 'value': '€2.00m'}, {'date': '09/07/2021', 'age': '33', 'clubName': 'Los Angeles Galaxy', 'clubID': '1061', 'value': '€2.00m'}, {'date': '09/11/2021', 'age': '33', 'clubName': 'Los Angeles Galaxy', 'clubID': '1061', 'value': '€2.00m'}, {'date': '08/11/2022', 'age': '34', 'clubName': 'Los Angeles Galaxy', 'clubID': '1061', 'value': '€2.00m'}, {'date': '22/08/2023', 'age': '35', 'clubName': 'Los Angeles Galaxy', 'clubID': '1061', 'value': '€1.00m'}, {'date': '18/12/2023', 'age': '35', 'clubName': 'Los Angeles Galaxy', 'clubID': '1061', 'value': '€1.00m'}, {'date': '14/06/2024', 'age': '36', 'clubName': 'Deportivo Guadalajara', 'clubID': '6711', 'value': '€800k'}, {'date': '10/10/2024', 'age': '36', 'clubName': 'Deportivo Guadalajara', 'clubID': '6711', 'value': '€700k'}, {'date': '11/12/2024', 'age': '36', 'clubName': 'Deportivo Guadalajara', 'clubID': '6711', 'value': '€500k'}, {'date': '31/03/2025', 'age': '36', 'clubName': 'Deportivo Guadalajara', 'clubID': '6711', 'value': '€350k'}, {'date': '26/05/2025', 'age': '36', 'clubName': 'Deportivo Guadalajara', 'clubID': '6711', 'value': '€325k'}, {'date': '29/12/2025', 'age': '37', 'clubName': 'Deportivo Guadalajara', 'clubID': '6711', 'value': '€250k'}]}</t>
  </si>
  <si>
    <t>1988-06-01</t>
  </si>
  <si>
    <t>Valverde</t>
  </si>
  <si>
    <t>Nsame</t>
  </si>
  <si>
    <t>{'marketValueHistory': [{'date': '22/12/2012', 'age': '19', 'clubName': 'Angers SCO', 'clubID': '1420', 'value': '€250k'}, {'date': '30/05/2013', 'age': '20', 'clubName': 'Angers SCO', 'clubID': '1420', 'value': '€300k'}, {'date': '04/02/2016', 'age': '22', 'clubName': 'Angers SCO', 'clubID': '1420', 'value': '€300k'}, {'date': '20/12/2016', 'age': '23', 'clubName': 'Servette FC', 'clubID': '61', 'value': '€600k'}, {'date': '14/07/2017', 'age': '24', 'clubName': 'Servette FC', 'clubID': '61', 'value': '€950k'}, {'date': '29/09/2017', 'age': '24', 'clubName': 'BSC Young Boys', 'clubID': '452', 'value': '€1.50m'}, {'date': '08/01/2018', 'age': '24', 'clubName': 'BSC Young Boys', 'clubID': '452', 'value': '€3.00m'}, {'date': '24/04/2018', 'age': '24', 'clubName': 'BSC Young Boys', 'clubID': '452', 'value': '€3.00m'}, {'date': '12/07/2018', 'age': '25', 'clubName': 'BSC Young Boys', 'clubID': '452', 'value': '€4.50m'}, {'date': '21/01/2019', 'age': '25', 'clubName': 'BSC Young Boys', 'clubID': '452', 'value': '€4.50m'}, {'date': '15/04/2019', 'age': '25', 'clubName': 'BSC Young Boys', 'clubID': '452', 'value': '€4.50m'}, {'date': '04/06/2019', 'age': '26', 'clubName': 'BSC Young Boys', 'clubID': '452', 'value': '€4.50m'}, {'date': '06/01/2020', 'age': '26', 'clubName': 'BSC Young Boys', 'clubID': '452', 'value': '€5.50m'}, {'date': '08/04/2020', 'age': '26', 'clubName': 'BSC Young Boys', 'clubID': '452', 'value': '€4.50m'}, {'date': '31/07/2020', 'age': '27', 'clubName': 'BSC Young Boys', 'clubID': '452', 'value': '€7.00m'}, {'date': '28/12/2020', 'age': '27', 'clubName': 'BSC Young Boys', 'clubID': '452', 'value': '€7.00m'}, {'date': '23/06/2021', 'age': '28', 'clubName': 'BSC Young Boys', 'clubID': '452', 'value': '€7.00m'}, {'date': '03/01/2022', 'age': '28', 'clubName': 'BSC Young Boys', 'clubID': '452', 'value': '€7.00m'}, {'date': '15/03/2022', 'age': '28', 'clubName': 'Venezia FC', 'clubID': '607', 'value': '€5.00m'}, {'date': '07/06/2022', 'age': '29', 'clubName': 'Venezia FC', 'clubID': '607', 'value': '€4.00m'}, {'date': '10/11/2022', 'age': '29', 'clubName': 'BSC Young Boys', 'clubID': '452', 'value': '€4.00m'}, {'date': '28/03/2023', 'age': '29', 'clubName': 'BSC Young Boys', 'clubID': '452', 'value': '€3.50m'}, {'date': '07/06/2023', 'age': '30', 'clubName': 'BSC Young Boys', 'clubID': '452', 'value': '€3.50m'}, {'date': '19/10/2023', 'age': '30', 'clubName': 'BSC Young Boys', 'clubID': '452', 'value': '€3.00m'}, {'date': '21/12/2023', 'age': '30', 'clubName': 'BSC Young Boys', 'clubID': '452', 'value': '€3.00m'}, {'date': '03/06/2024', 'age': '31', 'clubName': 'Como 1907', 'clubID': '1047', 'value': '€2.80m'}, {'date': '20/09/2024', 'age': '31', 'clubName': 'Legia Warszawa', 'clubID': '255', 'value': '€2.00m'}, {'date': '09/12/2024', 'age': '31', 'clubName': 'Legia Warszawa', 'clubID': '255', 'value': '€1.00m'}, {'date': '10/06/2025', 'age': '32', 'clubName': 'FC St. Gallen 1879', 'clubID': '257', 'value': '€700k'}, {'date': '08/12/2025', 'age': '32', 'clubName': 'Legia Warszawa', 'clubID': '255', 'value': '€550k'}, {'date': '26/03/2026', 'age': '32', 'clubName': 'Legia Warszawa', 'clubID': '255', 'value': '€450k'}]}</t>
  </si>
  <si>
    <t>1993-05-01</t>
  </si>
  <si>
    <t>Candreva</t>
  </si>
  <si>
    <t>{'marketValueHistory': [{'date': 'Feb 9, 2008', 'age': '20', 'clubName': 'Udinese Calcio', 'clubID': '410', 'value': '€400k'}, {'date': 'Jul 3, 2008', 'age': '21', 'clubName': 'Udinese Calcio', 'clubID': '410', 'value': '€500k'}, {'date': 'Jun 22, 2009', 'age': '22', 'clubName': 'AS Livorno', 'clubID': '1210', 'value': '€850k'}, {'date': 'Oct 29, 2009', 'age': '22', 'clubName': 'AS Livorno', 'clubID': '1210', 'value': '€2.00m'}, {'date': 'Nov 15, 2009', 'age': '22', 'clubName': 'AS Livorno', 'clubID': '1210', 'value': '€4.00m'}, {'date': 'Jan 27, 2010', 'age': '22', 'clubName': 'Juventus FC', 'clubID': '506', 'value': '€6.00m'}, {'date': 'Jul 19, 2010', 'age': '23', 'clubName': 'Udinese Calcio', 'clubID': '410', 'value': '€7.50m'}, {'date': 'Jan 5, 2011', 'age': '23', 'clubName': 'Parma FC', 'clubID': '130', 'value': '€7.00m'}, {'date': 'Jun 21, 2011', 'age': '24', 'clubName': 'Parma FC', 'clubID': '130', 'value': '€6.00m'}, {'date': 'Jan 10, 2012', 'age': '24', 'clubName': 'AC Cesena', 'clubID': '1429', 'value': '€5.50m'}, {'date': 'Jun 8, 2012', 'age': '25', 'clubName': 'SS Lazio', 'clubID': '398', 'value': '€5.50m'}, {'date': 'Nov 7, 2012', 'age': '25', 'clubName': 'SS Lazio', 'clubID': '398', 'value': '€6.50m'}, {'date': 'Jan 14, 2013', 'age': '25', 'clubName': 'SS Lazio', 'clubID': '398', 'value': '€8.50m'}, {'date': 'Jun 19, 2013', 'age': '26', 'clubName': 'SS Lazio', 'clubID': '398', 'value': '€10.00m'}, {'date': 'Sep 25, 2013', 'age': '26', 'clubName': 'SS Lazio', 'clubID': '398', 'value': '€14.00m'}, {'date': 'Jan 7, 2014', 'age': '26', 'clubName': 'SS Lazio', 'clubID': '398', 'value': '€16.50m'}, {'date': 'Jul 11, 2014', 'age': '27', 'clubName': 'SS Lazio', 'clubID': '398', 'value': '€20.00m'}, {'date': 'Nov 8, 2014', 'age': '27', 'clubName': 'SS Lazio', 'clubID': '398', 'value': '€23.00m'}, {'date': 'Jan 7, 2015', 'age': '27', 'clubName': 'SS Lazio', 'clubID': '398', 'value': '€23.00m'}, {'date': 'Mar 20, 2015', 'age': '28', 'clubName': 'SS Lazio', 'clubID': '398', 'value': '€25.00m'}, {'date': 'Jul 1, 2015', 'age': '28', 'clubName': 'SS Lazio', 'clubID': '398', 'value': '€27.00m'}, {'date': 'Jan 4, 2016', 'age': '28', 'clubName': 'SS Lazio', 'clubID': '398', 'value': '€25.00m'}, {'date': 'Jun 1, 2016', 'age': '29', 'clubName': 'SS Lazio', 'clubID': '398', 'value': '€23.00m'}, {'date': 'Jul 15, 2016', 'age': '29', 'clubName': 'SS Lazio', 'clubID': '398', 'value': '€23.00m'}, {'date': 'Jan 2, 2017', 'age': '29', 'clubName': 'Inter Milan', 'clubID': '46', 'value': '€23.00m'}, {'date': 'Jun 8, 2017', 'age': '30', 'clubName': 'Inter Milan', 'clubID': '46', 'value': '€20.00m'}, {'date': 'Dec 29, 2017', 'age': '30', 'clubName': 'Inter Milan', 'clubID': '46', 'value': '€20.00m'}, {'date': 'Mar 24, 2018', 'age': '31', 'clubName': 'Inter Milan', 'clubID': '46', 'value': '€17.50m'}, {'date': 'Jun 7, 2018', 'age': '31', 'clubName': 'Inter Milan', 'clubID': '46', 'value': '€14.00m'}, {'date': 'Dec 20, 2018', 'age': '31', 'clubName': 'Inter Milan', 'clubID': '46', 'value': '€11.00m'}, {'date': 'Jun 6, 2019', 'age': '32', 'clubName': 'Inter Milan', 'clubID': '46', 'value': '€5.00m'}, {'date': 'Oct 8, 2019', 'age': '32', 'clubName': 'Inter Milan', 'clubID': '46', 'value': '€7.00m'}, {'date': 'Dec 12, 2019', 'age': '32', 'clubName': 'Inter Milan', 'clubID': '46', 'value': '€7.00m'}, {'date': 'Apr 8, 2020', 'age': '33', 'clubName': 'Inter Milan', 'clubID': '46', 'value': '€5.50m'}, {'date': 'Aug 25, 2020', 'age': '33', 'clubName': 'Inter Milan', 'clubID': '46', 'value': '€5.00m'}, {'date': 'Dec 29, 2020', 'age': '33', 'clubName': 'UC Sampdoria', 'clubID': '1038', 'value': '€3.00m'}, {'date': 'Jun 3, 2021', 'age': '34', 'clubName': 'UC Sampdoria', 'clubID': '1038', 'value': '€2.50m'}, {'date': 'Dec 28, 2021', 'age': '34', 'clubName': 'UC Sampdoria', 'clubID': '1038', 'value': '€2.50m'}, {'date': 'Jun 7, 2022', 'age': '35', 'clubName': 'UC Sampdoria', 'clubID': '1038', 'value': '€2.50m'}, {'date': 'Nov 11, 2022', 'age': '35', 'clubName': 'US Salernitana 1919', 'clubID': '380', 'value': '€1.50m'}, {'date': 'Jun 15, 2023', 'age': '36', 'clubName': 'US Salernitana 1919', 'clubID': '380', 'value': '€1.50m'}, {'date': 'Dec 20, 2023', 'age': '36', 'clubName': 'US Salernitana 1919', 'clubID': '380', 'value': '€1.50m'}, {'date': 'Jun 5, 2024', 'age': '37', 'clubName': 'US Salernitana 1919', 'clubID': '380', 'value': '€1.00m'}, {'date': 'Oct 16, 2024', 'age': '37', 'clubName': 'Without Club', 'clubID': '515', 'value': '€600k'}, {'date': 'Mar 18, 2025', 'age': '38', 'clubName': 'Retired', 'clubID': '123', 'value': '-'}]}</t>
  </si>
  <si>
    <t>1987-02-28</t>
  </si>
  <si>
    <t>Feghouli</t>
  </si>
  <si>
    <t>{'marketValueHistory': [{'date': '27/08/2007', 'age': '17', 'clubName': 'Grenoble Foot 38', 'clubID': '1290', 'value': '€100k'}, {'date': '11/12/2007', 'age': '17', 'clubName': 'Grenoble Foot 38', 'clubID': '1290', 'value': '€300k'}, {'date': '09/04/2008', 'age': '18', 'clubName': 'Grenoble Foot 38', 'clubID': '1290', 'value': '€500k'}, {'date': '18/05/2008', 'age': '18', 'clubName': 'Grenoble Foot 38', 'clubID': '1290', 'value': '€800k'}, {'date': '23/09/2008', 'age': '18', 'clubName': 'Grenoble Foot 38', 'clubID': '1290', 'value': '€1.60m'}, {'date': '30/12/2008', 'age': '19', 'clubName': 'Grenoble Foot 38', 'clubID': '1290', 'value': '€2.50m'}, {'date': '18/05/2009', 'age': '19', 'clubName': 'Grenoble Foot 38', 'clubID': '1290', 'value': '€3.00m'}, {'date': '22/12/2009', 'age': '19', 'clubName': 'Grenoble Foot 38', 'clubID': '1290', 'value': '€2.80m'}, {'date': '18/05/2010', 'age': '20', 'clubName': 'Grenoble Foot 38', 'clubID': '1290', 'value': '€3.00m'}, {'date': '27/08/2010', 'age': '20', 'clubName': 'Valencia CF', 'clubID': '1049', 'value': '€4.00m'}, {'date': '14/12/2010', 'age': '20', 'clubName': 'Valencia CF', 'clubID': '1049', 'value': '€3.00m'}, {'date': '04/02/2011', 'age': '21', 'clubName': 'UD Almería', 'clubID': '3302', 'value': '€3.00m'}, {'date': '29/07/2011', 'age': '21', 'clubName': 'Valencia CF', 'clubID': '1049', 'value': '€3.00m'}, {'date': '03/02/2012', 'age': '22', 'clubName': 'Valencia CF', 'clubID': '1049', 'value': '€5.00m'}, {'date': '14/04/2012', 'age': '22', 'clubName': 'Valencia CF', 'clubID': '1049', 'value': '€8.00m'}, {'date': '07/08/2012', 'age': '22', 'clubName': 'Valencia CF', 'clubID': '1049', 'value': '€8.00m'}, {'date': '11/01/2013', 'age': '23', 'clubName': 'Valencia CF', 'clubID': '1049', 'value': '€12.00m'}, {'date': '12/06/2013', 'age': '23', 'clubName': 'Valencia CF', 'clubID': '1049', 'value': '€12.00m'}, {'date': '23/01/2014', 'age': '24', 'clubName': 'Valencia CF', 'clubID': '1049', 'value': '€12.00m'}, {'date': '20/07/2014', 'age': '24', 'clubName': 'Valencia CF', 'clubID': '1049', 'value': '€15.00m'}, {'date': '23/01/2015', 'age': '25', 'clubName': 'Valencia CF', 'clubID': '1049', 'value': '€15.00m'}, {'date': '01/07/2015', 'age': '25', 'clubName': 'Valencia CF', 'clubID': '1049', 'value': '€16.00m'}, {'date': '23/11/2015', 'age': '25', 'clubName': 'Valencia CF', 'clubID': '1049', 'value': '€18.00m'}, {'date': '22/02/2016', 'age': '26', 'clubName': 'Valencia CF', 'clubID': '1049', 'value': '€18.00m'}, {'date': '07/04/2016', 'age': '26', 'clubName': 'Valencia CF', 'clubID': '1049', 'value': '€15.00m'}, {'date': '01/08/2016', 'age': '26', 'clubName': 'West Ham United', 'clubID': '379', 'value': '€14.00m'}, {'date': '20/02/2017', 'age': '27', 'clubName': 'West Ham United', 'clubID': '379', 'value': '€12.00m'}, {'date': '28/06/2017', 'age': '27', 'clubName': 'West Ham United', 'clubID': '379', 'value': '€12.00m'}, {'date': '06/10/2017', 'age': '27', 'clubName': 'Galatasaray', 'clubID': '141', 'value': '€8.00m'}, {'date': '12/02/2018', 'age': '28', 'clubName': 'Galatasaray', 'clubID': '141', 'value': '€8.00m'}, {'date': '29/05/2018', 'age': '28', 'clubName': 'Galatasaray', 'clubID': '141', 'value': '€7.50m'}, {'date': '04/01/2019', 'age': '29', 'clubName': 'Galatasaray', 'clubID': '141', 'value': '€5.00m'}, {'date': '04/06/2019', 'age': '29', 'clubName': 'Galatasaray', 'clubID': '141', 'value': '€7.00m'}, {'date': '04/10/2019', 'age': '29', 'clubName': 'Galatasaray', 'clubID': '141', 'value': '€8.00m'}, {'date': '03/01/2020', 'age': '30', 'clubName': 'Galatasaray', 'clubID': '141', 'value': '€7.50m'}, {'date': '08/04/2020', 'age': '30', 'clubName': 'Galatasaray', 'clubID': '141', 'value': '€6.00m'}, {'date': '04/08/2020', 'age': '30', 'clubName': 'Galatasaray', 'clubID': '141', 'value': '€5.50m'}, {'date': '23/12/2020', 'age': '30', 'clubName': 'Galatasaray', 'clubID': '141', 'value': '€4.70m'}, {'date': '16/03/2021', 'age': '31', 'clubName': 'Galatasaray', 'clubID': '141', 'value': '€4.00m'}, {'date': '21/05/2021', 'age': '31', 'clubName': 'Galatasaray', 'clubID': '141', 'value': '€3.00m'}, {'date': '12/10/2021', 'age': '31', 'clubName': 'Galatasaray', 'clubID': '141', 'value': '€2.10m'}, {'date': '04/01/2022', 'age': '32', 'clubName': 'Galatasaray', 'clubID': '141', 'value': '€2.20m'}, {'date': '31/03/2022', 'age': '32', 'clubName': 'Galatasaray', 'clubID': '141', 'value': '€1.60m'}, {'date': '01/06/2022', 'age': '32', 'clubName': 'Galatasaray', 'clubID': '141', 'value': '€1.20m'}, {'date': '07/10/2022', 'age': '32', 'clubName': 'Without Club', 'clubID': '515', 'value': '€700k'}, {'date': '14/03/2023', 'age': '33', 'clubName': 'Fatih Karagümrük', 'clubID': '6646', 'value': '€700k'}, {'date': '08/06/2023', 'age': '33', 'clubName': 'Fatih Karagümrük', 'clubID': '6646', 'value': '€500k'}, {'date': '27/09/2023', 'age': '33', 'clubName': 'Fatih Karagümrük', 'clubID': '6646', 'value': '€500k'}, {'date': '21/12/2023', 'age': '33', 'clubName': 'Fatih Karagümrük', 'clubID': '6646', 'value': '€450k'}, {'date': '15/03/2024', 'age': '34', 'clubName': 'Fatih Karagümrük', 'clubID': '6646', 'value': '€450k'}, {'date': '31/05/2024', 'age': '34', 'clubName': 'Fatih Karagümrük', 'clubID': '6646', 'value': '€400k'}, {'date': '16/10/2024', 'age': '34', 'clubName': 'Without Club', 'clubID': '515', 'value': '€300k'}, {'date': '04/04/2025', 'age': '35', 'clubName': 'Without Club', 'clubID': '515', 'value': '€200k'}, {'date': '29/12/2025', 'age': '36', 'clubName': 'Amanat Baghdad', 'clubID': '23804', 'value': '€150k'}, {'date': '09/04/2026', 'age': '36', 'clubName': 'Without Club', 'clubID': '515', 'value': '€100k'}]}</t>
  </si>
  <si>
    <t>1989-12-26</t>
  </si>
  <si>
    <t>Butko</t>
  </si>
  <si>
    <t>{'marketValueHistory': [{'date': 'Dec 14, 2008', 'age': '17', 'clubName': 'Shakhtar Donetsk II', 'clubID': '8963', 'value': '€50k'}, {'date': 'Aug 6, 2009', 'age': '18', 'clubName': 'Shakhtar Donetsk II', 'clubID': '8963', 'value': '€150k'}, {'date': 'Nov 23, 2009', 'age': '18', 'clubName': 'Shakhtar Donetsk II', 'clubID': '8963', 'value': '€100k'}, {'date': 'Aug 28, 2010', 'age': '19', 'clubName': 'Volyn Lutsk', 'clubID': '4482', 'value': '€400k'}, {'date': 'Jan 1, 2011', 'age': '19', 'clubName': 'Volyn Lutsk', 'clubID': '4482', 'value': '€1.00m'}, {'date': 'Jun 16, 2011', 'age': '20', 'clubName': 'Volyn Lutsk', 'clubID': '4482', 'value': '€1.50m'}, {'date': 'Jan 5, 2012', 'age': '20', 'clubName': 'Illichivets Mariupol', 'clubID': '6993', 'value': '€2.00m'}, {'date': 'Jul 2, 2012', 'age': '21', 'clubName': 'Illichivets Mariupol', 'clubID': '6993', 'value': '€2.50m'}, {'date': 'Nov 19, 2012', 'age': '21', 'clubName': 'Illichivets Mariupol', 'clubID': '6993', 'value': '€3.00m'}, {'date': 'Sep 13, 2013', 'age': '22', 'clubName': 'Illichivets Mariupol', 'clubID': '6993', 'value': '€2.50m'}, {'date': 'Jan 2, 2014', 'age': '22', 'clubName': 'Illichivets Mariupol', 'clubID': '6993', 'value': '€1.80m'}, {'date': 'Dec 25, 2014', 'age': '23', 'clubName': 'Illichivets Mariupol', 'clubID': '6993', 'value': '€1.20m'}, {'date': 'Jun 18, 2015', 'age': '24', 'clubName': 'Amkar Perm', 'clubID': '4128', 'value': '€1.30m'}, {'date': 'Jan 6, 2016', 'age': '24', 'clubName': 'Amkar Perm', 'clubID': '4128', 'value': '€1.80m'}, {'date': 'Jun 1, 2016', 'age': '25', 'clubName': 'Amkar Perm', 'clubID': '4128', 'value': '€2.00m'}, {'date': 'Jul 21, 2016', 'age': '25', 'clubName': 'Shakhtar Donetsk', 'clubID': '660', 'value': '€2.00m'}, {'date': 'Jan 3, 2017', 'age': '25', 'clubName': 'Shakhtar Donetsk', 'clubID': '660', 'value': '€2.00m'}, {'date': 'Jun 26, 2017', 'age': '26', 'clubName': 'Shakhtar Donetsk', 'clubID': '660', 'value': '€1.80m'}, {'date': 'Jan 12, 2018', 'age': '26', 'clubName': 'Shakhtar Donetsk', 'clubID': '660', 'value': '€2.00m'}, {'date': 'Aug 6, 2018', 'age': '27', 'clubName': 'Shakhtar Donetsk', 'clubID': '660', 'value': '€2.00m'}, {'date': 'Dec 10, 2018', 'age': '27', 'clubName': 'Shakhtar Donetsk', 'clubID': '660', 'value': '€2.00m'}, {'date': 'Jun 20, 2019', 'age': '28', 'clubName': 'Shakhtar Donetsk', 'clubID': '660', 'value': '€2.00m'}, {'date': 'Jan 8, 2020', 'age': '28', 'clubName': 'Shakhtar Donetsk', 'clubID': '660', 'value': '€1.50m'}, {'date': 'Apr 8, 2020', 'age': '29', 'clubName': 'Lech Poznan', 'clubID': '238', 'value': '€1.20m'}, {'date': 'Sep 4, 2020', 'age': '29', 'clubName': 'Shakhtar Donetsk', 'clubID': '660', 'value': '€1.20m'}, {'date': 'Jan 15, 2021', 'age': '30', 'clubName': 'Shakhtar Donetsk', 'clubID': '660', 'value': '€900k'}, {'date': 'Mar 16, 2021', 'age': '30', 'clubName': 'Büyüksehir Belediye Erzurumspor', 'clubID': '39722', 'value': '€750k'}, {'date': 'May 21, 2021', 'age': '30', 'clubName': 'Büyüksehir Belediye Erzurumspor', 'clubID': '39722', 'value': '€675k'}, {'date': 'Oct 28, 2021', 'age': '30', 'clubName': 'Without Club', 'clubID': '515', 'value': '€500k'}, {'date': 'Apr 21, 2022', 'age': '31', 'clubName': 'Without Club', 'clubID': '515', 'value': '€250k'}, {'date': 'Dec 6, 2022', 'age': '31', 'clubName': 'Zorya Lugansk', 'clubID': '10690', 'value': '€300k'}, {'date': 'Jun 21, 2023', 'age': '32', 'clubName': 'Zorya Lugansk', 'clubID': '10690', 'value': '€500k'}, {'date': 'Dec 11, 2023', 'age': '32', 'clubName': 'Zorya Lugansk', 'clubID': '10690', 'value': '€300k'}, {'date': 'Jun 6, 2024', 'age': '33', 'clubName': 'Zorya Lugansk', 'clubID': '10690', 'value': '€200k'}, {'date': 'Dec 17, 2024', 'age': '33', 'clubName': 'Chornomorets Odesa', 'clubID': '6992', 'value': '€150k'}, {'date': 'Jun 10, 2025', 'age': '34', 'clubName': 'Chornomorets Odesa', 'clubID': '6992', 'value': '€100k'}, {'date': 'Oct 21, 2025', 'age': '34', 'clubName': 'Without Club', 'clubID': '515', 'value': '€50k'}]}</t>
  </si>
  <si>
    <t>1991-01-13</t>
  </si>
  <si>
    <t>Garcia</t>
  </si>
  <si>
    <t>{'marketValueHistory': [{'date': '23/11/2018', 'age': '19', 'clubName': 'Real Madrid Castilla', 'clubID': '6767', 'value': '€150k'}, {'date': '19/02/2019', 'age': '19', 'clubName': 'Real Madrid Castilla', 'clubID': '6767', 'value': '€200k'}, {'date': '29/06/2019', 'age': '19', 'clubName': 'Real Madrid Castilla', 'clubID': '6767', 'value': '€250k'}, {'date': '10/09/2019', 'age': '20', 'clubName': 'Real Madrid Castilla', 'clubID': '6767', 'value': '€250k'}, {'date': '11/02/2020', 'age': '20', 'clubName': 'Real Madrid Castilla', 'clubID': '6767', 'value': '€250k'}, {'date': '08/10/2020', 'age': '21', 'clubName': 'Rayo Vallecano', 'clubID': '367', 'value': '€300k'}, {'date': '23/11/2020', 'age': '21', 'clubName': 'Rayo Vallecano', 'clubID': '367', 'value': '€800k'}, {'date': '08/01/2021', 'age': '21', 'clubName': 'Rayo Vallecano', 'clubID': '367', 'value': '€1.50m'}, {'date': '24/06/2021', 'age': '21', 'clubName': 'Rayo Vallecano', 'clubID': '367', 'value': '€3.00m'}, {'date': '30/12/2021', 'age': '22', 'clubName': 'Rayo Vallecano', 'clubID': '367', 'value': '€3.50m'}, {'date': '21/03/2022', 'age': '22', 'clubName': 'Rayo Vallecano', 'clubID': '367', 'value': '€5.00m'}, {'date': '03/06/2022', 'age': '22', 'clubName': 'Rayo Vallecano', 'clubID': '367', 'value': '€7.50m'}, {'date': '07/11/2022', 'age': '23', 'clubName': 'Rayo Vallecano', 'clubID': '367', 'value': '€8.00m'}, {'date': '23/03/2023', 'age': '23', 'clubName': 'Rayo Vallecano', 'clubID': '367', 'value': '€10.00m'}, {'date': '13/06/2023', 'age': '23', 'clubName': 'Rayo Vallecano', 'clubID': '367', 'value': '€12.00m'}, {'date': '13/10/2023', 'age': '24', 'clubName': 'Real Madrid', 'clubID': '418', 'value': '€15.00m'}, {'date': '22/12/2023', 'age': '24', 'clubName': 'Real Madrid', 'clubID': '418', 'value': '€15.00m'}, {'date': '07/06/2024', 'age': '24', 'clubName': 'Real Madrid', 'clubID': '418', 'value': '€15.00m'}, {'date': '27/12/2024', 'age': '25', 'clubName': 'Real Madrid', 'clubID': '418', 'value': '€15.00m'}, {'date': '09/06/2025', 'age': '25', 'clubName': 'Real Madrid', 'clubID': '418', 'value': '€18.00m'}, {'date': '12/12/2025', 'age': '26', 'clubName': 'Real Madrid', 'clubID': '418', 'value': '€15.00m'}, {'date': '16/03/2026', 'age': '26', 'clubName': 'Real Madrid', 'clubID': '418', 'value': '€12.00m'}]}</t>
  </si>
  <si>
    <t>1999-08-14</t>
  </si>
  <si>
    <t>Brenet</t>
  </si>
  <si>
    <t>{'marketValueHistory': [{'date': 'Dec 7, 2012', 'age': '18', 'clubName': 'PSV Eindhoven U21', 'clubID': '32801', 'value': '€50k'}, {'date': 'Jan 11, 2013', 'age': '18', 'clubName': 'PSV Eindhoven U21', 'clubID': '32801', 'value': '€150k'}, {'date': 'May 28, 2013', 'age': '19', 'clubName': 'PSV Eindhoven U21', 'clubID': '32801', 'value': '€200k'}, {'date': 'Aug 7, 2013', 'age': '19', 'clubName': 'PSV Eindhoven', 'clubID': '383', 'value': '€200k'}, {'date': 'Sep 26, 2013', 'age': '19', 'clubName': 'PSV Eindhoven', 'clubID': '383', 'value': '€750k'}, {'date': 'Feb 11, 2014', 'age': '19', 'clubName': 'PSV Eindhoven', 'clubID': '383', 'value': '€750k'}, {'date': 'Aug 11, 2014', 'age': '20', 'clubName': 'PSV Eindhoven', 'clubID': '383', 'value': '€600k'}, {'date': 'Feb 16, 2015', 'age': '20', 'clubName': 'PSV Eindhoven', 'clubID': '383', 'value': '€600k'}, {'date': 'Jul 1, 2015', 'age': '21', 'clubName': 'PSV Eindhoven', 'clubID': '383', 'value': '€850k'}, {'date': 'Nov 11, 2015', 'age': '21', 'clubName': 'PSV Eindhoven', 'clubID': '383', 'value': '€1.50m'}, {'date': 'Feb 5, 2016', 'age': '21', 'clubName': 'PSV Eindhoven', 'clubID': '383', 'value': '€3.50m'}, {'date': 'Jul 1, 2016', 'age': '22', 'clubName': 'PSV Eindhoven', 'clubID': '383', 'value': '€3.50m'}, {'date': 'Jan 18, 2017', 'age': '22', 'clubName': 'PSV Eindhoven', 'clubID': '383', 'value': '€4.25m'}, {'date': 'Jun 7, 2017', 'age': '23', 'clubName': 'PSV Eindhoven', 'clubID': '383', 'value': '€4.00m'}, {'date': 'Jan 17, 2018', 'age': '23', 'clubName': 'PSV Eindhoven', 'clubID': '383', 'value': '€4.00m'}, {'date': 'Jun 12, 2018', 'age': '24', 'clubName': 'PSV Eindhoven', 'clubID': '383', 'value': '€5.00m'}, {'date': 'Dec 18, 2018', 'age': '24', 'clubName': 'TSG 1899 Hoffenheim', 'clubID': '533', 'value': '€5.00m'}, {'date': 'Jun 5, 2019', 'age': '25', 'clubName': 'TSG 1899 Hoffenheim', 'clubID': '533', 'value': '€4.50m'}, {'date': 'Dec 17, 2019', 'age': '25', 'clubName': 'TSG 1899 Hoffenheim', 'clubID': '533', 'value': '€3.00m'}, {'date': 'Apr 8, 2020', 'age': '26', 'clubName': 'Vitesse Arnhem', 'clubID': '499', 'value': '€2.40m'}, {'date': 'Feb 10, 2021', 'age': '26', 'clubName': 'TSG 1899 Hoffenheim', 'clubID': '533', 'value': '€1.40m'}, {'date': 'Jun 9, 2021', 'age': '27', 'clubName': 'TSG 1899 Hoffenheim', 'clubID': '533', 'value': '€800k'}, {'date': 'Dec 22, 2021', 'age': '27', 'clubName': 'TSG 1899 Hoffenheim', 'clubID': '533', 'value': '€500k'}, {'date': 'Jun 8, 2022', 'age': '28', 'clubName': 'FC Twente Enschede', 'clubID': '317', 'value': '€1.30m'}, {'date': 'Sep 14, 2022', 'age': '28', 'clubName': 'FC Twente Enschede', 'clubID': '317', 'value': '€2.00m'}, {'date': 'Nov 11, 2022', 'age': '28', 'clubName': 'FC Twente Enschede', 'clubID': '317', 'value': '€3.00m'}, {'date': 'Jun 23, 2023', 'age': '29', 'clubName': 'FC Twente Enschede', 'clubID': '317', 'value': '€4.00m'}, {'date': 'Dec 15, 2023', 'age': '29', 'clubName': 'FC Twente Enschede', 'clubID': '317', 'value': '€3.50m'}, {'date': 'May 31, 2024', 'age': '30', 'clubName': 'FC Twente Enschede', 'clubID': '317', 'value': '€3.50m'}, {'date': 'Dec 10, 2024', 'age': '30', 'clubName': 'Al-Rayyan SC', 'clubID': '3229', 'value': '€3.00m'}, {'date': 'May 28, 2025', 'age': '31', 'clubName': 'Al-Rayyan SC', 'clubID': '3229', 'value': '€2.50m'}, {'date': 'Dec 10, 2025', 'age': '31', 'clubName': 'Livingston FC', 'clubID': '1241', 'value': '€1.50m'}, {'date': 'Mar 5, 2026', 'age': '31', 'clubName': 'Kayserispor', 'clubID': '3205', 'value': '€1.20m'}]}</t>
  </si>
  <si>
    <t>Montero</t>
  </si>
  <si>
    <t>1944-04-25</t>
  </si>
  <si>
    <t>Alfa Semedo</t>
  </si>
  <si>
    <t>{'marketValueHistory': [{'date': 'Jun 30, 2017', 'age': '19', 'clubName': 'SL Benfica B', 'clubID': '10330', 'value': '€25k'}, {'date': 'Nov 6, 2017', 'age': '20', 'clubName': 'Moreirense FC', 'clubID': '979', 'value': '€400k'}, {'date': 'Feb 7, 2018', 'age': '20', 'clubName': 'Moreirense FC', 'clubID': '979', 'value': '€1.00m'}, {'date': 'Jun 13, 2018', 'age': '20', 'clubName': 'Moreirense FC', 'clubID': '979', 'value': '€1.50m'}, {'date': 'Nov 1, 2018', 'age': '21', 'clubName': 'SL Benfica', 'clubID': '294', 'value': '€3.50m'}, {'date': 'Jan 11, 2019', 'age': '21', 'clubName': 'SL Benfica', 'clubID': '294', 'value': '€4.00m'}, {'date': 'Jun 11, 2019', 'age': '21', 'clubName': 'RCD Espanyol Barcelona', 'clubID': '714', 'value': '€2.00m'}, {'date': 'Feb 27, 2020', 'age': '22', 'clubName': 'Nottingham Forest', 'clubID': '703', 'value': '€2.00m'}, {'date': 'Apr 8, 2020', 'age': '22', 'clubName': 'Nottingham Forest', 'clubID': '703', 'value': '€1.60m'}, {'date': 'Oct 15, 2020', 'age': '23', 'clubName': 'Reading FC', 'clubID': '1032', 'value': '€1.60m'}, {'date': 'Mar 10, 2021', 'age': '23', 'clubName': 'Reading FC', 'clubID': '1032', 'value': '€1.80m'}, {'date': 'Sep 21, 2021', 'age': '24', 'clubName': 'Vitória Guimarães SC', 'clubID': '2420', 'value': '€1.80m'}, {'date': 'Dec 27, 2021', 'age': '24', 'clubName': 'Vitória Guimarães SC', 'clubID': '2420', 'value': '€1.80m'}, {'date': 'May 31, 2022', 'age': '24', 'clubName': 'Vitória Guimarães SC', 'clubID': '2420', 'value': '€1.50m'}, {'date': 'Dec 2, 2022', 'age': '25', 'clubName': 'Al-Tai FC', 'clubID': '40079', 'value': '€1.80m'}, {'date': 'Jun 12, 2023', 'age': '25', 'clubName': 'Al-Tai FC', 'clubID': '40079', 'value': '€2.00m'}, {'date': 'Dec 15, 2023', 'age': '26', 'clubName': 'Al-Tai FC', 'clubID': '40079', 'value': '€1.80m'}, {'date': 'Jun 4, 2024', 'age': '26', 'clubName': 'Al-Tai FC', 'clubID': '40079', 'value': '€1.60m'}, {'date': 'Dec 13, 2024', 'age': '27', 'clubName': 'NEOM SC', 'clubID': '34911', 'value': '€1.30m'}, {'date': 'Jun 24, 2025', 'age': '27', 'clubName': 'NEOM SC', 'clubID': '34911', 'value': '€1.20m'}, {'date': 'Dec 18, 2025', 'age': '28', 'clubName': 'Al-Fayha FC', 'clubID': '50531', 'value': '€1.00m'}]}</t>
  </si>
  <si>
    <t>Guinea-Bissau</t>
  </si>
  <si>
    <t>1997-08-30</t>
  </si>
  <si>
    <t>Coman</t>
  </si>
  <si>
    <t>{'marketValueHistory': [{'date': '24/09/2013', 'age': '17', 'clubName': 'Paris Saint-Germain', 'clubID': '583', 'value': '€500k'}, {'date': '14/01/2014', 'age': '17', 'clubName': 'Paris Saint-Germain', 'clubID': '583', 'value': '€750k'}, {'date': '11/09/2014', 'age': '18', 'clubName': 'Juventus FC', 'clubID': '506', 'value': '€1.00m'}, {'date': '07/01/2015', 'age': '18', 'clubName': 'Juventus FC', 'clubID': '506', 'value': '€2.50m'}, {'date': '01/07/2015', 'age': '19', 'clubName': 'Juventus FC', 'clubID': '506', 'value': '€3.50m'}, {'date': '16/10/2015', 'age': '19', 'clubName': 'Bayern Munich', 'clubID': '27', 'value': '€10.00m'}, {'date': '15/02/2016', 'age': '19', 'clubName': 'Bayern Munich', 'clubID': '27', 'value': '€15.00m'}, {'date': '01/06/2016', 'age': '19', 'clubName': 'Bayern Munich', 'clubID': '27', 'value': '€17.00m'}, {'date': '22/07/2016', 'age': '20', 'clubName': 'Bayern Munich', 'clubID': '27', 'value': '€20.00m'}, {'date': '07/02/2017', 'age': '20', 'clubName': 'Bayern Munich', 'clubID': '27', 'value': '€20.00m'}, {'date': '19/06/2017', 'age': '21', 'clubName': 'Bayern Munich', 'clubID': '27', 'value': '€20.00m'}, {'date': '28/12/2017', 'age': '21', 'clubName': 'Bayern Munich', 'clubID': '27', 'value': '€35.00m'}, {'date': '04/04/2018', 'age': '21', 'clubName': 'Bayern Munich', 'clubID': '27', 'value': '€50.00m'}, {'date': '05/06/2018', 'age': '21', 'clubName': 'Bayern Munich', 'clubID': '27', 'value': '€50.00m'}, {'date': '18/12/2018', 'age': '22', 'clubName': 'Bayern Munich', 'clubID': '27', 'value': '€50.00m'}, {'date': '05/06/2019', 'age': '22', 'clubName': 'Bayern Munich', 'clubID': '27', 'value': '€50.00m'}, {'date': '02/10/2019', 'age': '23', 'clubName': 'Bayern Munich', 'clubID': '27', 'value': '€60.00m'}, {'date': '17/12/2019', 'age': '23', 'clubName': 'Bayern Munich', 'clubID': '27', 'value': '€60.00m'}, {'date': '11/03/2020', 'age': '23', 'clubName': 'Bayern Munich', 'clubID': '27', 'value': '€50.00m'}, {'date': '08/04/2020', 'age': '23', 'clubName': 'Bayern Munich', 'clubID': '27', 'value': '€40.00m'}, {'date': '10/02/2021', 'age': '24', 'clubName': 'Bayern Munich', 'clubID': '27', 'value': '€55.00m'}, {'date': '31/03/2021', 'age': '24', 'clubName': 'Bayern Munich', 'clubID': '27', 'value': '€65.00m'}, {'date': '01/06/2021', 'age': '24', 'clubName': 'Bayern Munich', 'clubID': '27', 'value': '€65.00m'}, {'date': '07/10/2021', 'age': '25', 'clubName': 'Bayern Munich', 'clubID': '27', 'value': '€55.00m'}, {'date': '22/12/2021', 'age': '25', 'clubName': 'Bayern Munich', 'clubID': '27', 'value': '€55.00m'}, {'date': '24/03/2022', 'age': '25', 'clubName': 'Bayern Munich', 'clubID': '27', 'value': '€60.00m'}, {'date': '09/06/2022', 'age': '25', 'clubName': 'Bayern Munich', 'clubID': '27', 'value': '€60.00m'}, {'date': '09/11/2022', 'age': '26', 'clubName': 'Bayern Munich', 'clubID': '27', 'value': '€60.00m'}, {'date': '29/03/2023', 'age': '26', 'clubName': 'Bayern Munich', 'clubID': '27', 'value': '€65.00m'}, {'date': '22/06/2023', 'age': '27', 'clubName': 'Bayern Munich', 'clubID': '27', 'value': '€65.00m'}, {'date': '14/12/2023', 'age': '27', 'clubName': 'Bayern Munich', 'clubID': '27', 'value': '€65.00m'}, {'date': '29/05/2024', 'age': '27', 'clubName': 'Bayern Munich', 'clubID': '27', 'value': '€50.00m'}, {'date': '09/10/2024', 'age': '28', 'clubName': 'Bayern Munich', 'clubID': '27', 'value': '€40.00m'}, {'date': '20/12/2024', 'age': '28', 'clubName': 'Bayern Munich', 'clubID': '27', 'value': '€35.00m'}, {'date': '05/06/2025', 'age': '28', 'clubName': 'Bayern Munich', 'clubID': '27', 'value': '€30.00m'}, {'date': '18/12/2025', 'age': '29', 'clubName': 'Al-Nassr FC', 'clubID': '18544', 'value': '€22.00m'}]}</t>
  </si>
  <si>
    <t>1996-06-13</t>
  </si>
  <si>
    <t>Gameiro</t>
  </si>
  <si>
    <t>{'marketValueHistory': [{'date': 'Sep 20, 2007', 'age': '20', 'clubName': 'RC Strasbourg Alsace', 'clubID': '667', 'value': '€1.50m'}, {'date': 'Dec 27, 2007', 'age': '20', 'clubName': 'RC Strasbourg Alsace', 'clubID': '667', 'value': '€1.75m'}, {'date': 'May 5, 2008', 'age': '20', 'clubName': 'RC Strasbourg Alsace', 'clubID': '667', 'value': '€1.80m'}, {'date': 'Dec 30, 2008', 'age': '21', 'clubName': 'FC Lorient', 'clubID': '1158', 'value': '€3.30m'}, {'date': 'May 18, 2009', 'age': '22', 'clubName': 'FC Lorient', 'clubID': '1158', 'value': '€5.00m'}, {'date': 'Dec 22, 2009', 'age': '22', 'clubName': 'FC Lorient', 'clubID': '1158', 'value': '€7.20m'}, {'date': 'May 18, 2010', 'age': '23', 'clubName': 'FC Lorient', 'clubID': '1158', 'value': '€9.00m'}, {'date': 'Dec 28, 2010', 'age': '23', 'clubName': 'FC Lorient', 'clubID': '1158', 'value': '€10.00m'}, {'date': 'May 24, 2011', 'age': '24', 'clubName': 'FC Lorient', 'clubID': '1158', 'value': '€12.00m'}, {'date': 'May 30, 2011', 'age': '24', 'clubName': 'FC Lorient', 'clubID': '1158', 'value': '€13.50m'}, {'date': 'Dec 24, 2011', 'age': '24', 'clubName': 'Paris Saint-Germain', 'clubID': '583', 'value': '€14.75m'}, {'date': 'Feb 2, 2012', 'age': '24', 'clubName': 'Paris Saint-Germain', 'clubID': '583', 'value': '€15.00m'}, {'date': 'May 23, 2012', 'age': '25', 'clubName': 'Paris Saint-Germain', 'clubID': '583', 'value': '€14.00m'}, {'date': 'Jan 7, 2013', 'age': '25', 'clubName': 'Paris Saint-Germain', 'clubID': '583', 'value': '€12.00m'}, {'date': 'May 30, 2013', 'age': '26', 'clubName': 'Paris Saint-Germain', 'clubID': '583', 'value': '€10.00m'}, {'date': 'Aug 7, 2013', 'age': '26', 'clubName': 'Sevilla FC', 'clubID': '368', 'value': '€8.00m'}, {'date': 'Jan 23, 2014', 'age': '26', 'clubName': 'Sevilla FC', 'clubID': '368', 'value': '€7.00m'}, {'date': 'Aug 4, 2014', 'age': '27', 'clubName': 'Sevilla FC', 'clubID': '368', 'value': '€12.00m'}, {'date': 'Jan 23, 2015', 'age': '27', 'clubName': 'Sevilla FC', 'clubID': '368', 'value': '€12.00m'}, {'date': 'Jul 1, 2015', 'age': '28', 'clubName': 'Sevilla FC', 'clubID': '368', 'value': '€10.00m'}, {'date': 'Nov 23, 2015', 'age': '28', 'clubName': 'Sevilla FC', 'clubID': '368', 'value': '€12.00m'}, {'date': 'Feb 22, 2016', 'age': '28', 'clubName': 'Sevilla FC', 'clubID': '368', 'value': '€15.00m'}, {'date': 'Jul 15, 2016', 'age': '29', 'clubName': 'Sevilla FC', 'clubID': '368', 'value': '€20.00m'}, {'date': 'Oct 27, 2016', 'age': '29', 'clubName': 'Atlético de Madrid', 'clubID': '13', 'value': '€25.00m'}, {'date': 'Jan 24, 2017', 'age': '29', 'clubName': 'Atlético de Madrid', 'clubID': '13', 'value': '€25.00m'}, {'date': 'Jun 5, 2017', 'age': '30', 'clubName': 'Atlético de Madrid', 'clubID': '13', 'value': '€24.00m'}, {'date': 'Jan 1, 2018', 'age': '30', 'clubName': 'Atlético de Madrid', 'clubID': '13', 'value': '€20.00m'}, {'date': 'May 30, 2018', 'age': '31', 'clubName': 'Atlético de Madrid', 'clubID': '13', 'value': '€20.00m'}, {'date': 'Aug 15, 2018', 'age': '31', 'clubName': 'Valencia CF', 'clubID': '1049', 'value': '€18.00m'}, {'date': 'Dec 21, 2018', 'age': '31', 'clubName': 'Valencia CF', 'clubID': '1049', 'value': '€12.00m'}, {'date': 'Jun 11, 2019', 'age': '32', 'clubName': 'Valencia CF', 'clubID': '1049', 'value': '€9.00m'}, {'date': 'Dec 20, 2019', 'age': '32', 'clubName': 'Valencia CF', 'clubID': '1049', 'value': '€8.00m'}, {'date': 'Apr 8, 2020', 'age': '32', 'clubName': 'Valencia CF', 'clubID': '1049', 'value': '€6.50m'}, {'date': 'Oct 8, 2020', 'age': '33', 'clubName': 'Valencia CF', 'clubID': '1049', 'value': '€5.00m'}, {'date': 'Nov 23, 2020', 'age': '33', 'clubName': 'Valencia CF', 'clubID': '1049', 'value': '€4.00m'}, {'date': 'Jan 5, 2021', 'age': '33', 'clubName': 'Valencia CF', 'clubID': '1049', 'value': '€3.50m'}, {'date': 'Jun 10, 2021', 'age': '34', 'clubName': 'Valencia CF', 'clubID': '1049', 'value': '€3.00m'}, {'date': 'Dec 16, 2021', 'age': '34', 'clubName': 'RC Strasbourg Alsace', 'clubID': '667', 'value': '€2.00m'}, {'date': 'May 30, 2022', 'age': '35', 'clubName': 'RC Strasbourg Alsace', 'clubID': '667', 'value': '€2.00m'}, {'date': 'Nov 2, 2022', 'age': '35', 'clubName': 'RC Strasbourg Alsace', 'clubID': '667', 'value': '€1.50m'}, {'date': 'Jun 27, 2023', 'age': '36', 'clubName': 'RC Strasbourg Alsace', 'clubID': '667', 'value': '€1.20m'}, {'date': 'Dec 18, 2023', 'age': '36', 'clubName': 'RC Strasbourg Alsace', 'clubID': '667', 'value': '€1.00m'}, {'date': 'Mar 19, 2024', 'age': '36', 'clubName': 'RC Strasbourg Alsace', 'clubID': '667', 'value': '€800k'}, {'date': 'Jun 3, 2024', 'age': '37', 'clubName': 'RC Strasbourg Alsace', 'clubID': '667', 'value': '€700k'}, {'date': 'Oct 16, 2024', 'age': '37', 'clubName': 'Without Club', 'clubID': '515', 'value': '€500k'}, {'date': 'Mar 16, 2025', 'age': '37', 'clubName': 'Retired', 'clubID': '123', 'value': '-'}]}</t>
  </si>
  <si>
    <t>1987-05-09</t>
  </si>
  <si>
    <t>Renato Sanches</t>
  </si>
  <si>
    <t>{'marketValueHistory': [{'date': '31/07/2015', 'age': '17', 'clubName': 'SL Benfica B', 'clubID': '10330', 'value': '€800k'}, {'date': '24/02/2016', 'age': '18', 'clubName': 'SL Benfica', 'clubID': '294', 'value': '€10.00m'}, {'date': '01/06/2016', 'age': '18', 'clubName': 'SL Benfica', 'clubID': '294', 'value': '€20.00m'}, {'date': '22/07/2016', 'age': '18', 'clubName': 'Bayern Munich', 'clubID': '27', 'value': '€30.00m'}, {'date': '07/02/2017', 'age': '19', 'clubName': 'Bayern Munich', 'clubID': '27', 'value': '€30.00m'}, {'date': '19/06/2017', 'age': '19', 'clubName': 'Bayern Munich', 'clubID': '27', 'value': '€22.00m'}, {'date': '02/01/2018', 'age': '20', 'clubName': 'Swansea City', 'clubID': '2288', 'value': '€22.00m'}, {'date': '28/05/2018', 'age': '20', 'clubName': 'Swansea City', 'clubID': '2288', 'value': '€20.00m'}, {'date': '18/12/2018', 'age': '21', 'clubName': 'Bayern Munich', 'clubID': '27', 'value': '€20.00m'}, {'date': '05/06/2019', 'age': '21', 'clubName': 'Bayern Munich', 'clubID': '27', 'value': '€18.00m'}, {'date': '19/12/2019', 'age': '22', 'clubName': 'LOSC Lille', 'clubID': '1082', 'value': '€18.00m'}, {'date': '13/03/2020', 'age': '22', 'clubName': 'LOSC Lille', 'clubID': '1082', 'value': '€20.00m'}, {'date': '08/04/2020', 'age': '22', 'clubName': 'LOSC Lille', 'clubID': '1082', 'value': '€16.00m'}, {'date': '03/08/2020', 'age': '22', 'clubName': 'LOSC Lille', 'clubID': '1082', 'value': '€20.00m'}, {'date': '15/10/2020', 'age': '23', 'clubName': 'LOSC Lille', 'clubID': '1082', 'value': '€20.00m'}, {'date': '07/01/2021', 'age': '23', 'clubName': 'LOSC Lille', 'clubID': '1082', 'value': '€28.00m'}, {'date': '01/06/2021', 'age': '23', 'clubName': 'LOSC Lille', 'clubID': '1082', 'value': '€30.00m'}, {'date': '16/12/2021', 'age': '24', 'clubName': 'LOSC Lille', 'clubID': '1082', 'value': '€30.00m'}, {'date': '30/05/2022', 'age': '24', 'clubName': 'LOSC Lille', 'clubID': '1082', 'value': '€28.00m'}, {'date': '02/11/2022', 'age': '25', 'clubName': 'Paris Saint-Germain', 'clubID': '583', 'value': '€25.00m'}, {'date': '27/03/2023', 'age': '25', 'clubName': 'Paris Saint-Germain', 'clubID': '583', 'value': '€20.00m'}, {'date': '27/06/2023', 'age': '25', 'clubName': 'Paris Saint-Germain', 'clubID': '583', 'value': '€15.00m'}, {'date': '11/10/2023', 'age': '26', 'clubName': 'AS Roma', 'clubID': '12', 'value': '€14.00m'}, {'date': '20/12/2023', 'age': '26', 'clubName': 'AS Roma', 'clubID': '12', 'value': '€10.00m'}, {'date': '12/03/2024', 'age': '26', 'clubName': 'AS Roma', 'clubID': '12', 'value': '€8.00m'}, {'date': '05/06/2024', 'age': '26', 'clubName': 'AS Roma', 'clubID': '12', 'value': '€6.50m'}, {'date': '19/12/2024', 'age': '27', 'clubName': 'SL Benfica', 'clubID': '294', 'value': '€5.00m'}, {'date': '31/03/2025', 'age': '27', 'clubName': 'SL Benfica', 'clubID': '294', 'value': '€4.00m'}, {'date': '30/05/2025', 'age': '27', 'clubName': 'SL Benfica', 'clubID': '294', 'value': '€3.00m'}, {'date': '12/12/2025', 'age': '28', 'clubName': 'Panathinaikos', 'clubID': '265', 'value': '€2.50m'}, {'date': '06/03/2026', 'age': '28', 'clubName': 'Panathinaikos', 'clubID': '265', 'value': '€2.00m'}]}</t>
  </si>
  <si>
    <t>1997-08-18</t>
  </si>
  <si>
    <t>Hernani</t>
  </si>
  <si>
    <t>{'marketValueHistory': [{'date': 'Feb 1, 2015', 'age': '20', 'clubName': 'Atlético Paranaense', 'clubID': '679', 'value': '€1.00m'}, {'date': 'May 31, 2015', 'age': '21', 'clubName': 'Atlético Paranaense', 'clubID': '679', 'value': '€1.00m'}, {'date': 'Dec 15, 2015', 'age': '21', 'clubName': 'Atlético Paranaense', 'clubID': '679', 'value': '€1.75m'}, {'date': 'May 27, 2016', 'age': '22', 'clubName': 'Atlético Paranaense', 'clubID': '679', 'value': '€1.75m'}, {'date': 'Jan 30, 2017', 'age': '22', 'clubName': 'Zenit St. Petersburg', 'clubID': '964', 'value': '€4.00m'}, {'date': 'Jun 1, 2017', 'age': '23', 'clubName': 'Zenit St. Petersburg', 'clubID': '964', 'value': '€4.00m'}, {'date': 'Jan 24, 2018', 'age': '23', 'clubName': 'AS Saint-Étienne', 'clubID': '618', 'value': '€5.00m'}, {'date': 'Jun 4, 2018', 'age': '24', 'clubName': 'AS Saint-Étienne', 'clubID': '618', 'value': '€4.00m'}, {'date': 'Dec 20, 2018', 'age': '24', 'clubName': 'Zenit St. Petersburg', 'clubID': '964', 'value': '€4.00m'}, {'date': 'Jun 14, 2019', 'age': '25', 'clubName': 'Zenit St. Petersburg', 'clubID': '964', 'value': '€3.50m'}, {'date': 'Dec 12, 2019', 'age': '25', 'clubName': 'Parma Calcio 1913', 'clubID': '130', 'value': '€4.00m'}, {'date': 'Apr 8, 2020', 'age': '26', 'clubName': 'Parma Calcio 1913', 'clubID': '130', 'value': '€3.20m'}, {'date': 'Aug 25, 2020', 'age': '26', 'clubName': 'Parma Calcio 1913', 'clubID': '130', 'value': '€5.50m'}, {'date': 'Dec 29, 2020', 'age': '26', 'clubName': 'Parma Calcio 1913', 'clubID': '130', 'value': '€6.50m'}, {'date': 'Jun 3, 2021', 'age': '27', 'clubName': 'Parma Calcio 1913', 'clubID': '130', 'value': '€6.50m'}, {'date': 'Oct 14, 2021', 'age': '27', 'clubName': 'Genoa CFC', 'clubID': '252', 'value': '€5.00m'}, {'date': 'Dec 28, 2021', 'age': '27', 'clubName': 'Genoa CFC', 'clubID': '252', 'value': '€4.00m'}, {'date': 'Jun 7, 2022', 'age': '28', 'clubName': 'Genoa CFC', 'clubID': '252', 'value': '€3.00m'}, {'date': 'Sep 27, 2022', 'age': '28', 'clubName': 'Reggina 1914', 'clubID': '1386', 'value': '€2.00m'}, {'date': 'Dec 22, 2022', 'age': '28', 'clubName': 'Reggina 1914', 'clubID': '1386', 'value': '€2.00m'}, {'date': 'Jun 12, 2023', 'age': '29', 'clubName': 'Reggina 1914', 'clubID': '1386', 'value': '€2.00m'}, {'date': 'Dec 27, 2023', 'age': '29', 'clubName': 'Parma Calcio 1913', 'clubID': '130', 'value': '€1.70m'}, {'date': 'Jun 3, 2024', 'age': '30', 'clubName': 'Parma Calcio 1913', 'clubID': '130', 'value': '€2.00m'}, {'date': 'Dec 18, 2024', 'age': '30', 'clubName': 'Parma Calcio 1913', 'clubID': '130', 'value': '€2.00m'}, {'date': 'Jun 17, 2025', 'age': '31', 'clubName': 'Parma Calcio 1913', 'clubID': '130', 'value': '€1.60m'}, {'date': 'Dec 23, 2025', 'age': '31', 'clubName': 'Parma Calcio 1913', 'clubID': '130', 'value': '€1.50m'}]}</t>
  </si>
  <si>
    <t>1994-03-27</t>
  </si>
  <si>
    <t>Boye</t>
  </si>
  <si>
    <t>{'marketValueHistory': [{'date': '10/01/2015', 'age': '18', 'clubName': 'CA River Plate', 'clubID': '15108', 'value': '€500k'}, {'date': '14/07/2015', 'age': '19', 'clubName': 'CA River Plate', 'clubID': '15108', 'value': '€1.50m'}, {'date': '06/02/2016', 'age': '19', 'clubName': "CA Newell's Old Boys", 'clubID': '1286', 'value': '€1.75m'}, {'date': '15/07/2016', 'age': '20', 'clubName': 'Torino FC', 'clubID': '416', 'value': '€2.00m'}, {'date': '14/10/2016', 'age': '20', 'clubName': 'Torino FC', 'clubID': '416', 'value': '€2.50m'}, {'date': '02/01/2017', 'age': '20', 'clubName': 'Torino FC', 'clubID': '416', 'value': '€2.50m'}, {'date': '08/06/2017', 'age': '21', 'clubName': 'Torino FC', 'clubID': '416', 'value': '€2.50m'}, {'date': '29/12/2017', 'age': '21', 'clubName': 'Torino FC', 'clubID': '416', 'value': '€2.00m'}, {'date': '22/03/2018', 'age': '22', 'clubName': 'Celta de Vigo', 'clubID': '940', 'value': '€1.50m'}, {'date': '30/05/2018', 'age': '22', 'clubName': 'Celta de Vigo', 'clubID': '940', 'value': '€1.50m'}, {'date': '07/12/2018', 'age': '22', 'clubName': 'AEK Athens', 'clubID': '2441', 'value': '€1.50m'}, {'date': '21/05/2019', 'age': '23', 'clubName': 'AEK Athens', 'clubID': '2441', 'value': '€1.50m'}, {'date': '27/02/2020', 'age': '23', 'clubName': 'Reading FC', 'clubID': '1032', 'value': '€1.20m'}, {'date': '08/04/2020', 'age': '24', 'clubName': 'Reading FC', 'clubID': '1032', 'value': '€950k'}, {'date': '25/08/2020', 'age': '24', 'clubName': 'Torino FC', 'clubID': '416', 'value': '€900k'}, {'date': '08/10/2020', 'age': '24', 'clubName': 'Elche CF', 'clubID': '1531', 'value': '€900k'}, {'date': '05/01/2021', 'age': '24', 'clubName': 'Elche CF', 'clubID': '1531', 'value': '€1.80m'}, {'date': '19/03/2021', 'age': '25', 'clubName': 'Elche CF', 'clubID': '1531', 'value': '€3.00m'}, {'date': '10/06/2021', 'age': '25', 'clubName': 'Elche CF', 'clubID': '1531', 'value': '€3.50m'}, {'date': '30/12/2021', 'age': '25', 'clubName': 'Elche CF', 'clubID': '1531', 'value': '€5.00m'}, {'date': '21/03/2022', 'age': '26', 'clubName': 'Elche CF', 'clubID': '1531', 'value': '€15.00m'}, {'date': '03/06/2022', 'age': '26', 'clubName': 'Elche CF', 'clubID': '1531', 'value': '€15.00m'}, {'date': '23/09/2022', 'age': '26', 'clubName': 'Elche CF', 'clubID': '1531', 'value': '€12.00m'}, {'date': '07/11/2022', 'age': '26', 'clubName': 'Elche CF', 'clubID': '1531', 'value': '€8.00m'}, {'date': '23/03/2023', 'age': '27', 'clubName': 'Elche CF', 'clubID': '1531', 'value': '€6.00m'}, {'date': '13/06/2023', 'age': '27', 'clubName': 'Elche CF', 'clubID': '1531', 'value': '€10.00m'}, {'date': '22/12/2023', 'age': '27', 'clubName': 'Granada CF', 'clubID': '16795', 'value': '€7.00m'}, {'date': '07/06/2024', 'age': '28', 'clubName': 'Granada CF', 'clubID': '16795', 'value': '€7.00m'}, {'date': '14/10/2024', 'age': '28', 'clubName': 'Granada CF', 'clubID': '16795', 'value': '€5.00m'}, {'date': '13/12/2024', 'age': '28', 'clubName': 'Granada CF', 'clubID': '16795', 'value': '€5.00m'}, {'date': '27/03/2025', 'age': '29', 'clubName': 'Granada CF', 'clubID': '16795', 'value': '€3.50m'}, {'date': '24/06/2025', 'age': '29', 'clubName': 'Granada CF', 'clubID': '16795', 'value': '€3.50m'}, {'date': '02/10/2025', 'age': '29', 'clubName': 'Deportivo Alavés', 'clubID': '1108', 'value': '€5.00m'}, {'date': '12/12/2025', 'age': '29', 'clubName': 'Deportivo Alavés', 'clubID': '1108', 'value': '€5.00m'}]}</t>
  </si>
  <si>
    <t>1996-02-28</t>
  </si>
  <si>
    <t>Morata</t>
  </si>
  <si>
    <t>{'marketValueHistory': [{'date': 'Aug 17, 2012', 'age': '19', 'clubName': 'Real Madrid Castilla', 'clubID': '6767', 'value': '€6.00m'}, {'date': 'Jan 10, 2013', 'age': '20', 'clubName': 'Real Madrid Castilla', 'clubID': '6767', 'value': '€6.00m'}, {'date': 'May 9, 2013', 'age': '20', 'clubName': 'Real Madrid Castilla', 'clubID': '6767', 'value': '€7.50m'}, {'date': 'Jun 12, 2013', 'age': '20', 'clubName': 'Real Madrid Castilla', 'clubID': '6767', 'value': '€9.00m'}, {'date': 'Oct 21, 2013', 'age': '20', 'clubName': 'Real Madrid', 'clubID': '418', 'value': '€12.00m'}, {'date': 'Jan 23, 2014', 'age': '21', 'clubName': 'Real Madrid', 'clubID': '418', 'value': '€12.00m'}, {'date': 'Jul 20, 2014', 'age': '21', 'clubName': 'Juventus FC', 'clubID': '506', 'value': '€18.00m'}, {'date': 'Jan 7, 2015', 'age': '22', 'clubName': 'Juventus FC', 'clubID': '506', 'value': '€18.00m'}, {'date': 'Jul 1, 2015', 'age': '22', 'clubName': 'Juventus FC', 'clubID': '506', 'value': '€25.00m'}, {'date': 'Jan 4, 2016', 'age': '23', 'clubName': 'Juventus FC', 'clubID': '506', 'value': '€23.50m'}, {'date': 'Apr 1, 2016', 'age': '23', 'clubName': 'Juventus FC', 'clubID': '506', 'value': '€25.00m'}, {'date': 'Jun 1, 2016', 'age': '23', 'clubName': 'Juventus FC', 'clubID': '506', 'value': '€30.00m'}, {'date': 'Jul 15, 2016', 'age': '23', 'clubName': 'Real Madrid', 'clubID': '418', 'value': '€40.00m'}, {'date': 'Jan 24, 2017', 'age': '24', 'clubName': 'Real Madrid', 'clubID': '418', 'value': '€40.00m'}, {'date': 'Jun 5, 2017', 'age': '24', 'clubName': 'Real Madrid', 'clubID': '418', 'value': '€40.00m'}, {'date': 'Aug 16, 2017', 'age': '24', 'clubName': 'Chelsea FC', 'clubID': '631', 'value': '€50.00m'}, {'date': 'Jan 2, 2018', 'age': '25', 'clubName': 'Chelsea FC', 'clubID': '631', 'value': '€65.00m'}, {'date': 'May 28, 2018', 'age': '25', 'clubName': 'Chelsea FC', 'clubID': '631', 'value': '€65.00m'}, {'date': 'Oct 17, 2018', 'age': '25', 'clubName': 'Chelsea FC', 'clubID': '631', 'value': '€60.00m'}, {'date': 'Dec 19, 2018', 'age': '26', 'clubName': 'Chelsea FC', 'clubID': '631', 'value': '€50.00m'}, {'date': 'Jun 11, 2019', 'age': '26', 'clubName': 'Atlético de Madrid', 'clubID': '13', 'value': '€50.00m'}, {'date': 'Dec 20, 2019', 'age': '27', 'clubName': 'Atlético de Madrid', 'clubID': '13', 'value': '€50.00m'}, {'date': 'Mar 5, 2020', 'age': '27', 'clubName': 'Atlético de Madrid', 'clubID': '13', 'value': '€45.00m'}, {'date': 'Apr 8, 2020', 'age': '27', 'clubName': 'Atlético de Madrid', 'clubID': '13', 'value': '€36.00m'}, {'date': 'Oct 29, 2020', 'age': '28', 'clubName': 'Juventus FC', 'clubID': '506', 'value': '€40.00m'}, {'date': 'Dec 29, 2020', 'age': '28', 'clubName': 'Juventus FC', 'clubID': '506', 'value': '€50.00m'}, {'date': 'May 31, 2021', 'age': '28', 'clubName': 'Juventus FC', 'clubID': '506', 'value': '€45.00m'}, {'date': 'Dec 28, 2021', 'age': '29', 'clubName': 'Juventus FC', 'clubID': '506', 'value': '€35.00m'}, {'date': 'Mar 15, 2022', 'age': '29', 'clubName': 'Juventus FC', 'clubID': '506', 'value': '€30.00m'}, {'date': 'Jun 7, 2022', 'age': '29', 'clubName': 'Juventus FC', 'clubID': '506', 'value': '€25.00m'}, {'date': 'Nov 7, 2022', 'age': '30', 'clubName': 'Atlético de Madrid', 'clubID': '13', 'value': '€25.00m'}, {'date': 'Jun 13, 2023', 'age': '30', 'clubName': 'Atlético de Madrid', 'clubID': '13', 'value': '€20.00m'}, {'date': 'Dec 22, 2023', 'age': '31', 'clubName': 'Atlético de Madrid', 'clubID': '13', 'value': '€20.00m'}, {'date': 'Jun 7, 2024', 'age': '31', 'clubName': 'Atlético de Madrid', 'clubID': '13', 'value': '€16.00m'}, {'date': 'Dec 18, 2024', 'age': '32', 'clubName': 'AC Milan', 'clubID': '5', 'value': '€13.00m'}, {'date': 'Mar 20, 2025', 'age': '32', 'clubName': 'Galatasaray', 'clubID': '141', 'value': '€13.00m'}, {'date': 'Jun 18, 2025', 'age': '32', 'clubName': 'Galatasaray', 'clubID': '141', 'value': '€11.00m'}, {'date': 'Dec 23, 2025', 'age': '33', 'clubName': 'Como 1907', 'clubID': '1047', 'value': '€8.00m'}]}</t>
  </si>
  <si>
    <t>Javier Sanchez</t>
  </si>
  <si>
    <t>{'marketValueHistory': [{'date': '23/08/2016', 'age': '19', 'clubName': 'Real Madrid Castilla', 'clubID': '6767', 'value': '€100k'}, {'date': '02/02/2017', 'age': '19', 'clubName': 'Real Madrid Castilla', 'clubID': '6767', 'value': '€100k'}, {'date': '30/06/2017', 'age': '20', 'clubName': 'Real Madrid Castilla', 'clubID': '6767', 'value': '€100k'}, {'date': '01/01/2018', 'age': '20', 'clubName': 'Real Madrid Castilla', 'clubID': '6767', 'value': '€300k'}, {'date': '30/05/2018', 'age': '21', 'clubName': 'Real Madrid Castilla', 'clubID': '6767', 'value': '€300k'}, {'date': '07/08/2018', 'age': '21', 'clubName': 'Real Madrid Castilla', 'clubID': '6767', 'value': '€1.00m'}, {'date': '19/02/2019', 'age': '21', 'clubName': 'Real Madrid Castilla', 'clubID': '6767', 'value': '€1.00m'}, {'date': '29/06/2019', 'age': '22', 'clubName': 'Real Madrid Castilla', 'clubID': '6767', 'value': '€2.00m'}, {'date': '20/12/2019', 'age': '22', 'clubName': 'Real Valladolid CF', 'clubID': '366', 'value': '€1.50m'}, {'date': '08/04/2020', 'age': '23', 'clubName': 'Real Valladolid CF', 'clubID': '366', 'value': '€1.20m'}, {'date': '23/07/2020', 'age': '23', 'clubName': 'Real Valladolid CF', 'clubID': '366', 'value': '€3.00m'}, {'date': '08/10/2020', 'age': '23', 'clubName': 'Real Valladolid CF', 'clubID': '366', 'value': '€3.00m'}, {'date': '05/01/2021', 'age': '23', 'clubName': 'Real Valladolid CF', 'clubID': '366', 'value': '€2.80m'}, {'date': '10/06/2021', 'age': '24', 'clubName': 'Real Valladolid CF', 'clubID': '366', 'value': '€2.80m'}, {'date': '27/12/2021', 'age': '24', 'clubName': 'Real Valladolid CF', 'clubID': '366', 'value': '€2.50m'}, {'date': '29/06/2022', 'age': '25', 'clubName': 'Real Valladolid CF', 'clubID': '366', 'value': '€2.50m'}, {'date': '07/11/2022', 'age': '25', 'clubName': 'Real Valladolid CF', 'clubID': '366', 'value': '€3.00m'}, {'date': '13/06/2023', 'age': '26', 'clubName': 'Real Valladolid CF', 'clubID': '366', 'value': '€3.00m'}, {'date': '13/10/2023', 'age': '26', 'clubName': 'Real Valladolid CF', 'clubID': '366', 'value': '€2.50m'}, {'date': '20/12/2023', 'age': '26', 'clubName': 'Real Valladolid CF', 'clubID': '366', 'value': '€2.00m'}, {'date': '26/03/2024', 'age': '27', 'clubName': 'Real Valladolid CF', 'clubID': '366', 'value': '€1.50m'}, {'date': '24/06/2024', 'age': '27', 'clubName': 'Real Valladolid CF', 'clubID': '366', 'value': '€1.50m'}, {'date': '27/12/2024', 'age': '27', 'clubName': 'Real Valladolid CF', 'clubID': '366', 'value': '€2.00m'}, {'date': '21/03/2025', 'age': '28', 'clubName': 'Real Valladolid CF', 'clubID': '366', 'value': '€1.80m'}, {'date': '09/06/2025', 'age': '28', 'clubName': 'Real Valladolid CF', 'clubID': '366', 'value': '€1.50m'}, {'date': '16/10/2025', 'age': '28', 'clubName': 'Real Valladolid CF', 'clubID': '366', 'value': '€1.00m'}, {'date': '30/12/2025', 'age': '28', 'clubName': 'Real Valladolid CF', 'clubID': '366', 'value': '€800k'}]}</t>
  </si>
  <si>
    <t>1997-03-14</t>
  </si>
  <si>
    <t>Foden</t>
  </si>
  <si>
    <t>{'marketValueHistory': [{'date': 'Jan 2, 2018', 'age': '17', 'clubName': 'Manchester City', 'clubID': '281', 'value': '€5.00m'}, {'date': 'May 28, 2018', 'age': '18', 'clubName': 'Manchester City', 'clubID': '281', 'value': '€7.00m'}, {'date': 'Oct 17, 2018', 'age': '18', 'clubName': 'Manchester City', 'clubID': '281', 'value': '€15.00m'}, {'date': 'Dec 19, 2018', 'age': '18', 'clubName': 'Manchester City', 'clubID': '281', 'value': '€20.00m'}, {'date': 'Mar 5, 2019', 'age': '18', 'clubName': 'Manchester City', 'clubID': '281', 'value': '€25.00m'}, {'date': 'Jun 13, 2019', 'age': '19', 'clubName': 'Manchester City', 'clubID': '281', 'value': '€25.00m'}, {'date': 'Sep 12, 2019', 'age': '19', 'clubName': 'Manchester City', 'clubID': '281', 'value': '€30.00m'}, {'date': 'Dec 10, 2019', 'age': '19', 'clubName': 'Manchester City', 'clubID': '281', 'value': '€30.00m'}, {'date': 'Apr 8, 2020', 'age': '19', 'clubName': 'Manchester City', 'clubID': '281', 'value': '€27.00m'}, {'date': 'Jul 30, 2020', 'age': '20', 'clubName': 'Manchester City', 'clubID': '281', 'value': '€40.00m'}, {'date': 'Oct 13, 2020', 'age': '20', 'clubName': 'Manchester City', 'clubID': '281', 'value': '€60.00m'}, {'date': 'Mar 18, 2021', 'age': '20', 'clubName': 'Manchester City', 'clubID': '281', 'value': '€70.00m'}, {'date': 'May 28, 2021', 'age': '21', 'clubName': 'Manchester City', 'clubID': '281', 'value': '€80.00m'}, {'date': 'Dec 23, 2021', 'age': '21', 'clubName': 'Manchester City', 'clubID': '281', 'value': '€85.00m'}, {'date': 'Mar 29, 2022', 'age': '21', 'clubName': 'Manchester City', 'clubID': '281', 'value': '€90.00m'}, {'date': 'Jun 15, 2022', 'age': '22', 'clubName': 'Manchester City', 'clubID': '281', 'value': '€90.00m'}, {'date': 'Nov 3, 2022', 'age': '22', 'clubName': 'Manchester City', 'clubID': '281', 'value': '€110.00m'}, {'date': 'Jun 20, 2023', 'age': '23', 'clubName': 'Manchester City', 'clubID': '281', 'value': '€110.00m'}, {'date': 'Dec 19, 2023', 'age': '23', 'clubName': 'Manchester City', 'clubID': '281', 'value': '€110.00m'}, {'date': 'Mar 14, 2024', 'age': '23', 'clubName': 'Manchester City', 'clubID': '281', 'value': '€130.00m'}, {'date': 'May 27, 2024', 'age': '23', 'clubName': 'Manchester City', 'clubID': '281', 'value': '€150.00m'}, {'date': 'Dec 16, 2024', 'age': '24', 'clubName': 'Manchester City', 'clubID': '281', 'value': '€140.00m'}, {'date': 'Mar 18, 2025', 'age': '24', 'clubName': 'Manchester City', 'clubID': '281', 'value': '€130.00m'}, {'date': 'May 30, 2025', 'age': '25', 'clubName': 'Manchester City', 'clubID': '281', 'value': '€100.00m'}, {'date': 'Oct 17, 2025', 'age': '25', 'clubName': 'Manchester City', 'clubID': '281', 'value': '€80.00m'}, {'date': 'Dec 9, 2025', 'age': '25', 'clubName': 'Manchester City', 'clubID': '281', 'value': '€80.00m'}]}</t>
  </si>
  <si>
    <t>2000-05-28</t>
  </si>
  <si>
    <t>Adrian Lopez</t>
  </si>
  <si>
    <t>{'marketValueHistory': [{'date': '30/10/2006', 'age': '18', 'clubName': 'Deportivo de La Coruña', 'clubID': '897', 'value': '€50k'}, {'date': '26/07/2007', 'age': '19', 'clubName': 'Deportivo de La Coruña', 'clubID': '897', 'value': '€100k'}, {'date': '02/08/2007', 'age': '19', 'clubName': 'Deportivo de La Coruña', 'clubID': '897', 'value': '€700k'}, {'date': '04/02/2008', 'age': '20', 'clubName': 'Deportivo de La Coruña', 'clubID': '897', 'value': '€800k'}, {'date': '16/07/2008', 'age': '20', 'clubName': 'Málaga CF', 'clubID': '1084', 'value': '€1.00m'}, {'date': '20/01/2009', 'age': '21', 'clubName': 'Málaga CF', 'clubID': '1084', 'value': '€1.80m'}, {'date': '22/07/2009', 'age': '21', 'clubName': 'Deportivo de La Coruña', 'clubID': '897', 'value': '€2.00m'}, {'date': '02/12/2009', 'age': '21', 'clubName': 'Deportivo de La Coruña', 'clubID': '897', 'value': '€2.00m'}, {'date': '11/04/2010', 'age': '22', 'clubName': 'Deportivo de La Coruña', 'clubID': '897', 'value': '€2.40m'}, {'date': '15/08/2010', 'age': '22', 'clubName': 'Deportivo de La Coruña', 'clubID': '897', 'value': '€2.50m'}, {'date': '04/02/2011', 'age': '23', 'clubName': 'Deportivo de La Coruña', 'clubID': '897', 'value': '€3.50m'}, {'date': '29/07/2011', 'age': '23', 'clubName': 'Atlético de Madrid', 'clubID': '13', 'value': '€5.00m'}, {'date': '03/02/2012', 'age': '24', 'clubName': 'Atlético de Madrid', 'clubID': '13', 'value': '€8.00m'}, {'date': '14/04/2012', 'age': '24', 'clubName': 'Atlético de Madrid', 'clubID': '13', 'value': '€10.00m'}, {'date': '01/08/2012', 'age': '24', 'clubName': 'Atlético de Madrid', 'clubID': '13', 'value': '€15.00m'}, {'date': '10/01/2013', 'age': '25', 'clubName': 'Atlético de Madrid', 'clubID': '13', 'value': '€15.00m'}, {'date': '07/03/2013', 'age': '25', 'clubName': 'Atlético de Madrid', 'clubID': '13', 'value': '€12.00m'}, {'date': '12/06/2013', 'age': '25', 'clubName': 'Atlético de Madrid', 'clubID': '13', 'value': '€10.00m'}, {'date': '21/10/2013', 'age': '25', 'clubName': 'Atlético de Madrid', 'clubID': '13', 'value': '€8.00m'}, {'date': '23/01/2014', 'age': '26', 'clubName': 'Atlético de Madrid', 'clubID': '13', 'value': '€8.00m'}, {'date': '30/09/2014', 'age': '26', 'clubName': 'FC Porto', 'clubID': '720', 'value': '€9.00m'}, {'date': '17/02/2015', 'age': '27', 'clubName': 'FC Porto', 'clubID': '720', 'value': '€6.50m'}, {'date': '01/07/2015', 'age': '27', 'clubName': 'FC Porto', 'clubID': '720', 'value': '€5.00m'}, {'date': '22/02/2016', 'age': '28', 'clubName': 'Villarreal CF', 'clubID': '1050', 'value': '€3.50m'}, {'date': '29/07/2016', 'age': '28', 'clubName': 'FC Porto', 'clubID': '720', 'value': '€4.00m'}, {'date': '24/01/2017', 'age': '29', 'clubName': 'Villarreal CF', 'clubID': '1050', 'value': '€3.50m'}, {'date': '05/06/2017', 'age': '29', 'clubName': 'Villarreal CF', 'clubID': '1050', 'value': '€3.50m'}, {'date': '01/01/2018', 'age': '29', 'clubName': 'Deportivo de La Coruña', 'clubID': '897', 'value': '€3.50m'}, {'date': '30/05/2018', 'age': '30', 'clubName': 'Deportivo de La Coruña', 'clubID': '897', 'value': '€4.00m'}, {'date': '11/01/2019', 'age': '31', 'clubName': 'FC Porto', 'clubID': '720', 'value': '€3.50m'}, {'date': '07/06/2019', 'age': '31', 'clubName': 'FC Porto', 'clubID': '720', 'value': '€2.50m'}, {'date': '20/12/2019', 'age': '31', 'clubName': 'CA Osasuna', 'clubID': '331', 'value': '€1.80m'}, {'date': '08/04/2020', 'age': '32', 'clubName': 'CA Osasuna', 'clubID': '331', 'value': '€1.40m'}, {'date': '08/10/2020', 'age': '32', 'clubName': 'CA Osasuna', 'clubID': '331', 'value': '€1.20m'}, {'date': '05/01/2021', 'age': '32', 'clubName': 'CA Osasuna', 'clubID': '331', 'value': '€1.20m'}, {'date': '10/06/2021', 'age': '33', 'clubName': 'CA Osasuna', 'clubID': '331', 'value': '€1.20m'}, {'date': '28/10/2021', 'age': '33', 'clubName': 'Without Club', 'clubID': '515', 'value': '€700k'}, {'date': '29/06/2022', 'age': '34', 'clubName': 'Málaga CF', 'clubID': '1084', 'value': '€400k'}, {'date': '28/03/2023', 'age': '35', 'clubName': 'Without Club', 'clubID': '515', 'value': '€200k'}, {'date': '01/07/2023', 'age': '35', 'clubName': 'Retired', 'clubID': '123', 'value': '-'}]}</t>
  </si>
  <si>
    <t>1988-01-08</t>
  </si>
  <si>
    <t>{'marketValueHistory': [{'date': 'Apr 18, 2010', 'age': '18', 'clubName': 'América Futebol Clube (MG)', 'clubID': '2863', 'value': '€600k'}, {'date': 'Jul 13, 2010', 'age': '18', 'clubName': 'Santos FC', 'clubID': '221', 'value': '€1.00m'}, {'date': 'Dec 10, 2010', 'age': '19', 'clubName': 'Santos FC', 'clubID': '221', 'value': '€2.00m'}, {'date': 'Feb 21, 2011', 'age': '19', 'clubName': 'Santos FC', 'clubID': '221', 'value': '€2.50m'}, {'date': 'May 30, 2011', 'age': '19', 'clubName': 'Santos FC', 'clubID': '221', 'value': '€5.00m'}, {'date': 'Jul 20, 2011', 'age': '20', 'clubName': 'Santos FC', 'clubID': '221', 'value': '€6.00m'}, {'date': 'Jul 25, 2011', 'age': '20', 'clubName': 'Santos FC', 'clubID': '221', 'value': '€10.00m'}, {'date': 'Dec 8, 2011', 'age': '20', 'clubName': 'Santos FC', 'clubID': '221', 'value': '€10.00m'}, {'date': 'Jul 7, 2012', 'age': '20', 'clubName': 'FC Porto', 'clubID': '720', 'value': '€10.00m'}, {'date': 'Mar 27, 2013', 'age': '21', 'clubName': 'FC Porto', 'clubID': '720', 'value': '€11.00m'}, {'date': 'Jul 2, 2013', 'age': '21', 'clubName': 'FC Porto', 'clubID': '720', 'value': '€11.50m'}, {'date': 'Jul 25, 2014', 'age': '23', 'clubName': 'FC Porto', 'clubID': '720', 'value': '€14.00m'}, {'date': 'Feb 17, 2015', 'age': '23', 'clubName': 'FC Porto', 'clubID': '720', 'value': '€20.00m'}, {'date': 'Jul 1, 2015', 'age': '23', 'clubName': 'Real Madrid', 'clubID': '418', 'value': '€25.00m'}, {'date': 'Nov 22, 2015', 'age': '24', 'clubName': 'Real Madrid', 'clubID': '418', 'value': '€20.00m'}, {'date': 'Feb 22, 2016', 'age': '24', 'clubName': 'Real Madrid', 'clubID': '418', 'value': '€18.00m'}, {'date': 'Jul 15, 2016', 'age': '25', 'clubName': 'Real Madrid', 'clubID': '418', 'value': '€18.00m'}, {'date': 'Jan 24, 2017', 'age': '25', 'clubName': 'Real Madrid', 'clubID': '418', 'value': '€16.00m'}, {'date': 'Jun 5, 2017', 'age': '25', 'clubName': 'Real Madrid', 'clubID': '418', 'value': '€16.00m'}, {'date': 'Aug 16, 2017', 'age': '26', 'clubName': 'Manchester City', 'clubID': '281', 'value': '€18.00m'}, {'date': 'Jan 2, 2018', 'age': '26', 'clubName': 'Manchester City', 'clubID': '281', 'value': '€18.00m'}, {'date': 'May 28, 2018', 'age': '26', 'clubName': 'Manchester City', 'clubID': '281', 'value': '€20.00m'}, {'date': 'Dec 19, 2018', 'age': '27', 'clubName': 'Manchester City', 'clubID': '281', 'value': '€20.00m'}, {'date': 'Jun 13, 2019', 'age': '27', 'clubName': 'Manchester City', 'clubID': '281', 'value': '€20.00m'}, {'date': 'Dec 12, 2019', 'age': '28', 'clubName': 'Juventus FC', 'clubID': '506', 'value': '€20.00m'}, {'date': 'Apr 8, 2020', 'age': '28', 'clubName': 'Juventus FC', 'clubID': '506', 'value': '€16.00m'}, {'date': 'Aug 25, 2020', 'age': '29', 'clubName': 'Juventus FC', 'clubID': '506', 'value': '€15.00m'}, {'date': 'Dec 29, 2020', 'age': '29', 'clubName': 'Juventus FC', 'clubID': '506', 'value': '€17.00m'}, {'date': 'Mar 23, 2021', 'age': '29', 'clubName': 'Juventus FC', 'clubID': '506', 'value': '€20.00m'}, {'date': 'Jun 3, 2021', 'age': '29', 'clubName': 'Juventus FC', 'clubID': '506', 'value': '€20.00m'}, {'date': 'Dec 28, 2021', 'age': '30', 'clubName': 'Juventus FC', 'clubID': '506', 'value': '€15.00m'}, {'date': 'Jun 7, 2022', 'age': '30', 'clubName': 'Juventus FC', 'clubID': '506', 'value': '€13.00m'}, {'date': 'Nov 11, 2022', 'age': '31', 'clubName': 'Juventus FC', 'clubID': '506', 'value': '€12.00m'}, {'date': 'Jun 15, 2023', 'age': '31', 'clubName': 'Juventus FC', 'clubID': '506', 'value': '€15.00m'}, {'date': 'Dec 20, 2023', 'age': '32', 'clubName': 'Juventus FC', 'clubID': '506', 'value': '€12.00m'}, {'date': 'Jun 5, 2024', 'age': '32', 'clubName': 'Juventus FC', 'clubID': '506', 'value': '€10.00m'}, {'date': 'Oct 18, 2024', 'age': '33', 'clubName': 'Juventus FC', 'clubID': '506', 'value': '€7.00m'}, {'date': 'Dec 18, 2024', 'age': '33', 'clubName': 'Juventus FC', 'clubID': '506', 'value': '€4.00m'}, {'date': 'Jun 6, 2025', 'age': '33', 'clubName': 'CR Flamengo', 'clubID': '614', 'value': '€3.50m'}, {'date': 'Sep 5, 2025', 'age': '34', 'clubName': 'CR Flamengo', 'clubID': '614', 'value': '€3.00m'}, {'date': 'Dec 10, 2025', 'age': '34', 'clubName': 'CR Flamengo', 'clubID': '614', 'value': '€2.50m'}]}</t>
  </si>
  <si>
    <t>Cools</t>
  </si>
  <si>
    <t>{'marketValueHistory': [{'date': '28/08/2014', 'age': '18', 'clubName': 'Oud-Heverlee Leuven', 'clubID': '2727', 'value': '€125k'}, {'date': '03/02/2015', 'age': '18', 'clubName': 'Oud-Heverlee Leuven', 'clubID': '2727', 'value': '€200k'}, {'date': '16/05/2015', 'age': '18', 'clubName': 'Oud-Heverlee Leuven', 'clubID': '2727', 'value': '€350k'}, {'date': '22/10/2015', 'age': '19', 'clubName': 'Club Brugge KV', 'clubID': '2282', 'value': '€800k'}, {'date': '07/02/2016', 'age': '19', 'clubName': 'Club Brugge KV', 'clubID': '2282', 'value': '€800k'}, {'date': '15/07/2016', 'age': '20', 'clubName': 'Club Brugge KV', 'clubID': '2282', 'value': '€650k'}, {'date': '21/01/2017', 'age': '20', 'clubName': 'Club Brugge KV', 'clubID': '2282', 'value': '€1.80m'}, {'date': '06/06/2017', 'age': '21', 'clubName': 'Club Brugge KV', 'clubID': '2282', 'value': '€2.00m'}, {'date': '09/01/2018', 'age': '21', 'clubName': 'Club Brugge KV', 'clubID': '2282', 'value': '€3.00m'}, {'date': '03/06/2018', 'age': '21', 'clubName': 'Club Brugge KV', 'clubID': '2282', 'value': '€3.00m'}, {'date': '27/12/2018', 'age': '22', 'clubName': 'Club Brugge KV', 'clubID': '2282', 'value': '€2.50m'}, {'date': '10/06/2019', 'age': '23', 'clubName': 'Club Brugge KV', 'clubID': '2282', 'value': '€2.00m'}, {'date': '13/12/2019', 'age': '23', 'clubName': 'Club Brugge KV', 'clubID': '2282', 'value': '€1.00m'}, {'date': '08/04/2020', 'age': '23', 'clubName': 'FC Midtjylland', 'clubID': '865', 'value': '€800k'}, {'date': '31/07/2020', 'age': '24', 'clubName': 'FC Midtjylland', 'clubID': '865', 'value': '€600k'}, {'date': '23/12/2020', 'age': '24', 'clubName': 'FC Midtjylland', 'clubID': '865', 'value': '€900k'}, {'date': '04/06/2021', 'age': '25', 'clubName': 'FC Midtjylland', 'clubID': '865', 'value': '€1.50m'}, {'date': '28/12/2021', 'age': '25', 'clubName': 'FC Midtjylland', 'clubID': '865', 'value': '€1.00m'}, {'date': '12/04/2022', 'age': '25', 'clubName': 'Zulte Waregem', 'clubID': '3508', 'value': '€850k'}, {'date': '14/12/2022', 'age': '26', 'clubName': 'FK Jablonec', 'clubID': '1322', 'value': '€750k'}, {'date': '25/09/2023', 'age': '27', 'clubName': 'Buriram United', 'clubID': '25449', 'value': '€750k'}, {'date': '09/01/2024', 'age': '27', 'clubName': 'Buriram United', 'clubID': '25449', 'value': '€800k'}, {'date': '26/08/2024', 'age': '28', 'clubName': 'Buriram United', 'clubID': '25449', 'value': '€800k'}, {'date': '02/05/2025', 'age': '28', 'clubName': 'Buriram United', 'clubID': '25449', 'value': '€1.00m'}, {'date': '15/12/2025', 'age': '29', 'clubName': 'Cerezo Osaka', 'clubID': '1022', 'value': '€800k'}]}</t>
  </si>
  <si>
    <t>1996-06-04</t>
  </si>
  <si>
    <t>Smolov</t>
  </si>
  <si>
    <t>{'marketValueHistory': [{'date': 'Jul 25, 2007', 'age': '17', 'clubName': 'Dynamo Moscow II', 'clubID': '84697', 'value': '€100k'}, {'date': 'Mar 23, 2008', 'age': '18', 'clubName': 'Dinamo Moscow', 'clubID': '121', 'value': '€350k'}, {'date': 'Sep 5, 2008', 'age': '18', 'clubName': 'Dinamo Moscow', 'clubID': '121', 'value': '€1.00m'}, {'date': 'Mar 6, 2009', 'age': '19', 'clubName': 'Dinamo Moscow', 'clubID': '121', 'value': '€1.20m'}, {'date': 'Dec 22, 2009', 'age': '19', 'clubName': 'Dinamo Moscow', 'clubID': '121', 'value': '€1.40m'}, {'date': 'Jul 13, 2010', 'age': '20', 'clubName': 'Feyenoord Rotterdam', 'clubID': '234', 'value': '€1.50m'}, {'date': 'Jul 15, 2011', 'age': '21', 'clubName': 'Dinamo Moscow', 'clubID': '121', 'value': '€1.20m'}, {'date': 'Dec 15, 2011', 'age': '21', 'clubName': 'Dinamo Moscow', 'clubID': '121', 'value': '€1.40m'}, {'date': 'Jul 2, 2012', 'age': '22', 'clubName': 'Anzhi Makhachkala', 'clubID': '2700', 'value': '€1.20m'}, {'date': 'Jan 13, 2013', 'age': '22', 'clubName': 'Anzhi Makhachkala', 'clubID': '2700', 'value': '€1.50m'}, {'date': 'Jun 19, 2013', 'age': '23', 'clubName': 'Anzhi Makhachkala', 'clubID': '2700', 'value': '€2.00m'}, {'date': 'Mar 28, 2014', 'age': '24', 'clubName': 'Anzhi Makhachkala', 'clubID': '2700', 'value': '€2.00m'}, {'date': 'Jul 31, 2014', 'age': '24', 'clubName': 'Dinamo Moscow', 'clubID': '121', 'value': '€2.00m'}, {'date': 'Feb 23, 2015', 'age': '25', 'clubName': 'Ural Yekaterinburg', 'clubID': '11127', 'value': '€1.50m'}, {'date': 'Jun 18, 2015', 'age': '25', 'clubName': 'Ural Yekaterinburg', 'clubID': '11127', 'value': '€2.50m'}, {'date': 'Jan 6, 2016', 'age': '25', 'clubName': 'FC Krasnodar', 'clubID': '16704', 'value': '€5.00m'}, {'date': 'Jun 1, 2016', 'age': '26', 'clubName': 'FC Krasnodar', 'clubID': '16704', 'value': '€8.00m'}, {'date': 'Jul 1, 2016', 'age': '26', 'clubName': 'FC Krasnodar', 'clubID': '16704', 'value': '€7.00m'}, {'date': 'Oct 16, 2016', 'age': '26', 'clubName': 'FC Krasnodar', 'clubID': '16704', 'value': '€8.00m'}, {'date': 'Dec 27, 2016', 'age': '26', 'clubName': 'FC Krasnodar', 'clubID': '16704', 'value': '€10.00m'}, {'date': 'Jun 1, 2017', 'age': '27', 'clubName': 'FC Krasnodar', 'clubID': '16704', 'value': '€12.00m'}, {'date': 'Dec 23, 2017', 'age': '27', 'clubName': 'FC Krasnodar', 'clubID': '16704', 'value': '€15.00m'}, {'date': 'Jun 6, 2018', 'age': '28', 'clubName': 'FC Krasnodar', 'clubID': '16704', 'value': '€16.00m'}, {'date': 'Jul 15, 2018', 'age': '28', 'clubName': 'FC Krasnodar', 'clubID': '16704', 'value': '€14.00m'}, {'date': 'Dec 20, 2018', 'age': '28', 'clubName': 'Lokomotiv Moscow', 'clubID': '932', 'value': '€12.50m'}, {'date': 'Jun 14, 2019', 'age': '29', 'clubName': 'Lokomotiv Moscow', 'clubID': '932', 'value': '€11.00m'}, {'date': 'Dec 23, 2019', 'age': '29', 'clubName': 'Lokomotiv Moscow', 'clubID': '932', 'value': '€9.00m'}, {'date': 'Apr 8, 2020', 'age': '30', 'clubName': 'Celta de Vigo', 'clubID': '940', 'value': '€7.00m'}, {'date': 'Jul 29, 2020', 'age': '30', 'clubName': 'Lokomotiv Moscow', 'clubID': '932', 'value': '€6.00m'}, {'date': 'Dec 29, 2020', 'age': '30', 'clubName': 'Lokomotiv Moscow', 'clubID': '932', 'value': '€4.50m'}, {'date': 'Apr 13, 2021', 'age': '31', 'clubName': 'Lokomotiv Moscow', 'clubID': '932', 'value': '€5.00m'}, {'date': 'Jun 2, 2021', 'age': '31', 'clubName': 'Lokomotiv Moscow', 'clubID': '932', 'value': '€6.00m'}, {'date': 'Sep 15, 2021', 'age': '31', 'clubName': 'Lokomotiv Moscow', 'clubID': '932', 'value': '€8.00m'}, {'date': 'Dec 29, 2021', 'age': '31', 'clubName': 'Lokomotiv Moscow', 'clubID': '932', 'value': '€7.00m'}, {'date': 'Jun 2, 2022', 'age': '32', 'clubName': 'Dynamo Moscow', 'clubID': '121', 'value': '€6.00m'}, {'date': 'Nov 21, 2022', 'age': '32', 'clubName': 'Dynamo Moscow', 'clubID': '121', 'value': '€5.00m'}, {'date': 'Jun 14, 2023', 'age': '33', 'clubName': 'Dynamo Moscow', 'clubID': '121', 'value': '€3.00m'}, {'date': 'Dec 13, 2023', 'age': '33', 'clubName': 'Dynamo Moscow', 'clubID': '121', 'value': '€2.80m'}, {'date': 'Mar 20, 2024', 'age': '34', 'clubName': 'Dynamo Moscow', 'clubID': '121', 'value': '€2.50m'}, {'date': 'Jun 4, 2024', 'age': '34', 'clubName': 'Dynamo Moscow', 'clubID': '121', 'value': '€2.00m'}, {'date': 'Dec 12, 2024', 'age': '34', 'clubName': 'FC Krasnodar', 'clubID': '16704', 'value': '€1.50m'}, {'date': 'Jun 4, 2025', 'age': '35', 'clubName': 'FC Krasnodar', 'clubID': '16704', 'value': '€1.00m'}, {'date': 'Mar 25, 2026', 'age': '36', 'clubName': 'Without Club', 'clubID': '515', 'value': '€500k'}]}</t>
  </si>
  <si>
    <t>1990-02-09</t>
  </si>
  <si>
    <t>Rodrigo Galo</t>
  </si>
  <si>
    <t>{'marketValueHistory': [{'date': '30/05/2008', 'age': '21', 'clubName': 'Avaí FC', 'clubID': '2035', 'value': '€50k'}, {'date': '06/01/2009', 'age': '22', 'clubName': 'Gil Vicente FC', 'clubID': '2424', 'value': '€300k'}, {'date': '21/06/2009', 'age': '22', 'clubName': 'Gil Vicente FC', 'clubID': '2424', 'value': '€250k'}, {'date': '11/01/2010', 'age': '23', 'clubName': 'Gil Vicente FC', 'clubID': '2424', 'value': '€250k'}, {'date': '10/11/2010', 'age': '24', 'clubName': 'Gil Vicente FC', 'clubID': '2424', 'value': '€300k'}, {'date': '20/06/2011', 'age': '24', 'clubName': 'Gil Vicente FC', 'clubID': '2424', 'value': '€500k'}, {'date': '02/07/2012', 'age': '25', 'clubName': 'SC Braga', 'clubID': '1075', 'value': '€800k'}, {'date': '03/04/2013', 'age': '26', 'clubName': 'Académica Coimbra', 'clubID': '2990', 'value': '€1.20m'}, {'date': '02/07/2013', 'age': '26', 'clubName': 'SC Braga', 'clubID': '1075', 'value': '€1.20m'}, {'date': '28/03/2014', 'age': '27', 'clubName': 'Panetolikos', 'clubID': '6418', 'value': '€1.20m'}, {'date': '17/02/2015', 'age': '28', 'clubName': 'FC Paços de Ferreira', 'clubID': '2995', 'value': '€900k'}, {'date': '01/07/2015', 'age': '28', 'clubName': 'AEK Athens', 'clubID': '2441', 'value': '€800k'}, {'date': '27/09/2015', 'age': '29', 'clubName': 'AEK Athens', 'clubID': '2441', 'value': '€800k'}, {'date': '21/02/2016', 'age': '29', 'clubName': 'AEK Athens', 'clubID': '2441', 'value': '€1.00m'}, {'date': '21/06/2016', 'age': '29', 'clubName': 'AEK Athens', 'clubID': '2441', 'value': '€1.00m'}, {'date': '21/12/2016', 'age': '30', 'clubName': 'AEK Athens', 'clubID': '2441', 'value': '€1.00m'}, {'date': '11/05/2017', 'age': '30', 'clubName': 'AEK Athens', 'clubID': '2441', 'value': '€1.25m'}, {'date': '18/12/2017', 'age': '31', 'clubName': 'AEK Athens', 'clubID': '2441', 'value': '€1.25m'}, {'date': '22/05/2018', 'age': '31', 'clubName': 'AEK Athens', 'clubID': '2441', 'value': '€1.25m'}, {'date': '07/12/2018', 'age': '32', 'clubName': 'AEK Athens', 'clubID': '2441', 'value': '€750k'}, {'date': '21/05/2019', 'age': '32', 'clubName': 'AEK Athens', 'clubID': '2441', 'value': '€600k'}, {'date': '18/12/2019', 'age': '33', 'clubName': 'Atromitos Athens', 'clubID': '3060', 'value': '€400k'}, {'date': '08/04/2020', 'age': '33', 'clubName': 'Atromitos Athens', 'clubID': '3060', 'value': '€325k'}, {'date': '04/08/2020', 'age': '33', 'clubName': 'Atromitos Athens', 'clubID': '3060', 'value': '€250k'}, {'date': '12/02/2021', 'age': '34', 'clubName': 'Atromitos Athens', 'clubID': '3060', 'value': '€250k'}, {'date': '05/11/2021', 'age': '35', 'clubName': 'Casa Pia AC', 'clubID': '3268', 'value': '€100k'}, {'date': '01/04/2022', 'age': '35', 'clubName': 'Casa Pia AC', 'clubID': '3268', 'value': '€50k'}, {'date': '27/06/2022', 'age': '35', 'clubName': 'Casa Pia AC', 'clubID': '3268', 'value': '€50k'}, {'date': '27/06/2023', 'age': '36', 'clubName': 'Retired', 'clubID': '123', 'value': '-'}]}</t>
  </si>
  <si>
    <t>1986-09-19</t>
  </si>
  <si>
    <t>Efremov</t>
  </si>
  <si>
    <t>{'marketValueHistory': [{'date': 'Jan 22, 2013', 'age': '17', 'clubName': 'CSKA Moscow', 'clubID': '2410', 'value': '€75k'}, {'date': 'Feb 21, 2013', 'age': '17', 'clubName': 'CSKA Moscow', 'clubID': '2410', 'value': '€200k'}, {'date': 'Jun 19, 2013', 'age': '18', 'clubName': 'CSKA Moscow', 'clubID': '2410', 'value': '€300k'}, {'date': 'Mar 3, 2014', 'age': '18', 'clubName': 'CSKA Moscow', 'clubID': '2410', 'value': '€300k'}, {'date': 'Jul 31, 2014', 'age': '19', 'clubName': 'CSKA Moscow', 'clubID': '2410', 'value': '€500k'}, {'date': 'Feb 23, 2015', 'age': '19', 'clubName': 'CSKA Moscow', 'clubID': '2410', 'value': '€750k'}, {'date': 'Jun 18, 2015', 'age': '20', 'clubName': 'CSKA Moscow', 'clubID': '2410', 'value': '€800k'}, {'date': 'Oct 14, 2015', 'age': '20', 'clubName': 'FC Slovan Liberec', 'clubID': '697', 'value': '€800k'}, {'date': 'Jul 1, 2016', 'age': '21', 'clubName': 'FC Orenburg', 'clubID': '14589', 'value': '€700k'}, {'date': 'Dec 27, 2016', 'age': '21', 'clubName': 'FC Orenburg', 'clubID': '14589', 'value': '€800k'}, {'date': 'Jun 1, 2017', 'age': '22', 'clubName': 'FC Orenburg', 'clubID': '14589', 'value': '€800k'}, {'date': 'Dec 6, 2017', 'age': '22', 'clubName': 'FC Orenburg', 'clubID': '14589', 'value': '€700k'}, {'date': 'Jun 6, 2018', 'age': '23', 'clubName': 'FC Orenburg', 'clubID': '14589', 'value': '€750k'}, {'date': 'Sep 3, 2018', 'age': '23', 'clubName': 'CSKA Moscow', 'clubID': '2410', 'value': '€900k'}, {'date': 'Dec 20, 2018', 'age': '23', 'clubName': 'CSKA Moscow', 'clubID': '2410', 'value': '€1.20m'}, {'date': 'Jun 14, 2019', 'age': '24', 'clubName': 'CSKA Moscow', 'clubID': '2410', 'value': '€1.00m'}, {'date': 'Dec 23, 2019', 'age': '24', 'clubName': 'CSKA Moscow', 'clubID': '2410', 'value': '€750k'}, {'date': 'Apr 8, 2020', 'age': '25', 'clubName': 'Ural Yekaterinburg', 'clubID': '11127', 'value': '€600k'}, {'date': 'Jul 29, 2020', 'age': '25', 'clubName': 'Ural Yekaterinburg', 'clubID': '11127', 'value': '€600k'}, {'date': 'Dec 29, 2020', 'age': '25', 'clubName': 'Ural Yekaterinburg', 'clubID': '11127', 'value': '€600k'}, {'date': 'Apr 12, 2021', 'age': '26', 'clubName': 'Krylya Sovetov Samara', 'clubID': '2696', 'value': '€500k'}, {'date': 'May 24, 2021', 'age': '26', 'clubName': 'Krylya Sovetov Samara', 'clubID': '2696', 'value': '€500k'}, {'date': 'Dec 7, 2021', 'age': '26', 'clubName': 'Akron Togliatti', 'clubID': '71985', 'value': '€450k'}, {'date': 'May 30, 2022', 'age': '27', 'clubName': 'Akron Togliatti', 'clubID': '71985', 'value': '€350k'}, {'date': 'Dec 8, 2022', 'age': '27', 'clubName': 'Volga Uljanovsk', 'clubID': '12439', 'value': '€300k'}, {'date': 'Jun 19, 2023', 'age': '28', 'clubName': 'Volga Uljanovsk', 'clubID': '12439', 'value': '€250k'}, {'date': 'Nov 21, 2023', 'age': '28', 'clubName': 'Tekstilshchik Ivanovo', 'clubID': '11125', 'value': '€200k'}, {'date': 'Jun 19, 2024', 'age': '29', 'clubName': 'Tekstilshchik Ivanovo', 'clubID': '11125', 'value': '€200k'}, {'date': 'Aug 25, 2024', 'age': '29', 'clubName': 'Amkal Moscow', 'clubID': '101577', 'value': '-'}]}</t>
  </si>
  <si>
    <t>1995-04-01</t>
  </si>
  <si>
    <t>Jonas</t>
  </si>
  <si>
    <t>1949-08-06</t>
  </si>
  <si>
    <t>Nelson</t>
  </si>
  <si>
    <t>{'marketValueHistory': [{'date': 'Oct 4, 2004', 'age': '30', 'clubName': 'AC Milan', 'clubID': '5', 'value': '€8.00m'}, {'date': 'Jun 23, 2005', 'age': '31', 'clubName': 'AC Milan', 'clubID': '5', 'value': '€15.00m'}, {'date': 'Apr 9, 2006', 'age': '32', 'clubName': 'AC Milan', 'clubID': '5', 'value': '€11.00m'}, {'date': 'May 3, 2007', 'age': '33', 'clubName': 'AC Milan', 'clubID': '5', 'value': '€8.25m'}, {'date': 'Feb 15, 2008', 'age': '34', 'clubName': 'AC Milan', 'clubID': '5', 'value': '€4.50m'}, {'date': 'Jul 4, 2008', 'age': '34', 'clubName': 'AC Milan', 'clubID': '5', 'value': '€2.00m'}, {'date': 'Feb 6, 2009', 'age': '35', 'clubName': 'AC Milan', 'clubID': '5', 'value': '€1.50m'}, {'date': 'Sep 26, 2009', 'age': '35', 'clubName': 'AC Milan', 'clubID': '5', 'value': '€800k'}, {'date': 'Jan 27, 2010', 'age': '36', 'clubName': 'AC Milan', 'clubID': '5', 'value': '€1.00m'}, {'date': 'Jul 2, 2010', 'age': '36', 'clubName': 'Career break', 'clubID': '2113', 'value': '-'}, {'date': 'May 24, 2012', 'age': '38', 'clubName': 'Portuguesa', 'clubID': '10247', 'value': '€150k'}, {'date': 'Dec 6, 2012', 'age': '39', 'clubName': 'Portuguesa', 'clubID': '10247', 'value': '€150k'}, {'date': 'Aug 7, 2014', 'age': '40', 'clubName': 'Sport Club Internacional', 'clubID': '6600', 'value': '€500k'}, {'date': 'Feb 1, 2015', 'age': '41', 'clubName': 'Sport Club Internacional', 'clubID': '6600', 'value': '€500k'}, {'date': 'May 31, 2015', 'age': '41', 'clubName': 'Sport Club Internacional', 'clubID': '6600', 'value': '€500k'}, {'date': 'Dec 15, 2015', 'age': '42', 'clubName': 'Sport Club Internacional', 'clubID': '6600', 'value': '€500k'}, {'date': 'Jan 1, 2016', 'age': '42', 'clubName': 'Retired', 'clubID': '123', 'value': '-'}]}</t>
  </si>
  <si>
    <t>1973-10-07</t>
  </si>
  <si>
    <t>Ebecilio</t>
  </si>
  <si>
    <t>{'marketValueHistory': [{'date': '22/12/2010', 'age': '19', 'clubName': 'Ajax Amsterdam U21', 'clubID': '41580', 'value': '€50k'}, {'date': '17/01/2011', 'age': '19', 'clubName': 'Ajax Amsterdam', 'clubID': '610', 'value': '€150k'}, {'date': '28/02/2011', 'age': '19', 'clubName': 'Ajax Amsterdam', 'clubID': '610', 'value': '€800k'}, {'date': '15/06/2011', 'age': '19', 'clubName': 'Ajax Amsterdam', 'clubID': '610', 'value': '€1.75m'}, {'date': '09/01/2013', 'age': '21', 'clubName': 'Ajax Amsterdam', 'clubID': '610', 'value': '€1.00m'}, {'date': '17/06/2013', 'age': '21', 'clubName': 'Metalurg Donetsk', 'clubID': '2783', 'value': '€800k'}, {'date': '20/02/2014', 'age': '22', 'clubName': 'FK Gabala', 'clubID': '22010', 'value': '€1.20m'}, {'date': '23/02/2015', 'age': '23', 'clubName': 'Mordovia Saransk (-2020)', 'clubID': '11126', 'value': '€1.00m'}, {'date': '18/06/2015', 'age': '23', 'clubName': 'Mordovia Saransk (-2020)', 'clubID': '11126', 'value': '€1.00m'}, {'date': '06/01/2016', 'age': '24', 'clubName': 'Anzhi Makhachkala', 'clubID': '2700', 'value': '€800k'}, {'date': '25/05/2016', 'age': '24', 'clubName': 'Anzhi Makhachkala', 'clubID': '2700', 'value': '€700k'}, {'date': '27/12/2016', 'age': '25', 'clubName': 'Anzhi Makhachkala', 'clubID': '2700', 'value': '€700k'}, {'date': '04/05/2017', 'age': '25', 'clubName': 'APOEL Nicosia', 'clubID': '2784', 'value': '€700k'}, {'date': '21/08/2017', 'age': '25', 'clubName': 'APOEL Nicosia', 'clubID': '2784', 'value': '€900k'}, {'date': '13/11/2017', 'age': '26', 'clubName': 'APOEL Nicosia', 'clubID': '2784', 'value': '€900k'}, {'date': '26/04/2018', 'age': '26', 'clubName': 'APOEL Nicosia', 'clubID': '2784', 'value': '€1.50m'}, {'date': '14/01/2019', 'age': '27', 'clubName': 'Red Star Belgrade', 'clubID': '159', 'value': '€1.75m'}, {'date': '09/06/2019', 'age': '27', 'clubName': 'Red Star Belgrade', 'clubID': '159', 'value': '€1.50m'}, {'date': '28/12/2019', 'age': '28', 'clubName': 'Júbilo Iwata', 'clubID': '937', 'value': '€1.00m'}, {'date': '08/04/2020', 'age': '28', 'clubName': 'Without Club', 'clubID': '515', 'value': '€800k'}, {'date': '10/11/2020', 'age': '29', 'clubName': 'Without Club', 'clubID': '515', 'value': '€600k'}, {'date': '09/04/2021', 'age': '29', 'clubName': 'Without Club', 'clubID': '515', 'value': '€500k'}, {'date': '28/10/2021', 'age': '30', 'clubName': 'Without Club', 'clubID': '515', 'value': '€250k'}, {'date': '27/02/2023', 'age': '31', 'clubName': 'DHSC Utrecht (-2024)', 'clubID': '21698', 'value': '-'}]}</t>
  </si>
  <si>
    <t>1991-09-24</t>
  </si>
  <si>
    <t>N. Kalinic</t>
  </si>
  <si>
    <t>{'marketValueHistory': [{'date': 'Dec 18, 2005', 'age': '17', 'clubName': 'HNK Hajduk Split', 'clubID': '447', 'value': '€750k'}, {'date': 'Feb 12, 2007', 'age': '19', 'clubName': 'HNK Sibenik', 'clubID': '223', 'value': '€725k'}, {'date': 'May 9, 2007', 'age': '19', 'clubName': 'HNK Sibenik', 'clubID': '223', 'value': '€780k'}, {'date': 'Oct 4, 2007', 'age': '19', 'clubName': 'HNK Hajduk Split', 'clubID': '447', 'value': '€1.20m'}, {'date': 'Jan 7, 2008', 'age': '20', 'clubName': 'HNK Hajduk Split', 'clubID': '447', 'value': '€3.00m'}, {'date': 'May 4, 2008', 'age': '20', 'clubName': 'HNK Hajduk Split', 'clubID': '447', 'value': '€6.00m'}, {'date': 'Sep 15, 2008', 'age': '20', 'clubName': 'HNK Hajduk Split', 'clubID': '447', 'value': '€6.50m'}, {'date': 'Feb 8, 2009', 'age': '21', 'clubName': 'HNK Hajduk Split', 'clubID': '447', 'value': '€7.00m'}, {'date': 'May 5, 2009', 'age': '21', 'clubName': 'HNK Hajduk Split', 'clubID': '447', 'value': '€6.00m'}, {'date': 'Jan 24, 2010', 'age': '22', 'clubName': 'Blackburn Rovers', 'clubID': '164', 'value': '€5.00m'}, {'date': 'Aug 13, 2010', 'age': '22', 'clubName': 'Blackburn Rovers', 'clubID': '164', 'value': '€4.50m'}, {'date': 'Feb 1, 2011', 'age': '23', 'clubName': 'Blackburn Rovers', 'clubID': '164', 'value': '€4.50m'}, {'date': 'Aug 8, 2011', 'age': '23', 'clubName': 'Blackburn Rovers', 'clubID': '164', 'value': '€4.50m'}, {'date': 'Jan 5, 2012', 'age': '24', 'clubName': 'Dnipro Dnipropetrovsk (- 2020)', 'clubID': '339', 'value': '€6.00m'}, {'date': 'Jul 2, 2012', 'age': '24', 'clubName': 'Dnipro Dnipropetrovsk (- 2020)', 'clubID': '339', 'value': '€6.50m'}, {'date': 'Jun 17, 2013', 'age': '25', 'clubName': 'Dnipro Dnipropetrovsk (- 2020)', 'clubID': '339', 'value': '€6.00m'}, {'date': 'Jan 2, 2014', 'age': '25', 'clubName': 'Dnipro Dnipropetrovsk (- 2020)', 'clubID': '339', 'value': '€5.00m'}, {'date': 'Jun 30, 2014', 'age': '26', 'clubName': 'Dnipro Dnipropetrovsk (- 2020)', 'clubID': '339', 'value': '€5.00m'}, {'date': 'Dec 25, 2014', 'age': '26', 'clubName': 'Dnipro Dnipropetrovsk (- 2020)', 'clubID': '339', 'value': '€6.00m'}, {'date': 'Jun 7, 2015', 'age': '27', 'clubName': 'Dnipro Dnipropetrovsk (- 2020)', 'clubID': '339', 'value': '€7.00m'}, {'date': 'Nov 5, 2015', 'age': '27', 'clubName': 'ACF Fiorentina', 'clubID': '430', 'value': '€10.00m'}, {'date': 'Jan 4, 2016', 'age': '27', 'clubName': 'ACF Fiorentina', 'clubID': '430', 'value': '€15.00m'}, {'date': 'Jun 1, 2016', 'age': '28', 'clubName': 'ACF Fiorentina', 'clubID': '430', 'value': '€13.50m'}, {'date': 'Jul 15, 2016', 'age': '28', 'clubName': 'ACF Fiorentina', 'clubID': '430', 'value': '€14.00m'}, {'date': 'Jan 2, 2017', 'age': '28', 'clubName': 'ACF Fiorentina', 'clubID': '430', 'value': '€17.00m'}, {'date': 'Mar 28, 2017', 'age': '29', 'clubName': 'ACF Fiorentina', 'clubID': '430', 'value': '€20.00m'}, {'date': 'Jun 8, 2017', 'age': '29', 'clubName': 'ACF Fiorentina', 'clubID': '430', 'value': '€20.00m'}, {'date': 'Dec 29, 2017', 'age': '29', 'clubName': 'AC Milan', 'clubID': '5', 'value': '€19.00m'}, {'date': 'Mar 24, 2018', 'age': '30', 'clubName': 'AC Milan', 'clubID': '5', 'value': '€16.00m'}, {'date': 'Jun 7, 2018', 'age': '30', 'clubName': 'AC Milan', 'clubID': '5', 'value': '€14.00m'}, {'date': 'Dec 21, 2018', 'age': '30', 'clubName': 'Atlético de Madrid', 'clubID': '13', 'value': '€14.00m'}, {'date': 'Jun 11, 2019', 'age': '31', 'clubName': 'Atlético de Madrid', 'clubID': '13', 'value': '€10.00m'}, {'date': 'Dec 12, 2019', 'age': '31', 'clubName': 'AS Roma', 'clubID': '12', 'value': '€8.50m'}, {'date': 'Apr 8, 2020', 'age': '32', 'clubName': 'AS Roma', 'clubID': '12', 'value': '€6.80m'}, {'date': 'Aug 25, 2020', 'age': '32', 'clubName': 'AS Roma', 'clubID': '12', 'value': '€5.50m'}, {'date': 'Dec 29, 2020', 'age': '32', 'clubName': 'Hellas Verona', 'clubID': '276', 'value': '€2.50m'}, {'date': 'Jun 3, 2021', 'age': '33', 'clubName': 'Hellas Verona', 'clubID': '276', 'value': '€1.50m'}, {'date': 'Dec 28, 2021', 'age': '33', 'clubName': 'Hellas Verona', 'clubID': '276', 'value': '€1.00m'}, {'date': 'Jun 6, 2022', 'age': '34', 'clubName': 'HNK Hajduk Split', 'clubID': '447', 'value': '€800k'}, {'date': 'Nov 8, 2022', 'age': '34', 'clubName': 'HNK Hajduk Split', 'clubID': '447', 'value': '€600k'}, {'date': 'Jun 6, 2023', 'age': '35', 'clubName': 'HNK Hajduk Split', 'clubID': '447', 'value': '€300k'}, {'date': 'Jun 4, 2024', 'age': '36', 'clubName': 'HNK Hajduk Split', 'clubID': '447', 'value': '€100k'}, {'date': 'Jul 1, 2024', 'age': '36', 'clubName': 'Retired', 'clubID': '123', 'value': '-'}]}</t>
  </si>
  <si>
    <t>1988-01-05</t>
  </si>
  <si>
    <t>Openda</t>
  </si>
  <si>
    <t>{'marketValueHistory': [{'date': '01/08/2018', 'age': '18', 'clubName': 'Club Brugge KV', 'clubID': '2282', 'value': '€200k'}, {'date': '11/09/2018', 'age': '18', 'clubName': 'Club Brugge KV', 'clubID': '2282', 'value': '€600k'}, {'date': '27/12/2018', 'age': '18', 'clubName': 'Club Brugge KV', 'clubID': '2282', 'value': '€900k'}, {'date': '04/03/2019', 'age': '19', 'clubName': 'Club Brugge KV', 'clubID': '2282', 'value': '€1.00m'}, {'date': '10/06/2019', 'age': '19', 'clubName': 'Club Brugge KV', 'clubID': '2282', 'value': '€3.00m'}, {'date': '13/09/2019', 'age': '19', 'clubName': 'Club Brugge KV', 'clubID': '2282', 'value': '€4.50m'}, {'date': '13/12/2019', 'age': '19', 'clubName': 'Club Brugge KV', 'clubID': '2282', 'value': '€6.00m'}, {'date': '11/02/2020', 'age': '19', 'clubName': 'Club Brugge KV', 'clubID': '2282', 'value': '€4.50m'}, {'date': '08/04/2020', 'age': '20', 'clubName': 'Club Brugge KV', 'clubID': '2282', 'value': '€4.00m'}, {'date': '14/10/2020', 'age': '20', 'clubName': 'Vitesse Arnhem', 'clubID': '499', 'value': '€4.00m'}, {'date': '06/01/2021', 'age': '20', 'clubName': 'Vitesse Arnhem', 'clubID': '499', 'value': '€3.50m'}, {'date': '09/03/2021', 'age': '21', 'clubName': 'Vitesse Arnhem', 'clubID': '499', 'value': '€3.00m'}, {'date': '19/05/2021', 'age': '21', 'clubName': 'Vitesse Arnhem', 'clubID': '499', 'value': '€3.00m'}, {'date': '05/01/2022', 'age': '21', 'clubName': 'Vitesse Arnhem', 'clubID': '499', 'value': '€4.00m'}, {'date': '17/03/2022', 'age': '22', 'clubName': 'Vitesse Arnhem', 'clubID': '499', 'value': '€5.50m'}, {'date': '08/06/2022', 'age': '22', 'clubName': 'Vitesse Arnhem', 'clubID': '499', 'value': '€7.50m'}, {'date': '19/09/2022', 'age': '22', 'clubName': 'RC Lens', 'clubID': '826', 'value': '€12.00m'}, {'date': '02/11/2022', 'age': '22', 'clubName': 'RC Lens', 'clubID': '826', 'value': '€12.00m'}, {'date': '27/03/2023', 'age': '23', 'clubName': 'RC Lens', 'clubID': '826', 'value': '€20.00m'}, {'date': '27/06/2023', 'age': '23', 'clubName': 'RC Lens', 'clubID': '826', 'value': '€35.00m'}, {'date': '18/10/2023', 'age': '23', 'clubName': 'RB Leipzig', 'clubID': '23826', 'value': '€45.00m'}, {'date': '14/12/2023', 'age': '23', 'clubName': 'RB Leipzig', 'clubID': '23826', 'value': '€55.00m'}, {'date': '27/03/2024', 'age': '24', 'clubName': 'RB Leipzig', 'clubID': '23826', 'value': '€60.00m'}, {'date': '29/05/2024', 'age': '24', 'clubName': 'RB Leipzig', 'clubID': '23826', 'value': '€60.00m'}, {'date': '20/12/2024', 'age': '24', 'clubName': 'RB Leipzig', 'clubID': '23826', 'value': '€60.00m'}, {'date': '05/06/2025', 'age': '25', 'clubName': 'RB Leipzig', 'clubID': '23826', 'value': '€50.00m'}, {'date': '07/10/2025', 'age': '25', 'clubName': 'Juventus FC', 'clubID': '506', 'value': '€45.00m'}, {'date': '23/12/2025', 'age': '25', 'clubName': 'Juventus FC', 'clubID': '506', 'value': '€40.00m'}, {'date': '24/03/2026', 'age': '26', 'clubName': 'Juventus FC', 'clubID': '506', 'value': '€32.00m'}]}</t>
  </si>
  <si>
    <t>2000-02-16</t>
  </si>
  <si>
    <t>Cheryshev</t>
  </si>
  <si>
    <t>{'marketValueHistory': [{'date': 'Aug 19, 2012', 'age': '21', 'clubName': 'Real Madrid Castilla', 'clubID': '6767', 'value': '€800k'}, {'date': 'Sep 14, 2012', 'age': '21', 'clubName': 'Real Madrid Castilla', 'clubID': '6767', 'value': '€2.00m'}, {'date': 'Dec 2, 2012', 'age': '21', 'clubName': 'Real Madrid Castilla', 'clubID': '6767', 'value': '€4.00m'}, {'date': 'Jan 10, 2013', 'age': '22', 'clubName': 'Real Madrid Castilla', 'clubID': '6767', 'value': '€5.00m'}, {'date': 'May 9, 2013', 'age': '22', 'clubName': 'Real Madrid Castilla', 'clubID': '6767', 'value': '€6.50m'}, {'date': 'Sep 17, 2013', 'age': '22', 'clubName': 'Sevilla FC', 'clubID': '368', 'value': '€6.50m'}, {'date': 'Jan 23, 2014', 'age': '23', 'clubName': 'Sevilla FC', 'clubID': '368', 'value': '€5.00m'}, {'date': 'Mar 31, 2014', 'age': '23', 'clubName': 'Sevilla FC', 'clubID': '368', 'value': '€3.00m'}, {'date': 'Jul 20, 2014', 'age': '23', 'clubName': 'Villarreal CF', 'clubID': '1050', 'value': '€3.00m'}, {'date': 'Oct 12, 2014', 'age': '23', 'clubName': 'Villarreal CF', 'clubID': '1050', 'value': '€4.00m'}, {'date': 'Jan 23, 2015', 'age': '24', 'clubName': 'Villarreal CF', 'clubID': '1050', 'value': '€10.00m'}, {'date': 'Jul 1, 2015', 'age': '24', 'clubName': 'Real Madrid', 'clubID': '418', 'value': '€10.00m'}, {'date': 'Feb 22, 2016', 'age': '25', 'clubName': 'Valencia CF', 'clubID': '1049', 'value': '€10.00m'}, {'date': 'Jul 15, 2016', 'age': '25', 'clubName': 'Villarreal CF', 'clubID': '1050', 'value': '€7.00m'}, {'date': 'Jan 24, 2017', 'age': '26', 'clubName': 'Villarreal CF', 'clubID': '1050', 'value': '€5.00m'}, {'date': 'Jun 5, 2017', 'age': '26', 'clubName': 'Villarreal CF', 'clubID': '1050', 'value': '€3.00m'}, {'date': 'Jan 1, 2018', 'age': '27', 'clubName': 'Villarreal CF', 'clubID': '1050', 'value': '€3.00m'}, {'date': 'May 30, 2018', 'age': '27', 'clubName': 'Villarreal CF', 'clubID': '1050', 'value': '€3.00m'}, {'date': 'Jul 15, 2018', 'age': '27', 'clubName': 'Villarreal CF', 'clubID': '1050', 'value': '€8.00m'}, {'date': 'Dec 21, 2018', 'age': '27', 'clubName': 'Valencia CF', 'clubID': '1049', 'value': '€7.00m'}, {'date': 'Jun 11, 2019', 'age': '28', 'clubName': 'Valencia CF', 'clubID': '1049', 'value': '€6.00m'}, {'date': 'Dec 20, 2019', 'age': '28', 'clubName': 'Valencia CF', 'clubID': '1049', 'value': '€6.00m'}, {'date': 'Apr 8, 2020', 'age': '29', 'clubName': 'Valencia CF', 'clubID': '1049', 'value': '€4.80m'}, {'date': 'Oct 8, 2020', 'age': '29', 'clubName': 'Valencia CF', 'clubID': '1049', 'value': '€4.00m'}, {'date': 'Jan 5, 2021', 'age': '30', 'clubName': 'Valencia CF', 'clubID': '1049', 'value': '€4.00m'}, {'date': 'May 26, 2021', 'age': '30', 'clubName': 'Valencia CF', 'clubID': '1049', 'value': '€3.50m'}, {'date': 'Dec 30, 2021', 'age': '31', 'clubName': 'Valencia CF', 'clubID': '1049', 'value': '€3.00m'}, {'date': 'Jun 3, 2022', 'age': '31', 'clubName': 'Valencia CF', 'clubID': '1049', 'value': '€2.50m'}, {'date': 'Sep 27, 2022', 'age': '31', 'clubName': 'Venezia FC', 'clubID': '607', 'value': '€1.80m'}, {'date': 'Dec 22, 2022', 'age': '31', 'clubName': 'Venezia FC', 'clubID': '607', 'value': '€1.50m'}, {'date': 'Jun 12, 2023', 'age': '32', 'clubName': 'Venezia FC', 'clubID': '607', 'value': '€1.00m'}, {'date': 'Dec 27, 2023', 'age': '33', 'clubName': 'Venezia FC', 'clubID': '607', 'value': '€700k'}, {'date': 'Jun 3, 2024', 'age': '33', 'clubName': 'Venezia FC', 'clubID': '607', 'value': '€500k'}, {'date': 'Dec 27, 2024', 'age': '34', 'clubName': 'Panionios FC', 'clubID': '169', 'value': '€400k'}, {'date': 'May 16, 2025', 'age': '34', 'clubName': 'Panionios FC', 'clubID': '169', 'value': '€300k'}, {'date': 'Mar 2, 2026', 'age': '35', 'clubName': 'Krasava ENY', 'clubID': '57870', 'value': '€300k'}]}</t>
  </si>
  <si>
    <t>1990-12-26</t>
  </si>
  <si>
    <t>Barzagli</t>
  </si>
  <si>
    <t>{'marketValueHistory': [{'date': '04/10/2004', 'age': '23', 'clubName': 'US Palermo', 'clubID': '458', 'value': '€7.00m'}, {'date': '13/03/2006', 'age': '24', 'clubName': 'US Palermo', 'clubID': '458', 'value': '€10.00m'}, {'date': '08/04/2007', 'age': '25', 'clubName': 'US Palermo', 'clubID': '458', 'value': '€14.50m'}, {'date': '30/06/2008', 'age': '27', 'clubName': 'US Palermo', 'clubID': '458', 'value': '€11.00m'}, {'date': '10/06/2009', 'age': '28', 'clubName': 'VfL Wolfsburg', 'clubID': '82', 'value': '€14.00m'}, {'date': '18/11/2009', 'age': '28', 'clubName': 'VfL Wolfsburg', 'clubID': '82', 'value': '€12.50m'}, {'date': '17/01/2010', 'age': '28', 'clubName': 'VfL Wolfsburg', 'clubID': '82', 'value': '€11.00m'}, {'date': '15/06/2010', 'age': '29', 'clubName': 'VfL Wolfsburg', 'clubID': '82', 'value': '€8.50m'}, {'date': '12/01/2011', 'age': '29', 'clubName': 'Juventus FC', 'clubID': '506', 'value': '€8.00m'}, {'date': '01/02/2011', 'age': '29', 'clubName': 'Juventus FC', 'clubID': '506', 'value': '€5.00m'}, {'date': '21/06/2011', 'age': '30', 'clubName': 'Juventus FC', 'clubID': '506', 'value': '€6.00m'}, {'date': '11/01/2012', 'age': '30', 'clubName': 'Juventus FC', 'clubID': '506', 'value': '€8.00m'}, {'date': '28/03/2012', 'age': '30', 'clubName': 'Juventus FC', 'clubID': '506', 'value': '€10.00m'}, {'date': '08/06/2012', 'age': '31', 'clubName': 'Juventus FC', 'clubID': '506', 'value': '€10.00m'}, {'date': '04/07/2012', 'age': '31', 'clubName': 'Juventus FC', 'clubID': '506', 'value': '€12.50m'}, {'date': '15/01/2013', 'age': '31', 'clubName': 'Juventus FC', 'clubID': '506', 'value': '€12.50m'}, {'date': '19/06/2013', 'age': '32', 'clubName': 'Juventus FC', 'clubID': '506', 'value': '€12.00m'}, {'date': '07/01/2014', 'age': '32', 'clubName': 'Juventus FC', 'clubID': '506', 'value': '€10.00m'}, {'date': '11/07/2014', 'age': '33', 'clubName': 'Juventus FC', 'clubID': '506', 'value': '€7.00m'}, {'date': '07/01/2015', 'age': '33', 'clubName': 'Juventus FC', 'clubID': '506', 'value': '€3.50m'}, {'date': '01/07/2015', 'age': '34', 'clubName': 'Juventus FC', 'clubID': '506', 'value': '€3.00m'}, {'date': '04/01/2016', 'age': '34', 'clubName': 'Juventus FC', 'clubID': '506', 'value': '€3.00m'}, {'date': '01/06/2016', 'age': '35', 'clubName': 'Juventus FC', 'clubID': '506', 'value': '€2.00m'}, {'date': '15/07/2016', 'age': '35', 'clubName': 'Juventus FC', 'clubID': '506', 'value': '€2.00m'}, {'date': '02/01/2017', 'age': '35', 'clubName': 'Juventus FC', 'clubID': '506', 'value': '€2.00m'}, {'date': '08/06/2017', 'age': '36', 'clubName': 'Juventus FC', 'clubID': '506', 'value': '€1.00m'}, {'date': '29/12/2017', 'age': '36', 'clubName': 'Juventus FC', 'clubID': '506', 'value': '€1.00m'}, {'date': '07/06/2018', 'age': '37', 'clubName': 'Juventus FC', 'clubID': '506', 'value': '€1.00m'}, {'date': '20/12/2018', 'age': '37', 'clubName': 'Juventus FC', 'clubID': '506', 'value': '€1.00m'}, {'date': '06/06/2019', 'age': '38', 'clubName': 'Juventus FC', 'clubID': '506', 'value': '€1.00m'}, {'date': '01/07/2019', 'age': '38', 'clubName': 'Retired', 'clubID': '123', 'value': '-'}]}</t>
  </si>
  <si>
    <t>1981-05-08</t>
  </si>
  <si>
    <t>Khedira</t>
  </si>
  <si>
    <t>{'marketValueHistory': [{'date': 'Sep 30, 2006', 'age': '19', 'clubName': 'VfB Stuttgart II', 'clubID': '102', 'value': '€75k'}, {'date': 'Oct 10, 2006', 'age': '19', 'clubName': 'VfB Stuttgart II', 'clubID': '102', 'value': '€100k'}, {'date': 'Oct 30, 2006', 'age': '19', 'clubName': 'VfB Stuttgart II', 'clubID': '102', 'value': '€300k'}, {'date': 'Jan 16, 2007', 'age': '19', 'clubName': 'VfB Stuttgart II', 'clubID': '102', 'value': '€700k'}, {'date': 'Jun 21, 2007', 'age': '20', 'clubName': 'VfB Stuttgart', 'clubID': '79', 'value': '€2.00m'}, {'date': 'Aug 24, 2007', 'age': '20', 'clubName': 'VfB Stuttgart', 'clubID': '79', 'value': '€3.50m'}, {'date': 'Jan 21, 2009', 'age': '21', 'clubName': 'VfB Stuttgart', 'clubID': '79', 'value': '€6.00m'}, {'date': 'Jun 10, 2009', 'age': '22', 'clubName': 'VfB Stuttgart', 'clubID': '79', 'value': '€8.50m'}, {'date': 'Jul 10, 2009', 'age': '22', 'clubName': 'VfB Stuttgart', 'clubID': '79', 'value': '€11.00m'}, {'date': 'Jan 17, 2010', 'age': '22', 'clubName': 'VfB Stuttgart', 'clubID': '79', 'value': '€12.00m'}, {'date': 'Mar 7, 2010', 'age': '22', 'clubName': 'VfB Stuttgart', 'clubID': '79', 'value': '€15.00m'}, {'date': 'Jul 16, 2010', 'age': '23', 'clubName': 'VfB Stuttgart', 'clubID': '79', 'value': '€18.00m'}, {'date': 'Dec 10, 2010', 'age': '23', 'clubName': 'Real Madrid', 'clubID': '418', 'value': '€20.00m'}, {'date': 'Feb 4, 2011', 'age': '23', 'clubName': 'Real Madrid', 'clubID': '418', 'value': '€20.00m'}, {'date': 'Jul 29, 2011', 'age': '24', 'clubName': 'Real Madrid', 'clubID': '418', 'value': '€20.00m'}, {'date': 'Feb 3, 2012', 'age': '24', 'clubName': 'Real Madrid', 'clubID': '418', 'value': '€20.00m'}, {'date': 'Aug 7, 2012', 'age': '25', 'clubName': 'Real Madrid', 'clubID': '418', 'value': '€25.00m'}, {'date': 'Jan 10, 2013', 'age': '25', 'clubName': 'Real Madrid', 'clubID': '418', 'value': '€25.00m'}, {'date': 'Jun 12, 2013', 'age': '26', 'clubName': 'Real Madrid', 'clubID': '418', 'value': '€22.00m'}, {'date': 'Jan 23, 2014', 'age': '26', 'clubName': 'Real Madrid', 'clubID': '418', 'value': '€22.00m'}, {'date': 'Jul 20, 2014', 'age': '27', 'clubName': 'Real Madrid', 'clubID': '418', 'value': '€35.00m'}, {'date': 'Oct 5, 2014', 'age': '27', 'clubName': 'Real Madrid', 'clubID': '418', 'value': '€30.00m'}, {'date': 'Jan 23, 2015', 'age': '27', 'clubName': 'Real Madrid', 'clubID': '418', 'value': '€25.00m'}, {'date': 'Apr 9, 2015', 'age': '28', 'clubName': 'Real Madrid', 'clubID': '418', 'value': '€20.00m'}, {'date': 'Jul 1, 2015', 'age': '28', 'clubName': 'Juventus FC', 'clubID': '506', 'value': '€18.00m'}, {'date': 'Jan 4, 2016', 'age': '28', 'clubName': 'Juventus FC', 'clubID': '506', 'value': '€18.00m'}, {'date': 'Jun 1, 2016', 'age': '29', 'clubName': 'Juventus FC', 'clubID': '506', 'value': '€20.00m'}, {'date': 'Jul 15, 2016', 'age': '29', 'clubName': 'Juventus FC', 'clubID': '506', 'value': '€20.00m'}, {'date': 'Jan 2, 2017', 'age': '29', 'clubName': 'Juventus FC', 'clubID': '506', 'value': '€23.00m'}, {'date': 'Jun 8, 2017', 'age': '30', 'clubName': 'Juventus FC', 'clubID': '506', 'value': '€28.00m'}, {'date': 'Dec 29, 2017', 'age': '30', 'clubName': 'Juventus FC', 'clubID': '506', 'value': '€28.00m'}, {'date': 'Jun 7, 2018', 'age': '31', 'clubName': 'Juventus FC', 'clubID': '506', 'value': '€26.00m'}, {'date': 'Jul 16, 2018', 'age': '31', 'clubName': 'Juventus FC', 'clubID': '506', 'value': '€25.00m'}, {'date': 'Dec 20, 2018', 'age': '31', 'clubName': 'Juventus FC', 'clubID': '506', 'value': '€20.00m'}, {'date': 'Mar 1, 2019', 'age': '31', 'clubName': 'Juventus FC', 'clubID': '506', 'value': '€15.00m'}, {'date': 'Jun 6, 2019', 'age': '32', 'clubName': 'Juventus FC', 'clubID': '506', 'value': '€7.00m'}, {'date': 'Oct 8, 2019', 'age': '32', 'clubName': 'Juventus FC', 'clubID': '506', 'value': '€8.50m'}, {'date': 'Dec 12, 2019', 'age': '32', 'clubName': 'Juventus FC', 'clubID': '506', 'value': '€7.00m'}, {'date': 'Apr 8, 2020', 'age': '33', 'clubName': 'Juventus FC', 'clubID': '506', 'value': '€5.50m'}, {'date': 'Aug 25, 2020', 'age': '33', 'clubName': 'Juventus FC', 'clubID': '506', 'value': '€4.00m'}, {'date': 'Dec 29, 2020', 'age': '33', 'clubName': 'Juventus FC', 'clubID': '506', 'value': '€2.00m'}, {'date': 'Jun 9, 2021', 'age': '34', 'clubName': 'Hertha BSC', 'clubID': '44', 'value': '€2.00m'}, {'date': 'Jul 1, 2021', 'age': '34', 'clubName': 'Retired', 'clubID': '123', 'value': '-'}]}</t>
  </si>
  <si>
    <t>Bertone</t>
  </si>
  <si>
    <t>{'marketValueHistory': [{'date': '09/10/2016', 'age': '19', 'clubName': 'CA Vélez Sarsfield II', 'clubID': '1029', 'value': '€100k'}, {'date': '09/10/2017', 'age': '20', 'clubName': 'CA Vélez Sarsfield', 'clubID': '1029', 'value': '€150k'}, {'date': '08/05/2018', 'age': '21', 'clubName': 'CA Vélez Sarsfield', 'clubID': '1029', 'value': '€3.00m'}, {'date': '18/12/2018', 'age': '21', 'clubName': 'CA Vélez Sarsfield', 'clubID': '1029', 'value': '€4.00m'}, {'date': '06/08/2019', 'age': '22', 'clubName': 'CA Vélez Sarsfield', 'clubID': '1029', 'value': '€8.00m'}, {'date': '05/12/2019', 'age': '22', 'clubName': 'CA Vélez Sarsfield', 'clubID': '1029', 'value': '€8.00m'}, {'date': '08/04/2020', 'age': '23', 'clubName': 'CA Vélez Sarsfield', 'clubID': '1029', 'value': '€6.50m'}, {'date': '08/10/2020', 'age': '23', 'clubName': 'UD Almería', 'clubID': '3302', 'value': '€6.50m'}, {'date': '23/11/2020', 'age': '23', 'clubName': 'UD Almería', 'clubID': '3302', 'value': '€5.50m'}, {'date': '08/01/2021', 'age': '23', 'clubName': 'UD Almería', 'clubID': '3302', 'value': '€4.50m'}, {'date': '19/03/2021', 'age': '24', 'clubName': 'UD Almería', 'clubID': '3302', 'value': '€3.50m'}, {'date': '24/06/2021', 'age': '24', 'clubName': 'UD Almería', 'clubID': '3302', 'value': '€2.50m'}, {'date': '13/10/2021', 'age': '24', 'clubName': 'UD Almería', 'clubID': '3302', 'value': '€4.00m'}, {'date': '27/12/2021', 'age': '24', 'clubName': 'UD Almería', 'clubID': '3302', 'value': '€4.00m'}, {'date': '29/06/2022', 'age': '25', 'clubName': 'UD Almería', 'clubID': '3302', 'value': '€4.00m'}, {'date': '07/11/2022', 'age': '25', 'clubName': 'UD Almería', 'clubID': '3302', 'value': '€6.00m'}, {'date': '23/03/2023', 'age': '26', 'clubName': 'UD Almería', 'clubID': '3302', 'value': '€7.00m'}, {'date': '13/06/2023', 'age': '26', 'clubName': 'UD Almería', 'clubID': '3302', 'value': '€7.00m'}, {'date': '22/12/2023', 'age': '26', 'clubName': 'UD Almería', 'clubID': '3302', 'value': '€7.00m'}, {'date': '07/06/2024', 'age': '27', 'clubName': 'UD Almería', 'clubID': '3302', 'value': '€7.00m'}, {'date': '13/12/2024', 'age': '27', 'clubName': 'UD Almería', 'clubID': '3302', 'value': '€6.00m'}, {'date': '27/03/2025', 'age': '28', 'clubName': 'UD Almería', 'clubID': '3302', 'value': '€5.00m'}, {'date': '24/06/2025', 'age': '28', 'clubName': 'UD Almería', 'clubID': '3302', 'value': '€4.00m'}, {'date': '10/10/2025', 'age': '28', 'clubName': 'UD Almería', 'clubID': '3302', 'value': '€3.00m'}, {'date': '30/12/2025', 'age': '28', 'clubName': 'UD Almería', 'clubID': '3302', 'value': '€2.00m'}]}</t>
  </si>
  <si>
    <t>1997-03-18</t>
  </si>
  <si>
    <t>Ferran Torres</t>
  </si>
  <si>
    <t>{'marketValueHistory': [{'date': 'Jan 1, 2018', 'age': '17', 'clubName': 'Valencia CF', 'clubID': '1049', 'value': '€1.00m'}, {'date': 'Mar 22, 2018', 'age': '18', 'clubName': 'Valencia CF', 'clubID': '1049', 'value': '€5.00m'}, {'date': 'May 30, 2018', 'age': '18', 'clubName': 'Valencia CF', 'clubID': '1049', 'value': '€5.00m'}, {'date': 'Dec 21, 2018', 'age': '18', 'clubName': 'Valencia CF', 'clubID': '1049', 'value': '€5.00m'}, {'date': 'Feb 28, 2019', 'age': '18', 'clubName': 'Valencia CF', 'clubID': '1049', 'value': '€12.00m'}, {'date': 'Jun 11, 2019', 'age': '19', 'clubName': 'Valencia CF', 'clubID': '1049', 'value': '€20.00m'}, {'date': 'Dec 20, 2019', 'age': '19', 'clubName': 'Valencia CF', 'clubID': '1049', 'value': '€40.00m'}, {'date': 'Mar 5, 2020', 'age': '20', 'clubName': 'Valencia CF', 'clubID': '1049', 'value': '€50.00m'}, {'date': 'Apr 8, 2020', 'age': '20', 'clubName': 'Valencia CF', 'clubID': '1049', 'value': '€45.00m'}, {'date': 'Oct 13, 2020', 'age': '20', 'clubName': 'Manchester City', 'clubID': '281', 'value': '€45.00m'}, {'date': 'Dec 17, 2020', 'age': '20', 'clubName': 'Manchester City', 'clubID': '281', 'value': '€50.00m'}, {'date': 'Mar 18, 2021', 'age': '21', 'clubName': 'Manchester City', 'clubID': '281', 'value': '€50.00m'}, {'date': 'May 31, 2021', 'age': '21', 'clubName': 'Manchester City', 'clubID': '281', 'value': '€50.00m'}, {'date': 'Dec 23, 2021', 'age': '21', 'clubName': 'Manchester City', 'clubID': '281', 'value': '€45.00m'}, {'date': 'Jun 3, 2022', 'age': '22', 'clubName': 'FC Barcelona', 'clubID': '131', 'value': '€45.00m'}, {'date': 'Sep 23, 2022', 'age': '22', 'clubName': 'FC Barcelona', 'clubID': '131', 'value': '€40.00m'}, {'date': 'Nov 7, 2022', 'age': '22', 'clubName': 'FC Barcelona', 'clubID': '131', 'value': '€35.00m'}, {'date': 'Mar 23, 2023', 'age': '23', 'clubName': 'FC Barcelona', 'clubID': '131', 'value': '€30.00m'}, {'date': 'Jun 13, 2023', 'age': '23', 'clubName': 'FC Barcelona', 'clubID': '131', 'value': '€30.00m'}, {'date': 'Oct 13, 2023', 'age': '23', 'clubName': 'FC Barcelona', 'clubID': '131', 'value': '€35.00m'}, {'date': 'Dec 22, 2023', 'age': '23', 'clubName': 'FC Barcelona', 'clubID': '131', 'value': '€35.00m'}, {'date': 'Jun 7, 2024', 'age': '24', 'clubName': 'FC Barcelona', 'clubID': '131', 'value': '€30.00m'}, {'date': 'Dec 27, 2024', 'age': '24', 'clubName': 'FC Barcelona', 'clubID': '131', 'value': '€28.00m'}, {'date': 'Jun 9, 2025', 'age': '25', 'clubName': 'FC Barcelona', 'clubID': '131', 'value': '€40.00m'}, {'date': 'Oct 2, 2025', 'age': '25', 'clubName': 'FC Barcelona', 'clubID': '131', 'value': '€50.00m'}, {'date': 'Dec 12, 2025', 'age': '25', 'clubName': 'FC Barcelona', 'clubID': '131', 'value': '€50.00m'}]}</t>
  </si>
  <si>
    <t>2000-02-29</t>
  </si>
  <si>
    <t>Lallana</t>
  </si>
  <si>
    <t>{'marketValueHistory': [{'date': '29/07/2007', 'age': '19', 'clubName': 'Southampton FC', 'clubID': '180', 'value': '€50k'}, {'date': '13/10/2008', 'age': '20', 'clubName': 'Southampton FC', 'clubID': '180', 'value': '€250k'}, {'date': '07/01/2009', 'age': '20', 'clubName': 'Southampton FC', 'clubID': '180', 'value': '€750k'}, {'date': '27/04/2010', 'age': '21', 'clubName': 'Southampton FC', 'clubID': '180', 'value': '€900k'}, {'date': '14/09/2011', 'age': '23', 'clubName': 'Southampton FC', 'clubID': '180', 'value': '€1.00m'}, {'date': '07/02/2012', 'age': '23', 'clubName': 'Southampton FC', 'clubID': '180', 'value': '€2.00m'}, {'date': '22/06/2012', 'age': '24', 'clubName': 'Southampton FC', 'clubID': '180', 'value': '€3.00m'}, {'date': '28/01/2013', 'age': '24', 'clubName': 'Southampton FC', 'clubID': '180', 'value': '€5.50m'}, {'date': '02/07/2013', 'age': '25', 'clubName': 'Southampton FC', 'clubID': '180', 'value': '€5.50m'}, {'date': '15/01/2014', 'age': '25', 'clubName': 'Southampton FC', 'clubID': '180', 'value': '€7.50m'}, {'date': '12/08/2014', 'age': '26', 'clubName': 'Liverpool FC', 'clubID': '31', 'value': '€22.00m'}, {'date': '12/02/2015', 'age': '26', 'clubName': 'Liverpool FC', 'clubID': '31', 'value': '€22.00m'}, {'date': '01/07/2015', 'age': '27', 'clubName': 'Liverpool FC', 'clubID': '31', 'value': '€20.00m'}, {'date': '09/02/2016', 'age': '27', 'clubName': 'Liverpool FC', 'clubID': '31', 'value': '€18.00m'}, {'date': '01/06/2016', 'age': '28', 'clubName': 'Liverpool FC', 'clubID': '31', 'value': '€19.00m'}, {'date': '01/08/2016', 'age': '28', 'clubName': 'Liverpool FC', 'clubID': '31', 'value': '€19.00m'}, {'date': '20/02/2017', 'age': '28', 'clubName': 'Liverpool FC', 'clubID': '31', 'value': '€22.00m'}, {'date': '28/06/2017', 'age': '29', 'clubName': 'Liverpool FC', 'clubID': '31', 'value': '€25.00m'}, {'date': '02/01/2018', 'age': '29', 'clubName': 'Liverpool FC', 'clubID': '31', 'value': '€25.00m'}, {'date': '28/05/2018', 'age': '30', 'clubName': 'Liverpool FC', 'clubID': '31', 'value': '€25.00m'}, {'date': '17/10/2018', 'age': '30', 'clubName': 'Liverpool FC', 'clubID': '31', 'value': '€20.00m'}, {'date': '19/12/2018', 'age': '30', 'clubName': 'Liverpool FC', 'clubID': '31', 'value': '€15.00m'}, {'date': '13/06/2019', 'age': '31', 'clubName': 'Liverpool FC', 'clubID': '31', 'value': '€15.00m'}, {'date': '10/12/2019', 'age': '31', 'clubName': 'Liverpool FC', 'clubID': '31', 'value': '€12.00m'}, {'date': '08/04/2020', 'age': '31', 'clubName': 'Liverpool FC', 'clubID': '31', 'value': '€9.50m'}, {'date': '13/10/2020', 'age': '32', 'clubName': 'Brighton &amp; Hove Albion', 'clubID': '1237', 'value': '€8.00m'}, {'date': '18/03/2021', 'age': '32', 'clubName': 'Brighton &amp; Hove Albion', 'clubID': '1237', 'value': '€6.00m'}, {'date': '08/06/2021', 'age': '33', 'clubName': 'Brighton &amp; Hove Albion', 'clubID': '1237', 'value': '€4.00m'}, {'date': '23/12/2021', 'age': '33', 'clubName': 'Brighton &amp; Hove Albion', 'clubID': '1237', 'value': '€2.50m'}, {'date': '15/06/2022', 'age': '34', 'clubName': 'Brighton &amp; Hove Albion', 'clubID': '1237', 'value': '€2.00m'}, {'date': '03/11/2022', 'age': '34', 'clubName': 'Brighton &amp; Hove Albion', 'clubID': '1237', 'value': '€1.50m'}, {'date': '20/06/2023', 'age': '35', 'clubName': 'Brighton &amp; Hove Albion', 'clubID': '1237', 'value': '€1.20m'}, {'date': '19/12/2023', 'age': '35', 'clubName': 'Brighton &amp; Hove Albion', 'clubID': '1237', 'value': '€1.00m'}, {'date': '27/05/2024', 'age': '36', 'clubName': 'Brighton &amp; Hove Albion', 'clubID': '1237', 'value': '€1.00m'}, {'date': '16/12/2024', 'age': '36', 'clubName': 'Southampton FC', 'clubID': '180', 'value': '€900k'}, {'date': '30/05/2025', 'age': '37', 'clubName': 'Southampton FC', 'clubID': '180', 'value': '€750k'}, {'date': '01/07/2025', 'age': '37', 'clubName': 'Retired', 'clubID': '123', 'value': '-'}]}</t>
  </si>
  <si>
    <t>1988-05-10</t>
  </si>
  <si>
    <t>Cheikh</t>
  </si>
  <si>
    <t>Zuber</t>
  </si>
  <si>
    <t>{'marketValueHistory': [{'date': '13/10/2008', 'age': '17', 'clubName': 'Grasshopper Club Zürich U21', 'clubID': '5502', 'value': '€50k'}, {'date': '09/03/2009', 'age': '17', 'clubName': 'Grasshopper Club Zürich U21', 'clubID': '5502', 'value': '€125k'}, {'date': '29/03/2010', 'age': '18', 'clubName': 'Grasshopper Club Zurich', 'clubID': '504', 'value': '€350k'}, {'date': '01/06/2010', 'age': '18', 'clubName': 'Grasshopper Club Zurich', 'clubID': '504', 'value': '€650k'}, {'date': '01/05/2011', 'age': '19', 'clubName': 'Grasshopper Club Zurich', 'clubID': '504', 'value': '€800k'}, {'date': '15/06/2011', 'age': '19', 'clubName': 'Grasshopper Club Zurich', 'clubID': '504', 'value': '€800k'}, {'date': '16/02/2012', 'age': '20', 'clubName': 'Grasshopper Club Zurich', 'clubID': '504', 'value': '€1.10m'}, {'date': '02/06/2012', 'age': '20', 'clubName': 'Grasshopper Club Zurich', 'clubID': '504', 'value': '€1.25m'}, {'date': '29/10/2012', 'age': '21', 'clubName': 'Grasshopper Club Zurich', 'clubID': '504', 'value': '€1.50m'}, {'date': '14/04/2013', 'age': '21', 'clubName': 'Grasshopper Club Zurich', 'clubID': '504', 'value': '€1.75m'}, {'date': '17/06/2013', 'age': '21', 'clubName': 'Grasshopper Club Zurich', 'clubID': '504', 'value': '€2.00m'}, {'date': '11/07/2013', 'age': '21', 'clubName': 'CSKA Moscow', 'clubID': '2410', 'value': '€3.20m'}, {'date': '03/03/2014', 'age': '22', 'clubName': 'CSKA Moscow', 'clubID': '2410', 'value': '€3.00m'}, {'date': '31/07/2014', 'age': '22', 'clubName': 'CSKA Moscow', 'clubID': '2410', 'value': '€3.00m'}, {'date': '04/02/2015', 'age': '23', 'clubName': 'TSG 1899 Hoffenheim', 'clubID': '533', 'value': '€3.00m'}, {'date': '01/07/2015', 'age': '23', 'clubName': 'TSG 1899 Hoffenheim', 'clubID': '533', 'value': '€2.50m'}, {'date': '15/02/2016', 'age': '24', 'clubName': 'TSG 1899 Hoffenheim', 'clubID': '533', 'value': '€2.00m'}, {'date': '22/07/2016', 'age': '24', 'clubName': 'TSG 1899 Hoffenheim', 'clubID': '533', 'value': '€1.75m'}, {'date': '07/02/2017', 'age': '25', 'clubName': 'TSG 1899 Hoffenheim', 'clubID': '533', 'value': '€1.75m'}, {'date': '22/03/2017', 'age': '25', 'clubName': 'TSG 1899 Hoffenheim', 'clubID': '533', 'value': '€2.50m'}, {'date': '19/06/2017', 'age': '25', 'clubName': 'TSG 1899 Hoffenheim', 'clubID': '533', 'value': '€5.00m'}, {'date': '28/12/2017', 'age': '26', 'clubName': 'TSG 1899 Hoffenheim', 'clubID': '533', 'value': '€6.00m'}, {'date': '05/06/2018', 'age': '26', 'clubName': 'TSG 1899 Hoffenheim', 'clubID': '533', 'value': '€7.00m'}, {'date': '16/07/2018', 'age': '26', 'clubName': 'TSG 1899 Hoffenheim', 'clubID': '533', 'value': '€10.00m'}, {'date': '18/12/2018', 'age': '27', 'clubName': 'TSG 1899 Hoffenheim', 'clubID': '533', 'value': '€10.00m'}, {'date': '05/06/2019', 'age': '27', 'clubName': 'VfB Stuttgart', 'clubID': '79', 'value': '€7.00m'}, {'date': '17/12/2019', 'age': '28', 'clubName': 'TSG 1899 Hoffenheim', 'clubID': '533', 'value': '€5.50m'}, {'date': '08/04/2020', 'age': '28', 'clubName': 'TSG 1899 Hoffenheim', 'clubID': '533', 'value': '€4.50m'}, {'date': '16/09/2020', 'age': '29', 'clubName': 'Eintracht Frankfurt', 'clubID': '24', 'value': '€3.00m'}, {'date': '10/02/2021', 'age': '29', 'clubName': 'Eintracht Frankfurt', 'clubID': '24', 'value': '€2.50m'}, {'date': '25/05/2021', 'age': '29', 'clubName': 'Eintracht Frankfurt', 'clubID': '24', 'value': '€2.50m'}, {'date': '15/07/2021', 'age': '29', 'clubName': 'Eintracht Frankfurt', 'clubID': '24', 'value': '€3.50m'}, {'date': '01/11/2021', 'age': '30', 'clubName': 'AEK Athens', 'clubID': '2441', 'value': '€3.50m'}, {'date': '09/06/2022', 'age': '30', 'clubName': 'AEK Athens', 'clubID': '2441', 'value': '€2.50m'}, {'date': '07/11/2022', 'age': '31', 'clubName': 'AEK Athens', 'clubID': '2441', 'value': '€2.50m'}, {'date': '22/05/2023', 'age': '31', 'clubName': 'AEK Athens', 'clubID': '2441', 'value': '€2.50m'}, {'date': '20/12/2023', 'age': '32', 'clubName': 'AEK Athens', 'clubID': '2441', 'value': '€2.00m'}, {'date': '30/05/2024', 'age': '32', 'clubName': 'AEK Athens', 'clubID': '2441', 'value': '€2.00m'}, {'date': '26/09/2024', 'age': '33', 'clubName': 'AEK Athens', 'clubID': '2441', 'value': '€1.80m'}, {'date': '18/12/2024', 'age': '33', 'clubName': 'AEK Athens', 'clubID': '2441', 'value': '€1.20m'}, {'date': '10/06/2025', 'age': '33', 'clubName': 'FC Zürich', 'clubID': '260', 'value': '€1.20m'}, {'date': '02/10/2025', 'age': '34', 'clubName': 'FC Zürich', 'clubID': '260', 'value': '€1.00m'}, {'date': '29/12/2025', 'age': '34', 'clubName': 'FC Zürich', 'clubID': '260', 'value': '€800k'}, {'date': '06/03/2026', 'age': '34', 'clubName': 'Atromitos Athens', 'clubID': '3060', 'value': '€600k'}]}</t>
  </si>
  <si>
    <t>1991-08-17</t>
  </si>
  <si>
    <t>Selcuk Inan</t>
  </si>
  <si>
    <t>{'marketValueHistory': [{'date': 'Jan 24, 2006', 'age': '20', 'clubName': 'Manisaspor', 'clubID': '1267', 'value': '€50k'}, {'date': 'Jun 4, 2007', 'age': '22', 'clubName': 'Manisaspor', 'clubID': '1267', 'value': '€2.25m'}, {'date': 'Sep 11, 2007', 'age': '22', 'clubName': 'Manisaspor', 'clubID': '1267', 'value': '€2.50m'}, {'date': 'Jan 11, 2008', 'age': '22', 'clubName': 'Manisaspor', 'clubID': '1267', 'value': '€2.70m'}, {'date': 'Jun 11, 2008', 'age': '23', 'clubName': 'Manisaspor', 'clubID': '1267', 'value': '€3.20m'}, {'date': 'Feb 8, 2009', 'age': '23', 'clubName': 'Trabzonspor', 'clubID': '449', 'value': '€3.80m'}, {'date': 'Jul 16, 2009', 'age': '24', 'clubName': 'Trabzonspor', 'clubID': '449', 'value': '€4.00m'}, {'date': 'Jan 11, 2010', 'age': '24', 'clubName': 'Trabzonspor', 'clubID': '449', 'value': '€4.50m'}, {'date': 'Jun 22, 2010', 'age': '25', 'clubName': 'Trabzonspor', 'clubID': '449', 'value': '€5.20m'}, {'date': 'Jan 21, 2011', 'age': '25', 'clubName': 'Trabzonspor', 'clubID': '449', 'value': '€7.00m'}, {'date': 'Jul 1, 2011', 'age': '26', 'clubName': 'Galatasaray', 'clubID': '141', 'value': '€8.50m'}, {'date': 'Jan 9, 2012', 'age': '26', 'clubName': 'Galatasaray', 'clubID': '141', 'value': '€10.00m'}, {'date': 'Jun 19, 2012', 'age': '27', 'clubName': 'Galatasaray', 'clubID': '141', 'value': '€12.00m'}, {'date': 'Jan 6, 2013', 'age': '27', 'clubName': 'Galatasaray', 'clubID': '141', 'value': '€12.00m'}, {'date': 'Jun 15, 2013', 'age': '28', 'clubName': 'Galatasaray', 'clubID': '141', 'value': '€14.00m'}, {'date': 'Jan 27, 2014', 'age': '28', 'clubName': 'Galatasaray', 'clubID': '141', 'value': '€12.00m'}, {'date': 'Aug 11, 2014', 'age': '29', 'clubName': 'Galatasaray', 'clubID': '141', 'value': '€10.00m'}, {'date': 'Oct 27, 2014', 'age': '29', 'clubName': 'Galatasaray', 'clubID': '141', 'value': '€8.00m'}, {'date': 'Jan 26, 2015', 'age': '29', 'clubName': 'Galatasaray', 'clubID': '141', 'value': '€7.00m'}, {'date': 'Jun 25, 2015', 'age': '30', 'clubName': 'Galatasaray', 'clubID': '141', 'value': '€7.00m'}, {'date': 'Jan 18, 2016', 'age': '30', 'clubName': 'Galatasaray', 'clubID': '141', 'value': '€7.00m'}, {'date': 'Jun 1, 2016', 'age': '31', 'clubName': 'Galatasaray', 'clubID': '141', 'value': '€6.00m'}, {'date': 'Jul 15, 2016', 'age': '31', 'clubName': 'Galatasaray', 'clubID': '141', 'value': '€6.00m'}, {'date': 'Jan 10, 2017', 'age': '31', 'clubName': 'Galatasaray', 'clubID': '141', 'value': '€4.00m'}, {'date': 'Jun 9, 2017', 'age': '32', 'clubName': 'Galatasaray', 'clubID': '141', 'value': '€3.00m'}, {'date': 'Feb 12, 2018', 'age': '33', 'clubName': 'Galatasaray', 'clubID': '141', 'value': '€1.80m'}, {'date': 'May 29, 2018', 'age': '33', 'clubName': 'Galatasaray', 'clubID': '141', 'value': '€1.20m'}, {'date': 'Jan 4, 2019', 'age': '33', 'clubName': 'Galatasaray', 'clubID': '141', 'value': '€600k'}, {'date': 'Jun 4, 2019', 'age': '34', 'clubName': 'Galatasaray', 'clubID': '141', 'value': '€450k'}, {'date': 'Jan 3, 2020', 'age': '34', 'clubName': 'Galatasaray', 'clubID': '141', 'value': '€300k'}, {'date': 'Jul 21, 2020', 'age': '35', 'clubName': 'Retired', 'clubID': '123', 'value': '-'}]}</t>
  </si>
  <si>
    <t>1985-02-10</t>
  </si>
  <si>
    <t>Moran</t>
  </si>
  <si>
    <t>{'marketValueHistory': [{'date': '04/10/2004', 'age': '28', 'clubName': 'Juventus FC', 'clubID': '506', 'value': '€12.00m'}, {'date': '28/07/2005', 'age': '28', 'clubName': 'Juventus FC', 'clubID': '506', 'value': '€18.00m'}, {'date': '09/03/2007', 'age': '30', 'clubName': 'Juventus FC', 'clubID': '506', 'value': '€14.50m'}, {'date': '15/02/2008', 'age': '31', 'clubName': 'Juventus FC', 'clubID': '506', 'value': '€13.50m'}, {'date': '08/04/2008', 'age': '31', 'clubName': 'Juventus FC', 'clubID': '506', 'value': '€15.50m'}, {'date': '03/07/2008', 'age': '31', 'clubName': 'Juventus FC', 'clubID': '506', 'value': '€15.00m'}, {'date': '06/02/2009', 'age': '32', 'clubName': 'Juventus FC', 'clubID': '506', 'value': '€14.00m'}, {'date': '06/08/2009', 'age': '32', 'clubName': 'Juventus FC', 'clubID': '506', 'value': '€12.00m'}, {'date': '27/01/2010', 'age': '33', 'clubName': 'Juventus FC', 'clubID': '506', 'value': '€9.00m'}, {'date': '09/05/2010', 'age': '33', 'clubName': 'Juventus FC', 'clubID': '506', 'value': '€5.50m'}, {'date': '31/08/2010', 'age': '33', 'clubName': 'VfB Stuttgart', 'clubID': '79', 'value': '€3.00m'}, {'date': '12/01/2011', 'age': '34', 'clubName': 'VfB Stuttgart', 'clubID': '79', 'value': '€2.00m'}, {'date': '30/06/2011', 'age': '34', 'clubName': 'CA Lanús', 'clubID': '333', 'value': '€1.50m'}, {'date': '25/08/2012', 'age': '35', 'clubName': 'Racing Club', 'clubID': '1444', 'value': '€500k'}, {'date': '26/12/2012', 'age': '36', 'clubName': 'Racing Club', 'clubID': '1444', 'value': '€400k'}, {'date': '23/09/2013', 'age': '36', 'clubName': 'Racing Club', 'clubID': '1444', 'value': '-'}]}</t>
  </si>
  <si>
    <t>1976-10-04</t>
  </si>
  <si>
    <t>Foyth</t>
  </si>
  <si>
    <t>{'marketValueHistory': [{'date': 'Aug 30, 2017', 'age': '19', 'clubName': 'Tottenham Hotspur', 'clubID': '148', 'value': '€5.00m'}, {'date': 'Jan 2, 2018', 'age': '19', 'clubName': 'Tottenham Hotspur', 'clubID': '148', 'value': '€5.00m'}, {'date': 'May 28, 2018', 'age': '20', 'clubName': 'Tottenham Hotspur', 'clubID': '148', 'value': '€5.00m'}, {'date': 'Dec 19, 2018', 'age': '20', 'clubName': 'Tottenham Hotspur', 'clubID': '148', 'value': '€8.00m'}, {'date': 'Mar 5, 2019', 'age': '21', 'clubName': 'Tottenham Hotspur', 'clubID': '148', 'value': '€12.00m'}, {'date': 'Jun 13, 2019', 'age': '21', 'clubName': 'Tottenham Hotspur', 'clubID': '148', 'value': '€15.00m'}, {'date': 'Dec 10, 2019', 'age': '21', 'clubName': 'Tottenham Hotspur', 'clubID': '148', 'value': '€15.00m'}, {'date': 'Apr 8, 2020', 'age': '22', 'clubName': 'Tottenham Hotspur', 'clubID': '148', 'value': '€13.50m'}, {'date': 'Oct 8, 2020', 'age': '22', 'clubName': 'Villarreal CF', 'clubID': '1050', 'value': '€13.00m'}, {'date': 'Jan 5, 2021', 'age': '22', 'clubName': 'Villarreal CF', 'clubID': '1050', 'value': '€10.00m'}, {'date': 'Jun 10, 2021', 'age': '23', 'clubName': 'Villarreal CF', 'clubID': '1050', 'value': '€12.00m'}, {'date': 'Oct 13, 2021', 'age': '23', 'clubName': 'Villarreal CF', 'clubID': '1050', 'value': '€15.00m'}, {'date': 'Dec 30, 2021', 'age': '23', 'clubName': 'Villarreal CF', 'clubID': '1050', 'value': '€20.00m'}, {'date': 'Jun 3, 2022', 'age': '24', 'clubName': 'Villarreal CF', 'clubID': '1050', 'value': '€25.00m'}, {'date': 'Nov 7, 2022', 'age': '24', 'clubName': 'Villarreal CF', 'clubID': '1050', 'value': '€25.00m'}, {'date': 'Jun 13, 2023', 'age': '25', 'clubName': 'Villarreal CF', 'clubID': '1050', 'value': '€25.00m'}, {'date': 'Dec 22, 2023', 'age': '25', 'clubName': 'Villarreal CF', 'clubID': '1050', 'value': '€25.00m'}, {'date': 'Mar 21, 2024', 'age': '26', 'clubName': 'Villarreal CF', 'clubID': '1050', 'value': '€18.00m'}, {'date': 'Jun 7, 2024', 'age': '26', 'clubName': 'Villarreal CF', 'clubID': '1050', 'value': '€15.00m'}, {'date': 'Oct 11, 2024', 'age': '26', 'clubName': 'Villarreal CF', 'clubID': '1050', 'value': '€12.00m'}, {'date': 'Dec 27, 2024', 'age': '26', 'clubName': 'Villarreal CF', 'clubID': '1050', 'value': '€7.50m'}, {'date': 'Mar 21, 2025', 'age': '27', 'clubName': 'Villarreal CF', 'clubID': '1050', 'value': '€10.00m'}, {'date': 'Jun 9, 2025', 'age': '27', 'clubName': 'Villarreal CF', 'clubID': '1050', 'value': '€15.00m'}, {'date': 'Dec 12, 2025', 'age': '27', 'clubName': 'Villarreal CF', 'clubID': '1050', 'value': '€15.00m'}, {'date': 'Mar 16, 2026', 'age': '28', 'clubName': 'Villarreal CF', 'clubID': '1050', 'value': '€10.00m'}]}</t>
  </si>
  <si>
    <t>1998-01-12</t>
  </si>
  <si>
    <t>Sainsbury</t>
  </si>
  <si>
    <t>{'marketValueHistory': [{'date': '05/07/2010', 'age': '18', 'clubName': 'Central Coast Mariners', 'clubID': '6954', 'value': '€50k'}, {'date': '21/01/2011', 'age': '19', 'clubName': 'Central Coast Mariners', 'clubID': '6954', 'value': '€150k'}, {'date': '18/09/2012', 'age': '20', 'clubName': 'Central Coast Mariners', 'clubID': '6954', 'value': '€200k'}, {'date': '12/01/2013', 'age': '21', 'clubName': 'Central Coast Mariners', 'clubID': '6954', 'value': '€500k'}, {'date': '11/07/2013', 'age': '21', 'clubName': 'Central Coast Mariners', 'clubID': '6954', 'value': '€750k'}, {'date': '11/02/2014', 'age': '22', 'clubName': 'PEC Zwolle', 'clubID': '1269', 'value': '€750k'}, {'date': '11/08/2014', 'age': '22', 'clubName': 'PEC Zwolle', 'clubID': '1269', 'value': '€650k'}, {'date': '18/02/2015', 'age': '23', 'clubName': 'PEC Zwolle', 'clubID': '1269', 'value': '€1.00m'}, {'date': '01/07/2015', 'age': '23', 'clubName': 'PEC Zwolle', 'clubID': '1269', 'value': '€1.00m'}, {'date': '27/02/2016', 'age': '24', 'clubName': 'Jiangsu Suning', 'clubID': '22219', 'value': '€700k'}, {'date': '20/06/2016', 'age': '24', 'clubName': 'Jiangsu Suning', 'clubID': '22219', 'value': '€700k'}, {'date': '20/11/2016', 'age': '24', 'clubName': 'Jiangsu Suning', 'clubID': '22219', 'value': '€1.00m'}, {'date': '08/06/2017', 'age': '25', 'clubName': 'Inter Milan', 'clubID': '46', 'value': '€1.00m'}, {'date': '01/12/2017', 'age': '25', 'clubName': 'Jiangsu Suning', 'clubID': '22219', 'value': '€1.00m'}, {'date': '24/04/2018', 'age': '26', 'clubName': 'Grasshopper Club Zurich', 'clubID': '504', 'value': '€1.00m'}, {'date': '28/12/2018', 'age': '26', 'clubName': 'PSV Eindhoven', 'clubID': '383', 'value': '€1.25m'}, {'date': '12/06/2019', 'age': '27', 'clubName': 'PSV Eindhoven', 'clubID': '383', 'value': '€1.25m'}, {'date': '28/12/2019', 'age': '27', 'clubName': 'Maccabi Haifa', 'clubID': '1064', 'value': '€1.20m'}, {'date': '08/04/2020', 'age': '28', 'clubName': 'Maccabi Haifa', 'clubID': '1064', 'value': '€950k'}, {'date': '07/07/2020', 'age': '28', 'clubName': 'Maccabi Haifa', 'clubID': '1064', 'value': '€750k'}, {'date': '16/10/2020', 'age': '28', 'clubName': 'KV Kortrijk', 'clubID': '601', 'value': '€750k'}, {'date': '07/06/2021', 'age': '29', 'clubName': 'KV Kortrijk', 'clubID': '601', 'value': '€700k'}, {'date': '06/01/2022', 'age': '30', 'clubName': 'KV Kortrijk', 'clubID': '601', 'value': '€750k'}, {'date': '12/04/2022', 'age': '30', 'clubName': 'KV Kortrijk', 'clubID': '601', 'value': '€750k'}, {'date': '10/11/2022', 'age': '30', 'clubName': 'Al-Wakrah SC', 'clubID': '13509', 'value': '€650k'}, {'date': '30/05/2023', 'age': '31', 'clubName': 'Al-Wakrah SC', 'clubID': '13509', 'value': '€650k'}, {'date': '27/11/2023', 'age': '31', 'clubName': 'Al-Wakrah SC', 'clubID': '13509', 'value': '€650k'}, {'date': '02/05/2024', 'age': '32', 'clubName': 'Al-Wakrah SC', 'clubID': '13509', 'value': '€600k'}, {'date': '09/01/2025', 'age': '33', 'clubName': 'Central Coast Mariners', 'clubID': '6954', 'value': '€500k'}, {'date': '03/06/2025', 'age': '33', 'clubName': 'Central Coast Mariners', 'clubID': '6954', 'value': '€400k'}, {'date': '13/01/2026', 'age': '34', 'clubName': 'Central Coast Mariners', 'clubID': '6954', 'value': '€300k'}]}</t>
  </si>
  <si>
    <t>1992-01-05</t>
  </si>
  <si>
    <t>Vorm</t>
  </si>
  <si>
    <t>{'marketValueHistory': [{'date': 'Feb 8, 2007', 'age': '18', 'clubName': 'AZ Alkmaar', 'clubID': '1090', 'value': '€250k'}, {'date': 'Aug 14, 2007', 'age': '19', 'clubName': 'AZ Alkmaar', 'clubID': '1090', 'value': '€400k'}, {'date': 'Jan 7, 2008', 'age': '19', 'clubName': 'AZ Alkmaar', 'clubID': '1090', 'value': '€600k'}, {'date': 'Aug 3, 2008', 'age': '20', 'clubName': 'Roda JC Kerkrade', 'clubID': '192', 'value': '€900k'}, {'date': 'Jun 22, 2009', 'age': '21', 'clubName': 'Roda JC Kerkrade', 'clubID': '192', 'value': '€800k'}, {'date': 'Jan 17, 2011', 'age': '22', 'clubName': 'Roda JC Kerkrade', 'clubID': '192', 'value': '€1.20m'}, {'date': 'Jun 17, 2011', 'age': '23', 'clubName': 'Roda JC Kerkrade', 'clubID': '192', 'value': '€1.75m'}, {'date': 'Jan 20, 2012', 'age': '23', 'clubName': 'Roda JC Kerkrade', 'clubID': '192', 'value': '€2.50m'}, {'date': 'Jan 9, 2013', 'age': '24', 'clubName': 'Feyenoord Rotterdam', 'clubID': '234', 'value': '€1.80m'}, {'date': 'May 28, 2013', 'age': '25', 'clubName': 'Feyenoord Rotterdam', 'clubID': '234', 'value': '€1.25m'}, {'date': 'Feb 11, 2014', 'age': '25', 'clubName': 'Feyenoord Rotterdam', 'clubID': '234', 'value': '€1.00m'}, {'date': 'Aug 11, 2014', 'age': '26', 'clubName': 'Feyenoord Rotterdam', 'clubID': '234', 'value': '€1.25m'}, {'date': 'Jan 7, 2015', 'age': '26', 'clubName': 'Club Brugge KV', 'clubID': '2282', 'value': '€2.00m'}, {'date': 'Jun 24, 2015', 'age': '27', 'clubName': 'Club Brugge KV', 'clubID': '2282', 'value': '€3.00m'}, {'date': 'Oct 22, 2015', 'age': '27', 'clubName': 'Club Brugge KV', 'clubID': '2282', 'value': '€5.00m'}, {'date': 'Feb 7, 2016', 'age': '27', 'clubName': 'Club Brugge KV', 'clubID': '2282', 'value': '€5.00m'}, {'date': 'Jul 15, 2016', 'age': '28', 'clubName': 'Club Brugge KV', 'clubID': '2282', 'value': '€5.00m'}, {'date': 'Jan 21, 2017', 'age': '28', 'clubName': 'Club Brugge KV', 'clubID': '2282', 'value': '€6.00m'}, {'date': 'Jun 6, 2017', 'age': '29', 'clubName': 'Club Brugge KV', 'clubID': '2282', 'value': '€6.00m'}, {'date': 'Jan 9, 2018', 'age': '29', 'clubName': 'Club Brugge KV', 'clubID': '2282', 'value': '€7.00m'}, {'date': 'Jun 3, 2018', 'age': '30', 'clubName': 'Club Brugge KV', 'clubID': '2282', 'value': '€7.50m'}, {'date': 'Dec 27, 2018', 'age': '30', 'clubName': 'Club Brugge KV', 'clubID': '2282', 'value': '€7.00m'}, {'date': 'Jun 10, 2019', 'age': '31', 'clubName': 'Club Brugge KV', 'clubID': '2282', 'value': '€6.00m'}, {'date': 'Dec 13, 2019', 'age': '31', 'clubName': 'Club Brugge KV', 'clubID': '2282', 'value': '€6.00m'}, {'date': 'Apr 8, 2020', 'age': '31', 'clubName': 'Club Brugge KV', 'clubID': '2282', 'value': '€4.80m'}, {'date': 'Oct 16, 2020', 'age': '32', 'clubName': 'Club Brugge KV', 'clubID': '2282', 'value': '€4.30m'}, {'date': 'Jun 7, 2021', 'age': '33', 'clubName': 'Club Brugge KV', 'clubID': '2282', 'value': '€4.00m'}, {'date': 'Oct 6, 2021', 'age': '33', 'clubName': 'Club Brugge KV', 'clubID': '2282', 'value': '€3.50m'}, {'date': 'Jan 6, 2022', 'age': '33', 'clubName': 'Club Brugge KV', 'clubID': '2282', 'value': '€2.50m'}, {'date': 'Apr 12, 2022', 'age': '33', 'clubName': 'Club Brugge KV', 'clubID': '2282', 'value': '€1.80m'}, {'date': 'Sep 7, 2022', 'age': '34', 'clubName': 'Club Brugge KV', 'clubID': '2282', 'value': '€1.50m'}, {'date': 'Nov 4, 2022', 'age': '34', 'clubName': 'Club Brugge KV', 'clubID': '2282', 'value': '€1.00m'}, {'date': 'Mar 22, 2023', 'age': '34', 'clubName': 'Zulte Waregem', 'clubID': '3508', 'value': '€750k'}, {'date': 'Jun 9, 2023', 'age': '35', 'clubName': 'Zulte Waregem', 'clubID': '3508', 'value': '€600k'}, {'date': 'Dec 28, 2023', 'age': '35', 'clubName': 'Zulte Waregem', 'clubID': '3508', 'value': '€500k'}, {'date': 'Jun 20, 2024', 'age': '36', 'clubName': 'Zulte Waregem', 'clubID': '3508', 'value': '€300k'}, {'date': 'Jul 1, 2024', 'age': '36', 'clubName': 'Retired', 'clubID': '123', 'value': '-'}]}</t>
  </si>
  <si>
    <t>Sergio Oliveira</t>
  </si>
  <si>
    <t>{'marketValueHistory': [{'date': '18/10/2010', 'age': '18', 'clubName': 'SC Beira-Mar', 'clubID': '1436', 'value': '€300k'}, {'date': '10/01/2012', 'age': '19', 'clubName': 'FC Penafiel', 'clubID': '3327', 'value': '€450k'}, {'date': '25/06/2012', 'age': '20', 'clubName': 'FC Penafiel', 'clubID': '3327', 'value': '€450k'}, {'date': '10/11/2012', 'age': '20', 'clubName': 'FC Porto B', 'clubID': '10331', 'value': '€600k'}, {'date': '26/02/2014', 'age': '21', 'clubName': 'FC Paços de Ferreira', 'clubID': '2995', 'value': '€1.00m'}, {'date': '25/07/2014', 'age': '22', 'clubName': 'FC Paços de Ferreira', 'clubID': '2995', 'value': '€1.50m'}, {'date': '17/02/2015', 'age': '22', 'clubName': 'FC Paços de Ferreira', 'clubID': '2995', 'value': '€1.80m'}, {'date': '01/07/2015', 'age': '23', 'clubName': 'FC Porto', 'clubID': '720', 'value': '€2.50m'}, {'date': '24/02/2016', 'age': '23', 'clubName': 'FC Porto', 'clubID': '720', 'value': '€2.00m'}, {'date': '29/07/2016', 'age': '24', 'clubName': 'FC Porto', 'clubID': '720', 'value': '€2.50m'}, {'date': '22/02/2017', 'age': '24', 'clubName': 'FC Nantes', 'clubID': '995', 'value': '€1.50m'}, {'date': '01/06/2017', 'age': '24', 'clubName': 'FC Nantes', 'clubID': '995', 'value': '€1.50m'}, {'date': '07/02/2018', 'age': '25', 'clubName': 'FC Porto', 'clubID': '720', 'value': '€2.50m'}, {'date': '16/04/2018', 'age': '25', 'clubName': 'FC Porto', 'clubID': '720', 'value': '€6.00m'}, {'date': '13/06/2018', 'age': '26', 'clubName': 'FC Porto', 'clubID': '720', 'value': '€8.00m'}, {'date': '11/01/2019', 'age': '26', 'clubName': 'FC Porto', 'clubID': '720', 'value': '€7.00m'}, {'date': '21/05/2019', 'age': '26', 'clubName': 'PAOK Thessaloniki', 'clubID': '1091', 'value': '€9.00m'}, {'date': '30/12/2019', 'age': '27', 'clubName': 'FC Porto', 'clubID': '720', 'value': '€6.00m'}, {'date': '08/04/2020', 'age': '27', 'clubName': 'FC Porto', 'clubID': '720', 'value': '€4.80m'}, {'date': '17/08/2020', 'age': '28', 'clubName': 'FC Porto', 'clubID': '720', 'value': '€8.00m'}, {'date': '28/01/2021', 'age': '28', 'clubName': 'FC Porto', 'clubID': '720', 'value': '€11.00m'}, {'date': '25/03/2021', 'age': '28', 'clubName': 'FC Porto', 'clubID': '720', 'value': '€16.00m'}, {'date': '01/06/2021', 'age': '28', 'clubName': 'FC Porto', 'clubID': '720', 'value': '€19.00m'}, {'date': '21/09/2021', 'age': '29', 'clubName': 'FC Porto', 'clubID': '720', 'value': '€17.00m'}, {'date': '27/12/2021', 'age': '29', 'clubName': 'FC Porto', 'clubID': '720', 'value': '€15.00m'}, {'date': '15/03/2022', 'age': '29', 'clubName': 'AS Roma', 'clubID': '12', 'value': '€13.00m'}, {'date': '07/06/2022', 'age': '30', 'clubName': 'AS Roma', 'clubID': '12', 'value': '€12.00m'}, {'date': '13/09/2022', 'age': '30', 'clubName': 'Galatasaray', 'clubID': '141', 'value': '€6.50m'}, {'date': '27/10/2022', 'age': '30', 'clubName': 'Galatasaray', 'clubID': '141', 'value': '€6.50m'}, {'date': '14/03/2023', 'age': '30', 'clubName': 'Galatasaray', 'clubID': '141', 'value': '€7.00m'}, {'date': '08/06/2023', 'age': '31', 'clubName': 'Galatasaray', 'clubID': '141', 'value': '€7.00m'}, {'date': '27/09/2023', 'age': '31', 'clubName': 'Galatasaray', 'clubID': '141', 'value': '€6.00m'}, {'date': '21/12/2023', 'age': '31', 'clubName': 'Galatasaray', 'clubID': '141', 'value': '€5.00m'}, {'date': '15/03/2024', 'age': '31', 'clubName': 'Galatasaray', 'clubID': '141', 'value': '€3.50m'}, {'date': '31/05/2024', 'age': '31', 'clubName': 'Galatasaray', 'clubID': '141', 'value': '€2.50m'}, {'date': '18/12/2024', 'age': '32', 'clubName': 'Olympiacos Piraeus', 'clubID': '683', 'value': '€2.00m'}, {'date': '06/06/2025', 'age': '33', 'clubName': 'Sport Club do Recife', 'clubID': '8718', 'value': '€1.70m'}, {'date': '10/12/2025', 'age': '33', 'clubName': 'Sport Club do Recife', 'clubID': '8718', 'value': '€1.20m'}, {'date': '09/04/2026', 'age': '33', 'clubName': 'Without Club', 'clubID': '515', 'value': '€800k'}]}</t>
  </si>
  <si>
    <t>1992-06-02</t>
  </si>
  <si>
    <t>Vrsaljko</t>
  </si>
  <si>
    <t>{'marketValueHistory': [{'date': 'Sep 6, 2009', 'age': '17', 'clubName': 'NK Lokomotiva Zagreb', 'clubID': '11194', 'value': '€300k'}, {'date': 'Jan 28, 2010', 'age': '18', 'clubName': 'GNK Dinamo Zagreb', 'clubID': '419', 'value': '€500k'}, {'date': 'Sep 13, 2010', 'age': '18', 'clubName': 'GNK Dinamo Zagreb', 'clubID': '419', 'value': '€1.50m'}, {'date': 'Feb 13, 2011', 'age': '19', 'clubName': 'GNK Dinamo Zagreb', 'clubID': '419', 'value': '€4.00m'}, {'date': 'Aug 29, 2011', 'age': '19', 'clubName': 'GNK Dinamo Zagreb', 'clubID': '419', 'value': '€5.50m'}, {'date': 'Feb 29, 2012', 'age': '20', 'clubName': 'GNK Dinamo Zagreb', 'clubID': '419', 'value': '€5.50m'}, {'date': 'Sep 30, 2012', 'age': '20', 'clubName': 'GNK Dinamo Zagreb', 'clubID': '419', 'value': '€4.00m'}, {'date': 'Mar 3, 2013', 'age': '21', 'clubName': 'GNK Dinamo Zagreb', 'clubID': '419', 'value': '€5.00m'}, {'date': 'Nov 11, 2013', 'age': '21', 'clubName': 'Genoa CFC', 'clubID': '252', 'value': '€6.50m'}, {'date': 'Jan 7, 2014', 'age': '21', 'clubName': 'Genoa CFC', 'clubID': '252', 'value': '€7.50m'}, {'date': 'Jul 11, 2014', 'age': '22', 'clubName': 'Genoa CFC', 'clubID': '252', 'value': '€7.50m'}, {'date': 'Jan 7, 2015', 'age': '22', 'clubName': 'US Sassuolo', 'clubID': '6574', 'value': '€7.50m'}, {'date': 'Jul 1, 2015', 'age': '23', 'clubName': 'US Sassuolo', 'clubID': '6574', 'value': '€7.50m'}, {'date': 'Jan 4, 2016', 'age': '23', 'clubName': 'US Sassuolo', 'clubID': '6574', 'value': '€9.00m'}, {'date': 'Jun 1, 2016', 'age': '24', 'clubName': 'US Sassuolo', 'clubID': '6574', 'value': '€13.00m'}, {'date': 'Jul 15, 2016', 'age': '24', 'clubName': 'Atlético de Madrid', 'clubID': '13', 'value': '€16.00m'}, {'date': 'Oct 27, 2016', 'age': '24', 'clubName': 'Atlético de Madrid', 'clubID': '13', 'value': '€14.00m'}, {'date': 'Jan 24, 2017', 'age': '25', 'clubName': 'Atlético de Madrid', 'clubID': '13', 'value': '€14.00m'}, {'date': 'Mar 29, 2017', 'age': '25', 'clubName': 'Atlético de Madrid', 'clubID': '13', 'value': '€16.00m'}, {'date': 'Jun 5, 2017', 'age': '25', 'clubName': 'Atlético de Madrid', 'clubID': '13', 'value': '€16.00m'}, {'date': 'Jan 1, 2018', 'age': '25', 'clubName': 'Atlético de Madrid', 'clubID': '13', 'value': '€20.00m'}, {'date': 'Mar 22, 2018', 'age': '26', 'clubName': 'Atlético de Madrid', 'clubID': '13', 'value': '€25.00m'}, {'date': 'May 30, 2018', 'age': '26', 'clubName': 'Atlético de Madrid', 'clubID': '13', 'value': '€25.00m'}, {'date': 'Dec 20, 2018', 'age': '26', 'clubName': 'Inter Milan', 'clubID': '46', 'value': '€25.00m'}, {'date': 'Mar 1, 2019', 'age': '27', 'clubName': 'Inter Milan', 'clubID': '46', 'value': '€20.00m'}, {'date': 'Jun 6, 2019', 'age': '27', 'clubName': 'Inter Milan', 'clubID': '46', 'value': '€20.00m'}, {'date': 'Dec 20, 2019', 'age': '27', 'clubName': 'Atlético de Madrid', 'clubID': '13', 'value': '€15.00m'}, {'date': 'Apr 8, 2020', 'age': '28', 'clubName': 'Atlético de Madrid', 'clubID': '13', 'value': '€12.00m'}, {'date': 'Oct 8, 2020', 'age': '28', 'clubName': 'Atlético de Madrid', 'clubID': '13', 'value': '€10.00m'}, {'date': 'Jan 5, 2021', 'age': '28', 'clubName': 'Atlético de Madrid', 'clubID': '13', 'value': '€8.00m'}, {'date': 'May 28, 2021', 'age': '29', 'clubName': 'Atlético de Madrid', 'clubID': '13', 'value': '€5.00m'}, {'date': 'Dec 30, 2021', 'age': '29', 'clubName': 'Atlético de Madrid', 'clubID': '13', 'value': '€5.00m'}, {'date': 'Jun 3, 2022', 'age': '30', 'clubName': 'Atlético de Madrid', 'clubID': '13', 'value': '€5.00m'}, {'date': 'Nov 7, 2022', 'age': '30', 'clubName': 'Olympiacos Piraeus', 'clubID': '683', 'value': '€4.00m'}, {'date': 'Mar 23, 2023', 'age': '31', 'clubName': 'Retired', 'clubID': '123', 'value': '-'}]}</t>
  </si>
  <si>
    <t>1992-01-10</t>
  </si>
  <si>
    <t>Kaveh</t>
  </si>
  <si>
    <t>{'marketValueHistory': [{'date': '26/11/2012', 'age': '20', 'clubName': 'Saipa FC', 'clubID': '6080', 'value': '€175k'}, {'date': '30/06/2013', 'age': '21', 'clubName': 'Saipa FC', 'clubID': '6080', 'value': '€300k'}, {'date': '25/11/2013', 'age': '21', 'clubName': 'Saipa FC', 'clubID': '6080', 'value': '€500k'}, {'date': '24/01/2014', 'age': '21', 'clubName': 'Saipa FC', 'clubID': '6080', 'value': '€550k'}, {'date': '30/06/2014', 'age': '22', 'clubName': 'Saipa FC', 'clubID': '6080', 'value': '€550k'}, {'date': '10/01/2015', 'age': '22', 'clubName': 'Zob Ahan Esfahan', 'clubID': '6081', 'value': '€350k'}, {'date': '30/06/2015', 'age': '23', 'clubName': 'Zob Ahan Esfahan', 'clubID': '6081', 'value': '€400k'}, {'date': '01/01/2016', 'age': '23', 'clubName': 'Zob Ahan Esfahan', 'clubID': '6081', 'value': '€400k'}, {'date': '10/06/2016', 'age': '24', 'clubName': 'Zob Ahan Esfahan', 'clubID': '6081', 'value': '€400k'}, {'date': '09/01/2017', 'age': '24', 'clubName': 'Esteghlal FC', 'clubID': '1076', 'value': '€500k'}, {'date': '10/07/2017', 'age': '25', 'clubName': 'Royal Charleroi SC', 'clubID': '172', 'value': '€1.00m'}, {'date': '20/10/2017', 'age': '25', 'clubName': 'Royal Charleroi SC', 'clubID': '172', 'value': '€1.20m'}, {'date': '09/01/2018', 'age': '25', 'clubName': 'Royal Charleroi SC', 'clubID': '172', 'value': '€3.00m'}, {'date': '30/03/2018', 'age': '25', 'clubName': 'Royal Charleroi SC', 'clubID': '172', 'value': '€3.50m'}, {'date': '03/06/2018', 'age': '26', 'clubName': 'Royal Charleroi SC', 'clubID': '172', 'value': '€4.00m'}, {'date': '27/12/2018', 'age': '26', 'clubName': 'Club Brugge KV', 'clubID': '2282', 'value': '€4.00m'}, {'date': '04/03/2019', 'age': '26', 'clubName': 'Club Brugge KV', 'clubID': '2282', 'value': '€3.00m'}, {'date': '10/06/2019', 'age': '27', 'clubName': 'Club Brugge KV', 'clubID': '2282', 'value': '€2.00m'}, {'date': '13/12/2019', 'age': '27', 'clubName': 'Royal Charleroi SC', 'clubID': '172', 'value': '€2.50m'}, {'date': '30/03/2020', 'age': '27', 'clubName': 'Royal Charleroi SC', 'clubID': '172', 'value': '€3.50m'}, {'date': '08/04/2020', 'age': '28', 'clubName': 'Royal Charleroi SC', 'clubID': '172', 'value': '€2.80m'}, {'date': '16/10/2020', 'age': '28', 'clubName': 'Royal Charleroi SC', 'clubID': '172', 'value': '€4.00m'}, {'date': '17/03/2021', 'age': '28', 'clubName': 'Royal Charleroi SC', 'clubID': '172', 'value': '€3.20m'}, {'date': '07/06/2021', 'age': '29', 'clubName': 'Royal Charleroi SC', 'clubID': '172', 'value': '€2.50m'}, {'date': '06/10/2021', 'age': '29', 'clubName': 'Oud-Heverlee Leuven', 'clubID': '2727', 'value': '€2.00m'}, {'date': '06/01/2022', 'age': '29', 'clubName': 'Oud-Heverlee Leuven', 'clubID': '2727', 'value': '€1.20m'}, {'date': '12/04/2022', 'age': '30', 'clubName': 'Oud-Heverlee Leuven', 'clubID': '2727', 'value': '€900k'}, {'date': '09/11/2022', 'age': '30', 'clubName': 'Tractor FC', 'clubID': '12935', 'value': '€725k'}, {'date': '28/03/2023', 'age': '30', 'clubName': 'Tractor FC', 'clubID': '12935', 'value': '€650k'}, {'date': '24/05/2023', 'age': '31', 'clubName': 'Tractor FC', 'clubID': '12935', 'value': '€500k'}, {'date': '28/11/2023', 'age': '31', 'clubName': 'Sepahan FC', 'clubID': '4947', 'value': '€350k'}, {'date': '05/06/2024', 'age': '32', 'clubName': 'Sepahan FC', 'clubID': '4947', 'value': '€350k'}, {'date': '23/12/2024', 'age': '32', 'clubName': 'Sepahan FC', 'clubID': '4947', 'value': '€350k'}, {'date': '16/05/2025', 'age': '33', 'clubName': 'Sepahan FC', 'clubID': '4947', 'value': '€350k'}, {'date': '08/12/2025', 'age': '33', 'clubName': 'Sepahan FC', 'clubID': '4947', 'value': '€300k'}]}</t>
  </si>
  <si>
    <t>1992-04-05</t>
  </si>
  <si>
    <t>Huntelaar</t>
  </si>
  <si>
    <t>{'marketValueHistory': [{'date': 'Oct 4, 2004', 'age': '21', 'clubName': 'SC Heerenveen', 'clubID': '306', 'value': '€3.00m'}, {'date': 'Jan 13, 2005', 'age': '21', 'clubName': 'SC Heerenveen', 'clubID': '306', 'value': '€4.00m'}, {'date': 'Sep 13, 2005', 'age': '22', 'clubName': 'SC Heerenveen', 'clubID': '306', 'value': '€4.75m'}, {'date': 'Jan 18, 2006', 'age': '22', 'clubName': 'Ajax Amsterdam', 'clubID': '610', 'value': '€9.00m'}, {'date': 'Feb 8, 2007', 'age': '23', 'clubName': 'Ajax Amsterdam', 'clubID': '610', 'value': '€11.00m'}, {'date': 'Aug 8, 2007', 'age': '23', 'clubName': 'Ajax Amsterdam', 'clubID': '610', 'value': '€13.00m'}, {'date': 'Jan 7, 2008', 'age': '24', 'clubName': 'Ajax Amsterdam', 'clubID': '610', 'value': '€15.00m'}, {'date': 'Jul 18, 2008', 'age': '24', 'clubName': 'Ajax Amsterdam', 'clubID': '610', 'value': '€18.50m'}, {'date': 'Dec 2, 2008', 'age': '25', 'clubName': 'Ajax Amsterdam', 'clubID': '610', 'value': '€20.00m'}, {'date': 'Jul 22, 2009', 'age': '25', 'clubName': 'Real Madrid', 'clubID': '418', 'value': '€20.00m'}, {'date': 'Jan 27, 2010', 'age': '26', 'clubName': 'AC Milan', 'clubID': '5', 'value': '€15.00m'}, {'date': 'Aug 2, 2010', 'age': '26', 'clubName': 'AC Milan', 'clubID': '5', 'value': '€13.00m'}, {'date': 'Jan 12, 2011', 'age': '27', 'clubName': 'FC Schalke 04', 'clubID': '33', 'value': '€15.00m'}, {'date': 'Jun 29, 2011', 'age': '27', 'clubName': 'FC Schalke 04', 'clubID': '33', 'value': '€13.00m'}, {'date': 'Oct 18, 2011', 'age': '28', 'clubName': 'FC Schalke 04', 'clubID': '33', 'value': '€15.00m'}, {'date': 'Jan 23, 2012', 'age': '28', 'clubName': 'FC Schalke 04', 'clubID': '33', 'value': '€18.00m'}, {'date': 'Mar 5, 2012', 'age': '28', 'clubName': 'FC Schalke 04', 'clubID': '33', 'value': '€20.00m'}, {'date': 'Jun 29, 2012', 'age': '28', 'clubName': 'FC Schalke 04', 'clubID': '33', 'value': '€20.00m'}, {'date': 'Jan 13, 2013', 'age': '29', 'clubName': 'FC Schalke 04', 'clubID': '33', 'value': '€20.00m'}, {'date': 'Mar 11, 2013', 'age': '29', 'clubName': 'FC Schalke 04', 'clubID': '33', 'value': '€14.00m'}, {'date': 'Jun 30, 2013', 'age': '29', 'clubName': 'FC Schalke 04', 'clubID': '33', 'value': '€14.00m'}, {'date': 'Feb 12, 2014', 'age': '30', 'clubName': 'FC Schalke 04', 'clubID': '33', 'value': '€12.00m'}, {'date': 'Jul 10, 2014', 'age': '30', 'clubName': 'FC Schalke 04', 'clubID': '33', 'value': '€12.00m'}, {'date': 'Feb 4, 2015', 'age': '31', 'clubName': 'FC Schalke 04', 'clubID': '33', 'value': '€11.00m'}, {'date': 'Jul 1, 2015', 'age': '31', 'clubName': 'FC Schalke 04', 'clubID': '33', 'value': '€8.00m'}, {'date': 'Feb 15, 2016', 'age': '32', 'clubName': 'FC Schalke 04', 'clubID': '33', 'value': '€6.50m'}, {'date': 'Jul 22, 2016', 'age': '32', 'clubName': 'FC Schalke 04', 'clubID': '33', 'value': '€4.50m'}, {'date': 'Feb 7, 2017', 'age': '33', 'clubName': 'FC Schalke 04', 'clubID': '33', 'value': '€2.50m'}, {'date': 'Jun 19, 2017', 'age': '33', 'clubName': 'FC Schalke 04', 'clubID': '33', 'value': '€2.00m'}, {'date': 'Jan 17, 2018', 'age': '34', 'clubName': 'Ajax Amsterdam', 'clubID': '610', 'value': '€2.00m'}, {'date': 'Jun 12, 2018', 'age': '34', 'clubName': 'Ajax Amsterdam', 'clubID': '610', 'value': '€1.50m'}, {'date': 'Dec 28, 2018', 'age': '35', 'clubName': 'Ajax Amsterdam', 'clubID': '610', 'value': '€1.00m'}, {'date': 'Jun 12, 2019', 'age': '35', 'clubName': 'Ajax Amsterdam', 'clubID': '610', 'value': '€1.00m'}, {'date': 'Dec 18, 2019', 'age': '36', 'clubName': 'Ajax Amsterdam', 'clubID': '610', 'value': '€1.00m'}, {'date': 'Apr 8, 2020', 'age': '36', 'clubName': 'Ajax Amsterdam', 'clubID': '610', 'value': '€800k'}, {'date': 'Oct 14, 2020', 'age': '37', 'clubName': 'Ajax Amsterdam', 'clubID': '610', 'value': '€800k'}, {'date': 'Feb 10, 2021', 'age': '37', 'clubName': 'FC Schalke 04', 'clubID': '33', 'value': '€800k'}, {'date': 'Jun 9, 2021', 'age': '37', 'clubName': 'FC Schalke 04', 'clubID': '33', 'value': '€800k'}, {'date': 'Jul 1, 2021', 'age': '37', 'clubName': 'Retired', 'clubID': '123', 'value': '-'}]}</t>
  </si>
  <si>
    <t>1983-08-12</t>
  </si>
  <si>
    <t>Gutierrez</t>
  </si>
  <si>
    <t>{'marketValueHistory': [{'date': '04/10/2004', 'age': '27', 'clubName': 'Real Madrid', 'clubID': '418', 'value': '€15.00m'}, {'date': '28/12/2004', 'age': '28', 'clubName': 'Real Madrid', 'clubID': '418', 'value': '€10.00m'}, {'date': '12/01/2006', 'age': '29', 'clubName': 'Real Madrid', 'clubID': '418', 'value': '€10.50m'}, {'date': '24/06/2007', 'age': '30', 'clubName': 'Real Madrid', 'clubID': '418', 'value': '€17.80m'}, {'date': '24/08/2007', 'age': '30', 'clubName': 'Real Madrid', 'clubID': '418', 'value': '€18.00m'}, {'date': '04/02/2008', 'age': '31', 'clubName': 'Real Madrid', 'clubID': '418', 'value': '€15.00m'}, {'date': '08/07/2008', 'age': '31', 'clubName': 'Real Madrid', 'clubID': '418', 'value': '€16.00m'}, {'date': '26/01/2009', 'age': '32', 'clubName': 'Real Madrid', 'clubID': '418', 'value': '€14.00m'}, {'date': '22/07/2009', 'age': '32', 'clubName': 'Real Madrid', 'clubID': '418', 'value': '€10.00m'}, {'date': '03/12/2009', 'age': '33', 'clubName': 'Real Madrid', 'clubID': '418', 'value': '€8.00m'}, {'date': '12/04/2010', 'age': '33', 'clubName': 'Real Madrid', 'clubID': '418', 'value': '€6.00m'}, {'date': '27/07/2010', 'age': '33', 'clubName': 'Besiktas JK', 'clubID': '114', 'value': '€5.50m'}, {'date': '21/01/2011', 'age': '34', 'clubName': 'Besiktas JK', 'clubID': '114', 'value': '€5.00m'}, {'date': '01/07/2011', 'age': '34', 'clubName': 'Besiktas JK', 'clubID': '114', 'value': '€4.00m'}, {'date': '01/11/2011', 'age': '35', 'clubName': 'Besiktas JK', 'clubID': '114', 'value': '-'}]}</t>
  </si>
  <si>
    <t>1976-10-31</t>
  </si>
  <si>
    <t>Vitolo</t>
  </si>
  <si>
    <t>{'marketValueHistory': [{'date': 'Aug 20, 2010', 'age': '20', 'clubName': 'UD Las Palmas', 'clubID': '472', 'value': '€300k'}, {'date': 'Oct 18, 2010', 'age': '20', 'clubName': 'UD Las Palmas', 'clubID': '472', 'value': '€500k'}, {'date': 'Feb 11, 2011', 'age': '21', 'clubName': 'UD Las Palmas', 'clubID': '472', 'value': '€500k'}, {'date': 'Sep 9, 2011', 'age': '21', 'clubName': 'UD Las Palmas', 'clubID': '472', 'value': '€500k'}, {'date': 'Apr 1, 2012', 'age': '22', 'clubName': 'UD Las Palmas', 'clubID': '472', 'value': '€1.00m'}, {'date': 'Dec 2, 2012', 'age': '23', 'clubName': 'UD Las Palmas', 'clubID': '472', 'value': '€1.50m'}, {'date': 'May 11, 2013', 'age': '23', 'clubName': 'UD Las Palmas', 'clubID': '472', 'value': '€2.50m'}, {'date': 'Jun 15, 2013', 'age': '23', 'clubName': 'UD Las Palmas', 'clubID': '472', 'value': '€3.00m'}, {'date': 'Jul 25, 2013', 'age': '23', 'clubName': 'Sevilla FC', 'clubID': '368', 'value': '€3.20m'}, {'date': 'Jan 23, 2014', 'age': '24', 'clubName': 'Sevilla FC', 'clubID': '368', 'value': '€4.00m'}, {'date': 'Jul 20, 2014', 'age': '24', 'clubName': 'Sevilla FC', 'clubID': '368', 'value': '€6.00m'}, {'date': 'Jan 23, 2015', 'age': '25', 'clubName': 'Sevilla FC', 'clubID': '368', 'value': '€7.00m'}, {'date': 'Apr 9, 2015', 'age': '25', 'clubName': 'Sevilla FC', 'clubID': '368', 'value': '€10.00m'}, {'date': 'Jul 1, 2015', 'age': '25', 'clubName': 'Sevilla FC', 'clubID': '368', 'value': '€12.00m'}, {'date': 'Feb 22, 2016', 'age': '26', 'clubName': 'Sevilla FC', 'clubID': '368', 'value': '€12.00m'}, {'date': 'Jul 15, 2016', 'age': '26', 'clubName': 'Sevilla FC', 'clubID': '368', 'value': '€15.00m'}, {'date': 'Oct 27, 2016', 'age': '26', 'clubName': 'Sevilla FC', 'clubID': '368', 'value': '€18.00m'}, {'date': 'Jan 24, 2017', 'age': '27', 'clubName': 'Sevilla FC', 'clubID': '368', 'value': '€20.00m'}, {'date': 'Jun 5, 2017', 'age': '27', 'clubName': 'Sevilla FC', 'clubID': '368', 'value': '€25.00m'}, {'date': 'Aug 17, 2017', 'age': '27', 'clubName': 'UD Las Palmas', 'clubID': '472', 'value': '€30.00m'}, {'date': 'Jan 1, 2018', 'age': '28', 'clubName': 'Atlético de Madrid', 'clubID': '13', 'value': '€25.00m'}, {'date': 'May 30, 2018', 'age': '28', 'clubName': 'Atlético de Madrid', 'clubID': '13', 'value': '€25.00m'}, {'date': 'Oct 31, 2018', 'age': '28', 'clubName': 'Atlético de Madrid', 'clubID': '13', 'value': '€25.00m'}, {'date': 'Dec 21, 2018', 'age': '29', 'clubName': 'Atlético de Madrid', 'clubID': '13', 'value': '€20.00m'}, {'date': 'Jun 11, 2019', 'age': '29', 'clubName': 'Atlético de Madrid', 'clubID': '13', 'value': '€18.00m'}, {'date': 'Dec 20, 2019', 'age': '30', 'clubName': 'Atlético de Madrid', 'clubID': '13', 'value': '€18.00m'}, {'date': 'Apr 8, 2020', 'age': '30', 'clubName': 'Atlético de Madrid', 'clubID': '13', 'value': '€14.50m'}, {'date': 'Oct 8, 2020', 'age': '30', 'clubName': 'Atlético de Madrid', 'clubID': '13', 'value': '€10.00m'}, {'date': 'Jan 5, 2021', 'age': '31', 'clubName': 'Atlético de Madrid', 'clubID': '13', 'value': '€8.00m'}, {'date': 'Jun 10, 2021', 'age': '31', 'clubName': 'Atlético de Madrid', 'clubID': '13', 'value': '€4.00m'}, {'date': 'Dec 30, 2021', 'age': '32', 'clubName': 'Getafe CF', 'clubID': '3709', 'value': '€2.50m'}, {'date': 'Mar 21, 2022', 'age': '32', 'clubName': 'Getafe CF', 'clubID': '3709', 'value': '€2.00m'}, {'date': 'Jun 3, 2022', 'age': '32', 'clubName': 'Getafe CF', 'clubID': '3709', 'value': '€1.50m'}, {'date': 'Dec 29, 2022', 'age': '33', 'clubName': 'UD Las Palmas', 'clubID': '472', 'value': '€1.00m'}, {'date': 'Jun 14, 2023', 'age': '33', 'clubName': 'UD Las Palmas', 'clubID': '472', 'value': '€500k'}, {'date': 'Dec 22, 2023', 'age': '34', 'clubName': 'Atlético de Madrid', 'clubID': '13', 'value': '€300k'}, {'date': 'Jun 7, 2024', 'age': '34', 'clubName': 'Atlético de Madrid', 'clubID': '13', 'value': '€100k'}, {'date': 'Dec 21, 2024', 'age': '35', 'clubName': 'Retired', 'clubID': '123', 'value': '-'}]}</t>
  </si>
  <si>
    <t>1989-11-02</t>
  </si>
  <si>
    <t>{'marketValueHistory': [{'date': '08/05/2014', 'age': '18', 'clubName': 'AC Sparta Prague U19', 'clubID': '197', 'value': '€200k'}, {'date': '17/01/2015', 'age': '18', 'clubName': 'AC Sparta Prague', 'clubID': '197', 'value': '€200k'}, {'date': '15/10/2015', 'age': '19', 'clubName': 'Bohemians Prague 1905', 'clubID': '715', 'value': '€350k'}, {'date': '18/03/2016', 'age': '20', 'clubName': 'Bohemians Prague 1905', 'clubID': '715', 'value': '€500k'}, {'date': '15/07/2016', 'age': '20', 'clubName': 'UC Sampdoria', 'clubID': '1038', 'value': '€3.00m'}, {'date': '02/01/2017', 'age': '20', 'clubName': 'UC Sampdoria', 'clubID': '1038', 'value': '€3.50m'}, {'date': '28/03/2017', 'age': '21', 'clubName': 'UC Sampdoria', 'clubID': '1038', 'value': '€7.00m'}, {'date': '08/06/2017', 'age': '21', 'clubName': 'UC Sampdoria', 'clubID': '1038', 'value': '€15.00m'}, {'date': '13/10/2017', 'age': '21', 'clubName': 'AS Roma', 'clubID': '12', 'value': '€20.00m'}, {'date': '29/12/2017', 'age': '21', 'clubName': 'AS Roma', 'clubID': '12', 'value': '€20.00m'}, {'date': '07/06/2018', 'age': '22', 'clubName': 'AS Roma', 'clubID': '12', 'value': '€20.00m'}, {'date': '12/10/2018', 'age': '22', 'clubName': 'AS Roma', 'clubID': '12', 'value': '€18.00m'}, {'date': '20/12/2018', 'age': '22', 'clubName': 'AS Roma', 'clubID': '12', 'value': '€15.00m'}, {'date': '06/06/2019', 'age': '23', 'clubName': 'AS Roma', 'clubID': '12', 'value': '€15.00m'}, {'date': '17/12/2019', 'age': '23', 'clubName': 'RB Leipzig', 'clubID': '23826', 'value': '€15.00m'}, {'date': '11/03/2020', 'age': '24', 'clubName': 'RB Leipzig', 'clubID': '23826', 'value': '€25.00m'}, {'date': '08/04/2020', 'age': '24', 'clubName': 'RB Leipzig', 'clubID': '23826', 'value': '€20.00m'}, {'date': '08/07/2020', 'age': '24', 'clubName': 'RB Leipzig', 'clubID': '23826', 'value': '€25.00m'}, {'date': '10/02/2021', 'age': '25', 'clubName': 'Bayer 04 Leverkusen', 'clubID': '15', 'value': '€25.00m'}, {'date': '28/05/2021', 'age': '25', 'clubName': 'Bayer 04 Leverkusen', 'clubID': '15', 'value': '€23.00m'}, {'date': '15/07/2021', 'age': '25', 'clubName': 'Bayer 04 Leverkusen', 'clubID': '15', 'value': '€28.00m'}, {'date': '22/12/2021', 'age': '25', 'clubName': 'Bayer 04 Leverkusen', 'clubID': '15', 'value': '€40.00m'}, {'date': '09/06/2022', 'age': '26', 'clubName': 'Bayer 04 Leverkusen', 'clubID': '15', 'value': '€50.00m'}, {'date': '09/11/2022', 'age': '26', 'clubName': 'Bayer 04 Leverkusen', 'clubID': '15', 'value': '€38.00m'}, {'date': '29/03/2023', 'age': '27', 'clubName': 'Bayer 04 Leverkusen', 'clubID': '15', 'value': '€30.00m'}, {'date': '22/06/2023', 'age': '27', 'clubName': 'Bayer 04 Leverkusen', 'clubID': '15', 'value': '€25.00m'}, {'date': '14/12/2023', 'age': '27', 'clubName': 'Bayer 04 Leverkusen', 'clubID': '15', 'value': '€22.00m'}, {'date': '29/05/2024', 'age': '28', 'clubName': 'Bayer 04 Leverkusen', 'clubID': '15', 'value': '€22.00m'}, {'date': '20/12/2024', 'age': '28', 'clubName': 'Bayer 04 Leverkusen', 'clubID': '15', 'value': '€22.00m'}, {'date': '27/03/2025', 'age': '29', 'clubName': 'Bayer 04 Leverkusen', 'clubID': '15', 'value': '€27.00m'}, {'date': '05/06/2025', 'age': '29', 'clubName': 'Bayer 04 Leverkusen', 'clubID': '15', 'value': '€27.00m'}, {'date': '19/12/2025', 'age': '29', 'clubName': 'Bayer 04 Leverkusen', 'clubID': '15', 'value': '€25.00m'}, {'date': '20/03/2026', 'age': '30', 'clubName': 'Bayer 04 Leverkusen', 'clubID': '15', 'value': '€20.00m'}]}</t>
  </si>
  <si>
    <t>Sinkgraven</t>
  </si>
  <si>
    <t>{'marketValueHistory': [{'date': 'Aug 7, 2013', 'age': '18', 'clubName': 'SC Heerenveen', 'clubID': '306', 'value': '€50k'}, {'date': 'Feb 11, 2014', 'age': '18', 'clubName': 'SC Heerenveen', 'clubID': '306', 'value': '€100k'}, {'date': 'Aug 11, 2014', 'age': '19', 'clubName': 'SC Heerenveen', 'clubID': '306', 'value': '€400k'}, {'date': 'Nov 2, 2014', 'age': '19', 'clubName': 'SC Heerenveen', 'clubID': '306', 'value': '€1.50m'}, {'date': 'Feb 16, 2015', 'age': '19', 'clubName': 'Ajax Amsterdam', 'clubID': '610', 'value': '€4.00m'}, {'date': 'Jul 1, 2015', 'age': '19', 'clubName': 'Ajax Amsterdam', 'clubID': '610', 'value': '€4.00m'}, {'date': 'Feb 5, 2016', 'age': '20', 'clubName': 'Ajax Amsterdam', 'clubID': '610', 'value': '€3.50m'}, {'date': 'Jul 15, 2016', 'age': '21', 'clubName': 'Ajax Amsterdam', 'clubID': '610', 'value': '€2.50m'}, {'date': 'Jan 18, 2017', 'age': '21', 'clubName': 'Ajax Amsterdam', 'clubID': '610', 'value': '€3.00m'}, {'date': 'Jun 7, 2017', 'age': '21', 'clubName': 'Ajax Amsterdam', 'clubID': '610', 'value': '€4.00m'}, {'date': 'Jan 17, 2018', 'age': '22', 'clubName': 'Ajax Amsterdam', 'clubID': '610', 'value': '€3.00m'}, {'date': 'Jun 12, 2018', 'age': '22', 'clubName': 'Ajax Amsterdam', 'clubID': '610', 'value': '€2.50m'}, {'date': 'Dec 28, 2018', 'age': '23', 'clubName': 'Ajax Amsterdam', 'clubID': '610', 'value': '€2.50m'}, {'date': 'Jun 12, 2019', 'age': '23', 'clubName': 'Ajax Amsterdam', 'clubID': '610', 'value': '€3.00m'}, {'date': 'Dec 17, 2019', 'age': '24', 'clubName': 'Bayer 04 Leverkusen', 'clubID': '15', 'value': '€4.00m'}, {'date': 'Mar 11, 2020', 'age': '24', 'clubName': 'Bayer 04 Leverkusen', 'clubID': '15', 'value': '€6.00m'}, {'date': 'Apr 8, 2020', 'age': '24', 'clubName': 'Bayer 04 Leverkusen', 'clubID': '15', 'value': '€4.80m'}, {'date': 'Sep 16, 2020', 'age': '25', 'clubName': 'Bayer 04 Leverkusen', 'clubID': '15', 'value': '€5.00m'}, {'date': 'Nov 26, 2020', 'age': '25', 'clubName': 'Bayer 04 Leverkusen', 'clubID': '15', 'value': '€7.50m'}, {'date': 'Feb 10, 2021', 'age': '25', 'clubName': 'Bayer 04 Leverkusen', 'clubID': '15', 'value': '€9.00m'}, {'date': 'Jun 9, 2021', 'age': '25', 'clubName': 'Bayer 04 Leverkusen', 'clubID': '15', 'value': '€9.00m'}, {'date': 'Oct 7, 2021', 'age': '26', 'clubName': 'Bayer 04 Leverkusen', 'clubID': '15', 'value': '€7.00m'}, {'date': 'Dec 22, 2021', 'age': '26', 'clubName': 'Bayer 04 Leverkusen', 'clubID': '15', 'value': '€4.50m'}, {'date': 'Jun 9, 2022', 'age': '26', 'clubName': 'Bayer 04 Leverkusen', 'clubID': '15', 'value': '€4.00m'}, {'date': 'Sep 21, 2022', 'age': '27', 'clubName': 'Bayer 04 Leverkusen', 'clubID': '15', 'value': '€3.00m'}, {'date': 'Nov 9, 2022', 'age': '27', 'clubName': 'Bayer 04 Leverkusen', 'clubID': '15', 'value': '€3.00m'}, {'date': 'Jun 22, 2023', 'age': '27', 'clubName': 'Bayer 04 Leverkusen', 'clubID': '15', 'value': '€2.50m'}, {'date': 'Oct 13, 2023', 'age': '28', 'clubName': 'UD Las Palmas', 'clubID': '472', 'value': '€1.50m'}, {'date': 'Dec 22, 2023', 'age': '28', 'clubName': 'UD Las Palmas', 'clubID': '472', 'value': '€1.50m'}, {'date': 'Mar 21, 2024', 'age': '28', 'clubName': 'UD Las Palmas', 'clubID': '472', 'value': '€1.20m'}, {'date': 'Jun 7, 2024', 'age': '28', 'clubName': 'UD Las Palmas', 'clubID': '472', 'value': '€1.00m'}, {'date': 'Dec 27, 2024', 'age': '29', 'clubName': 'UD Las Palmas', 'clubID': '472', 'value': '€700k'}, {'date': 'May 28, 2025', 'age': '29', 'clubName': 'Fortuna Sittard', 'clubID': '385', 'value': '€600k'}, {'date': 'Dec 2, 2025', 'age': '30', 'clubName': 'Fortuna Sittard', 'clubID': '385', 'value': '€400k'}]}</t>
  </si>
  <si>
    <t>1995-07-04</t>
  </si>
  <si>
    <t>Skrzybski</t>
  </si>
  <si>
    <t>{'marketValueHistory': [{'date': '12/01/2011', 'age': '18', 'clubName': '1.FC Union Berlin U19', 'clubID': '7802', 'value': '€50k'}, {'date': '01/03/2011', 'age': '18', 'clubName': '1.FC Union Berlin U19', 'clubID': '7802', 'value': '€100k'}, {'date': '04/06/2011', 'age': '18', 'clubName': '1.FC Union Berlin U19', 'clubID': '7802', 'value': '€100k'}, {'date': '16/01/2012', 'age': '19', 'clubName': '1.FC Union Berlin', 'clubID': '89', 'value': '€100k'}, {'date': '24/06/2012', 'age': '19', 'clubName': '1.FC Union Berlin', 'clubID': '89', 'value': '€200k'}, {'date': '04/01/2013', 'age': '20', 'clubName': '1.FC Union Berlin', 'clubID': '89', 'value': '€200k'}, {'date': '29/06/2013', 'age': '20', 'clubName': '1.FC Union Berlin', 'clubID': '89', 'value': '€300k'}, {'date': '20/01/2014', 'age': '21', 'clubName': '1.FC Union Berlin', 'clubID': '89', 'value': '€300k'}, {'date': '30/06/2014', 'age': '21', 'clubName': '1.FC Union Berlin', 'clubID': '89', 'value': '€400k'}, {'date': '17/07/2014', 'age': '21', 'clubName': '1.FC Union Berlin', 'clubID': '89', 'value': '€400k'}, {'date': '13/01/2015', 'age': '22', 'clubName': '1.FC Union Berlin', 'clubID': '89', 'value': '€400k'}, {'date': '29/03/2015', 'age': '22', 'clubName': '1.FC Union Berlin', 'clubID': '89', 'value': '€500k'}, {'date': '01/07/2015', 'age': '22', 'clubName': '1.FC Union Berlin', 'clubID': '89', 'value': '€600k'}, {'date': '11/02/2016', 'age': '23', 'clubName': '1.FC Union Berlin', 'clubID': '89', 'value': '€800k'}, {'date': '22/07/2016', 'age': '23', 'clubName': '1.FC Union Berlin', 'clubID': '89', 'value': '€800k'}, {'date': '06/10/2016', 'age': '23', 'clubName': '1.FC Union Berlin', 'clubID': '89', 'value': '€1.00m'}, {'date': '23/01/2017', 'age': '24', 'clubName': '1.FC Union Berlin', 'clubID': '89', 'value': '€1.50m'}, {'date': '27/06/2017', 'age': '24', 'clubName': '1.FC Union Berlin', 'clubID': '89', 'value': '€1.50m'}, {'date': '22/01/2018', 'age': '25', 'clubName': '1.FC Union Berlin', 'clubID': '89', 'value': '€1.75m'}, {'date': '21/03/2018', 'age': '25', 'clubName': '1.FC Union Berlin', 'clubID': '89', 'value': '€2.50m'}, {'date': '19/06/2018', 'age': '25', 'clubName': '1.FC Union Berlin', 'clubID': '89', 'value': '€3.50m'}, {'date': '18/12/2018', 'age': '26', 'clubName': 'FC Schalke 04', 'clubID': '33', 'value': '€3.50m'}, {'date': '05/06/2019', 'age': '26', 'clubName': 'FC Schalke 04', 'clubID': '33', 'value': '€3.50m'}, {'date': '17/12/2019', 'age': '27', 'clubName': 'FC Schalke 04', 'clubID': '33', 'value': '€2.70m'}, {'date': '11/03/2020', 'age': '27', 'clubName': 'Fortuna Düsseldorf', 'clubID': '38', 'value': '€2.00m'}, {'date': '08/04/2020', 'age': '27', 'clubName': 'Fortuna Düsseldorf', 'clubID': '38', 'value': '€1.60m'}, {'date': '10/02/2021', 'age': '28', 'clubName': 'FC Schalke 04', 'clubID': '33', 'value': '€1.50m'}, {'date': '09/06/2021', 'age': '28', 'clubName': 'FC Schalke 04', 'clubID': '33', 'value': '€1.50m'}, {'date': '13/10/2021', 'age': '28', 'clubName': 'Holstein Kiel', 'clubID': '269', 'value': '€1.20m'}, {'date': '15/12/2021', 'age': '29', 'clubName': 'Holstein Kiel', 'clubID': '269', 'value': '€900k'}, {'date': '16/06/2022', 'age': '29', 'clubName': 'Holstein Kiel', 'clubID': '269', 'value': '€800k'}, {'date': '28/09/2022', 'age': '29', 'clubName': 'Holstein Kiel', 'clubID': '269', 'value': '€1.00m'}, {'date': '30/11/2022', 'age': '30', 'clubName': 'Holstein Kiel', 'clubID': '269', 'value': '€1.30m'}, {'date': '28/06/2023', 'age': '30', 'clubName': 'Holstein Kiel', 'clubID': '269', 'value': '€1.30m'}, {'date': '15/12/2023', 'age': '31', 'clubName': 'Holstein Kiel', 'clubID': '269', 'value': '€1.30m'}, {'date': '06/06/2024', 'age': '31', 'clubName': 'Holstein Kiel', 'clubID': '269', 'value': '€1.30m'}, {'date': '20/12/2024', 'age': '32', 'clubName': 'Holstein Kiel', 'clubID': '269', 'value': '€1.00m'}, {'date': '05/06/2025', 'age': '32', 'clubName': 'Holstein Kiel', 'clubID': '269', 'value': '€1.00m'}, {'date': '16/12/2025', 'age': '33', 'clubName': 'Holstein Kiel', 'clubID': '269', 'value': '€600k'}]}</t>
  </si>
  <si>
    <t>1992-11-18</t>
  </si>
  <si>
    <t>Alena</t>
  </si>
  <si>
    <t>{'marketValueHistory': [{'date': 'Aug 1, 2016', 'age': '18', 'clubName': 'FC Barcelona B', 'clubID': '2464', 'value': '€1.00m'}, {'date': 'Feb 2, 2017', 'age': '19', 'clubName': 'FC Barcelona B', 'clubID': '2464', 'value': '€1.50m'}, {'date': 'Jun 30, 2017', 'age': '19', 'clubName': 'FC Barcelona B', 'clubID': '2464', 'value': '€5.00m'}, {'date': 'Jan 1, 2018', 'age': '19', 'clubName': 'FC Barcelona B', 'clubID': '2464', 'value': '€10.00m'}, {'date': 'May 30, 2018', 'age': '20', 'clubName': 'FC Barcelona B', 'clubID': '2464', 'value': '€10.00m'}, {'date': 'Dec 21, 2018', 'age': '20', 'clubName': 'FC Barcelona', 'clubID': '131', 'value': '€15.00m'}, {'date': 'Feb 28, 2019', 'age': '21', 'clubName': 'FC Barcelona', 'clubID': '131', 'value': '€25.00m'}, {'date': 'Jun 11, 2019', 'age': '21', 'clubName': 'FC Barcelona', 'clubID': '131', 'value': '€30.00m'}, {'date': 'Dec 20, 2019', 'age': '21', 'clubName': 'FC Barcelona', 'clubID': '131', 'value': '€20.00m'}, {'date': 'Apr 8, 2020', 'age': '22', 'clubName': 'Real Betis Balompié', 'clubID': '150', 'value': '€18.00m'}, {'date': 'Oct 8, 2020', 'age': '22', 'clubName': 'FC Barcelona', 'clubID': '131', 'value': '€18.00m'}, {'date': 'Jan 5, 2021', 'age': '23', 'clubName': 'FC Barcelona', 'clubID': '131', 'value': '€15.00m'}, {'date': 'Jun 10, 2021', 'age': '23', 'clubName': 'Getafe CF', 'clubID': '3709', 'value': '€15.00m'}, {'date': 'Dec 30, 2021', 'age': '23', 'clubName': 'Getafe CF', 'clubID': '3709', 'value': '€9.00m'}, {'date': 'Jun 3, 2022', 'age': '24', 'clubName': 'Getafe CF', 'clubID': '3709', 'value': '€9.00m'}, {'date': 'Nov 7, 2022', 'age': '24', 'clubName': 'Getafe CF', 'clubID': '3709', 'value': '€10.00m'}, {'date': 'Jun 13, 2023', 'age': '25', 'clubName': 'Getafe CF', 'clubID': '3709', 'value': '€9.00m'}, {'date': 'Oct 13, 2023', 'age': '25', 'clubName': 'Getafe CF', 'clubID': '3709', 'value': '€6.00m'}, {'date': 'Dec 22, 2023', 'age': '25', 'clubName': 'Getafe CF', 'clubID': '3709', 'value': '€3.00m'}, {'date': 'Jun 7, 2024', 'age': '26', 'clubName': 'Getafe CF', 'clubID': '3709', 'value': '€3.00m'}, {'date': 'Dec 27, 2024', 'age': '26', 'clubName': 'Getafe CF', 'clubID': '3709', 'value': '€2.50m'}, {'date': 'Jun 9, 2025', 'age': '27', 'clubName': 'Deportivo Alavés', 'clubID': '1108', 'value': '€2.50m'}, {'date': 'Oct 2, 2025', 'age': '27', 'clubName': 'Deportivo Alavés', 'clubID': '1108', 'value': '€3.00m'}, {'date': 'Dec 12, 2025', 'age': '27', 'clubName': 'Deportivo Alavés', 'clubID': '1108', 'value': '€3.00m'}, {'date': 'Mar 16, 2026', 'age': '28', 'clubName': 'Deportivo Alavés', 'clubID': '1108', 'value': '€3.50m'}]}</t>
  </si>
  <si>
    <t>1998-01-05</t>
  </si>
  <si>
    <t>Vermaelen</t>
  </si>
  <si>
    <t>{'marketValueHistory': [{'date': '04/10/2004', 'age': '18', 'clubName': 'RKC Waalwijk', 'clubID': '235', 'value': '€250k'}, {'date': '18/01/2006', 'age': '20', 'clubName': 'Ajax Amsterdam', 'clubID': '610', 'value': '€800k'}, {'date': '28/10/2006', 'age': '20', 'clubName': 'Ajax Amsterdam', 'clubID': '610', 'value': '€900k'}, {'date': '08/02/2007', 'age': '21', 'clubName': 'Ajax Amsterdam', 'clubID': '610', 'value': '€2.20m'}, {'date': '08/08/2007', 'age': '21', 'clubName': 'Ajax Amsterdam', 'clubID': '610', 'value': '€3.00m'}, {'date': '18/07/2008', 'age': '22', 'clubName': 'Ajax Amsterdam', 'clubID': '610', 'value': '€3.50m'}, {'date': '08/01/2009', 'age': '23', 'clubName': 'Ajax Amsterdam', 'clubID': '610', 'value': '€4.50m'}, {'date': '22/05/2009', 'age': '23', 'clubName': 'Ajax Amsterdam', 'clubID': '610', 'value': '€6.00m'}, {'date': '06/08/2009', 'age': '23', 'clubName': 'Arsenal FC', 'clubID': '11', 'value': '€10.00m'}, {'date': '25/01/2010', 'age': '24', 'clubName': 'Arsenal FC', 'clubID': '11', 'value': '€17.00m'}, {'date': '13/08/2010', 'age': '24', 'clubName': 'Arsenal FC', 'clubID': '11', 'value': '€18.00m'}, {'date': '01/02/2011', 'age': '25', 'clubName': 'Arsenal FC', 'clubID': '11', 'value': '€18.00m'}, {'date': '08/08/2011', 'age': '25', 'clubName': 'Arsenal FC', 'clubID': '11', 'value': '€18.00m'}, {'date': '06/02/2012', 'age': '26', 'clubName': 'Arsenal FC', 'clubID': '11', 'value': '€18.00m'}, {'date': '24/06/2012', 'age': '26', 'clubName': 'Arsenal FC', 'clubID': '11', 'value': '€18.50m'}, {'date': '28/01/2013', 'age': '27', 'clubName': 'Arsenal FC', 'clubID': '11', 'value': '€18.00m'}, {'date': '02/07/2013', 'age': '27', 'clubName': 'Arsenal FC', 'clubID': '11', 'value': '€16.00m'}, {'date': '15/01/2014', 'age': '28', 'clubName': 'Arsenal FC', 'clubID': '11', 'value': '€14.00m'}, {'date': '09/08/2014', 'age': '28', 'clubName': 'FC Barcelona', 'clubID': '131', 'value': '€15.00m'}, {'date': '23/01/2015', 'age': '29', 'clubName': 'FC Barcelona', 'clubID': '131', 'value': '€8.00m'}, {'date': '12/04/2015', 'age': '29', 'clubName': 'FC Barcelona', 'clubID': '131', 'value': '€6.00m'}, {'date': '01/07/2015', 'age': '29', 'clubName': 'FC Barcelona', 'clubID': '131', 'value': '€6.00m'}, {'date': '22/11/2015', 'age': '30', 'clubName': 'FC Barcelona', 'clubID': '131', 'value': '€5.00m'}, {'date': '22/02/2016', 'age': '30', 'clubName': 'FC Barcelona', 'clubID': '131', 'value': '€4.00m'}, {'date': '01/06/2016', 'age': '30', 'clubName': 'FC Barcelona', 'clubID': '131', 'value': '€3.00m'}, {'date': '15/07/2016', 'age': '30', 'clubName': 'FC Barcelona', 'clubID': '131', 'value': '€4.00m'}, {'date': '02/01/2017', 'age': '31', 'clubName': 'AS Roma', 'clubID': '12', 'value': '€4.00m'}, {'date': '08/06/2017', 'age': '31', 'clubName': 'AS Roma', 'clubID': '12', 'value': '€3.00m'}, {'date': '01/01/2018', 'age': '32', 'clubName': 'FC Barcelona', 'clubID': '131', 'value': '€5.00m'}, {'date': '30/05/2018', 'age': '32', 'clubName': 'FC Barcelona', 'clubID': '131', 'value': '€5.00m'}, {'date': '21/12/2018', 'age': '33', 'clubName': 'FC Barcelona', 'clubID': '131', 'value': '€3.00m'}, {'date': '11/06/2019', 'age': '33', 'clubName': 'FC Barcelona', 'clubID': '131', 'value': '€2.50m'}, {'date': '28/12/2019', 'age': '34', 'clubName': 'Vissel Kobe', 'clubID': '3958', 'value': '€1.70m'}, {'date': '08/04/2020', 'age': '34', 'clubName': 'Vissel Kobe', 'clubID': '3958', 'value': '€1.40m'}, {'date': '29/01/2021', 'age': '35', 'clubName': 'Vissel Kobe', 'clubID': '3958', 'value': '€1.10m'}, {'date': '26/05/2021', 'age': '35', 'clubName': 'Vissel Kobe', 'clubID': '3958', 'value': '€900k'}, {'date': '29/06/2021', 'age': '35', 'clubName': 'Vissel Kobe', 'clubID': '3958', 'value': '€900k'}, {'date': '14/01/2022', 'age': '36', 'clubName': 'Vissel Kobe', 'clubID': '3958', 'value': '€700k'}, {'date': '21/01/2022', 'age': '36', 'clubName': 'Retired', 'clubID': '123', 'value': '-'}]}</t>
  </si>
  <si>
    <t>1985-11-14</t>
  </si>
  <si>
    <t>Kolar</t>
  </si>
  <si>
    <t>Eiting</t>
  </si>
  <si>
    <t>{'marketValueHistory': [{'date': '04/10/2004', 'age': '20', 'clubName': 'Ajax Amsterdam', 'clubID': '610', 'value': '€1.50m'}, {'date': '11/10/2004', 'age': '20', 'clubName': 'Ajax Amsterdam', 'clubID': '610', 'value': '€4.50m'}, {'date': '08/02/2007', 'age': '23', 'clubName': 'Ajax Amsterdam', 'clubID': '610', 'value': '€6.00m'}, {'date': '08/08/2007', 'age': '23', 'clubName': 'Ajax Amsterdam', 'clubID': '610', 'value': '€7.00m'}, {'date': '11/07/2008', 'age': '24', 'clubName': 'Atlético de Madrid', 'clubID': '13', 'value': '€10.00m'}, {'date': '26/01/2009', 'age': '25', 'clubName': 'Atlético de Madrid', 'clubID': '13', 'value': '€10.00m'}, {'date': '28/04/2009', 'age': '25', 'clubName': 'Atlético de Madrid', 'clubID': '13', 'value': '€8.00m'}, {'date': '22/07/2009', 'age': '25', 'clubName': 'Atlético de Madrid', 'clubID': '13', 'value': '€8.00m'}, {'date': '24/01/2010', 'age': '26', 'clubName': 'Everton FC', 'clubID': '29', 'value': '€9.00m'}, {'date': '13/08/2010', 'age': '26', 'clubName': 'Everton FC', 'clubID': '29', 'value': '€12.00m'}, {'date': '01/02/2011', 'age': '27', 'clubName': 'Everton FC', 'clubID': '29', 'value': '€10.00m'}, {'date': '08/08/2011', 'age': '27', 'clubName': 'Everton FC', 'clubID': '29', 'value': '€10.00m'}, {'date': '06/02/2012', 'age': '28', 'clubName': 'Everton FC', 'clubID': '29', 'value': '€10.00m'}, {'date': '24/06/2012', 'age': '28', 'clubName': 'Everton FC', 'clubID': '29', 'value': '€9.00m'}, {'date': '28/01/2013', 'age': '29', 'clubName': 'Everton FC', 'clubID': '29', 'value': '€7.00m'}, {'date': '02/07/2013', 'age': '29', 'clubName': 'Everton FC', 'clubID': '29', 'value': '€6.00m'}, {'date': '15/01/2014', 'age': '30', 'clubName': 'Everton FC', 'clubID': '29', 'value': '€3.50m'}, {'date': '10/07/2014', 'age': '30', 'clubName': 'Hertha BSC', 'clubID': '44', 'value': '€3.00m'}, {'date': '04/02/2015', 'age': '31', 'clubName': 'Hertha BSC', 'clubID': '44', 'value': '€2.00m'}, {'date': '01/07/2015', 'age': '31', 'clubName': 'Ajax Amsterdam', 'clubID': '610', 'value': '€1.00m'}, {'date': '01/02/2016', 'age': '32', 'clubName': 'Retired', 'clubID': '123', 'value': '-'}]}</t>
  </si>
  <si>
    <t>1983-11-15</t>
  </si>
  <si>
    <t>Pernica</t>
  </si>
  <si>
    <t>{'marketValueHistory': [{'date': 'Oct 25, 2012', 'age': '22', 'clubName': 'FC Zbrojovka Brno', 'clubID': '5225', 'value': '€400k'}, {'date': 'May 8, 2014', 'age': '23', 'clubName': 'FC Zbrojovka Brno', 'clubID': '5225', 'value': '€400k'}, {'date': 'Sep 1, 2014', 'age': '24', 'clubName': 'FK Baumit Jablonec', 'clubID': '1322', 'value': '€500k'}, {'date': 'Jan 17, 2015', 'age': '24', 'clubName': 'FK Baumit Jablonec', 'clubID': '1322', 'value': '€600k'}, {'date': 'Oct 14, 2015', 'age': '25', 'clubName': 'FK Jablonec', 'clubID': '1322', 'value': '€600k'}, {'date': 'Aug 3, 2016', 'age': '26', 'clubName': 'FK Jablonec', 'clubID': '1322', 'value': '€650k'}, {'date': 'Dec 19, 2016', 'age': '26', 'clubName': 'FK Jablonec', 'clubID': '1322', 'value': '€550k'}, {'date': 'Jun 10, 2017', 'age': '26', 'clubName': 'FK Jablonec', 'clubID': '1322', 'value': '€550k'}, {'date': 'Dec 21, 2017', 'age': '27', 'clubName': 'FK Jablonec', 'clubID': '1322', 'value': '€550k'}, {'date': 'Jul 14, 2018', 'age': '28', 'clubName': 'FC Viktoria Plzen', 'clubID': '941', 'value': '€800k'}, {'date': 'Oct 29, 2018', 'age': '28', 'clubName': 'FC Viktoria Plzen', 'clubID': '941', 'value': '€900k'}, {'date': 'Dec 30, 2018', 'age': '28', 'clubName': 'FC Viktoria Plzen', 'clubID': '941', 'value': '€900k'}, {'date': 'Jun 25, 2019', 'age': '29', 'clubName': 'FC Viktoria Plzen', 'clubID': '941', 'value': '€900k'}, {'date': 'Dec 7, 2019', 'age': '29', 'clubName': 'FC Viktoria Plzen', 'clubID': '941', 'value': '€900k'}, {'date': 'Apr 8, 2020', 'age': '29', 'clubName': 'FC Viktoria Plzen', 'clubID': '941', 'value': '€725k'}, {'date': 'Jul 10, 2020', 'age': '30', 'clubName': 'FC Viktoria Plzen', 'clubID': '941', 'value': '€700k'}, {'date': 'Dec 27, 2020', 'age': '30', 'clubName': 'FC Viktoria Plzen', 'clubID': '941', 'value': '€700k'}, {'date': 'Jun 25, 2021', 'age': '31', 'clubName': 'FC Zbrojovka Brno', 'clubID': '5225', 'value': '€700k'}, {'date': 'Dec 26, 2021', 'age': '31', 'clubName': 'FC Viktoria Plzen', 'clubID': '941', 'value': '€750k'}, {'date': 'Jun 22, 2022', 'age': '32', 'clubName': 'FC Viktoria Plzen', 'clubID': '941', 'value': '€700k'}, {'date': 'Dec 14, 2022', 'age': '32', 'clubName': 'FC Viktoria Plzen', 'clubID': '941', 'value': '€800k'}, {'date': 'Jun 20, 2023', 'age': '33', 'clubName': 'FC Viktoria Plzen', 'clubID': '941', 'value': '€700k'}, {'date': 'Sep 20, 2023', 'age': '33', 'clubName': 'FC Viktoria Plzen', 'clubID': '941', 'value': '€450k'}, {'date': 'Dec 20, 2023', 'age': '33', 'clubName': 'FC Viktoria Plzen', 'clubID': '941', 'value': '€350k'}, {'date': 'Jun 5, 2024', 'age': '33', 'clubName': 'FC Zbrojovka Brno', 'clubID': '5225', 'value': '€200k'}, {'date': 'Dec 20, 2024', 'age': '34', 'clubName': 'FC Zbrojovka Brno', 'clubID': '5225', 'value': '€150k'}, {'date': 'Jun 17, 2025', 'age': '35', 'clubName': 'SK Lisen', 'clubID': '24325', 'value': '€100k'}]}</t>
  </si>
  <si>
    <t>1990-06-16</t>
  </si>
  <si>
    <t>Hoogma</t>
  </si>
  <si>
    <t>{'marketValueHistory': [{'date': 'Feb 5, 2016', 'age': '17', 'clubName': 'Heracles Almelo', 'clubID': '1304', 'value': '€50k'}, {'date': 'Jul 15, 2016', 'age': '18', 'clubName': 'Heracles Almelo', 'clubID': '1304', 'value': '€100k'}, {'date': 'Oct 17, 2016', 'age': '18', 'clubName': 'Heracles Almelo', 'clubID': '1304', 'value': '€600k'}, {'date': 'Jan 18, 2017', 'age': '18', 'clubName': 'Heracles Almelo', 'clubID': '1304', 'value': '€800k'}, {'date': 'Jun 7, 2017', 'age': '18', 'clubName': 'Heracles Almelo', 'clubID': '1304', 'value': '€1.50m'}, {'date': 'Dec 28, 2017', 'age': '19', 'clubName': 'TSG 1899 Hoffenheim', 'clubID': '533', 'value': '€1.50m'}, {'date': 'Jun 5, 2018', 'age': '19', 'clubName': 'TSG 1899 Hoffenheim', 'clubID': '533', 'value': '€1.50m'}, {'date': 'Oct 22, 2018', 'age': '20', 'clubName': 'TSG 1899 Hoffenheim', 'clubID': '533', 'value': '€3.00m'}, {'date': 'Dec 18, 2018', 'age': '20', 'clubName': 'TSG 1899 Hoffenheim', 'clubID': '533', 'value': '€3.00m'}, {'date': 'Jun 12, 2019', 'age': '21', 'clubName': 'FC St. Pauli', 'clubID': '35', 'value': '€2.50m'}, {'date': 'Dec 16, 2019', 'age': '21', 'clubName': 'FC Utrecht', 'clubID': '200', 'value': '€2.50m'}, {'date': 'Apr 8, 2020', 'age': '21', 'clubName': 'FC Utrecht', 'clubID': '200', 'value': '€2.30m'}, {'date': 'Oct 14, 2020', 'age': '22', 'clubName': 'FC Utrecht', 'clubID': '200', 'value': '€2.30m'}, {'date': 'Mar 9, 2021', 'age': '22', 'clubName': 'FC Utrecht', 'clubID': '200', 'value': '€2.00m'}, {'date': 'May 19, 2021', 'age': '22', 'clubName': 'FC Utrecht', 'clubID': '200', 'value': '€2.00m'}, {'date': 'Dec 22, 2021', 'age': '23', 'clubName': 'SpVgg Greuther Fürth', 'clubID': '65', 'value': '€1.50m'}, {'date': 'Jun 8, 2022', 'age': '23', 'clubName': 'Heracles Almelo', 'clubID': '1304', 'value': '€1.00m'}, {'date': 'Jul 4, 2023', 'age': '25', 'clubName': 'Heracles Almelo', 'clubID': '1304', 'value': '€1.20m'}, {'date': 'Dec 15, 2023', 'age': '25', 'clubName': 'Heracles Almelo', 'clubID': '1304', 'value': '€1.00m'}, {'date': 'May 31, 2024', 'age': '25', 'clubName': 'Heracles Almelo', 'clubID': '1304', 'value': '€900k'}, {'date': 'Dec 17, 2024', 'age': '26', 'clubName': 'Heracles Almelo', 'clubID': '1304', 'value': '€650k'}, {'date': 'May 28, 2025', 'age': '26', 'clubName': 'Heracles Almelo', 'clubID': '1304', 'value': '€500k'}, {'date': 'Dec 16, 2025', 'age': '27', 'clubName': 'Willem II Tilburg', 'clubID': '403', 'value': '€500k'}]}</t>
  </si>
  <si>
    <t>1998-06-11</t>
  </si>
  <si>
    <t>Emre Akbaba</t>
  </si>
  <si>
    <t>{'marketValueHistory': [{'date': '25/07/2013', 'age': '20', 'clubName': 'Kahramanmaras Büyüksehir Belediyespor', 'clubID': '37961', 'value': '€50k'}, {'date': '19/03/2014', 'age': '21', 'clubName': 'Alanyaspor', 'clubID': '11282', 'value': '€200k'}, {'date': '08/07/2014', 'age': '21', 'clubName': 'Alanyaspor', 'clubID': '11282', 'value': '€300k'}, {'date': '05/01/2015', 'age': '22', 'clubName': 'Alanyaspor', 'clubID': '11282', 'value': '€800k'}, {'date': '08/06/2015', 'age': '22', 'clubName': 'Alanyaspor', 'clubID': '11282', 'value': '€2.00m'}, {'date': '18/01/2016', 'age': '23', 'clubName': 'Antalyaspor', 'clubID': '589', 'value': '€2.00m'}, {'date': '15/07/2016', 'age': '23', 'clubName': 'Antalyaspor', 'clubID': '589', 'value': '€2.25m'}, {'date': '10/01/2017', 'age': '24', 'clubName': 'Alanyaspor', 'clubID': '11282', 'value': '€3.00m'}, {'date': '09/06/2017', 'age': '24', 'clubName': 'Alanyaspor', 'clubID': '11282', 'value': '€3.00m'}, {'date': '12/02/2018', 'age': '25', 'clubName': 'Alanyaspor', 'clubID': '11282', 'value': '€4.50m'}, {'date': '29/05/2018', 'age': '25', 'clubName': 'Alanyaspor', 'clubID': '11282', 'value': '€5.50m'}, {'date': '04/01/2019', 'age': '26', 'clubName': 'Galatasaray', 'clubID': '141', 'value': '€5.50m'}, {'date': '04/06/2019', 'age': '26', 'clubName': 'Galatasaray', 'clubID': '141', 'value': '€4.50m'}, {'date': '04/10/2019', 'age': '27', 'clubName': 'Galatasaray', 'clubID': '141', 'value': '€3.50m'}, {'date': '03/01/2020', 'age': '27', 'clubName': 'Galatasaray', 'clubID': '141', 'value': '€2.80m'}, {'date': '25/03/2020', 'age': '27', 'clubName': 'Galatasaray', 'clubID': '141', 'value': '€3.00m'}, {'date': '08/04/2020', 'age': '27', 'clubName': 'Galatasaray', 'clubID': '141', 'value': '€2.40m'}, {'date': '04/08/2020', 'age': '27', 'clubName': 'Galatasaray', 'clubID': '141', 'value': '€2.90m'}, {'date': '23/12/2020', 'age': '28', 'clubName': 'Galatasaray', 'clubID': '141', 'value': '€2.90m'}, {'date': '16/03/2021', 'age': '28', 'clubName': 'Galatasaray', 'clubID': '141', 'value': '€2.00m'}, {'date': '21/05/2021', 'age': '28', 'clubName': 'Galatasaray', 'clubID': '141', 'value': '€2.50m'}, {'date': '12/10/2021', 'age': '29', 'clubName': 'Alanyaspor', 'clubID': '11282', 'value': '€2.90m'}, {'date': '04/01/2022', 'age': '29', 'clubName': 'Alanyaspor', 'clubID': '11282', 'value': '€2.90m'}, {'date': '31/03/2022', 'age': '29', 'clubName': 'Alanyaspor', 'clubID': '11282', 'value': '€3.50m'}, {'date': '01/06/2022', 'age': '29', 'clubName': 'Alanyaspor', 'clubID': '11282', 'value': '€4.00m'}, {'date': '13/09/2022', 'age': '29', 'clubName': 'Adana Demirspor', 'clubID': '3840', 'value': '€2.00m'}, {'date': '27/10/2022', 'age': '30', 'clubName': 'Adana Demirspor', 'clubID': '3840', 'value': '€2.00m'}, {'date': '14/03/2023', 'age': '30', 'clubName': 'Adana Demirspor', 'clubID': '3840', 'value': '€2.00m'}, {'date': '08/06/2023', 'age': '30', 'clubName': 'Adana Demirspor', 'clubID': '3840', 'value': '€1.80m'}, {'date': '27/09/2023', 'age': '30', 'clubName': 'Adana Demirspor', 'clubID': '3840', 'value': '€1.80m'}, {'date': '21/12/2023', 'age': '31', 'clubName': 'Adana Demirspor', 'clubID': '3840', 'value': '€1.60m'}, {'date': '15/03/2024', 'age': '31', 'clubName': 'Adana Demirspor', 'clubID': '3840', 'value': '€1.50m'}, {'date': '31/05/2024', 'age': '31', 'clubName': 'Adana Demirspor', 'clubID': '3840', 'value': '€1.30m'}, {'date': '04/10/2024', 'age': '32', 'clubName': 'Eyüpspor', 'clubID': '7160', 'value': '€1.20m'}, {'date': '23/12/2024', 'age': '32', 'clubName': 'Eyüpspor', 'clubID': '7160', 'value': '€1.00m'}, {'date': '20/03/2025', 'age': '32', 'clubName': 'Eyüpspor', 'clubID': '7160', 'value': '€900k'}, {'date': '18/06/2025', 'age': '32', 'clubName': 'Eyüpspor', 'clubID': '7160', 'value': '€800k'}, {'date': '01/10/2025', 'age': '32', 'clubName': 'Eyüpspor', 'clubID': '7160', 'value': '€600k'}, {'date': '17/12/2025', 'age': '33', 'clubName': 'Eyüpspor', 'clubID': '7160', 'value': '€500k'}]}</t>
  </si>
  <si>
    <t>Danchenko</t>
  </si>
  <si>
    <t>{'marketValueHistory': [{'date': 'Mar 28, 2014', 'age': '19', 'clubName': 'Chornomorets Odesa', 'clubID': '6992', 'value': '€100k'}, {'date': 'Jun 30, 2014', 'age': '19', 'clubName': 'Chornomorets Odesa', 'clubID': '6992', 'value': '€400k'}, {'date': 'Dec 25, 2014', 'age': '20', 'clubName': 'Chornomorets Odesa', 'clubID': '6992', 'value': '€200k'}, {'date': 'Mar 10, 2015', 'age': '20', 'clubName': 'Chornomorets Odesa', 'clubID': '6992', 'value': '€300k'}, {'date': 'Jun 7, 2015', 'age': '20', 'clubName': 'Chornomorets Odesa', 'clubID': '6992', 'value': '€600k'}, {'date': 'Dec 17, 2015', 'age': '21', 'clubName': 'Chornomorets Odesa', 'clubID': '6992', 'value': '€600k'}, {'date': 'Jul 21, 2016', 'age': '21', 'clubName': 'Shakhtar Donetsk', 'clubID': '660', 'value': '€800k'}, {'date': 'Jan 3, 2017', 'age': '22', 'clubName': 'Chornomorets Odesa', 'clubID': '6992', 'value': '€800k'}, {'date': 'Jun 26, 2017', 'age': '22', 'clubName': 'Chornomorets Odesa', 'clubID': '6992', 'value': '€800k'}, {'date': 'Dec 23, 2017', 'age': '23', 'clubName': 'Anzhi Makhachkala', 'clubID': '2700', 'value': '€1.50m'}, {'date': 'Jun 6, 2018', 'age': '23', 'clubName': 'Anzhi Makhachkala', 'clubID': '2700', 'value': '€3.00m'}, {'date': 'Dec 10, 2018', 'age': '24', 'clubName': 'Shakhtar Donetsk', 'clubID': '660', 'value': '€2.50m'}, {'date': 'Jun 14, 2019', 'age': '24', 'clubName': 'Enisey Krasnoyarsk', 'clubID': '3714', 'value': '€2.50m'}, {'date': 'Sep 10, 2019', 'age': '25', 'clubName': 'Rubin Kazan', 'clubID': '2698', 'value': '€3.00m'}, {'date': 'Dec 23, 2019', 'age': '25', 'clubName': 'Rubin Kazan', 'clubID': '2698', 'value': '€3.50m'}, {'date': 'Apr 8, 2020', 'age': '25', 'clubName': 'Rubin Kazan', 'clubID': '2698', 'value': '€2.80m'}, {'date': 'Jul 29, 2020', 'age': '25', 'clubName': 'Rubin Kazan', 'clubID': '2698', 'value': '€2.80m'}, {'date': 'Dec 29, 2020', 'age': '26', 'clubName': 'FC Ufa', 'clubID': '28095', 'value': '€2.30m'}, {'date': 'May 30, 2021', 'age': '26', 'clubName': 'AEK Athens', 'clubID': '2441', 'value': '€1.80m'}, {'date': 'Nov 1, 2021', 'age': '27', 'clubName': 'AEK Athens', 'clubID': '2441', 'value': '€1.20m'}, {'date': 'May 18, 2022', 'age': '27', 'clubName': 'Zorya Lugansk', 'clubID': '10690', 'value': '€1.20m'}, {'date': 'Dec 6, 2022', 'age': '28', 'clubName': 'Zorya Lugansk', 'clubID': '10690', 'value': '€1.50m'}, {'date': 'Jun 21, 2023', 'age': '28', 'clubName': 'Zorya Lugansk', 'clubID': '10690', 'value': '€1.00m'}, {'date': 'Dec 11, 2023', 'age': '29', 'clubName': 'Zorya Lugansk', 'clubID': '10690', 'value': '€900k'}, {'date': 'Jun 6, 2024', 'age': '29', 'clubName': 'Zorya Lugansk', 'clubID': '10690', 'value': '€600k'}, {'date': 'Jul 1, 2024', 'age': '29', 'clubName': 'Retired', 'clubID': '123', 'value': '-'}]}</t>
  </si>
  <si>
    <t>1994-08-01</t>
  </si>
  <si>
    <t>Morel</t>
  </si>
  <si>
    <t>{'marketValueHistory': [{'date': '10/03/2016', 'age': '19', 'clubName': 'HJK Helsinki', 'clubID': '1008', 'value': '€100k'}, {'date': '22/04/2016', 'age': '19', 'clubName': 'HJK Helsinki', 'clubID': '1008', 'value': '€350k'}, {'date': '09/07/2016', 'age': '20', 'clubName': 'HJK Helsinki', 'clubID': '1008', 'value': '€500k'}, {'date': '28/10/2016', 'age': '20', 'clubName': 'HJK Helsinki', 'clubID': '1008', 'value': '€500k'}, {'date': '25/03/2017', 'age': '20', 'clubName': 'HJK Helsinki', 'clubID': '1008', 'value': '€600k'}, {'date': '25/06/2017', 'age': '21', 'clubName': 'HJK Helsinki', 'clubID': '1008', 'value': '€1.00m'}, {'date': '04/03/2018', 'age': '21', 'clubName': 'Rangers FC', 'clubID': '124', 'value': '€1.75m'}, {'date': '08/08/2018', 'age': '22', 'clubName': 'Rangers FC', 'clubID': '124', 'value': '€2.25m'}, {'date': '03/01/2019', 'age': '22', 'clubName': 'Rangers FC', 'clubID': '124', 'value': '€3.00m'}, {'date': '20/08/2019', 'age': '23', 'clubName': 'Rangers FC', 'clubID': '124', 'value': '€7.50m'}, {'date': '05/02/2020', 'age': '23', 'clubName': 'Rangers FC', 'clubID': '124', 'value': '€15.00m'}, {'date': '08/04/2020', 'age': '23', 'clubName': 'Rangers FC', 'clubID': '124', 'value': '€12.00m'}, {'date': '21/07/2020', 'age': '24', 'clubName': 'Rangers FC', 'clubID': '124', 'value': '€15.00m'}, {'date': '18/01/2021', 'age': '24', 'clubName': 'Rangers FC', 'clubID': '124', 'value': '€12.00m'}, {'date': '11/06/2021', 'age': '24', 'clubName': 'Rangers FC', 'clubID': '124', 'value': '€12.00m'}, {'date': '31/12/2021', 'age': '25', 'clubName': 'Rangers FC', 'clubID': '124', 'value': '€13.00m'}, {'date': '27/06/2022', 'age': '26', 'clubName': 'Rangers FC', 'clubID': '124', 'value': '€13.00m'}, {'date': '13/12/2022', 'age': '26', 'clubName': 'Rangers FC', 'clubID': '124', 'value': '€10.00m'}, {'date': '22/03/2023', 'age': '26', 'clubName': 'Rangers FC', 'clubID': '124', 'value': '€7.00m'}, {'date': '26/06/2023', 'age': '27', 'clubName': 'Rangers FC', 'clubID': '124', 'value': '€6.00m'}, {'date': '11/12/2023', 'age': '27', 'clubName': 'Santos FC', 'clubID': '221', 'value': '€5.50m'}, {'date': '18/04/2024', 'age': '27', 'clubName': 'Santos FC', 'clubID': '221', 'value': '€4.00m'}, {'date': '23/09/2024', 'age': '28', 'clubName': 'Atlético Nacional', 'clubID': '8172', 'value': '€3.20m'}, {'date': '10/12/2024', 'age': '28', 'clubName': 'Atlético Nacional', 'clubID': '8172', 'value': '€2.00m'}, {'date': '07/04/2025', 'age': '28', 'clubName': 'Atlético Nacional', 'clubID': '8172', 'value': '€2.20m'}, {'date': '20/06/2025', 'age': '28', 'clubName': 'Atlético Nacional', 'clubID': '8172', 'value': '€1.80m'}, {'date': '15/09/2025', 'age': '29', 'clubName': 'Atlético Nacional', 'clubID': '8172', 'value': '€2.00m'}, {'date': '05/12/2025', 'age': '29', 'clubName': 'Atlético Nacional', 'clubID': '8172', 'value': '€2.20m'}]}</t>
  </si>
  <si>
    <t>1996-06-21</t>
  </si>
  <si>
    <t>Benatia</t>
  </si>
  <si>
    <t>{'marketValueHistory': [{'date': 'Jun 23, 2007', 'age': '20', 'clubName': 'Tours FC', 'clubID': '3161', 'value': '€100k'}, {'date': 'Dec 27, 2007', 'age': '20', 'clubName': 'FC Lorient', 'clubID': '1158', 'value': '€300k'}, {'date': 'May 5, 2008', 'age': '21', 'clubName': 'FC Lorient', 'clubID': '1158', 'value': '€100k'}, {'date': 'Dec 13, 2008', 'age': '21', 'clubName': 'Clermont Foot Auvergne 63', 'clubID': '3524', 'value': '€500k'}, {'date': 'Jun 3, 2009', 'age': '22', 'clubName': 'Clermont Foot Auvergne 63', 'clubID': '3524', 'value': '€900k'}, {'date': 'Jun 25, 2009', 'age': '22', 'clubName': 'Clermont Foot Auvergne 63', 'clubID': '3524', 'value': '€1.20m'}, {'date': 'Jan 10, 2011', 'age': '23', 'clubName': 'Udinese Calcio', 'clubID': '410', 'value': '€2.50m'}, {'date': 'Mar 18, 2011', 'age': '23', 'clubName': 'Udinese Calcio', 'clubID': '410', 'value': '€3.50m'}, {'date': 'Jun 21, 2011', 'age': '24', 'clubName': 'Udinese Calcio', 'clubID': '410', 'value': '€5.00m'}, {'date': 'Nov 14, 2011', 'age': '24', 'clubName': 'Udinese Calcio', 'clubID': '410', 'value': '€8.50m'}, {'date': 'Jan 11, 2012', 'age': '24', 'clubName': 'Udinese Calcio', 'clubID': '410', 'value': '€11.00m'}, {'date': 'Jun 8, 2012', 'age': '25', 'clubName': 'Udinese Calcio', 'clubID': '410', 'value': '€13.50m'}, {'date': 'Jan 15, 2013', 'age': '25', 'clubName': 'Udinese Calcio', 'clubID': '410', 'value': '€13.00m'}, {'date': 'Jun 19, 2013', 'age': '26', 'clubName': 'Udinese Calcio', 'clubID': '410', 'value': '€13.00m'}, {'date': 'Nov 11, 2013', 'age': '26', 'clubName': 'AS Roma', 'clubID': '12', 'value': '€16.00m'}, {'date': 'Jan 7, 2014', 'age': '26', 'clubName': 'AS Roma', 'clubID': '12', 'value': '€18.00m'}, {'date': 'Jul 1, 2014', 'age': '27', 'clubName': 'AS Roma', 'clubID': '12', 'value': '€28.00m'}, {'date': 'Feb 4, 2015', 'age': '27', 'clubName': 'Bayern Munich', 'clubID': '27', 'value': '€28.00m'}, {'date': 'Jul 1, 2015', 'age': '28', 'clubName': 'Bayern Munich', 'clubID': '27', 'value': '€26.00m'}, {'date': 'Feb 15, 2016', 'age': '28', 'clubName': 'Bayern Munich', 'clubID': '27', 'value': '€18.00m'}, {'date': 'Jul 15, 2016', 'age': '29', 'clubName': 'Juventus FC', 'clubID': '506', 'value': '€16.00m'}, {'date': 'Jan 2, 2017', 'age': '29', 'clubName': 'Juventus FC', 'clubID': '506', 'value': '€15.00m'}, {'date': 'Jun 8, 2017', 'age': '30', 'clubName': 'Juventus FC', 'clubID': '506', 'value': '€15.00m'}, {'date': 'Dec 29, 2017', 'age': '30', 'clubName': 'Juventus FC', 'clubID': '506', 'value': '€17.00m'}, {'date': 'Mar 24, 2018', 'age': '30', 'clubName': 'Juventus FC', 'clubID': '506', 'value': '€23.00m'}, {'date': 'Jun 7, 2018', 'age': '31', 'clubName': 'Juventus FC', 'clubID': '506', 'value': '€23.00m'}, {'date': 'Dec 20, 2018', 'age': '31', 'clubName': 'Juventus FC', 'clubID': '506', 'value': '€15.00m'}, {'date': 'May 3, 2019', 'age': '32', 'clubName': 'Al-Duhail SC', 'clubID': '26091', 'value': '€9.00m'}, {'date': 'Apr 4, 2020', 'age': '32', 'clubName': 'Al-Duhail SC', 'clubID': '26091', 'value': '€6.00m'}, {'date': 'Apr 8, 2020', 'age': '32', 'clubName': 'Al-Duhail SC', 'clubID': '26091', 'value': '€4.80m'}, {'date': 'Dec 31, 2020', 'age': '33', 'clubName': 'Al-Duhail SC', 'clubID': '26091', 'value': '€3.00m'}, {'date': 'Oct 12, 2021', 'age': '34', 'clubName': 'Fatih Karagümrük', 'clubID': '6646', 'value': '€2.50m'}, {'date': 'Dec 9, 2021', 'age': '34', 'clubName': 'Retired', 'clubID': '123', 'value': '-'}]}</t>
  </si>
  <si>
    <t>1987-04-17</t>
  </si>
  <si>
    <t>Di Santo</t>
  </si>
  <si>
    <t>{'marketValueHistory': [{'date': '17/07/2008', 'age': '19', 'clubName': 'Chelsea FC', 'clubID': '631', 'value': '€1.50m'}, {'date': '23/02/2009', 'age': '19', 'clubName': 'Chelsea FC', 'clubID': '631', 'value': '€2.30m'}, {'date': '24/01/2010', 'age': '20', 'clubName': 'Blackburn Rovers', 'clubID': '164', 'value': '€2.50m'}, {'date': '01/02/2011', 'age': '21', 'clubName': 'Wigan Athletic', 'clubID': '1071', 'value': '€2.50m'}, {'date': '08/08/2011', 'age': '22', 'clubName': 'Wigan Athletic', 'clubID': '1071', 'value': '€2.50m'}, {'date': '06/02/2012', 'age': '22', 'clubName': 'Wigan Athletic', 'clubID': '1071', 'value': '€2.50m'}, {'date': '24/06/2012', 'age': '23', 'clubName': 'Wigan Athletic', 'clubID': '1071', 'value': '€3.50m'}, {'date': '28/01/2013', 'age': '23', 'clubName': 'Wigan Athletic', 'clubID': '1071', 'value': '€3.50m'}, {'date': '02/07/2013', 'age': '24', 'clubName': 'Wigan Athletic', 'clubID': '1071', 'value': '€3.00m'}, {'date': '10/07/2014', 'age': '25', 'clubName': 'SV Werder Bremen', 'clubID': '86', 'value': '€3.50m'}, {'date': '03/11/2014', 'age': '25', 'clubName': 'SV Werder Bremen', 'clubID': '86', 'value': '€4.50m'}, {'date': '04/02/2015', 'age': '25', 'clubName': 'SV Werder Bremen', 'clubID': '86', 'value': '€5.00m'}, {'date': '29/03/2015', 'age': '25', 'clubName': 'SV Werder Bremen', 'clubID': '86', 'value': '€7.50m'}, {'date': '01/07/2015', 'age': '26', 'clubName': 'SV Werder Bremen', 'clubID': '86', 'value': '€8.50m'}, {'date': '15/02/2016', 'age': '26', 'clubName': 'FC Schalke 04', 'clubID': '33', 'value': '€6.00m'}, {'date': '13/04/2016', 'age': '27', 'clubName': 'FC Schalke 04', 'clubID': '33', 'value': '€4.50m'}, {'date': '22/07/2016', 'age': '27', 'clubName': 'FC Schalke 04', 'clubID': '33', 'value': '€3.50m'}, {'date': '07/02/2017', 'age': '27', 'clubName': 'FC Schalke 04', 'clubID': '33', 'value': '€3.00m'}, {'date': '19/06/2017', 'age': '28', 'clubName': 'FC Schalke 04', 'clubID': '33', 'value': '€2.50m'}, {'date': '28/12/2017', 'age': '28', 'clubName': 'FC Schalke 04', 'clubID': '33', 'value': '€2.50m'}, {'date': '05/06/2018', 'age': '29', 'clubName': 'FC Schalke 04', 'clubID': '33', 'value': '€2.50m'}, {'date': '18/12/2018', 'age': '29', 'clubName': 'FC Schalke 04', 'clubID': '33', 'value': '€2.50m'}, {'date': '11/06/2019', 'age': '30', 'clubName': 'Rayo Vallecano', 'clubID': '367', 'value': '€2.00m'}, {'date': '27/11/2019', 'age': '30', 'clubName': 'Clube Atlético Mineiro', 'clubID': '330', 'value': '€1.80m'}, {'date': '08/04/2020', 'age': '31', 'clubName': 'Clube Atlético Mineiro', 'clubID': '330', 'value': '€1.40m'}, {'date': '08/02/2021', 'age': '31', 'clubName': 'CA San Lorenzo de Almagro', 'clubID': '1775', 'value': '€750k'}, {'date': '11/06/2021', 'age': '32', 'clubName': 'CA San Lorenzo de Almagro', 'clubID': '1775', 'value': '€1.00m'}, {'date': '20/10/2021', 'age': '32', 'clubName': 'CA San Lorenzo de Almagro', 'clubID': '1775', 'value': '€1.00m'}, {'date': '31/03/2022', 'age': '32', 'clubName': 'Göztepe', 'clubID': '1467', 'value': '€750k'}, {'date': '01/06/2022', 'age': '33', 'clubName': 'Göztepe', 'clubID': '1467', 'value': '€400k'}, {'date': '31/10/2022', 'age': '33', 'clubName': 'Club Tijuana', 'clubID': '13353', 'value': '€400k'}, {'date': '04/04/2023', 'age': '33', 'clubName': 'CD Universidad Católica', 'clubID': '3277', 'value': '€400k'}, {'date': '20/07/2023', 'age': '34', 'clubName': 'CD Universidad Católica', 'clubID': '3277', 'value': '€350k'}, {'date': '13/12/2023', 'age': '34', 'clubName': 'CD Universidad Católica', 'clubID': '3277', 'value': '€250k'}, {'date': '11/04/2024', 'age': '35', 'clubName': 'Retired', 'clubID': '123', 'value': '-'}]}</t>
  </si>
  <si>
    <t>1989-04-07</t>
  </si>
  <si>
    <t>Mitrovic</t>
  </si>
  <si>
    <t>{'marketValueHistory': [{'date': 'Oct 2, 2012', 'age': '18', 'clubName': 'FK Partizan Belgrade', 'clubID': '669', 'value': '€800k'}, {'date': 'Apr 18, 2013', 'age': '18', 'clubName': 'FK Partizan Belgrade', 'clubID': '669', 'value': '€1.50m'}, {'date': 'Jul 2, 2013', 'age': '18', 'clubName': 'FK Partizan Belgrade', 'clubID': '669', 'value': '€3.00m'}, {'date': 'Sep 13, 2013', 'age': '18', 'clubName': 'RSC Anderlecht', 'clubID': '58', 'value': '€5.00m'}, {'date': 'Feb 10, 2014', 'age': '19', 'clubName': 'RSC Anderlecht', 'clubID': '58', 'value': '€7.50m'}, {'date': 'Jun 28, 2014', 'age': '19', 'clubName': 'RSC Anderlecht', 'clubID': '58', 'value': '€7.50m'}, {'date': 'Oct 5, 2014', 'age': '20', 'clubName': 'RSC Anderlecht', 'clubID': '58', 'value': '€8.50m'}, {'date': 'Jan 7, 2015', 'age': '20', 'clubName': 'RSC Anderlecht', 'clubID': '58', 'value': '€9.00m'}, {'date': 'Jun 24, 2015', 'age': '20', 'clubName': 'RSC Anderlecht', 'clubID': '58', 'value': '€11.00m'}, {'date': 'Oct 14, 2015', 'age': '21', 'clubName': 'Newcastle United', 'clubID': '762', 'value': '€14.00m'}, {'date': 'Feb 9, 2016', 'age': '21', 'clubName': 'Newcastle United', 'clubID': '762', 'value': '€14.00m'}, {'date': 'Sep 1, 2016', 'age': '21', 'clubName': 'Newcastle United', 'clubID': '762', 'value': '€12.00m'}, {'date': 'Feb 27, 2017', 'age': '22', 'clubName': 'Newcastle United', 'clubID': '762', 'value': '€10.00m'}, {'date': 'Jun 28, 2017', 'age': '22', 'clubName': 'Newcastle United', 'clubID': '762', 'value': '€10.00m'}, {'date': 'Jan 2, 2018', 'age': '23', 'clubName': 'Newcastle United', 'clubID': '762', 'value': '€8.00m'}, {'date': 'Jun 6, 2018', 'age': '23', 'clubName': 'Newcastle United', 'clubID': '762', 'value': '€15.00m'}, {'date': 'Aug 13, 2018', 'age': '23', 'clubName': 'Fulham FC', 'clubID': '931', 'value': '€18.00m'}, {'date': 'Oct 17, 2018', 'age': '24', 'clubName': 'Fulham FC', 'clubID': '931', 'value': '€25.00m'}, {'date': 'Dec 19, 2018', 'age': '24', 'clubName': 'Fulham FC', 'clubID': '931', 'value': '€25.00m'}, {'date': 'Jun 13, 2019', 'age': '24', 'clubName': 'Fulham FC', 'clubID': '931', 'value': '€25.00m'}, {'date': 'Feb 27, 2020', 'age': '25', 'clubName': 'Fulham FC', 'clubID': '931', 'value': '€25.00m'}, {'date': 'Apr 8, 2020', 'age': '25', 'clubName': 'Fulham FC', 'clubID': '931', 'value': '€20.00m'}, {'date': 'Oct 13, 2020', 'age': '26', 'clubName': 'Fulham FC', 'clubID': '931', 'value': '€22.00m'}, {'date': 'Mar 18, 2021', 'age': '26', 'clubName': 'Fulham FC', 'clubID': '931', 'value': '€18.00m'}, {'date': 'Jun 8, 2021', 'age': '26', 'clubName': 'Fulham FC', 'clubID': '931', 'value': '€16.00m'}, {'date': 'Nov 24, 2021', 'age': '27', 'clubName': 'Fulham FC', 'clubID': '931', 'value': '€18.00m'}, {'date': 'May 13, 2022', 'age': '27', 'clubName': 'Fulham FC', 'clubID': '931', 'value': '€20.00m'}, {'date': 'Sep 15, 2022', 'age': '27', 'clubName': 'Fulham FC', 'clubID': '931', 'value': '€25.00m'}, {'date': 'Nov 3, 2022', 'age': '28', 'clubName': 'Fulham FC', 'clubID': '931', 'value': '€28.00m'}, {'date': 'Jun 20, 2023', 'age': '28', 'clubName': 'Fulham FC', 'clubID': '931', 'value': '€28.00m'}, {'date': 'Dec 15, 2023', 'age': '29', 'clubName': 'Al-Hilal SFC', 'clubID': '1114', 'value': '€28.00m'}, {'date': 'Jun 4, 2024', 'age': '29', 'clubName': 'Al-Hilal SFC', 'clubID': '1114', 'value': '€28.00m'}, {'date': 'Dec 13, 2024', 'age': '30', 'clubName': 'Al-Hilal SFC', 'clubID': '1114', 'value': '€25.00m'}, {'date': 'May 27, 2025', 'age': '30', 'clubName': 'Al-Hilal SFC', 'clubID': '1114', 'value': '€18.00m'}, {'date': 'Dec 30, 2025', 'age': '31', 'clubName': 'Al-Rayyan SC', 'clubID': '3229', 'value': '€12.00m'}]}</t>
  </si>
  <si>
    <t>1994-09-16</t>
  </si>
  <si>
    <t>Diogo Leite</t>
  </si>
  <si>
    <t>{'marketValueHistory': [{'date': '08/09/2017', 'age': '18', 'clubName': 'FC Porto B', 'clubID': '10331', 'value': '€125k'}, {'date': '23/02/2018', 'age': '19', 'clubName': 'FC Porto B', 'clubID': '10331', 'value': '€250k'}, {'date': '29/06/2018', 'age': '19', 'clubName': 'FC Porto B', 'clubID': '10331', 'value': '€850k'}, {'date': '01/11/2018', 'age': '19', 'clubName': 'FC Porto B', 'clubID': '10331', 'value': '€6.00m'}, {'date': '11/01/2019', 'age': '19', 'clubName': 'FC Porto B', 'clubID': '10331', 'value': '€5.00m'}, {'date': '07/06/2019', 'age': '20', 'clubName': 'FC Porto B', 'clubID': '10331', 'value': '€5.00m'}, {'date': '30/12/2019', 'age': '20', 'clubName': 'FC Porto', 'clubID': '720', 'value': '€6.00m'}, {'date': '08/04/2020', 'age': '21', 'clubName': 'FC Porto', 'clubID': '720', 'value': '€5.40m'}, {'date': '17/08/2020', 'age': '21', 'clubName': 'FC Porto', 'clubID': '720', 'value': '€8.00m'}, {'date': '28/01/2021', 'age': '22', 'clubName': 'FC Porto', 'clubID': '720', 'value': '€10.00m'}, {'date': '21/05/2021', 'age': '22', 'clubName': 'FC Porto', 'clubID': '720', 'value': '€10.00m'}, {'date': '27/12/2021', 'age': '22', 'clubName': 'SC Braga', 'clubID': '1075', 'value': '€8.00m'}, {'date': '31/05/2022', 'age': '23', 'clubName': 'SC Braga', 'clubID': '1075', 'value': '€7.00m'}, {'date': '09/11/2022', 'age': '23', 'clubName': '1.FC Union Berlin', 'clubID': '89', 'value': '€9.00m'}, {'date': '29/03/2023', 'age': '24', 'clubName': '1.FC Union Berlin', 'clubID': '89', 'value': '€12.00m'}, {'date': '22/06/2023', 'age': '24', 'clubName': '1.FC Union Berlin', 'clubID': '89', 'value': '€15.00m'}, {'date': '14/12/2023', 'age': '24', 'clubName': '1.FC Union Berlin', 'clubID': '89', 'value': '€15.00m'}, {'date': '29/05/2024', 'age': '25', 'clubName': '1.FC Union Berlin', 'clubID': '89', 'value': '€15.00m'}, {'date': '20/12/2024', 'age': '25', 'clubName': '1.FC Union Berlin', 'clubID': '89', 'value': '€17.00m'}, {'date': '05/06/2025', 'age': '26', 'clubName': '1.FC Union Berlin', 'clubID': '89', 'value': '€17.00m'}, {'date': '14/10/2025', 'age': '26', 'clubName': '1.FC Union Berlin', 'clubID': '89', 'value': '€12.00m'}, {'date': '19/12/2025', 'age': '26', 'clubName': '1.FC Union Berlin', 'clubID': '89', 'value': '€12.00m'}]}</t>
  </si>
  <si>
    <t>1999-01-23</t>
  </si>
  <si>
    <t>Hubner</t>
  </si>
  <si>
    <t>{'marketValueHistory': [{'date': 'Apr 8, 2008', 'age': '35', 'clubName': 'Esporte Clube Vitória', 'clubID': '2125', 'value': '€200k'}, {'date': 'Jun 21, 2008', 'age': '35', 'clubName': 'Esporte Clube Vitória', 'clubID': '2125', 'value': '€300k'}, {'date': 'Aug 10, 2008', 'age': '36', 'clubName': 'Esporte Clube Vitória', 'clubID': '2125', 'value': '€450k'}, {'date': 'Jan 18, 2009', 'age': '36', 'clubName': 'Retired', 'clubID': '123', 'value': '-'}, {'date': 'Mar 21, 2009', 'age': '36', 'clubName': 'Esporte Clube Vitória', 'clubID': '2125', 'value': '€200k'}, {'date': 'Jan 18, 2011', 'age': '38', 'clubName': 'Joinville Esporte Clube (SC)', 'clubID': '3330', 'value': '-'}]}</t>
  </si>
  <si>
    <t>1972-06-30</t>
  </si>
  <si>
    <t>Barreca</t>
  </si>
  <si>
    <t>{'marketValueHistory': [{'date': '28/10/2012', 'age': '17', 'clubName': 'Torino Primavera', 'clubID': '12130', 'value': '€50k'}, {'date': '06/06/2013', 'age': '18', 'clubName': 'Torino Primavera', 'clubID': '12130', 'value': '€125k'}, {'date': '25/06/2014', 'age': '19', 'clubName': 'Torino Primavera', 'clubID': '12130', 'value': '€175k'}, {'date': '10/02/2015', 'age': '19', 'clubName': 'AS Cittadella', 'clubID': '4084', 'value': '€900k'}, {'date': '29/06/2015', 'age': '20', 'clubName': 'AS Cittadella', 'clubID': '4084', 'value': '€1.00m'}, {'date': '28/12/2015', 'age': '20', 'clubName': 'Cagliari Calcio', 'clubID': '1390', 'value': '€900k'}, {'date': '13/06/2016', 'age': '21', 'clubName': 'Cagliari Calcio', 'clubID': '1390', 'value': '€1.00m'}, {'date': '02/01/2017', 'age': '21', 'clubName': 'Torino FC', 'clubID': '416', 'value': '€3.00m'}, {'date': '08/06/2017', 'age': '22', 'clubName': 'Torino FC', 'clubID': '416', 'value': '€4.00m'}, {'date': '29/12/2017', 'age': '22', 'clubName': 'Torino FC', 'clubID': '416', 'value': '€4.00m'}, {'date': '07/06/2018', 'age': '23', 'clubName': 'Torino FC', 'clubID': '416', 'value': '€3.50m'}, {'date': '06/09/2018', 'age': '23', 'clubName': 'AS Monaco', 'clubID': '162', 'value': '€8.00m'}, {'date': '17/12/2018', 'age': '23', 'clubName': 'AS Monaco', 'clubID': '162', 'value': '€7.00m'}, {'date': '13/06/2019', 'age': '24', 'clubName': 'Newcastle United', 'clubID': '762', 'value': '€7.00m'}, {'date': '12/12/2019', 'age': '24', 'clubName': 'Genoa CFC', 'clubID': '252', 'value': '€4.00m'}, {'date': '08/04/2020', 'age': '25', 'clubName': 'Genoa CFC', 'clubID': '252', 'value': '€3.20m'}, {'date': '25/08/2020', 'age': '25', 'clubName': 'Genoa CFC', 'clubID': '252', 'value': '€3.00m'}, {'date': '29/12/2020', 'age': '25', 'clubName': 'ACF Fiorentina', 'clubID': '430', 'value': '€2.50m'}, {'date': '03/06/2021', 'age': '26', 'clubName': 'ACF Fiorentina', 'clubID': '430', 'value': '€2.00m'}, {'date': '29/12/2021', 'age': '26', 'clubName': 'US Lecce', 'clubID': '1005', 'value': '€1.80m'}, {'date': '06/06/2022', 'age': '27', 'clubName': 'US Lecce', 'clubID': '1005', 'value': '€1.50m'}, {'date': '22/12/2022', 'age': '27', 'clubName': 'Cagliari Calcio', 'clubID': '1390', 'value': '€1.20m'}, {'date': '12/06/2023', 'age': '28', 'clubName': 'Cagliari Calcio', 'clubID': '1390', 'value': '€800k'}, {'date': '27/12/2023', 'age': '28', 'clubName': 'UC Sampdoria', 'clubID': '1038', 'value': '€600k'}, {'date': '03/06/2024', 'age': '29', 'clubName': 'UC Sampdoria', 'clubID': '1038', 'value': '€500k'}, {'date': '23/12/2024', 'age': '29', 'clubName': 'UC Sampdoria', 'clubID': '1038', 'value': '€300k'}, {'date': '02/06/2025', 'age': '30', 'clubName': 'FC Südtirol', 'clubID': '4554', 'value': '€300k'}, {'date': '11/12/2025', 'age': '30', 'clubName': 'Calcio Padova', 'clubID': '3037', 'value': '€300k'}]}</t>
  </si>
  <si>
    <t>1995-03-18</t>
  </si>
  <si>
    <t>Vallejo</t>
  </si>
  <si>
    <t>{'marketValueHistory': [{'date': 'Jan 8, 2015', 'age': '18', 'clubName': 'Real Zaragoza', 'clubID': '142', 'value': '€400k'}, {'date': 'Apr 13, 2015', 'age': '18', 'clubName': 'Real Zaragoza', 'clubID': '142', 'value': '€1.00m'}, {'date': 'Jul 1, 2015', 'age': '18', 'clubName': 'Real Zaragoza', 'clubID': '142', 'value': '€2.00m'}, {'date': 'Feb 22, 2016', 'age': '19', 'clubName': 'Real Zaragoza', 'clubID': '142', 'value': '€3.00m'}, {'date': 'Jul 22, 2016', 'age': '19', 'clubName': 'Eintracht Frankfurt', 'clubID': '24', 'value': '€3.00m'}, {'date': 'Oct 13, 2016', 'age': '19', 'clubName': 'Eintracht Frankfurt', 'clubID': '24', 'value': '€4.00m'}, {'date': 'Feb 7, 2017', 'age': '20', 'clubName': 'Eintracht Frankfurt', 'clubID': '24', 'value': '€8.00m'}, {'date': 'Jun 19, 2017', 'age': '20', 'clubName': 'Eintracht Frankfurt', 'clubID': '24', 'value': '€8.00m'}, {'date': 'Aug 17, 2017', 'age': '20', 'clubName': 'Real Madrid', 'clubID': '418', 'value': '€15.00m'}, {'date': 'Jan 1, 2018', 'age': '20', 'clubName': 'Real Madrid', 'clubID': '418', 'value': '€15.00m'}, {'date': 'Mar 22, 2018', 'age': '21', 'clubName': 'Real Madrid', 'clubID': '418', 'value': '€12.00m'}, {'date': 'May 30, 2018', 'age': '21', 'clubName': 'Real Madrid', 'clubID': '418', 'value': '€12.00m'}, {'date': 'Dec 21, 2018', 'age': '21', 'clubName': 'Real Madrid', 'clubID': '418', 'value': '€10.00m'}, {'date': 'Jun 11, 2019', 'age': '22', 'clubName': 'Real Madrid', 'clubID': '418', 'value': '€10.00m'}, {'date': 'Dec 10, 2019', 'age': '22', 'clubName': 'Wolverhampton Wanderers', 'clubID': '543', 'value': '€10.00m'}, {'date': 'Mar 5, 2020', 'age': '23', 'clubName': 'Granada CF', 'clubID': '16795', 'value': '€7.50m'}, {'date': 'Apr 8, 2020', 'age': '23', 'clubName': 'Granada CF', 'clubID': '16795', 'value': '€6.00m'}, {'date': 'Oct 8, 2020', 'age': '23', 'clubName': 'Granada CF', 'clubID': '16795', 'value': '€6.00m'}, {'date': 'Jan 5, 2021', 'age': '24', 'clubName': 'Granada CF', 'clubID': '16795', 'value': '€5.00m'}, {'date': 'Jun 10, 2021', 'age': '24', 'clubName': 'Granada CF', 'clubID': '16795', 'value': '€5.00m'}, {'date': 'Dec 30, 2021', 'age': '24', 'clubName': 'Real Madrid', 'clubID': '418', 'value': '€3.00m'}, {'date': 'Jun 3, 2022', 'age': '25', 'clubName': 'Real Madrid', 'clubID': '418', 'value': '€3.00m'}, {'date': 'Nov 7, 2022', 'age': '25', 'clubName': 'Real Madrid', 'clubID': '418', 'value': '€2.50m'}, {'date': 'Mar 23, 2023', 'age': '26', 'clubName': 'Real Madrid', 'clubID': '418', 'value': '€2.00m'}, {'date': 'Jun 13, 2023', 'age': '26', 'clubName': 'Real Madrid', 'clubID': '418', 'value': '€2.00m'}, {'date': 'Dec 22, 2023', 'age': '26', 'clubName': 'Granada CF', 'clubID': '16795', 'value': '€1.50m'}, {'date': 'Jun 7, 2024', 'age': '27', 'clubName': 'Granada CF', 'clubID': '16795', 'value': '€1.00m'}, {'date': 'Dec 27, 2024', 'age': '27', 'clubName': 'Real Madrid', 'clubID': '418', 'value': '€1.00m'}, {'date': 'Jun 9, 2025', 'age': '28', 'clubName': 'Real Madrid', 'clubID': '418', 'value': '€1.00m'}, {'date': 'Dec 30, 2025', 'age': '28', 'clubName': 'Albacete Balompié', 'clubID': '1532', 'value': '€1.00m'}]}</t>
  </si>
  <si>
    <t>1997-01-05</t>
  </si>
  <si>
    <t>Murillo</t>
  </si>
  <si>
    <t>{'marketValueHistory': [{'date': '07/04/2023', 'age': '20', 'clubName': 'Sport Club Corinthians Paulista', 'clubID': '199', 'value': '€500k'}, {'date': '25/07/2023', 'age': '21', 'clubName': 'Sport Club Corinthians Paulista', 'clubID': '199', 'value': '€3.50m'}, {'date': '09/10/2023', 'age': '21', 'clubName': 'Nottingham Forest', 'clubID': '703', 'value': '€9.00m'}, {'date': '19/12/2023', 'age': '21', 'clubName': 'Nottingham Forest', 'clubID': '703', 'value': '€22.00m'}, {'date': '14/03/2024', 'age': '21', 'clubName': 'Nottingham Forest', 'clubID': '703', 'value': '€25.00m'}, {'date': '27/05/2024', 'age': '21', 'clubName': 'Nottingham Forest', 'clubID': '703', 'value': '€35.00m'}, {'date': '01/10/2024', 'age': '22', 'clubName': 'Nottingham Forest', 'clubID': '703', 'value': '€40.00m'}, {'date': '16/12/2024', 'age': '22', 'clubName': 'Nottingham Forest', 'clubID': '703', 'value': '€50.00m'}, {'date': '18/03/2025', 'age': '22', 'clubName': 'Nottingham Forest', 'clubID': '703', 'value': '€55.00m'}, {'date': '30/05/2025', 'age': '22', 'clubName': 'Nottingham Forest', 'clubID': '703', 'value': '€55.00m'}, {'date': '09/12/2025', 'age': '23', 'clubName': 'Nottingham Forest', 'clubID': '703', 'value': '€55.00m'}, {'date': '09/03/2026', 'age': '23', 'clubName': 'Nottingham Forest', 'clubID': '703', 'value': '€50.00m'}]}</t>
  </si>
  <si>
    <t>2002-07-04</t>
  </si>
  <si>
    <t>N'Doram</t>
  </si>
  <si>
    <t>{'marketValueHistory': [{'date': 'Aug 8, 2016', 'age': '20', 'clubName': 'AS Monaco', 'clubID': '162', 'value': '€150k'}, {'date': 'Nov 1, 2016', 'age': '20', 'clubName': 'AS Monaco', 'clubID': '162', 'value': '€600k'}, {'date': 'Jan 16, 2017', 'age': '20', 'clubName': 'AS Monaco', 'clubID': '162', 'value': '€1.00m'}, {'date': 'Jun 1, 2017', 'age': '21', 'clubName': 'AS Monaco', 'clubID': '162', 'value': '€1.00m'}, {'date': 'Jan 24, 2018', 'age': '22', 'clubName': 'AS Monaco', 'clubID': '162', 'value': '€4.00m'}, {'date': 'Jun 4, 2018', 'age': '22', 'clubName': 'AS Monaco', 'clubID': '162', 'value': '€6.00m'}, {'date': 'Dec 17, 2018', 'age': '22', 'clubName': 'AS Monaco', 'clubID': '162', 'value': '€5.00m'}, {'date': 'Jun 3, 2019', 'age': '23', 'clubName': 'AS Monaco', 'clubID': '162', 'value': '€4.00m'}, {'date': 'Dec 19, 2019', 'age': '23', 'clubName': 'FC Metz', 'clubID': '347', 'value': '€3.50m'}, {'date': 'Apr 8, 2020', 'age': '24', 'clubName': 'FC Metz', 'clubID': '347', 'value': '€2.80m'}, {'date': 'Oct 15, 2020', 'age': '24', 'clubName': 'FC Metz', 'clubID': '347', 'value': '€3.00m'}, {'date': 'Jun 4, 2021', 'age': '25', 'clubName': 'FC Metz', 'clubID': '347', 'value': '€2.50m'}, {'date': 'Dec 16, 2021', 'age': '25', 'clubName': 'FC Metz', 'clubID': '347', 'value': '€2.50m'}, {'date': 'May 30, 2022', 'age': '26', 'clubName': 'FC Metz', 'clubID': '347', 'value': '€2.00m'}, {'date': 'Oct 28, 2022', 'age': '26', 'clubName': 'FC Metz', 'clubID': '347', 'value': '€1.80m'}, {'date': 'Apr 6, 2023', 'age': '27', 'clubName': 'FC Metz', 'clubID': '347', 'value': '€1.50m'}, {'date': 'Jun 16, 2023', 'age': '27', 'clubName': 'FC Metz', 'clubID': '347', 'value': '€1.50m'}, {'date': 'Dec 18, 2023', 'age': '27', 'clubName': 'FC Metz', 'clubID': '347', 'value': '€1.50m'}, {'date': 'Jun 3, 2024', 'age': '28', 'clubName': 'FC Metz', 'clubID': '347', 'value': '€1.50m'}, {'date': 'Dec 13, 2024', 'age': '28', 'clubName': 'Al-Kholood Club', 'clubID': '91427', 'value': '€1.30m'}, {'date': 'May 27, 2025', 'age': '29', 'clubName': 'Al-Kholood Club', 'clubID': '91427', 'value': '€1.20m'}, {'date': 'Dec 18, 2025', 'age': '29', 'clubName': 'Al-Kholood Club', 'clubID': '91427', 'value': '€1.20m'}]}</t>
  </si>
  <si>
    <t>1996-01-22</t>
  </si>
  <si>
    <t>Hitz</t>
  </si>
  <si>
    <t>1940-08-17</t>
  </si>
  <si>
    <t>Cillessen</t>
  </si>
  <si>
    <t>{'marketValueHistory': [{'date': 'Aug 20, 2010', 'age': '21', 'clubName': 'NEC Nijmegen', 'clubID': '467', 'value': '€50k'}, {'date': 'Aug 25, 2010', 'age': '21', 'clubName': 'NEC Nijmegen', 'clubID': '467', 'value': '€75k'}, {'date': 'Jan 17, 2011', 'age': '21', 'clubName': 'NEC Nijmegen', 'clubID': '467', 'value': '€900k'}, {'date': 'Jun 22, 2011', 'age': '22', 'clubName': 'NEC Nijmegen', 'clubID': '467', 'value': '€1.25m'}, {'date': 'Sep 3, 2011', 'age': '22', 'clubName': 'Ajax Amsterdam', 'clubID': '610', 'value': '€3.00m'}, {'date': 'Jan 9, 2013', 'age': '23', 'clubName': 'Ajax Amsterdam', 'clubID': '610', 'value': '€2.50m'}, {'date': 'May 28, 2013', 'age': '24', 'clubName': 'Ajax Amsterdam', 'clubID': '610', 'value': '€2.75m'}, {'date': 'Feb 11, 2014', 'age': '24', 'clubName': 'Ajax Amsterdam', 'clubID': '610', 'value': '€5.00m'}, {'date': 'Aug 11, 2014', 'age': '25', 'clubName': 'Ajax Amsterdam', 'clubID': '610', 'value': '€8.00m'}, {'date': 'Feb 16, 2015', 'age': '25', 'clubName': 'Ajax Amsterdam', 'clubID': '610', 'value': '€8.00m'}, {'date': 'Jul 1, 2015', 'age': '26', 'clubName': 'Ajax Amsterdam', 'clubID': '610', 'value': '€11.00m'}, {'date': 'Feb 5, 2016', 'age': '26', 'clubName': 'Ajax Amsterdam', 'clubID': '610', 'value': '€12.00m'}, {'date': 'Jul 15, 2016', 'age': '27', 'clubName': 'Ajax Amsterdam', 'clubID': '610', 'value': '€12.00m'}, {'date': 'Jan 24, 2017', 'age': '27', 'clubName': 'FC Barcelona', 'clubID': '131', 'value': '€12.00m'}, {'date': 'Jun 5, 2017', 'age': '28', 'clubName': 'FC Barcelona', 'clubID': '131', 'value': '€9.00m'}, {'date': 'Jan 1, 2018', 'age': '28', 'clubName': 'FC Barcelona', 'clubID': '131', 'value': '€9.00m'}, {'date': 'May 30, 2018', 'age': '29', 'clubName': 'FC Barcelona', 'clubID': '131', 'value': '€9.00m'}, {'date': 'Jul 12, 2018', 'age': '29', 'clubName': 'FC Barcelona', 'clubID': '131', 'value': '€20.00m'}, {'date': 'Oct 31, 2018', 'age': '29', 'clubName': 'FC Barcelona', 'clubID': '131', 'value': '€18.00m'}, {'date': 'Dec 21, 2018', 'age': '29', 'clubName': 'FC Barcelona', 'clubID': '131', 'value': '€18.00m'}, {'date': 'Jun 11, 2019', 'age': '30', 'clubName': 'FC Barcelona', 'clubID': '131', 'value': '€18.00m'}, {'date': 'Dec 20, 2019', 'age': '30', 'clubName': 'Valencia CF', 'clubID': '1049', 'value': '€18.00m'}, {'date': 'Apr 8, 2020', 'age': '30', 'clubName': 'Valencia CF', 'clubID': '1049', 'value': '€14.50m'}, {'date': 'Jul 23, 2020', 'age': '31', 'clubName': 'Valencia CF', 'clubID': '1049', 'value': '€12.00m'}, {'date': 'Oct 8, 2020', 'age': '31', 'clubName': 'Valencia CF', 'clubID': '1049', 'value': '€10.00m'}, {'date': 'Jan 5, 2021', 'age': '31', 'clubName': 'Valencia CF', 'clubID': '1049', 'value': '€6.00m'}, {'date': 'Mar 19, 2021', 'age': '31', 'clubName': 'Valencia CF', 'clubID': '1049', 'value': '€5.00m'}, {'date': 'May 27, 2021', 'age': '32', 'clubName': 'Valencia CF', 'clubID': '1049', 'value': '€5.00m'}, {'date': 'Dec 30, 2021', 'age': '32', 'clubName': 'Valencia CF', 'clubID': '1049', 'value': '€4.00m'}, {'date': 'Jun 3, 2022', 'age': '33', 'clubName': 'Valencia CF', 'clubID': '1049', 'value': '€3.00m'}, {'date': 'Nov 11, 2022', 'age': '33', 'clubName': 'NEC Nijmegen', 'clubID': '467', 'value': '€3.00m'}, {'date': 'Jun 23, 2023', 'age': '34', 'clubName': 'NEC Nijmegen', 'clubID': '467', 'value': '€2.50m'}, {'date': 'Dec 15, 2023', 'age': '34', 'clubName': 'NEC Nijmegen', 'clubID': '467', 'value': '€1.50m'}, {'date': 'May 31, 2024', 'age': '35', 'clubName': 'NEC Nijmegen', 'clubID': '467', 'value': '€1.30m'}, {'date': 'Oct 11, 2024', 'age': '35', 'clubName': 'UD Las Palmas', 'clubID': '472', 'value': '€1.00m'}, {'date': 'Dec 27, 2024', 'age': '35', 'clubName': 'UD Las Palmas', 'clubID': '472', 'value': '€900k'}, {'date': 'Jun 9, 2025', 'age': '36', 'clubName': 'UD Las Palmas', 'clubID': '472', 'value': '€800k'}, {'date': 'Oct 2, 2025', 'age': '36', 'clubName': 'NEC Nijmegen', 'clubID': '467', 'value': '€500k'}, {'date': 'Dec 2, 2025', 'age': '36', 'clubName': 'NEC Nijmegen', 'clubID': '467', 'value': '€300k'}]}</t>
  </si>
  <si>
    <t>1989-04-22</t>
  </si>
  <si>
    <t>Domenech</t>
  </si>
  <si>
    <t>Gazzaniga</t>
  </si>
  <si>
    <t>{'marketValueHistory': [{'date': 'Sep 9, 2012', 'age': '20', 'clubName': 'Southampton FC', 'clubID': '180', 'value': '€3.00m'}, {'date': 'Jan 29, 2013', 'age': '21', 'clubName': 'Southampton FC', 'clubID': '180', 'value': '€3.50m'}, {'date': 'Jul 2, 2013', 'age': '21', 'clubName': 'Southampton FC', 'clubID': '180', 'value': '€2.00m'}, {'date': 'Jan 15, 2014', 'age': '22', 'clubName': 'Southampton FC', 'clubID': '180', 'value': '€2.00m'}, {'date': 'Aug 12, 2014', 'age': '22', 'clubName': 'Southampton FC', 'clubID': '180', 'value': '€2.00m'}, {'date': 'Feb 12, 2015', 'age': '23', 'clubName': 'Southampton FC', 'clubID': '180', 'value': '€1.50m'}, {'date': 'Jul 1, 2015', 'age': '23', 'clubName': 'Southampton FC', 'clubID': '180', 'value': '€1.00m'}, {'date': 'Feb 9, 2016', 'age': '24', 'clubName': 'Southampton FC', 'clubID': '180', 'value': '€1.00m'}, {'date': 'Aug 1, 2016', 'age': '24', 'clubName': 'Rayo Vallecano', 'clubID': '367', 'value': '€1.00m'}, {'date': 'Oct 27, 2016', 'age': '24', 'clubName': 'Rayo Vallecano', 'clubID': '367', 'value': '€800k'}, {'date': 'Jan 24, 2017', 'age': '25', 'clubName': 'Rayo Vallecano', 'clubID': '367', 'value': '€800k'}, {'date': 'Jun 29, 2017', 'age': '25', 'clubName': 'Rayo Vallecano', 'clubID': '367', 'value': '€1.00m'}, {'date': 'Jan 2, 2018', 'age': '26', 'clubName': 'Tottenham Hotspur', 'clubID': '148', 'value': '€1.00m'}, {'date': 'May 28, 2018', 'age': '26', 'clubName': 'Tottenham Hotspur', 'clubID': '148', 'value': '€1.00m'}, {'date': 'Dec 19, 2018', 'age': '26', 'clubName': 'Tottenham Hotspur', 'clubID': '148', 'value': '€2.00m'}, {'date': 'Jun 13, 2019', 'age': '27', 'clubName': 'Tottenham Hotspur', 'clubID': '148', 'value': '€2.00m'}, {'date': 'Dec 10, 2019', 'age': '27', 'clubName': 'Tottenham Hotspur', 'clubID': '148', 'value': '€3.50m'}, {'date': 'Apr 8, 2020', 'age': '28', 'clubName': 'Tottenham Hotspur', 'clubID': '148', 'value': '€2.80m'}, {'date': 'Oct 13, 2020', 'age': '28', 'clubName': 'Tottenham Hotspur', 'clubID': '148', 'value': '€4.00m'}, {'date': 'Jun 10, 2021', 'age': '29', 'clubName': 'Elche CF', 'clubID': '1531', 'value': '€3.00m'}, {'date': 'Nov 24, 2021', 'age': '29', 'clubName': 'Fulham FC', 'clubID': '931', 'value': '€3.00m'}, {'date': 'May 13, 2022', 'age': '30', 'clubName': 'Fulham FC', 'clubID': '931', 'value': '€2.00m'}, {'date': 'Nov 7, 2022', 'age': '30', 'clubName': 'Girona FC', 'clubID': '12321', 'value': '€2.50m'}, {'date': 'Jun 13, 2023', 'age': '31', 'clubName': 'Girona FC', 'clubID': '12321', 'value': '€3.00m'}, {'date': 'Dec 22, 2023', 'age': '31', 'clubName': 'Girona FC', 'clubID': '12321', 'value': '€4.00m'}, {'date': 'Jun 7, 2024', 'age': '32', 'clubName': 'Girona FC', 'clubID': '12321', 'value': '€4.00m'}, {'date': 'Dec 27, 2024', 'age': '32', 'clubName': 'Girona FC', 'clubID': '12321', 'value': '€3.50m'}, {'date': 'Jun 9, 2025', 'age': '33', 'clubName': 'Girona FC', 'clubID': '12321', 'value': '€2.50m'}, {'date': 'Dec 12, 2025', 'age': '33', 'clubName': 'Girona FC', 'clubID': '12321', 'value': '€2.00m'}]}</t>
  </si>
  <si>
    <t>1992-01-02</t>
  </si>
  <si>
    <t>Pomazun</t>
  </si>
  <si>
    <t>{'marketValueHistory': [{'date': '25/08/2015', 'age': '19', 'clubName': 'CSKA Moscow II', 'clubID': '11755', 'value': '€175k'}, {'date': '02/12/2016', 'age': '20', 'clubName': 'CSKA Moscow II', 'clubID': '11755', 'value': '€100k'}, {'date': '01/06/2017', 'age': '20', 'clubName': 'CSKA Moscow II', 'clubID': '11755', 'value': '€100k'}, {'date': '02/10/2017', 'age': '21', 'clubName': 'CSKA Moscow', 'clubID': '2410', 'value': '€300k'}, {'date': '23/12/2017', 'age': '21', 'clubName': 'CSKA Moscow', 'clubID': '2410', 'value': '€300k'}, {'date': '06/06/2018', 'age': '21', 'clubName': 'CSKA Moscow', 'clubID': '2410', 'value': '€300k'}, {'date': '15/10/2018', 'age': '22', 'clubName': 'CSKA Moscow', 'clubID': '2410', 'value': '€400k'}, {'date': '20/12/2018', 'age': '22', 'clubName': 'CSKA Moscow', 'clubID': '2410', 'value': '€400k'}, {'date': '14/06/2019', 'age': '22', 'clubName': 'CSKA Moscow', 'clubID': '2410', 'value': '€400k'}, {'date': '23/12/2019', 'age': '23', 'clubName': 'CSKA Moscow', 'clubID': '2410', 'value': '€500k'}, {'date': '08/04/2020', 'age': '23', 'clubName': 'CSKA Moscow', 'clubID': '2410', 'value': '€400k'}, {'date': '29/07/2020', 'age': '23', 'clubName': 'CSKA Moscow', 'clubID': '2410', 'value': '€400k'}, {'date': '19/10/2020', 'age': '24', 'clubName': 'Ural Yekaterinburg', 'clubID': '11127', 'value': '€1.20m'}, {'date': '29/12/2020', 'age': '24', 'clubName': 'Ural Yekaterinburg', 'clubID': '11127', 'value': '€1.50m'}, {'date': '02/06/2021', 'age': '24', 'clubName': 'CSKA Moscow', 'clubID': '2410', 'value': '€1.50m'}, {'date': '29/12/2021', 'age': '25', 'clubName': 'Ural Yekaterinburg', 'clubID': '11127', 'value': '€1.80m'}, {'date': '02/06/2022', 'age': '25', 'clubName': 'Ural Yekaterinburg', 'clubID': '11127', 'value': '€1.80m'}, {'date': '21/11/2022', 'age': '26', 'clubName': 'Ural Yekaterinburg', 'clubID': '11127', 'value': '€1.80m'}, {'date': '14/06/2023', 'age': '26', 'clubName': 'Ural Yekaterinburg', 'clubID': '11127', 'value': '€2.00m'}, {'date': '05/10/2023', 'age': '27', 'clubName': 'Ural Yekaterinburg', 'clubID': '11127', 'value': '€2.50m'}, {'date': '13/12/2023', 'age': '27', 'clubName': 'Ural Yekaterinburg', 'clubID': '11127', 'value': '€2.50m'}, {'date': '04/06/2024', 'age': '27', 'clubName': 'Ural Yekaterinburg', 'clubID': '11127', 'value': '€2.00m'}, {'date': '18/09/2024', 'age': '28', 'clubName': 'CSKA Moscow', 'clubID': '2410', 'value': '€1.50m'}, {'date': '12/12/2024', 'age': '28', 'clubName': 'CSKA Moscow', 'clubID': '2410', 'value': '€1.20m'}, {'date': '04/06/2025', 'age': '28', 'clubName': 'Spartak Moscow', 'clubID': '232', 'value': '€1.20m'}, {'date': '16/12/2025', 'age': '29', 'clubName': 'Spartak Moscow', 'clubID': '232', 'value': '€1.00m'}]}</t>
  </si>
  <si>
    <t>1996-08-16</t>
  </si>
  <si>
    <t>Romero</t>
  </si>
  <si>
    <t>{'marketValueHistory': [{'date': 'Feb 6, 2016', 'age': '17', 'clubName': 'CA Belgrano II', 'clubID': '61444', 'value': '€150k'}, {'date': 'Feb 13, 2017', 'age': '18', 'clubName': 'Club Atlético Belgrano', 'clubID': '2417', 'value': '€2.00m'}, {'date': 'Oct 9, 2017', 'age': '19', 'clubName': 'Club Atlético Belgrano', 'clubID': '2417', 'value': '€1.00m'}, {'date': 'May 8, 2018', 'age': '20', 'clubName': 'Club Atlético Belgrano', 'clubID': '2417', 'value': '€750k'}, {'date': 'Dec 20, 2018', 'age': '20', 'clubName': 'Genoa CFC', 'clubID': '252', 'value': '€4.00m'}, {'date': 'Mar 1, 2019', 'age': '20', 'clubName': 'Genoa CFC', 'clubID': '252', 'value': '€15.00m'}, {'date': 'Jun 6, 2019', 'age': '21', 'clubName': 'Genoa CFC', 'clubID': '252', 'value': '€15.00m'}, {'date': 'Dec 12, 2019', 'age': '21', 'clubName': 'Genoa CFC', 'clubID': '252', 'value': '€15.00m'}, {'date': 'Apr 8, 2020', 'age': '21', 'clubName': 'Genoa CFC', 'clubID': '252', 'value': '€13.50m'}, {'date': 'Aug 25, 2020', 'age': '22', 'clubName': 'Genoa CFC', 'clubID': '252', 'value': '€14.00m'}, {'date': 'Dec 29, 2020', 'age': '22', 'clubName': 'Atalanta BC', 'clubID': '800', 'value': '€15.00m'}, {'date': 'Mar 23, 2021', 'age': '22', 'clubName': 'Atalanta BC', 'clubID': '800', 'value': '€25.00m'}, {'date': 'Jun 3, 2021', 'age': '23', 'clubName': 'Atalanta BC', 'clubID': '800', 'value': '€30.00m'}, {'date': 'Jul 16, 2021', 'age': '23', 'clubName': 'Atalanta BC', 'clubID': '800', 'value': '€35.00m'}, {'date': 'Dec 23, 2021', 'age': '23', 'clubName': 'Tottenham Hotspur', 'clubID': '148', 'value': '€35.00m'}, {'date': 'Mar 29, 2022', 'age': '23', 'clubName': 'Tottenham Hotspur', 'clubID': '148', 'value': '€40.00m'}, {'date': 'Jun 15, 2022', 'age': '24', 'clubName': 'Tottenham Hotspur', 'clubID': '148', 'value': '€48.00m'}, {'date': 'Sep 15, 2022', 'age': '24', 'clubName': 'Tottenham Hotspur', 'clubID': '148', 'value': '€55.00m'}, {'date': 'Nov 3, 2022', 'age': '24', 'clubName': 'Tottenham Hotspur', 'clubID': '148', 'value': '€55.00m'}, {'date': 'Dec 23, 2022', 'age': '24', 'clubName': 'Tottenham Hotspur', 'clubID': '148', 'value': '€60.00m'}, {'date': 'Jun 20, 2023', 'age': '25', 'clubName': 'Tottenham Hotspur', 'clubID': '148', 'value': '€60.00m'}, {'date': 'Dec 19, 2023', 'age': '25', 'clubName': 'Tottenham Hotspur', 'clubID': '148', 'value': '€65.00m'}, {'date': 'Mar 14, 2024', 'age': '25', 'clubName': 'Tottenham Hotspur', 'clubID': '148', 'value': '€60.00m'}, {'date': 'May 27, 2024', 'age': '26', 'clubName': 'Tottenham Hotspur', 'clubID': '148', 'value': '€60.00m'}, {'date': 'Jul 19, 2024', 'age': '26', 'clubName': 'Tottenham Hotspur', 'clubID': '148', 'value': '€65.00m'}, {'date': 'Dec 16, 2024', 'age': '26', 'clubName': 'Tottenham Hotspur', 'clubID': '148', 'value': '€65.00m'}, {'date': 'Mar 18, 2025', 'age': '26', 'clubName': 'Tottenham Hotspur', 'clubID': '148', 'value': '€55.00m'}, {'date': 'May 30, 2025', 'age': '27', 'clubName': 'Tottenham Hotspur', 'clubID': '148', 'value': '€50.00m'}, {'date': 'Oct 17, 2025', 'age': '27', 'clubName': 'Tottenham Hotspur', 'clubID': '148', 'value': '€55.00m'}, {'date': 'Dec 9, 2025', 'age': '27', 'clubName': 'Tottenham Hotspur', 'clubID': '148', 'value': '€60.00m'}, {'date': 'Mar 9, 2026', 'age': '27', 'clubName': 'Tottenham Hotspur', 'clubID': '148', 'value': '€50.00m'}]}</t>
  </si>
  <si>
    <t>1998-04-27</t>
  </si>
  <si>
    <t>Gelson Martins</t>
  </si>
  <si>
    <t>{'marketValueHistory': [{'date': '01/07/2015', 'age': '20', 'clubName': 'Sporting CP', 'clubID': '336', 'value': '€800k'}, {'date': '07/10/2015', 'age': '20', 'clubName': 'Sporting CP', 'clubID': '336', 'value': '€2.00m'}, {'date': '24/02/2016', 'age': '20', 'clubName': 'Sporting CP', 'clubID': '336', 'value': '€5.00m'}, {'date': '29/07/2016', 'age': '21', 'clubName': 'Sporting CP', 'clubID': '336', 'value': '€6.00m'}, {'date': '31/10/2016', 'age': '21', 'clubName': 'Sporting CP', 'clubID': '336', 'value': '€12.00m'}, {'date': '22/02/2017', 'age': '21', 'clubName': 'Sporting CP', 'clubID': '336', 'value': '€15.00m'}, {'date': '26/06/2017', 'age': '22', 'clubName': 'Sporting CP', 'clubID': '336', 'value': '€20.00m'}, {'date': '07/02/2018', 'age': '22', 'clubName': 'Sporting CP', 'clubID': '336', 'value': '€30.00m'}, {'date': '13/06/2018', 'age': '23', 'clubName': 'Sporting CP', 'clubID': '336', 'value': '€35.00m'}, {'date': '31/10/2018', 'age': '23', 'clubName': 'Atlético de Madrid', 'clubID': '13', 'value': '€30.00m'}, {'date': '21/12/2018', 'age': '23', 'clubName': 'Atlético de Madrid', 'clubID': '13', 'value': '€20.00m'}, {'date': '07/03/2019', 'age': '23', 'clubName': 'AS Monaco', 'clubID': '162', 'value': '€28.00m'}, {'date': '03/06/2019', 'age': '24', 'clubName': 'AS Monaco', 'clubID': '162', 'value': '€28.00m'}, {'date': '19/12/2019', 'age': '24', 'clubName': 'AS Monaco', 'clubID': '162', 'value': '€25.00m'}, {'date': '08/04/2020', 'age': '24', 'clubName': 'AS Monaco', 'clubID': '162', 'value': '€20.00m'}, {'date': '12/10/2020', 'age': '25', 'clubName': 'AS Monaco', 'clubID': '162', 'value': '€20.00m'}, {'date': '04/06/2021', 'age': '26', 'clubName': 'AS Monaco', 'clubID': '162', 'value': '€18.00m'}, {'date': '16/12/2021', 'age': '26', 'clubName': 'AS Monaco', 'clubID': '162', 'value': '€18.00m'}, {'date': '30/05/2022', 'age': '27', 'clubName': 'AS Monaco', 'clubID': '162', 'value': '€15.00m'}, {'date': '19/09/2022', 'age': '27', 'clubName': 'AS Monaco', 'clubID': '162', 'value': '€13.00m'}, {'date': '02/11/2022', 'age': '27', 'clubName': 'AS Monaco', 'clubID': '162', 'value': '€10.00m'}, {'date': '27/03/2023', 'age': '27', 'clubName': 'AS Monaco', 'clubID': '162', 'value': '€8.00m'}, {'date': '27/06/2023', 'age': '28', 'clubName': 'AS Monaco', 'clubID': '162', 'value': '€5.00m'}, {'date': '16/10/2023', 'age': '28', 'clubName': 'AS Monaco', 'clubID': '162', 'value': '€3.00m'}, {'date': '18/12/2023', 'age': '28', 'clubName': 'AS Monaco', 'clubID': '162', 'value': '€2.50m'}, {'date': '30/05/2024', 'age': '29', 'clubName': 'Olympiacos Piraeus', 'clubID': '683', 'value': '€2.50m'}, {'date': '18/12/2024', 'age': '29', 'clubName': 'Olympiacos Piraeus', 'clubID': '683', 'value': '€3.00m'}, {'date': '23/05/2025', 'age': '30', 'clubName': 'Olympiacos Piraeus', 'clubID': '683', 'value': '€3.00m'}, {'date': '12/12/2025', 'age': '30', 'clubName': 'Olympiacos Piraeus', 'clubID': '683', 'value': '€2.50m'}]}</t>
  </si>
  <si>
    <t>1995-05-11</t>
  </si>
  <si>
    <t>Philipp</t>
  </si>
  <si>
    <t>Teuchert</t>
  </si>
  <si>
    <t>{'marketValueHistory': [{'date': 'Nov 7, 2014', 'age': '17', 'clubName': '1.FC Nürnberg U19', 'clubID': '2613', 'value': '€300k'}, {'date': 'Mar 5, 2015', 'age': '18', 'clubName': '1.FC Nürnberg U19', 'clubID': '2613', 'value': '€300k'}, {'date': 'Jul 1, 2015', 'age': '18', 'clubName': '1.FC Nuremberg', 'clubID': '4', 'value': '€300k'}, {'date': 'Oct 22, 2015', 'age': '18', 'clubName': '1.FC Nuremberg', 'clubID': '4', 'value': '€200k'}, {'date': 'Feb 11, 2016', 'age': '19', 'clubName': '1.FC Nuremberg', 'clubID': '4', 'value': '€200k'}, {'date': 'Jul 22, 2016', 'age': '19', 'clubName': '1.FC Nuremberg', 'clubID': '4', 'value': '€250k'}, {'date': 'Jan 23, 2017', 'age': '20', 'clubName': '1.FC Nuremberg', 'clubID': '4', 'value': '€400k'}, {'date': 'Jun 27, 2017', 'age': '20', 'clubName': '1.FC Nuremberg', 'clubID': '4', 'value': '€500k'}, {'date': 'Oct 17, 2017', 'age': '20', 'clubName': '1.FC Nuremberg', 'clubID': '4', 'value': '€800k'}, {'date': 'Jan 22, 2018', 'age': '21', 'clubName': 'FC Schalke 04', 'clubID': '33', 'value': '€1.50m'}, {'date': 'Jun 5, 2018', 'age': '21', 'clubName': 'FC Schalke 04', 'clubID': '33', 'value': '€1.50m'}, {'date': 'Dec 18, 2018', 'age': '21', 'clubName': 'FC Schalke 04', 'clubID': '33', 'value': '€2.00m'}, {'date': 'Jun 5, 2019', 'age': '22', 'clubName': 'FC Schalke 04', 'clubID': '33', 'value': '€1.50m'}, {'date': 'Dec 13, 2019', 'age': '22', 'clubName': 'Hannover 96', 'clubID': '42', 'value': '€1.50m'}, {'date': 'Apr 8, 2020', 'age': '23', 'clubName': 'Hannover 96', 'clubID': '42', 'value': '€1.20m'}, {'date': 'Feb 10, 2021', 'age': '24', 'clubName': '1.FC Union Berlin', 'clubID': '89', 'value': '€1.70m'}, {'date': 'Jun 9, 2021', 'age': '24', 'clubName': '1.FC Union Berlin', 'clubID': '89', 'value': '€1.70m'}, {'date': 'Dec 22, 2021', 'age': '24', 'clubName': '1.FC Union Berlin', 'clubID': '89', 'value': '€1.50m'}, {'date': 'Mar 23, 2022', 'age': '25', 'clubName': 'Hannover 96', 'clubID': '42', 'value': '€1.00m'}, {'date': 'Jun 16, 2022', 'age': '25', 'clubName': 'Hannover 96', 'clubID': '42', 'value': '€900k'}, {'date': 'Nov 30, 2022', 'age': '25', 'clubName': 'Hannover 96', 'clubID': '42', 'value': '€1.50m'}, {'date': 'Jun 28, 2023', 'age': '26', 'clubName': 'Hannover 96', 'clubID': '42', 'value': '€1.80m'}, {'date': 'Oct 20, 2023', 'age': '26', 'clubName': 'Hannover 96', 'clubID': '42', 'value': '€2.00m'}, {'date': 'Dec 15, 2023', 'age': '26', 'clubName': 'Hannover 96', 'clubID': '42', 'value': '€2.00m'}, {'date': 'Jun 6, 2024', 'age': '27', 'clubName': 'Hannover 96', 'clubID': '42', 'value': '€2.00m'}, {'date': 'Sep 26, 2024', 'age': '27', 'clubName': 'St. Louis CITY SC', 'clubID': '82686', 'value': '€3.00m'}, {'date': 'Dec 12, 2024', 'age': '27', 'clubName': 'St. Louis CITY SC', 'clubID': '82686', 'value': '€3.50m'}, {'date': 'Jun 5, 2025', 'age': '28', 'clubName': 'St. Louis CITY SC', 'clubID': '82686', 'value': '€3.50m'}, {'date': 'Sep 12, 2025', 'age': '28', 'clubName': 'St. Louis CITY SC', 'clubID': '82686', 'value': '€3.00m'}, {'date': 'Dec 11, 2025', 'age': '28', 'clubName': 'St. Louis CITY SC', 'clubID': '82686', 'value': '€2.50m'}]}</t>
  </si>
  <si>
    <t>1997-01-14</t>
  </si>
  <si>
    <t>Wellington Nem</t>
  </si>
  <si>
    <t>{'marketValueHistory': [{'date': '18/03/2011', 'age': '19', 'clubName': 'Fluminense Football Club', 'clubID': '2462', 'value': '€150k'}, {'date': '30/05/2011', 'age': '19', 'clubName': 'Figueirense Futebol Clube', 'clubID': '4064', 'value': '€300k'}, {'date': '08/12/2011', 'age': '19', 'clubName': 'Figueirense Futebol Clube', 'clubID': '4064', 'value': '€1.00m'}, {'date': '24/05/2012', 'age': '20', 'clubName': 'Fluminense Football Club', 'clubID': '2462', 'value': '€2.50m'}, {'date': '29/07/2012', 'age': '20', 'clubName': 'Fluminense Football Club', 'clubID': '2462', 'value': '€3.00m'}, {'date': '05/12/2012', 'age': '20', 'clubName': 'Fluminense Football Club', 'clubID': '2462', 'value': '€5.00m'}, {'date': '06/12/2012', 'age': '20', 'clubName': 'Fluminense Football Club', 'clubID': '2462', 'value': '€8.00m'}, {'date': '30/06/2014', 'age': '22', 'clubName': 'Shakhtar Donetsk', 'clubID': '660', 'value': '€7.00m'}, {'date': '25/12/2014', 'age': '22', 'clubName': 'Shakhtar Donetsk', 'clubID': '660', 'value': '€5.00m'}, {'date': '07/06/2015', 'age': '23', 'clubName': 'Shakhtar Donetsk', 'clubID': '660', 'value': '€5.00m'}, {'date': '18/12/2015', 'age': '23', 'clubName': 'Shakhtar Donetsk', 'clubID': '660', 'value': '€3.50m'}, {'date': '21/07/2016', 'age': '24', 'clubName': 'Shakhtar Donetsk', 'clubID': '660', 'value': '€3.50m'}, {'date': '03/01/2017', 'age': '24', 'clubName': 'São Paulo Futebol Clube', 'clubID': '585', 'value': '€2.50m'}, {'date': '07/12/2017', 'age': '25', 'clubName': 'São Paulo Futebol Clube', 'clubID': '585', 'value': '€2.00m'}, {'date': '06/08/2018', 'age': '26', 'clubName': 'Shakhtar Donetsk', 'clubID': '660', 'value': '€1.50m'}, {'date': '22/03/2019', 'age': '27', 'clubName': 'Shakhtar Donetsk', 'clubID': '660', 'value': '€1.50m'}, {'date': '20/06/2019', 'age': '27', 'clubName': 'Shakhtar Donetsk', 'clubID': '660', 'value': '€1.50m'}, {'date': '27/11/2019', 'age': '27', 'clubName': 'Fluminense Football Club', 'clubID': '2462', 'value': '€1.40m'}, {'date': '08/04/2020', 'age': '28', 'clubName': 'Shakhtar Donetsk', 'clubID': '660', 'value': '€1.10m'}, {'date': '05/09/2020', 'age': '28', 'clubName': 'Without Club', 'clubID': '515', 'value': '€800k'}, {'date': '28/05/2021', 'age': '29', 'clubName': 'Fortaleza Esporte Clube', 'clubID': '10870', 'value': '€800k'}, {'date': '12/08/2021', 'age': '29', 'clubName': 'Cruzeiro Esporte Clube', 'clubID': '609', 'value': '€800k'}, {'date': '03/12/2021', 'age': '29', 'clubName': 'Cruzeiro Esporte Clube', 'clubID': '609', 'value': '€650k'}, {'date': '31/05/2022', 'age': '30', 'clubName': 'FC Arouca', 'clubID': '8024', 'value': '€650k'}, {'date': '07/10/2022', 'age': '30', 'clubName': 'Without Club', 'clubID': '515', 'value': '€500k'}, {'date': '18/07/2023', 'age': '31', 'clubName': 'Esporte Clube Vitória', 'clubID': '2125', 'value': '€500k'}, {'date': '27/11/2023', 'age': '31', 'clubName': 'Esporte Clube Vitória', 'clubID': '2125', 'value': '€500k'}, {'date': '23/05/2024', 'age': '32', 'clubName': 'Kisvárda FC', 'clubID': '30613', 'value': '€400k'}, {'date': '17/01/2025', 'age': '32', 'clubName': 'Becamex Binh Duong FC', 'clubID': '10756', 'value': '€300k'}, {'date': '08/02/2025', 'age': '33', 'clubName': 'Figueirense Futebol Clube', 'clubID': '4064', 'value': '-'}]}</t>
  </si>
  <si>
    <t>Vossen</t>
  </si>
  <si>
    <t>1968-04-21</t>
  </si>
  <si>
    <t>Umtiti</t>
  </si>
  <si>
    <t>{'marketValueHistory': [{'date': '08/08/2011', 'age': '17', 'clubName': 'Olympique Lyon B', 'clubID': '12764', 'value': '€150k'}, {'date': '24/12/2011', 'age': '18', 'clubName': 'Olympique Lyon B', 'clubID': '12764', 'value': '€150k'}, {'date': '06/02/2012', 'age': '18', 'clubName': 'Olympique Lyon', 'clubID': '1041', 'value': '€750k'}, {'date': '23/05/2012', 'age': '18', 'clubName': 'Olympique Lyon', 'clubID': '1041', 'value': '€1.75m'}, {'date': '25/07/2012', 'age': '18', 'clubName': 'Olympique Lyon', 'clubID': '1041', 'value': '€2.50m'}, {'date': '07/01/2013', 'age': '19', 'clubName': 'Olympique Lyon', 'clubID': '1041', 'value': '€3.50m'}, {'date': '19/01/2013', 'age': '19', 'clubName': 'Olympique Lyon', 'clubID': '1041', 'value': '€5.00m'}, {'date': '30/05/2013', 'age': '19', 'clubName': 'Olympique Lyon', 'clubID': '1041', 'value': '€8.00m'}, {'date': '14/01/2014', 'age': '20', 'clubName': 'Olympique Lyon', 'clubID': '1041', 'value': '€8.00m'}, {'date': '07/08/2014', 'age': '20', 'clubName': 'Olympique Lyon', 'clubID': '1041', 'value': '€9.00m'}, {'date': '14/01/2015', 'age': '21', 'clubName': 'Olympique Lyon', 'clubID': '1041', 'value': '€10.00m'}, {'date': '06/06/2015', 'age': '21', 'clubName': 'Olympique Lyon', 'clubID': '1041', 'value': '€12.00m'}, {'date': '04/02/2016', 'age': '22', 'clubName': 'Olympique Lyon', 'clubID': '1041', 'value': '€12.00m'}, {'date': '01/06/2016', 'age': '22', 'clubName': 'Olympique Lyon', 'clubID': '1041', 'value': '€15.00m'}, {'date': '15/07/2016', 'age': '22', 'clubName': 'FC Barcelona', 'clubID': '131', 'value': '€25.00m'}, {'date': '24/01/2017', 'age': '23', 'clubName': 'FC Barcelona', 'clubID': '131', 'value': '€25.00m'}, {'date': '29/03/2017', 'age': '23', 'clubName': 'FC Barcelona', 'clubID': '131', 'value': '€28.00m'}, {'date': '05/06/2017', 'age': '23', 'clubName': 'FC Barcelona', 'clubID': '131', 'value': '€30.00m'}, {'date': '01/01/2018', 'age': '24', 'clubName': 'FC Barcelona', 'clubID': '131', 'value': '€40.00m'}, {'date': '22/03/2018', 'age': '24', 'clubName': 'FC Barcelona', 'clubID': '131', 'value': '€60.00m'}, {'date': '30/05/2018', 'age': '24', 'clubName': 'FC Barcelona', 'clubID': '131', 'value': '€60.00m'}, {'date': '16/07/2018', 'age': '24', 'clubName': 'FC Barcelona', 'clubID': '131', 'value': '€70.00m'}, {'date': '21/12/2018', 'age': '25', 'clubName': 'FC Barcelona', 'clubID': '131', 'value': '€70.00m'}, {'date': '11/06/2019', 'age': '25', 'clubName': 'FC Barcelona', 'clubID': '131', 'value': '€45.00m'}, {'date': '20/12/2019', 'age': '26', 'clubName': 'FC Barcelona', 'clubID': '131', 'value': '€40.00m'}, {'date': '08/04/2020', 'age': '26', 'clubName': 'FC Barcelona', 'clubID': '131', 'value': '€32.00m'}, {'date': '08/10/2020', 'age': '26', 'clubName': 'FC Barcelona', 'clubID': '131', 'value': '€20.00m'}, {'date': '23/11/2020', 'age': '27', 'clubName': 'FC Barcelona', 'clubID': '131', 'value': '€12.00m'}, {'date': '05/01/2021', 'age': '27', 'clubName': 'FC Barcelona', 'clubID': '131', 'value': '€10.00m'}, {'date': '10/06/2021', 'age': '27', 'clubName': 'FC Barcelona', 'clubID': '131', 'value': '€8.00m'}, {'date': '13/10/2021', 'age': '27', 'clubName': 'FC Barcelona', 'clubID': '131', 'value': '€5.00m'}, {'date': '30/12/2021', 'age': '28', 'clubName': 'FC Barcelona', 'clubID': '131', 'value': '€2.00m'}, {'date': '03/06/2022', 'age': '28', 'clubName': 'FC Barcelona', 'clubID': '131', 'value': '€2.00m'}, {'date': '11/11/2022', 'age': '28', 'clubName': 'US Lecce', 'clubID': '1005', 'value': '€2.00m'}, {'date': '21/03/2023', 'age': '29', 'clubName': 'US Lecce', 'clubID': '1005', 'value': '€4.00m'}, {'date': '15/06/2023', 'age': '29', 'clubName': 'US Lecce', 'clubID': '1005', 'value': '€4.00m'}, {'date': '18/12/2023', 'age': '30', 'clubName': 'LOSC Lille', 'clubID': '1082', 'value': '€3.00m'}, {'date': '03/06/2024', 'age': '30', 'clubName': 'LOSC Lille', 'clubID': '1082', 'value': '€2.50m'}, {'date': '10/12/2024', 'age': '31', 'clubName': 'LOSC Lille', 'clubID': '1082', 'value': '€2.00m'}, {'date': '03/06/2025', 'age': '31', 'clubName': 'LOSC Lille', 'clubID': '1082', 'value': '€1.50m'}, {'date': '15/09/2025', 'age': '31', 'clubName': 'Retired', 'clubID': '123', 'value': '-'}]}</t>
  </si>
  <si>
    <t>1993-11-14</t>
  </si>
  <si>
    <t>Joao Felix</t>
  </si>
  <si>
    <t>{'marketValueHistory': [{'date': 'Sep 30, 2016', 'age': '16', 'clubName': 'SL Benfica U19', 'clubID': '8889', 'value': '€25k'}, {'date': 'Jun 30, 2017', 'age': '17', 'clubName': 'SL Benfica U19', 'clubID': '8889', 'value': '€500k'}, {'date': 'Sep 8, 2017', 'age': '17', 'clubName': 'SL Benfica U19', 'clubID': '8889', 'value': '€500k'}, {'date': 'Feb 23, 2018', 'age': '18', 'clubName': 'SL Benfica B', 'clubID': '10330', 'value': '€1.00m'}, {'date': 'Jun 29, 2018', 'age': '18', 'clubName': 'SL Benfica B', 'clubID': '10330', 'value': '€2.00m'}, {'date': 'Nov 1, 2018', 'age': '18', 'clubName': 'SL Benfica', 'clubID': '294', 'value': '€12.00m'}, {'date': 'Jan 11, 2019', 'age': '19', 'clubName': 'SL Benfica', 'clubID': '294', 'value': '€15.00m'}, {'date': 'Mar 18, 2019', 'age': '19', 'clubName': 'SL Benfica', 'clubID': '294', 'value': '€35.00m'}, {'date': 'Jun 7, 2019', 'age': '19', 'clubName': 'SL Benfica', 'clubID': '294', 'value': '€70.00m'}, {'date': 'Sep 10, 2019', 'age': '19', 'clubName': 'Atlético de Madrid', 'clubID': '13', 'value': '€100.00m'}, {'date': 'Dec 20, 2019', 'age': '20', 'clubName': 'Atlético de Madrid', 'clubID': '13', 'value': '€100.00m'}, {'date': 'Mar 5, 2020', 'age': '20', 'clubName': 'Atlético de Madrid', 'clubID': '13', 'value': '€90.00m'}, {'date': 'Apr 8, 2020', 'age': '20', 'clubName': 'Atlético de Madrid', 'clubID': '13', 'value': '€81.00m'}, {'date': 'Oct 8, 2020', 'age': '20', 'clubName': 'Atlético de Madrid', 'clubID': '13', 'value': '€80.00m'}, {'date': 'Nov 23, 2020', 'age': '21', 'clubName': 'Atlético de Madrid', 'clubID': '13', 'value': '€100.00m'}, {'date': 'Jan 5, 2021', 'age': '21', 'clubName': 'Atlético de Madrid', 'clubID': '13', 'value': '€100.00m'}, {'date': 'Mar 19, 2021', 'age': '21', 'clubName': 'Atlético de Madrid', 'clubID': '13', 'value': '€80.00m'}, {'date': 'Jun 1, 2021', 'age': '21', 'clubName': 'Atlético de Madrid', 'clubID': '13', 'value': '€80.00m'}, {'date': 'Oct 13, 2021', 'age': '21', 'clubName': 'Atlético de Madrid', 'clubID': '13', 'value': '€70.00m'}, {'date': 'Dec 30, 2021', 'age': '22', 'clubName': 'Atlético de Madrid', 'clubID': '13', 'value': '€60.00m'}, {'date': 'Mar 21, 2022', 'age': '22', 'clubName': 'Atlético de Madrid', 'clubID': '13', 'value': '€70.00m'}, {'date': 'Jun 3, 2022', 'age': '22', 'clubName': 'Atlético de Madrid', 'clubID': '13', 'value': '€70.00m'}, {'date': 'Nov 7, 2022', 'age': '22', 'clubName': 'Atlético de Madrid', 'clubID': '13', 'value': '€50.00m'}, {'date': 'Jun 20, 2023', 'age': '23', 'clubName': 'Chelsea FC', 'clubID': '631', 'value': '€50.00m'}, {'date': 'Dec 22, 2023', 'age': '24', 'clubName': 'FC Barcelona', 'clubID': '131', 'value': '€40.00m'}, {'date': 'Mar 21, 2024', 'age': '24', 'clubName': 'FC Barcelona', 'clubID': '131', 'value': '€30.00m'}, {'date': 'Jun 7, 2024', 'age': '24', 'clubName': 'FC Barcelona', 'clubID': '131', 'value': '€30.00m'}, {'date': 'Dec 16, 2024', 'age': '25', 'clubName': 'Chelsea FC', 'clubID': '631', 'value': '€30.00m'}, {'date': 'Mar 25, 2025', 'age': '25', 'clubName': 'AC Milan', 'clubID': '5', 'value': '€25.00m'}, {'date': 'Jun 17, 2025', 'age': '25', 'clubName': 'AC Milan', 'clubID': '5', 'value': '€20.00m'}, {'date': 'Dec 18, 2025', 'age': '26', 'clubName': 'Al-Nassr FC', 'clubID': '18544', 'value': '€25.00m'}]}</t>
  </si>
  <si>
    <t>1999-11-10</t>
  </si>
  <si>
    <t>Karsdorp</t>
  </si>
  <si>
    <t>{'marketValueHistory': [{'date': '11/08/2014', 'age': '19', 'clubName': 'Feyenoord Rotterdam', 'clubID': '234', 'value': '€50k'}, {'date': '02/11/2014', 'age': '19', 'clubName': 'Feyenoord Rotterdam', 'clubID': '234', 'value': '€250k'}, {'date': '16/02/2015', 'age': '20', 'clubName': 'Feyenoord Rotterdam', 'clubID': '234', 'value': '€350k'}, {'date': '01/07/2015', 'age': '20', 'clubName': 'Feyenoord Rotterdam', 'clubID': '234', 'value': '€800k'}, {'date': '11/11/2015', 'age': '20', 'clubName': 'Feyenoord Rotterdam', 'clubID': '234', 'value': '€2.50m'}, {'date': '05/02/2016', 'age': '20', 'clubName': 'Feyenoord Rotterdam', 'clubID': '234', 'value': '€3.50m'}, {'date': '15/07/2016', 'age': '21', 'clubName': 'Feyenoord Rotterdam', 'clubID': '234', 'value': '€4.50m'}, {'date': '18/01/2017', 'age': '21', 'clubName': 'Feyenoord Rotterdam', 'clubID': '234', 'value': '€6.50m'}, {'date': '07/06/2017', 'age': '22', 'clubName': 'Feyenoord Rotterdam', 'clubID': '234', 'value': '€9.00m'}, {'date': '29/12/2017', 'age': '22', 'clubName': 'AS Roma', 'clubID': '12', 'value': '€9.00m'}, {'date': '07/06/2018', 'age': '23', 'clubName': 'AS Roma', 'clubID': '12', 'value': '€9.00m'}, {'date': '20/12/2018', 'age': '23', 'clubName': 'AS Roma', 'clubID': '12', 'value': '€7.50m'}, {'date': '06/06/2019', 'age': '24', 'clubName': 'AS Roma', 'clubID': '12', 'value': '€7.00m'}, {'date': '18/12/2019', 'age': '24', 'clubName': 'Feyenoord Rotterdam', 'clubID': '234', 'value': '€7.00m'}, {'date': '12/03/2020', 'age': '25', 'clubName': 'Feyenoord Rotterdam', 'clubID': '234', 'value': '€4.00m'}, {'date': '08/04/2020', 'age': '25', 'clubName': 'Feyenoord Rotterdam', 'clubID': '234', 'value': '€3.20m'}, {'date': '25/08/2020', 'age': '25', 'clubName': 'AS Roma', 'clubID': '12', 'value': '€3.00m'}, {'date': '29/12/2020', 'age': '25', 'clubName': 'AS Roma', 'clubID': '12', 'value': '€6.00m'}, {'date': '23/03/2021', 'age': '26', 'clubName': 'AS Roma', 'clubID': '12', 'value': '€10.00m'}, {'date': '03/06/2021', 'age': '26', 'clubName': 'AS Roma', 'clubID': '12', 'value': '€12.00m'}, {'date': '14/10/2021', 'age': '26', 'clubName': 'AS Roma', 'clubID': '12', 'value': '€15.00m'}, {'date': '28/12/2021', 'age': '26', 'clubName': 'AS Roma', 'clubID': '12', 'value': '€15.00m'}, {'date': '15/03/2022', 'age': '27', 'clubName': 'AS Roma', 'clubID': '12', 'value': '€13.00m'}, {'date': '07/06/2022', 'age': '27', 'clubName': 'AS Roma', 'clubID': '12', 'value': '€13.00m'}, {'date': '11/11/2022', 'age': '27', 'clubName': 'AS Roma', 'clubID': '12', 'value': '€9.00m'}, {'date': '15/06/2023', 'age': '28', 'clubName': 'AS Roma', 'clubID': '12', 'value': '€7.00m'}, {'date': '20/12/2023', 'age': '28', 'clubName': 'AS Roma', 'clubID': '12', 'value': '€7.00m'}, {'date': '05/06/2024', 'age': '29', 'clubName': 'AS Roma', 'clubID': '12', 'value': '€5.00m'}, {'date': '17/12/2024', 'age': '29', 'clubName': 'PSV Eindhoven', 'clubID': '383', 'value': '€5.00m'}, {'date': '28/03/2025', 'age': '30', 'clubName': 'PSV Eindhoven', 'clubID': '383', 'value': '€4.00m'}, {'date': '28/05/2025', 'age': '30', 'clubName': 'PSV Eindhoven', 'clubID': '383', 'value': '€3.00m'}, {'date': '21/10/2025', 'age': '30', 'clubName': 'Career break', 'clubID': '2113', 'value': '€2.50m'}]}</t>
  </si>
  <si>
    <t>Baba</t>
  </si>
  <si>
    <t>{'marketValueHistory': [{'date': 'Oct 5, 2006', 'age': '21', 'clubName': 'Excelsior Mouscron (-2009)', 'clubID': '1433', 'value': '€125k'}, {'date': 'Jul 30, 2007', 'age': '22', 'clubName': 'Excelsior Mouscron (-2009)', 'clubID': '1433', 'value': '€1.00m'}, {'date': 'Sep 1, 2007', 'age': '22', 'clubName': 'TSG 1899 Hoffenheim', 'clubID': '533', 'value': '€2.00m'}, {'date': 'Dec 28, 2007', 'age': '22', 'clubName': 'TSG 1899 Hoffenheim', 'clubID': '533', 'value': '€1.60m'}, {'date': 'Jun 4, 2008', 'age': '23', 'clubName': 'TSG 1899 Hoffenheim', 'clubID': '533', 'value': '€3.00m'}, {'date': 'Nov 4, 2008', 'age': '23', 'clubName': 'TSG 1899 Hoffenheim', 'clubID': '533', 'value': '€5.00m'}, {'date': 'Jan 21, 2009', 'age': '23', 'clubName': 'TSG 1899 Hoffenheim', 'clubID': '533', 'value': '€6.00m'}, {'date': 'Jun 10, 2009', 'age': '24', 'clubName': 'TSG 1899 Hoffenheim', 'clubID': '533', 'value': '€8.00m'}, {'date': 'Jan 17, 2010', 'age': '24', 'clubName': 'TSG 1899 Hoffenheim', 'clubID': '533', 'value': '€8.50m'}, {'date': 'Jun 13, 2010', 'age': '25', 'clubName': 'TSG 1899 Hoffenheim', 'clubID': '533', 'value': '€7.50m'}, {'date': 'Jan 12, 2011', 'age': '25', 'clubName': 'TSG 1899 Hoffenheim', 'clubID': '533', 'value': '€9.00m'}, {'date': 'Jan 25, 2011', 'age': '25', 'clubName': 'TSG 1899 Hoffenheim', 'clubID': '533', 'value': '€7.00m'}, {'date': 'Aug 8, 2011', 'age': '26', 'clubName': 'Newcastle United', 'clubID': '762', 'value': '€7.50m'}, {'date': 'Feb 6, 2012', 'age': '26', 'clubName': 'Newcastle United', 'clubID': '762', 'value': '€15.00m'}, {'date': 'Jun 24, 2012', 'age': '27', 'clubName': 'Newcastle United', 'clubID': '762', 'value': '€15.00m'}, {'date': 'Jan 28, 2013', 'age': '27', 'clubName': 'Chelsea FC', 'clubID': '631', 'value': '€22.00m'}, {'date': 'Jul 2, 2013', 'age': '28', 'clubName': 'Chelsea FC', 'clubID': '631', 'value': '€19.00m'}, {'date': 'Sep 18, 2013', 'age': '28', 'clubName': 'Chelsea FC', 'clubID': '631', 'value': '€15.00m'}, {'date': 'Jan 15, 2014', 'age': '28', 'clubName': 'Chelsea FC', 'clubID': '631', 'value': '€11.00m'}, {'date': 'Jul 23, 2014', 'age': '29', 'clubName': 'Besiktas JK', 'clubID': '114', 'value': '€9.50m'}, {'date': 'Jan 26, 2015', 'age': '29', 'clubName': 'Besiktas JK', 'clubID': '114', 'value': '€11.50m'}, {'date': 'Jun 25, 2015', 'age': '30', 'clubName': 'Besiktas JK', 'clubID': '114', 'value': '€12.00m'}, {'date': 'Jul 1, 2015', 'age': '30', 'clubName': 'Shanghai Greenland Shenhua', 'clubID': '3183', 'value': '€10.00m'}, {'date': 'Nov 1, 2015', 'age': '30', 'clubName': 'Shanghai Greenland Shenhua', 'clubID': '3183', 'value': '€10.00m'}, {'date': 'Jun 20, 2016', 'age': '31', 'clubName': 'Shanghai Greenland Shenhua', 'clubID': '3183', 'value': '€12.00m'}, {'date': 'Nov 20, 2016', 'age': '31', 'clubName': 'Shanghai Greenland Shenhua', 'clubID': '3183', 'value': '€12.00m'}, {'date': 'Mar 29, 2017', 'age': '31', 'clubName': 'Besiktas JK', 'clubID': '114', 'value': '€8.00m'}, {'date': 'Jun 9, 2017', 'age': '32', 'clubName': 'Besiktas JK', 'clubID': '114', 'value': '€4.50m'}, {'date': 'Dec 1, 2017', 'age': '32', 'clubName': 'Shanghai Greenland Shenhua', 'clubID': '3183', 'value': '€4.00m'}, {'date': 'Apr 11, 2018', 'age': '32', 'clubName': 'Göztepe', 'clubID': '1467', 'value': '€2.50m'}, {'date': 'May 29, 2018', 'age': '33', 'clubName': 'Göztepe', 'clubID': '1467', 'value': '€2.00m'}, {'date': 'Dec 9, 2018', 'age': '33', 'clubName': 'Shanghai Greenland Shenhua', 'clubID': '3183', 'value': '€2.00m'}, {'date': 'Jun 4, 2019', 'age': '34', 'clubName': 'Basaksehir FK', 'clubID': '6890', 'value': '€1.00m'}, {'date': 'Jan 3, 2020', 'age': '34', 'clubName': 'Basaksehir FK', 'clubID': '6890', 'value': '€750k'}, {'date': 'Mar 25, 2020', 'age': '34', 'clubName': 'Basaksehir FK', 'clubID': '6890', 'value': '€1.00m'}, {'date': 'Apr 8, 2020', 'age': '34', 'clubName': 'Basaksehir FK', 'clubID': '6890', 'value': '€800k'}, {'date': 'Aug 4, 2020', 'age': '35', 'clubName': 'Basaksehir FK', 'clubID': '6890', 'value': '€1.00m'}, {'date': 'Dec 23, 2020', 'age': '35', 'clubName': 'Basaksehir FK', 'clubID': '6890', 'value': '€900k'}, {'date': 'Mar 16, 2021', 'age': '35', 'clubName': 'Basaksehir FK', 'clubID': '6890', 'value': '€700k'}, {'date': 'May 21, 2021', 'age': '35', 'clubName': 'Without Club', 'clubID': '515', 'value': '€500k'}, {'date': 'Aug 19, 2021', 'age': '36', 'clubName': 'FC Lugano', 'clubID': '2790', 'value': '-'}]}</t>
  </si>
  <si>
    <t>1985-05-25</t>
  </si>
  <si>
    <t>Mariano Diaz</t>
  </si>
  <si>
    <t>{'marketValueHistory': [{'date': '15/07/2016', 'age': '22', 'clubName': 'Real Madrid', 'clubID': '418', 'value': '€2.00m'}, {'date': '24/01/2017', 'age': '23', 'clubName': 'Real Madrid', 'clubID': '418', 'value': '€5.00m'}, {'date': '05/06/2017', 'age': '23', 'clubName': 'Real Madrid', 'clubID': '418', 'value': '€5.00m'}, {'date': '12/10/2017', 'age': '24', 'clubName': 'Olympique Lyon', 'clubID': '1041', 'value': '€8.00m'}, {'date': '24/01/2018', 'age': '24', 'clubName': 'Olympique Lyon', 'clubID': '1041', 'value': '€22.00m'}, {'date': '04/06/2018', 'age': '24', 'clubName': 'Olympique Lyon', 'clubID': '1041', 'value': '€22.00m'}, {'date': '21/12/2018', 'age': '25', 'clubName': 'Real Madrid', 'clubID': '418', 'value': '€20.00m'}, {'date': '11/06/2019', 'age': '25', 'clubName': 'Real Madrid', 'clubID': '418', 'value': '€20.00m'}, {'date': '20/12/2019', 'age': '26', 'clubName': 'Real Madrid', 'clubID': '418', 'value': '€16.00m'}, {'date': '08/04/2020', 'age': '26', 'clubName': 'Real Madrid', 'clubID': '418', 'value': '€13.00m'}, {'date': '08/10/2020', 'age': '27', 'clubName': 'Real Madrid', 'clubID': '418', 'value': '€12.00m'}, {'date': '05/01/2021', 'age': '27', 'clubName': 'Real Madrid', 'clubID': '418', 'value': '€10.00m'}, {'date': '10/06/2021', 'age': '27', 'clubName': 'Real Madrid', 'clubID': '418', 'value': '€10.00m'}, {'date': '30/12/2021', 'age': '28', 'clubName': 'Real Madrid', 'clubID': '418', 'value': '€7.00m'}, {'date': '21/03/2022', 'age': '28', 'clubName': 'Real Madrid', 'clubID': '418', 'value': '€6.00m'}, {'date': '03/06/2022', 'age': '28', 'clubName': 'Real Madrid', 'clubID': '418', 'value': '€6.00m'}, {'date': '23/09/2022', 'age': '29', 'clubName': 'Real Madrid', 'clubID': '418', 'value': '€4.00m'}, {'date': '07/11/2022', 'age': '29', 'clubName': 'Real Madrid', 'clubID': '418', 'value': '€3.00m'}, {'date': '23/03/2023', 'age': '29', 'clubName': 'Real Madrid', 'clubID': '418', 'value': '€2.50m'}, {'date': '13/06/2023', 'age': '29', 'clubName': 'Real Madrid', 'clubID': '418', 'value': '€2.50m'}, {'date': '13/10/2023', 'age': '30', 'clubName': 'Sevilla FC', 'clubID': '368', 'value': '€2.00m'}, {'date': '22/12/2023', 'age': '30', 'clubName': 'Sevilla FC', 'clubID': '368', 'value': '€2.00m'}, {'date': '07/06/2024', 'age': '30', 'clubName': 'Sevilla FC', 'clubID': '368', 'value': '€1.50m'}, {'date': '16/10/2024', 'age': '31', 'clubName': 'Without Club', 'clubID': '515', 'value': '€1.20m'}, {'date': '04/04/2025', 'age': '31', 'clubName': 'Without Club', 'clubID': '515', 'value': '€800k'}, {'date': '12/12/2025', 'age': '32', 'clubName': 'Deportivo Alavés', 'clubID': '1108', 'value': '€800k'}, {'date': '16/03/2026', 'age': '32', 'clubName': 'Deportivo Alavés', 'clubID': '1108', 'value': '€400k'}]}</t>
  </si>
  <si>
    <t>1993-08-01</t>
  </si>
  <si>
    <t>Keita Balde</t>
  </si>
  <si>
    <t>{'marketValueHistory': [{'date': 'Dec 8, 2012', 'age': '17', 'clubName': 'Lazio U19', 'clubID': '12816', 'value': '€50k'}, {'date': 'Jun 10, 2013', 'age': '18', 'clubName': 'Lazio U19', 'clubID': '12816', 'value': '€300k'}, {'date': 'Sep 25, 2013', 'age': '18', 'clubName': 'SS Lazio', 'clubID': '398', 'value': '€800k'}, {'date': 'Jan 7, 2014', 'age': '18', 'clubName': 'SS Lazio', 'clubID': '398', 'value': '€4.00m'}, {'date': 'Mar 10, 2014', 'age': '19', 'clubName': 'SS Lazio', 'clubID': '398', 'value': '€5.50m'}, {'date': 'Jul 1, 2014', 'age': '19', 'clubName': 'SS Lazio', 'clubID': '398', 'value': '€9.00m'}, {'date': 'Jan 7, 2015', 'age': '19', 'clubName': 'SS Lazio', 'clubID': '398', 'value': '€9.00m'}, {'date': 'Jul 1, 2015', 'age': '20', 'clubName': 'SS Lazio', 'clubID': '398', 'value': '€8.50m'}, {'date': 'Jan 4, 2016', 'age': '20', 'clubName': 'SS Lazio', 'clubID': '398', 'value': '€10.00m'}, {'date': 'Jul 15, 2016', 'age': '21', 'clubName': 'SS Lazio', 'clubID': '398', 'value': '€13.00m'}, {'date': 'Jan 2, 2017', 'age': '21', 'clubName': 'SS Lazio', 'clubID': '398', 'value': '€17.00m'}, {'date': 'Jun 8, 2017', 'age': '22', 'clubName': 'SS Lazio', 'clubID': '398', 'value': '€25.00m'}, {'date': 'Jan 24, 2018', 'age': '22', 'clubName': 'AS Monaco', 'clubID': '162', 'value': '€30.00m'}, {'date': 'Jun 4, 2018', 'age': '23', 'clubName': 'AS Monaco', 'clubID': '162', 'value': '€30.00m'}, {'date': 'Dec 20, 2018', 'age': '23', 'clubName': 'Inter Milan', 'clubID': '46', 'value': '€28.00m'}, {'date': 'Jun 6, 2019', 'age': '24', 'clubName': 'Inter Milan', 'clubID': '46', 'value': '€25.00m'}, {'date': 'Dec 19, 2019', 'age': '24', 'clubName': 'AS Monaco', 'clubID': '162', 'value': '€20.00m'}, {'date': 'Apr 8, 2020', 'age': '25', 'clubName': 'AS Monaco', 'clubID': '162', 'value': '€16.00m'}, {'date': 'Oct 29, 2020', 'age': '25', 'clubName': 'UC Sampdoria', 'clubID': '1038', 'value': '€11.00m'}, {'date': 'Dec 29, 2020', 'age': '25', 'clubName': 'UC Sampdoria', 'clubID': '1038', 'value': '€9.00m'}, {'date': 'Jun 3, 2021', 'age': '26', 'clubName': 'UC Sampdoria', 'clubID': '1038', 'value': '€8.00m'}, {'date': 'Dec 28, 2021', 'age': '26', 'clubName': 'Cagliari Calcio', 'clubID': '1390', 'value': '€7.00m'}, {'date': 'Mar 15, 2022', 'age': '27', 'clubName': 'Cagliari Calcio', 'clubID': '1390', 'value': '€5.00m'}, {'date': 'Jun 7, 2022', 'age': '27', 'clubName': 'Cagliari Calcio', 'clubID': '1390', 'value': '€3.00m'}, {'date': 'Nov 21, 2022', 'age': '27', 'clubName': 'Spartak Moscow', 'clubID': '232', 'value': '€2.00m'}, {'date': 'Jun 14, 2023', 'age': '28', 'clubName': 'Spartak Moscow', 'clubID': '232', 'value': '€2.50m'}, {'date': 'Oct 13, 2023', 'age': '28', 'clubName': 'RCD Espanyol Barcelona', 'clubID': '714', 'value': '€2.00m'}, {'date': 'Dec 20, 2023', 'age': '28', 'clubName': 'RCD Espanyol Barcelona', 'clubID': '714', 'value': '€1.50m'}, {'date': 'Jun 24, 2024', 'age': '29', 'clubName': 'RCD Espanyol Barcelona', 'clubID': '714', 'value': '€1.20m'}, {'date': 'Oct 4, 2024', 'age': '29', 'clubName': 'Sivasspor', 'clubID': '2381', 'value': '€1.00m'}, {'date': 'Dec 23, 2024', 'age': '29', 'clubName': 'Sivasspor', 'clubID': '2381', 'value': '€1.00m'}, {'date': 'Jun 17, 2025', 'age': '30', 'clubName': 'AC Monza', 'clubID': '2919', 'value': '€900k'}, {'date': 'Dec 11, 2025', 'age': '30', 'clubName': 'AC Monza', 'clubID': '2919', 'value': '€900k'}]}</t>
  </si>
  <si>
    <t>1995-03-08</t>
  </si>
  <si>
    <t>Schrijvers</t>
  </si>
  <si>
    <t>{'marketValueHistory': [{'date': '18/09/2012', 'age': '16', 'clubName': 'KRC Genk', 'clubID': '1184', 'value': '€100k'}, {'date': '09/01/2013', 'age': '16', 'clubName': 'KRC Genk', 'clubID': '1184', 'value': '€300k'}, {'date': '25/06/2013', 'age': '16', 'clubName': 'KRC Genk', 'clubID': '1184', 'value': '€300k'}, {'date': '10/02/2014', 'age': '17', 'clubName': 'KRC Genk', 'clubID': '1184', 'value': '€500k'}, {'date': '28/06/2014', 'age': '17', 'clubName': 'KRC Genk', 'clubID': '1184', 'value': '€1.00m'}, {'date': '07/01/2015', 'age': '18', 'clubName': 'KRC Genk', 'clubID': '1184', 'value': '€1.50m'}, {'date': '07/02/2016', 'age': '19', 'clubName': 'KVRS Waasland - SK Beveren', 'clubID': '28643', 'value': '€1.50m'}, {'date': '15/07/2016', 'age': '19', 'clubName': 'KVRS Waasland - SK Beveren', 'clubID': '28643', 'value': '€1.50m'}, {'date': '21/01/2017', 'age': '20', 'clubName': 'KRC Genk', 'clubID': '1184', 'value': '€3.00m'}, {'date': '06/06/2017', 'age': '20', 'clubName': 'KRC Genk', 'clubID': '1184', 'value': '€3.50m'}, {'date': '09/01/2018', 'age': '21', 'clubName': 'KRC Genk', 'clubID': '1184', 'value': '€4.00m'}, {'date': '03/06/2018', 'age': '21', 'clubName': 'KRC Genk', 'clubID': '1184', 'value': '€3.50m'}, {'date': '27/12/2018', 'age': '22', 'clubName': 'Club Brugge KV', 'clubID': '2282', 'value': '€4.00m'}, {'date': '04/03/2019', 'age': '22', 'clubName': 'Club Brugge KV', 'clubID': '2282', 'value': '€5.00m'}, {'date': '10/06/2019', 'age': '22', 'clubName': 'Club Brugge KV', 'clubID': '2282', 'value': '€7.50m'}, {'date': '13/12/2019', 'age': '23', 'clubName': 'Club Brugge KV', 'clubID': '2282', 'value': '€7.00m'}, {'date': '30/03/2020', 'age': '23', 'clubName': 'Club Brugge KV', 'clubID': '2282', 'value': '€5.00m'}, {'date': '08/04/2020', 'age': '23', 'clubName': 'Club Brugge KV', 'clubID': '2282', 'value': '€4.00m'}, {'date': '16/10/2020', 'age': '24', 'clubName': 'Club Brugge KV', 'clubID': '2282', 'value': '€3.50m'}, {'date': '04/01/2021', 'age': '24', 'clubName': 'Club Brugge KV', 'clubID': '2282', 'value': '€3.00m'}, {'date': '17/03/2021', 'age': '24', 'clubName': 'Oud-Heverlee Leuven', 'clubID': '2727', 'value': '€2.50m'}, {'date': '07/06/2021', 'age': '24', 'clubName': 'Oud-Heverlee Leuven', 'clubID': '2727', 'value': '€2.20m'}, {'date': '06/10/2021', 'age': '25', 'clubName': 'Oud-Heverlee Leuven', 'clubID': '2727', 'value': '€2.00m'}, {'date': '06/01/2022', 'age': '25', 'clubName': 'Oud-Heverlee Leuven', 'clubID': '2727', 'value': '€2.00m'}, {'date': '12/04/2022', 'age': '25', 'clubName': 'Oud-Heverlee Leuven', 'clubID': '2727', 'value': '€2.00m'}, {'date': '04/11/2022', 'age': '26', 'clubName': 'Oud-Heverlee Leuven', 'clubID': '2727', 'value': '€1.80m'}, {'date': '09/06/2023', 'age': '26', 'clubName': 'Oud-Heverlee Leuven', 'clubID': '2727', 'value': '€2.00m'}, {'date': '19/12/2023', 'age': '27', 'clubName': 'Oud-Heverlee Leuven', 'clubID': '2727', 'value': '€2.00m'}, {'date': '04/06/2024', 'age': '27', 'clubName': 'Oud-Heverlee Leuven', 'clubID': '2727', 'value': '€2.00m'}, {'date': '11/12/2024', 'age': '28', 'clubName': 'Oud-Heverlee Leuven', 'clubID': '2727', 'value': '€1.50m'}, {'date': '12/06/2025', 'age': '28', 'clubName': 'Oud-Heverlee Leuven', 'clubID': '2727', 'value': '€1.50m'}, {'date': '10/12/2025', 'age': '29', 'clubName': 'Oud-Heverlee Leuven', 'clubID': '2727', 'value': '€1.50m'}]}</t>
  </si>
  <si>
    <t>1996-07-18</t>
  </si>
  <si>
    <t>Zeman</t>
  </si>
  <si>
    <t>{'marketValueHistory': [{'date': 'Sep 4, 2009', 'age': '18', 'clubName': 'Real Sociedad', 'clubID': '681', 'value': '€100k'}, {'date': 'Nov 23, 2009', 'age': '18', 'clubName': 'Real Sociedad', 'clubID': '681', 'value': '€1.00m'}, {'date': 'Apr 5, 2010', 'age': '19', 'clubName': 'Real Sociedad', 'clubID': '681', 'value': '€2.00m'}, {'date': 'Aug 20, 2010', 'age': '19', 'clubName': 'Real Sociedad', 'clubID': '681', 'value': '€4.00m'}, {'date': 'Dec 10, 2010', 'age': '19', 'clubName': 'Real Sociedad', 'clubID': '681', 'value': '€8.00m'}, {'date': 'Feb 4, 2011', 'age': '19', 'clubName': 'Real Sociedad', 'clubID': '681', 'value': '€8.00m'}, {'date': 'Jul 29, 2011', 'age': '20', 'clubName': 'Real Sociedad', 'clubID': '681', 'value': '€8.00m'}, {'date': 'Feb 5, 2012', 'age': '20', 'clubName': 'Real Sociedad', 'clubID': '681', 'value': '€8.00m'}, {'date': 'Aug 7, 2012', 'age': '21', 'clubName': 'Real Sociedad', 'clubID': '681', 'value': '€12.00m'}, {'date': 'Jan 11, 2013', 'age': '21', 'clubName': 'Real Sociedad', 'clubID': '681', 'value': '€12.00m'}, {'date': 'Jun 12, 2013', 'age': '22', 'clubName': 'Real Sociedad', 'clubID': '681', 'value': '€15.00m'}, {'date': 'Sep 17, 2013', 'age': '22', 'clubName': 'Real Sociedad', 'clubID': '681', 'value': '€20.00m'}, {'date': 'Jan 23, 2014', 'age': '22', 'clubName': 'Real Sociedad', 'clubID': '681', 'value': '€25.00m'}, {'date': 'Jul 20, 2014', 'age': '23', 'clubName': 'Real Sociedad', 'clubID': '681', 'value': '€30.00m'}, {'date': 'Aug 4, 2014', 'age': '23', 'clubName': 'Atlético de Madrid', 'clubID': '13', 'value': '€30.00m'}, {'date': 'Jan 23, 2015', 'age': '23', 'clubName': 'Atlético de Madrid', 'clubID': '13', 'value': '€35.00m'}, {'date': 'Jul 1, 2015', 'age': '24', 'clubName': 'Atlético de Madrid', 'clubID': '13', 'value': '€45.00m'}, {'date': 'Nov 22, 2015', 'age': '24', 'clubName': 'Atlético de Madrid', 'clubID': '13', 'value': '€50.00m'}, {'date': 'Feb 22, 2016', 'age': '24', 'clubName': 'Atlético de Madrid', 'clubID': '13', 'value': '€60.00m'}, {'date': 'Jun 1, 2016', 'age': '25', 'clubName': 'Atlético de Madrid', 'clubID': '13', 'value': '€70.00m'}, {'date': 'Jul 15, 2016', 'age': '25', 'clubName': 'Atlético de Madrid', 'clubID': '13', 'value': '€80.00m'}, {'date': 'Jan 24, 2017', 'age': '25', 'clubName': 'Atlético de Madrid', 'clubID': '13', 'value': '€80.00m'}, {'date': 'Jun 5, 2017', 'age': '26', 'clubName': 'Atlético de Madrid', 'clubID': '13', 'value': '€80.00m'}, {'date': 'Jan 1, 2018', 'age': '26', 'clubName': 'Atlético de Madrid', 'clubID': '13', 'value': '€100.00m'}, {'date': 'May 30, 2018', 'age': '27', 'clubName': 'Atlético de Madrid', 'clubID': '13', 'value': '€100.00m'}, {'date': 'Jul 16, 2018', 'age': '27', 'clubName': 'Atlético de Madrid', 'clubID': '13', 'value': '€120.00m'}, {'date': 'Oct 31, 2018', 'age': '27', 'clubName': 'Atlético de Madrid', 'clubID': '13', 'value': '€150.00m'}, {'date': 'Dec 21, 2018', 'age': '27', 'clubName': 'Atlético de Madrid', 'clubID': '13', 'value': '€150.00m'}, {'date': 'Jun 11, 2019', 'age': '28', 'clubName': 'Atlético de Madrid', 'clubID': '13', 'value': '€130.00m'}, {'date': 'Dec 20, 2019', 'age': '28', 'clubName': 'FC Barcelona', 'clubID': '131', 'value': '€120.00m'}, {'date': 'Apr 8, 2020', 'age': '29', 'clubName': 'FC Barcelona', 'clubID': '131', 'value': '€96.00m'}, {'date': 'Oct 8, 2020', 'age': '29', 'clubName': 'FC Barcelona', 'clubID': '131', 'value': '€80.00m'}, {'date': 'Jan 5, 2021', 'age': '29', 'clubName': 'FC Barcelona', 'clubID': '131', 'value': '€60.00m'}, {'date': 'Jun 1, 2021', 'age': '30', 'clubName': 'FC Barcelona', 'clubID': '131', 'value': '€60.00m'}, {'date': 'Oct 13, 2021', 'age': '30', 'clubName': 'Atlético de Madrid', 'clubID': '13', 'value': '€50.00m'}, {'date': 'Dec 30, 2021', 'age': '30', 'clubName': 'Atlético de Madrid', 'clubID': '13', 'value': '€50.00m'}, {'date': 'Jun 3, 2022', 'age': '31', 'clubName': 'Atlético de Madrid', 'clubID': '13', 'value': '€35.00m'}, {'date': 'Nov 7, 2022', 'age': '31', 'clubName': 'Atlético de Madrid', 'clubID': '13', 'value': '€25.00m'}, {'date': 'Jun 13, 2023', 'age': '32', 'clubName': 'Atlético de Madrid', 'clubID': '13', 'value': '€25.00m'}, {'date': 'Dec 22, 2023', 'age': '32', 'clubName': 'Atlético de Madrid', 'clubID': '13', 'value': '€25.00m'}, {'date': 'Jun 7, 2024', 'age': '33', 'clubName': 'Atlético de Madrid', 'clubID': '13', 'value': '€25.00m'}, {'date': 'Dec 27, 2024', 'age': '33', 'clubName': 'Atlético de Madrid', 'clubID': '13', 'value': '€22.00m'}, {'date': 'Jun 9, 2025', 'age': '34', 'clubName': 'Atlético de Madrid', 'clubID': '13', 'value': '€18.00m'}, {'date': 'Oct 2, 2025', 'age': '34', 'clubName': 'Atlético de Madrid', 'clubID': '13', 'value': '€12.00m'}, {'date': 'Dec 12, 2025', 'age': '34', 'clubName': 'Atlético de Madrid', 'clubID': '13', 'value': '€11.00m'}, {'date': 'Mar 16, 2026', 'age': '34', 'clubName': 'Atlético de Madrid', 'clubID': '13', 'value': '€10.00m'}]}</t>
  </si>
  <si>
    <t>A. Zivkovic</t>
  </si>
  <si>
    <t>{'marketValueHistory': [{'date': '25/11/2013', 'age': '17', 'clubName': 'FK Partizan Belgrade', 'clubID': '669', 'value': '€2.00m'}, {'date': '11/11/2014', 'age': '18', 'clubName': 'FK Partizan Belgrade', 'clubID': '669', 'value': '€3.00m'}, {'date': '15/06/2015', 'age': '18', 'clubName': 'FK Partizan Belgrade', 'clubID': '669', 'value': '€4.00m'}, {'date': '23/11/2015', 'age': '19', 'clubName': 'FK Partizan Belgrade', 'clubID': '669', 'value': '€7.00m'}, {'date': '29/05/2016', 'age': '19', 'clubName': 'FK Partizan Belgrade', 'clubID': '669', 'value': '€6.50m'}, {'date': '29/07/2016', 'age': '20', 'clubName': 'SL Benfica', 'clubID': '294', 'value': '€6.50m'}, {'date': '22/02/2017', 'age': '20', 'clubName': 'SL Benfica', 'clubID': '294', 'value': '€6.50m'}, {'date': '26/06/2017', 'age': '20', 'clubName': 'SL Benfica', 'clubID': '294', 'value': '€7.00m'}, {'date': '07/02/2018', 'age': '21', 'clubName': 'SL Benfica', 'clubID': '294', 'value': '€7.00m'}, {'date': '16/04/2018', 'age': '21', 'clubName': 'SL Benfica', 'clubID': '294', 'value': '€12.00m'}, {'date': '13/06/2018', 'age': '21', 'clubName': 'SL Benfica', 'clubID': '294', 'value': '€18.00m'}, {'date': '11/01/2019', 'age': '22', 'clubName': 'SL Benfica', 'clubID': '294', 'value': '€18.00m'}, {'date': '18/03/2019', 'age': '22', 'clubName': 'SL Benfica', 'clubID': '294', 'value': '€16.00m'}, {'date': '07/06/2019', 'age': '22', 'clubName': 'SL Benfica', 'clubID': '294', 'value': '€10.00m'}, {'date': '11/10/2019', 'age': '23', 'clubName': 'SL Benfica', 'clubID': '294', 'value': '€8.00m'}, {'date': '30/12/2019', 'age': '23', 'clubName': 'SL Benfica', 'clubID': '294', 'value': '€5.00m'}, {'date': '08/04/2020', 'age': '23', 'clubName': 'SL Benfica', 'clubID': '294', 'value': '€4.00m'}, {'date': '17/08/2020', 'age': '24', 'clubName': 'SL Benfica', 'clubID': '294', 'value': '€4.00m'}, {'date': '12/02/2021', 'age': '24', 'clubName': 'PAOK Thessaloniki', 'clubID': '1091', 'value': '€4.00m'}, {'date': '30/05/2021', 'age': '24', 'clubName': 'PAOK Thessaloniki', 'clubID': '1091', 'value': '€5.00m'}, {'date': '01/11/2021', 'age': '25', 'clubName': 'PAOK Thessaloniki', 'clubID': '1091', 'value': '€5.00m'}, {'date': '09/06/2022', 'age': '25', 'clubName': 'PAOK Thessaloniki', 'clubID': '1091', 'value': '€6.00m'}, {'date': '07/11/2022', 'age': '26', 'clubName': 'PAOK Thessaloniki', 'clubID': '1091', 'value': '€6.00m'}, {'date': '22/05/2023', 'age': '26', 'clubName': 'PAOK Thessaloniki', 'clubID': '1091', 'value': '€5.00m'}, {'date': '21/09/2023', 'age': '27', 'clubName': 'PAOK Thessaloniki', 'clubID': '1091', 'value': '€6.00m'}, {'date': '20/12/2023', 'age': '27', 'clubName': 'PAOK Thessaloniki', 'clubID': '1091', 'value': '€7.00m'}, {'date': '30/05/2024', 'age': '27', 'clubName': 'PAOK Thessaloniki', 'clubID': '1091', 'value': '€8.00m'}, {'date': '18/12/2024', 'age': '28', 'clubName': 'PAOK Thessaloniki', 'clubID': '1091', 'value': '€8.00m'}, {'date': '23/05/2025', 'age': '28', 'clubName': 'PAOK Thessaloniki', 'clubID': '1091', 'value': '€8.00m'}, {'date': '12/12/2025', 'age': '29', 'clubName': 'PAOK Thessaloniki', 'clubID': '1091', 'value': '€8.00m'}]}</t>
  </si>
  <si>
    <t>1996-07-11</t>
  </si>
  <si>
    <t>Ngonge</t>
  </si>
  <si>
    <t>{'marketValueHistory': [{'date': 'Dec 27, 2018', 'age': '18', 'clubName': 'FC Brügge U21', 'clubID': '2282', 'value': '€700k'}, {'date': 'Jun 10, 2019', 'age': '19', 'clubName': 'FC Brügge U21', 'clubID': '2282', 'value': '€700k'}, {'date': 'Apr 8, 2020', 'age': '19', 'clubName': 'PSV Eindhoven U21', 'clubID': '383', 'value': '€625k'}, {'date': 'Jun 29, 2020', 'age': '20', 'clubName': 'PSV Eindhoven U21', 'clubID': '383', 'value': '€725k'}, {'date': 'Oct 14, 2020', 'age': '20', 'clubName': 'RKC Waalwijk', 'clubID': '235', 'value': '€725k'}, {'date': 'May 19, 2021', 'age': '20', 'clubName': 'RKC Waalwijk', 'clubID': '235', 'value': '€700k'}, {'date': 'Oct 4, 2021', 'age': '21', 'clubName': 'FC Groningen', 'clubID': '202', 'value': '€800k'}, {'date': 'Jan 5, 2022', 'age': '21', 'clubName': 'FC Groningen', 'clubID': '202', 'value': '€1.40m'}, {'date': 'Jun 8, 2022', 'age': '22', 'clubName': 'FC Groningen', 'clubID': '202', 'value': '€1.00m'}, {'date': 'Nov 11, 2022', 'age': '22', 'clubName': 'FC Groningen', 'clubID': '202', 'value': '€1.30m'}, {'date': 'Jun 15, 2023', 'age': '23', 'clubName': 'Hellas Verona', 'clubID': '276', 'value': '€2.00m'}, {'date': 'Oct 11, 2023', 'age': '23', 'clubName': 'Hellas Verona', 'clubID': '276', 'value': '€6.00m'}, {'date': 'Dec 20, 2023', 'age': '23', 'clubName': 'Hellas Verona', 'clubID': '276', 'value': '€6.00m'}, {'date': 'Mar 12, 2024', 'age': '23', 'clubName': 'SSC Napoli', 'clubID': '6195', 'value': '€12.00m'}, {'date': 'Jun 5, 2024', 'age': '24', 'clubName': 'SSC Napoli', 'clubID': '6195', 'value': '€12.00m'}, {'date': 'Dec 18, 2024', 'age': '24', 'clubName': 'SSC Napoli', 'clubID': '6195', 'value': '€12.00m'}, {'date': 'Mar 25, 2025', 'age': '24', 'clubName': 'SSC Napoli', 'clubID': '6195', 'value': '€10.00m'}, {'date': 'Jun 17, 2025', 'age': '25', 'clubName': 'SSC Napoli', 'clubID': '6195', 'value': '€8.00m'}, {'date': 'Dec 23, 2025', 'age': '25', 'clubName': 'Torino FC', 'clubID': '416', 'value': '€8.00m'}]}</t>
  </si>
  <si>
    <t>2000-05-26</t>
  </si>
  <si>
    <t>Kean</t>
  </si>
  <si>
    <t>{'marketValueHistory': [{'date': '10/12/2019', 'age': '19', 'clubName': 'Chelsea FC U23', 'clubID': '9250', 'value': '€1.50m'}, {'date': '27/02/2020', 'age': '19', 'clubName': 'Swansea City', 'clubID': '2288', 'value': '€3.00m'}, {'date': '08/04/2020', 'age': '19', 'clubName': 'Swansea City', 'clubID': '2288', 'value': '€2.70m'}, {'date': '15/10/2020', 'age': '20', 'clubName': 'Swansea City', 'clubID': '2288', 'value': '€5.50m'}, {'date': '10/03/2021', 'age': '20', 'clubName': 'Swansea City', 'clubID': '2288', 'value': '€6.00m'}, {'date': '08/06/2021', 'age': '20', 'clubName': 'Chelsea FC', 'clubID': '631', 'value': '€10.00m'}, {'date': '05/10/2021', 'age': '21', 'clubName': 'Crystal Palace', 'clubID': '873', 'value': '€20.00m'}, {'date': '23/12/2021', 'age': '21', 'clubName': 'Crystal Palace', 'clubID': '873', 'value': '€22.00m'}, {'date': '29/03/2022', 'age': '21', 'clubName': 'Crystal Palace', 'clubID': '873', 'value': '€30.00m'}, {'date': '15/06/2022', 'age': '21', 'clubName': 'Crystal Palace', 'clubID': '873', 'value': '€32.00m'}, {'date': '03/11/2022', 'age': '22', 'clubName': 'Crystal Palace', 'clubID': '873', 'value': '€35.00m'}, {'date': '20/06/2023', 'age': '22', 'clubName': 'Crystal Palace', 'clubID': '873', 'value': '€35.00m'}, {'date': '19/12/2023', 'age': '23', 'clubName': 'Crystal Palace', 'clubID': '873', 'value': '€38.00m'}, {'date': '27/05/2024', 'age': '23', 'clubName': 'Crystal Palace', 'clubID': '873', 'value': '€38.00m'}, {'date': '01/10/2024', 'age': '24', 'clubName': 'Crystal Palace', 'clubID': '873', 'value': '€45.00m'}, {'date': '16/12/2024', 'age': '24', 'clubName': 'Crystal Palace', 'clubID': '873', 'value': '€45.00m'}, {'date': '30/05/2025', 'age': '24', 'clubName': 'Crystal Palace', 'clubID': '873', 'value': '€45.00m'}, {'date': '17/10/2025', 'age': '25', 'clubName': 'Crystal Palace', 'clubID': '873', 'value': '€50.00m'}, {'date': '09/12/2025', 'age': '25', 'clubName': 'Crystal Palace', 'clubID': '873', 'value': '€55.00m'}, {'date': '09/03/2026', 'age': '25', 'clubName': 'Manchester City', 'clubID': '281', 'value': '€65.00m'}]}</t>
  </si>
  <si>
    <t>2000-07-13</t>
  </si>
  <si>
    <t>Spinazzola</t>
  </si>
  <si>
    <t>{'marketValueHistory': [{'date': 'Nov 16, 2010', 'age': '17', 'clubName': 'Juventus Primavera', 'clubID': '506', 'value': '€50k'}, {'date': 'Jun 7, 2011', 'age': '18', 'clubName': 'Juventus Primavera', 'clubID': '506', 'value': '€75k'}, {'date': 'Mar 1, 2012', 'age': '18', 'clubName': 'Juventus Primavera', 'clubID': '506', 'value': '€100k'}, {'date': 'Dec 25, 2012', 'age': '19', 'clubName': 'FC Empoli', 'clubID': '749', 'value': '€300k'}, {'date': 'Jun 30, 2013', 'age': '20', 'clubName': 'Juventus FC', 'clubID': '506', 'value': '€250k'}, {'date': 'Jan 29, 2014', 'age': '20', 'clubName': 'AC Siena', 'clubID': '1387', 'value': '€250k'}, {'date': 'Jul 15, 2014', 'age': '21', 'clubName': 'Juventus FC', 'clubID': '506', 'value': '€700k'}, {'date': 'Jan 7, 2015', 'age': '21', 'clubName': 'Atalanta BC', 'clubID': '800', 'value': '€700k'}, {'date': 'Jun 29, 2015', 'age': '22', 'clubName': 'Vicenza Calcio', 'clubID': '2655', 'value': '€600k'}, {'date': 'Dec 28, 2015', 'age': '22', 'clubName': 'AC Perugia Calcio', 'clubID': '839', 'value': '€700k'}, {'date': 'Jun 13, 2016', 'age': '23', 'clubName': 'AC Perugia Calcio', 'clubID': '839', 'value': '€900k'}, {'date': 'Jan 2, 2017', 'age': '23', 'clubName': 'Atalanta BC', 'clubID': '800', 'value': '€2.00m'}, {'date': 'Mar 28, 2017', 'age': '24', 'clubName': 'Atalanta BC', 'clubID': '800', 'value': '€4.00m'}, {'date': 'Jun 8, 2017', 'age': '24', 'clubName': 'Atalanta BC', 'clubID': '800', 'value': '€8.00m'}, {'date': 'Dec 29, 2017', 'age': '24', 'clubName': 'Atalanta BC', 'clubID': '800', 'value': '€12.00m'}, {'date': 'Jun 7, 2018', 'age': '25', 'clubName': 'Atalanta BC', 'clubID': '800', 'value': '€12.00m'}, {'date': 'Dec 20, 2018', 'age': '25', 'clubName': 'Juventus FC', 'clubID': '506', 'value': '€12.00m'}, {'date': 'Jun 6, 2019', 'age': '26', 'clubName': 'Juventus FC', 'clubID': '506', 'value': '€15.00m'}, {'date': 'Dec 12, 2019', 'age': '26', 'clubName': 'AS Roma', 'clubID': '12', 'value': '€18.00m'}, {'date': 'Apr 8, 2020', 'age': '27', 'clubName': 'AS Roma', 'clubID': '12', 'value': '€14.50m'}, {'date': 'Aug 25, 2020', 'age': '27', 'clubName': 'AS Roma', 'clubID': '12', 'value': '€15.00m'}, {'date': 'Oct 29, 2020', 'age': '27', 'clubName': 'AS Roma', 'clubID': '12', 'value': '€18.00m'}, {'date': 'Dec 29, 2020', 'age': '27', 'clubName': 'AS Roma', 'clubID': '12', 'value': '€23.00m'}, {'date': 'Mar 23, 2021', 'age': '27', 'clubName': 'AS Roma', 'clubID': '12', 'value': '€26.00m'}, {'date': 'May 25, 2021', 'age': '28', 'clubName': 'AS Roma', 'clubID': '12', 'value': '€26.00m'}, {'date': 'Dec 28, 2021', 'age': '28', 'clubName': 'AS Roma', 'clubID': '12', 'value': '€26.00m'}, {'date': 'Mar 15, 2022', 'age': '28', 'clubName': 'AS Roma', 'clubID': '12', 'value': '€20.00m'}, {'date': 'Jun 7, 2022', 'age': '29', 'clubName': 'AS Roma', 'clubID': '12', 'value': '€20.00m'}, {'date': 'Nov 11, 2022', 'age': '29', 'clubName': 'AS Roma', 'clubID': '12', 'value': '€15.00m'}, {'date': 'Jun 15, 2023', 'age': '30', 'clubName': 'AS Roma', 'clubID': '12', 'value': '€10.00m'}, {'date': 'Dec 20, 2023', 'age': '30', 'clubName': 'AS Roma', 'clubID': '12', 'value': '€7.50m'}, {'date': 'Mar 12, 2024', 'age': '30', 'clubName': 'AS Roma', 'clubID': '12', 'value': '€4.00m'}, {'date': 'Jun 5, 2024', 'age': '31', 'clubName': 'AS Roma', 'clubID': '12', 'value': '€4.00m'}, {'date': 'Dec 18, 2024', 'age': '31', 'clubName': 'SSC Napoli', 'clubID': '6195', 'value': '€2.50m'}, {'date': 'Mar 25, 2025', 'age': '32', 'clubName': 'SSC Napoli', 'clubID': '6195', 'value': '€3.50m'}, {'date': 'Jun 17, 2025', 'age': '32', 'clubName': 'SSC Napoli', 'clubID': '6195', 'value': '€3.50m'}, {'date': 'Dec 23, 2025', 'age': '32', 'clubName': 'SSC Napoli', 'clubID': '6195', 'value': '€3.50m'}]}</t>
  </si>
  <si>
    <t>1993-03-25</t>
  </si>
  <si>
    <t>Livaja</t>
  </si>
  <si>
    <t>{'marketValueHistory': [{'date': '28/03/2010', 'age': '16', 'clubName': 'HNK Hajduk Split', 'clubID': '447', 'value': '€50k'}, {'date': '10/01/2012', 'age': '18', 'clubName': 'AC Cesena', 'clubID': '1429', 'value': '€200k'}, {'date': '06/03/2012', 'age': '18', 'clubName': 'Inter Milan', 'clubID': '46', 'value': '€200k'}, {'date': '12/06/2012', 'age': '18', 'clubName': 'Inter Milan', 'clubID': '46', 'value': '€300k'}, {'date': '15/01/2013', 'age': '19', 'clubName': 'Inter Milan', 'clubID': '46', 'value': '€1.80m'}, {'date': '09/04/2013', 'age': '19', 'clubName': 'Atalanta BC', 'clubID': '800', 'value': '€3.00m'}, {'date': '19/06/2013', 'age': '19', 'clubName': 'Atalanta BC', 'clubID': '800', 'value': '€3.30m'}, {'date': '07/01/2014', 'age': '20', 'clubName': 'Atalanta BC', 'clubID': '800', 'value': '€3.30m'}, {'date': '01/07/2014', 'age': '20', 'clubName': 'Rubin Kazan', 'clubID': '2698', 'value': '€5.00m'}, {'date': '31/07/2014', 'age': '20', 'clubName': 'Rubin Kazan', 'clubID': '2698', 'value': '€6.00m'}, {'date': '23/02/2015', 'age': '21', 'clubName': 'Rubin Kazan', 'clubID': '2698', 'value': '€5.00m'}, {'date': '18/06/2015', 'age': '21', 'clubName': 'Rubin Kazan', 'clubID': '2698', 'value': '€4.00m'}, {'date': '04/01/2016', 'age': '22', 'clubName': 'FC Empoli', 'clubID': '749', 'value': '€3.50m'}, {'date': '01/04/2016', 'age': '22', 'clubName': 'FC Empoli', 'clubID': '749', 'value': '€3.00m'}, {'date': '15/07/2016', 'age': '22', 'clubName': 'UD Las Palmas', 'clubID': '472', 'value': '€3.00m'}, {'date': '24/01/2017', 'age': '23', 'clubName': 'UD Las Palmas', 'clubID': '472', 'value': '€3.50m'}, {'date': '05/06/2017', 'age': '23', 'clubName': 'UD Las Palmas', 'clubID': '472', 'value': '€2.50m'}, {'date': '18/12/2017', 'age': '24', 'clubName': 'AEK Athens', 'clubID': '2441', 'value': '€2.50m'}, {'date': '22/05/2018', 'age': '24', 'clubName': 'AEK Athens', 'clubID': '2441', 'value': '€3.50m'}, {'date': '07/12/2018', 'age': '25', 'clubName': 'AEK Athens', 'clubID': '2441', 'value': '€3.50m'}, {'date': '21/05/2019', 'age': '25', 'clubName': 'AEK Athens', 'clubID': '2441', 'value': '€4.00m'}, {'date': '18/12/2019', 'age': '26', 'clubName': 'AEK Athens', 'clubID': '2441', 'value': '€4.00m'}, {'date': '08/04/2020', 'age': '26', 'clubName': 'AEK Athens', 'clubID': '2441', 'value': '€3.20m'}, {'date': '04/08/2020', 'age': '26', 'clubName': 'AEK Athens', 'clubID': '2441', 'value': '€4.50m'}, {'date': '12/02/2021', 'age': '27', 'clubName': 'AEK Athens', 'clubID': '2441', 'value': '€3.00m'}, {'date': '10/06/2021', 'age': '27', 'clubName': 'HNK Hajduk Split', 'clubID': '447', 'value': '€3.50m'}, {'date': '30/12/2021', 'age': '28', 'clubName': 'HNK Hajduk Split', 'clubID': '447', 'value': '€5.50m'}, {'date': '22/03/2022', 'age': '28', 'clubName': 'HNK Hajduk Split', 'clubID': '447', 'value': '€6.50m'}, {'date': '06/06/2022', 'age': '28', 'clubName': 'HNK Hajduk Split', 'clubID': '447', 'value': '€7.50m'}, {'date': '08/11/2022', 'age': '29', 'clubName': 'HNK Hajduk Split', 'clubID': '447', 'value': '€8.00m'}, {'date': '06/06/2023', 'age': '29', 'clubName': 'HNK Hajduk Split', 'clubID': '447', 'value': '€8.00m'}, {'date': '18/12/2023', 'age': '30', 'clubName': 'HNK Hajduk Split', 'clubID': '447', 'value': '€6.50m'}, {'date': '04/06/2024', 'age': '30', 'clubName': 'HNK Hajduk Split', 'clubID': '447', 'value': '€5.00m'}, {'date': '23/12/2024', 'age': '31', 'clubName': 'HNK Hajduk Split', 'clubID': '447', 'value': '€5.00m'}, {'date': '09/06/2025', 'age': '31', 'clubName': 'HNK Hajduk Split', 'clubID': '447', 'value': '€5.00m'}, {'date': '30/09/2025', 'age': '32', 'clubName': 'HNK Hajduk Split', 'clubID': '447', 'value': '€3.50m'}, {'date': '22/12/2025', 'age': '32', 'clubName': 'HNK Hajduk Split', 'clubID': '447', 'value': '€3.00m'}]}</t>
  </si>
  <si>
    <t>1993-08-26</t>
  </si>
  <si>
    <t>Munir</t>
  </si>
  <si>
    <t>Geiger</t>
  </si>
  <si>
    <t>{'marketValueHistory': [{'date': '01/07/2016', 'age': '18', 'clubName': 'TSG 1899 Hoffenheim', 'clubID': '533', 'value': '€100k'}, {'date': '07/02/2017', 'age': '18', 'clubName': 'TSG 1899 Hoffenheim', 'clubID': '533', 'value': '€125k'}, {'date': '21/08/2017', 'age': '19', 'clubName': 'TSG 1899 Hoffenheim', 'clubID': '533', 'value': '€125k'}, {'date': '18/10/2017', 'age': '19', 'clubName': 'TSG 1899 Hoffenheim', 'clubID': '533', 'value': '€2.50m'}, {'date': '28/12/2017', 'age': '19', 'clubName': 'TSG 1899 Hoffenheim', 'clubID': '533', 'value': '€5.00m'}, {'date': '05/06/2018', 'age': '19', 'clubName': 'TSG 1899 Hoffenheim', 'clubID': '533', 'value': '€5.00m'}, {'date': '22/10/2018', 'age': '20', 'clubName': 'TSG 1899 Hoffenheim', 'clubID': '533', 'value': '€10.00m'}, {'date': '18/12/2018', 'age': '20', 'clubName': 'TSG 1899 Hoffenheim', 'clubID': '533', 'value': '€10.00m'}, {'date': '05/06/2019', 'age': '20', 'clubName': 'TSG 1899 Hoffenheim', 'clubID': '533', 'value': '€8.50m'}, {'date': '17/12/2019', 'age': '21', 'clubName': 'TSG 1899 Hoffenheim', 'clubID': '533', 'value': '€12.00m'}, {'date': '08/04/2020', 'age': '21', 'clubName': 'TSG 1899 Hoffenheim', 'clubID': '533', 'value': '€11.00m'}, {'date': '26/11/2020', 'age': '22', 'clubName': 'TSG 1899 Hoffenheim', 'clubID': '533', 'value': '€13.00m'}, {'date': '10/02/2021', 'age': '22', 'clubName': 'TSG 1899 Hoffenheim', 'clubID': '533', 'value': '€13.00m'}, {'date': '09/06/2021', 'age': '22', 'clubName': 'TSG 1899 Hoffenheim', 'clubID': '533', 'value': '€10.00m'}, {'date': '22/12/2021', 'age': '23', 'clubName': 'TSG 1899 Hoffenheim', 'clubID': '533', 'value': '€10.00m'}, {'date': '09/06/2022', 'age': '23', 'clubName': 'TSG 1899 Hoffenheim', 'clubID': '533', 'value': '€9.00m'}, {'date': '09/11/2022', 'age': '24', 'clubName': 'TSG 1899 Hoffenheim', 'clubID': '533', 'value': '€9.00m'}, {'date': '22/06/2023', 'age': '25', 'clubName': 'TSG 1899 Hoffenheim', 'clubID': '533', 'value': '€8.00m'}, {'date': '18/10/2023', 'age': '25', 'clubName': 'TSG 1899 Hoffenheim', 'clubID': '533', 'value': '€5.00m'}, {'date': '14/12/2023', 'age': '25', 'clubName': 'TSG 1899 Hoffenheim', 'clubID': '533', 'value': '€4.00m'}, {'date': '29/05/2024', 'age': '25', 'clubName': 'TSG 1899 Hoffenheim', 'clubID': '533', 'value': '€3.00m'}, {'date': '20/12/2024', 'age': '26', 'clubName': 'TSG 1899 Hoffenheim', 'clubID': '533', 'value': '€3.00m'}, {'date': '05/06/2025', 'age': '26', 'clubName': 'TSG 1899 Hoffenheim', 'clubID': '533', 'value': '€2.00m'}, {'date': '19/12/2025', 'age': '27', 'clubName': 'TSG 1899 Hoffenheim', 'clubID': '533', 'value': '€1.50m'}]}</t>
  </si>
  <si>
    <t>1998-06-10</t>
  </si>
  <si>
    <t>Andre Pereira</t>
  </si>
  <si>
    <t>{'marketValueHistory': [{'date': 'Sep 20, 2007', 'age': '19', 'clubName': 'FC Porto', 'clubID': '720', 'value': '€100k'}, {'date': 'Feb 18, 2008', 'age': '19', 'clubName': 'FC Porto', 'clubID': '720', 'value': '€300k'}, {'date': 'Jun 21, 2009', 'age': '21', 'clubName': 'SC Olhanense', 'clubID': '4750', 'value': '€500k'}, {'date': 'Feb 5, 2010', 'age': '21', 'clubName': 'SC Olhanense', 'clubID': '4750', 'value': '€1.30m'}, {'date': 'Jan 12, 2011', 'age': '22', 'clubName': 'Sporting Gijón', 'clubID': '2448', 'value': '€1.30m'}, {'date': 'Feb 4, 2011', 'age': '22', 'clubName': 'Sporting Gijón', 'clubID': '2448', 'value': '€1.30m'}, {'date': 'Apr 1, 2011', 'age': '22', 'clubName': 'Sporting Gijón', 'clubID': '2448', 'value': '€1.50m'}, {'date': 'Aug 17, 2011', 'age': '23', 'clubName': 'Sporting Gijón', 'clubID': '2448', 'value': '€2.50m'}, {'date': 'Feb 5, 2012', 'age': '23', 'clubName': 'Sporting Gijón', 'clubID': '2448', 'value': '€2.50m'}, {'date': 'Jul 2, 2013', 'age': '25', 'clubName': 'FC Porto', 'clubID': '720', 'value': '€3.50m'}, {'date': 'Jan 27, 2014', 'age': '25', 'clubName': 'Kasimpasa', 'clubID': '10484', 'value': '€4.50m'}, {'date': 'Jul 23, 2014', 'age': '26', 'clubName': 'Kasimpasa', 'clubID': '10484', 'value': '€5.00m'}, {'date': 'Jan 26, 2015', 'age': '26', 'clubName': 'Kasimpasa', 'clubID': '10484', 'value': '€5.25m'}, {'date': 'Jun 25, 2015', 'age': '27', 'clubName': 'Kasimpasa', 'clubID': '10484', 'value': '€5.00m'}, {'date': 'Jan 18, 2016', 'age': '27', 'clubName': 'Kasimpasa', 'clubID': '10484', 'value': '€5.75m'}, {'date': 'Jul 15, 2016', 'age': '28', 'clubName': 'Kasimpasa', 'clubID': '10484', 'value': '€5.75m'}, {'date': 'Jan 10, 2017', 'age': '28', 'clubName': 'Kasimpasa', 'clubID': '10484', 'value': '€4.25m'}, {'date': 'Jun 9, 2017', 'age': '29', 'clubName': 'Kasimpasa', 'clubID': '10484', 'value': '€3.50m'}, {'date': 'Feb 12, 2018', 'age': '29', 'clubName': 'Göztepe', 'clubID': '1467', 'value': '€2.75m'}, {'date': 'May 29, 2018', 'age': '30', 'clubName': 'Göztepe', 'clubID': '1467', 'value': '€2.50m'}, {'date': 'Jan 4, 2019', 'age': '30', 'clubName': 'Göztepe', 'clubID': '1467', 'value': '€2.50m'}, {'date': 'Jun 4, 2019', 'age': '31', 'clubName': 'Göztepe', 'clubID': '1467', 'value': '€1.50m'}, {'date': 'Jan 3, 2020', 'age': '31', 'clubName': 'Göztepe', 'clubID': '1467', 'value': '€1.30m'}, {'date': 'Apr 8, 2020', 'age': '32', 'clubName': 'Göztepe', 'clubID': '1467', 'value': '€1.00m'}, {'date': 'Aug 4, 2020', 'age': '32', 'clubName': 'SC Braga', 'clubID': '1075', 'value': '€800k'}, {'date': 'Jan 28, 2021', 'age': '32', 'clubName': 'SC Braga', 'clubID': '1075', 'value': '€1.50m'}, {'date': 'May 21, 2021', 'age': '33', 'clubName': 'SC Braga', 'clubID': '1075', 'value': '€1.50m'}, {'date': 'Dec 27, 2021', 'age': '33', 'clubName': 'SC Braga', 'clubID': '1075', 'value': '€1.00m'}, {'date': 'May 31, 2022', 'age': '34', 'clubName': 'SC Braga', 'clubID': '1075', 'value': '€500k'}, {'date': 'Nov 1, 2022', 'age': '34', 'clubName': 'SC Braga', 'clubID': '1075', 'value': '€400k'}, {'date': 'Jun 16, 2023', 'age': '35', 'clubName': 'SC Braga', 'clubID': '1075', 'value': '€200k'}, {'date': 'Dec 27, 2023', 'age': '35', 'clubName': 'SC Braga', 'clubID': '1075', 'value': '€200k'}, {'date': 'Jun 6, 2024', 'age': '36', 'clubName': 'Moreirense FC', 'clubID': '979', 'value': '€200k'}, {'date': 'Dec 16, 2024', 'age': '36', 'clubName': 'FC Porto B', 'clubID': '10331', 'value': '€100k'}, {'date': 'Jun 23, 2025', 'age': '37', 'clubName': 'FC Porto B', 'clubID': '10331', 'value': '€50k'}, {'date': 'Jul 1, 2025', 'age': '37', 'clubName': 'Retired', 'clubID': '123', 'value': '-'}]}</t>
  </si>
  <si>
    <t>1988-04-02</t>
  </si>
  <si>
    <t>Walker-Peters</t>
  </si>
  <si>
    <t>{'marketValueHistory': [{'date': '17/05/2017', 'age': '20', 'clubName': 'Tottenham Hotspur U23', 'clubID': '148', 'value': '€250k'}, {'date': '23/10/2017', 'age': '20', 'clubName': 'Tottenham Hotspur', 'clubID': '148', 'value': '€1.00m'}, {'date': '02/01/2018', 'age': '20', 'clubName': 'Tottenham Hotspur', 'clubID': '148', 'value': '€2.50m'}, {'date': '28/05/2018', 'age': '21', 'clubName': 'Tottenham Hotspur', 'clubID': '148', 'value': '€3.00m'}, {'date': '19/12/2018', 'age': '21', 'clubName': 'Tottenham Hotspur', 'clubID': '148', 'value': '€3.00m'}, {'date': '13/06/2019', 'age': '22', 'clubName': 'Tottenham Hotspur', 'clubID': '148', 'value': '€3.50m'}, {'date': '12/09/2019', 'age': '22', 'clubName': 'Tottenham Hotspur', 'clubID': '148', 'value': '€10.00m'}, {'date': '10/12/2019', 'age': '22', 'clubName': 'Tottenham Hotspur', 'clubID': '148', 'value': '€10.00m'}, {'date': '08/04/2020', 'age': '22', 'clubName': 'Southampton FC', 'clubID': '180', 'value': '€8.00m'}, {'date': '13/10/2020', 'age': '23', 'clubName': 'Southampton FC', 'clubID': '180', 'value': '€12.00m'}, {'date': '17/12/2020', 'age': '23', 'clubName': 'Southampton FC', 'clubID': '180', 'value': '€15.00m'}, {'date': '18/03/2021', 'age': '23', 'clubName': 'Southampton FC', 'clubID': '180', 'value': '€18.00m'}, {'date': '08/06/2021', 'age': '24', 'clubName': 'Southampton FC', 'clubID': '180', 'value': '€18.00m'}, {'date': '23/12/2021', 'age': '24', 'clubName': 'Southampton FC', 'clubID': '180', 'value': '€18.00m'}, {'date': '15/06/2022', 'age': '25', 'clubName': 'Southampton FC', 'clubID': '180', 'value': '€22.00m'}, {'date': '15/09/2022', 'age': '25', 'clubName': 'Southampton FC', 'clubID': '180', 'value': '€25.00m'}, {'date': '03/11/2022', 'age': '25', 'clubName': 'Southampton FC', 'clubID': '180', 'value': '€25.00m'}, {'date': '20/06/2023', 'age': '26', 'clubName': 'Southampton FC', 'clubID': '180', 'value': '€25.00m'}, {'date': '27/10/2023', 'age': '26', 'clubName': 'Southampton FC', 'clubID': '180', 'value': '€22.00m'}, {'date': '21/12/2023', 'age': '26', 'clubName': 'Southampton FC', 'clubID': '180', 'value': '€20.00m'}, {'date': '24/05/2024', 'age': '27', 'clubName': 'Southampton FC', 'clubID': '180', 'value': '€20.00m'}, {'date': '16/12/2024', 'age': '27', 'clubName': 'Southampton FC', 'clubID': '180', 'value': '€20.00m'}, {'date': '18/03/2025', 'age': '27', 'clubName': 'Southampton FC', 'clubID': '180', 'value': '€18.00m'}, {'date': '30/05/2025', 'age': '28', 'clubName': 'Southampton FC', 'clubID': '180', 'value': '€15.00m'}, {'date': '09/12/2025', 'age': '28', 'clubName': 'West Ham United', 'clubID': '379', 'value': '€13.00m'}]}</t>
  </si>
  <si>
    <t>1997-04-13</t>
  </si>
  <si>
    <t>Aboubakar</t>
  </si>
  <si>
    <t>{'marketValueHistory': [{'date': 'May 11, 2010', 'age': '18', 'clubName': 'Unknown', 'clubID': '75', 'value': '€200k'}, {'date': 'Jul 16, 2010', 'age': '18', 'clubName': 'Valenciennes FC', 'clubID': '1423', 'value': '€500k'}, {'date': 'Dec 28, 2010', 'age': '18', 'clubName': 'Valenciennes FC', 'clubID': '1423', 'value': '€750k'}, {'date': 'May 24, 2011', 'age': '19', 'clubName': 'Valenciennes FC', 'clubID': '1423', 'value': '€750k'}, {'date': 'Dec 24, 2011', 'age': '19', 'clubName': 'Valenciennes FC', 'clubID': '1423', 'value': '€1.50m'}, {'date': 'May 23, 2012', 'age': '20', 'clubName': 'Valenciennes FC', 'clubID': '1423', 'value': '€2.25m'}, {'date': 'Jun 14, 2012', 'age': '20', 'clubName': 'Valenciennes FC', 'clubID': '1423', 'value': '€2.50m'}, {'date': 'Jan 7, 2013', 'age': '20', 'clubName': 'Valenciennes FC', 'clubID': '1423', 'value': '€2.50m'}, {'date': 'May 30, 2013', 'age': '21', 'clubName': 'Valenciennes FC', 'clubID': '1423', 'value': '€2.00m'}, {'date': 'Jan 14, 2014', 'age': '21', 'clubName': 'FC Lorient', 'clubID': '1158', 'value': '€4.25m'}, {'date': 'Aug 7, 2014', 'age': '22', 'clubName': 'FC Lorient', 'clubID': '1158', 'value': '€5.50m'}, {'date': 'Feb 17, 2015', 'age': '23', 'clubName': 'FC Porto', 'clubID': '720', 'value': '€5.50m'}, {'date': 'Jul 1, 2015', 'age': '23', 'clubName': 'FC Porto', 'clubID': '720', 'value': '€6.50m'}, {'date': 'Oct 7, 2015', 'age': '23', 'clubName': 'FC Porto', 'clubID': '720', 'value': '€9.00m'}, {'date': 'Feb 24, 2016', 'age': '24', 'clubName': 'FC Porto', 'clubID': '720', 'value': '€10.50m'}, {'date': 'Jul 29, 2016', 'age': '24', 'clubName': 'FC Porto', 'clubID': '720', 'value': '€10.50m'}, {'date': 'Jan 10, 2017', 'age': '24', 'clubName': 'Besiktas JK', 'clubID': '114', 'value': '€10.00m'}, {'date': 'Jun 9, 2017', 'age': '25', 'clubName': 'Besiktas JK', 'clubID': '114', 'value': '€10.00m'}, {'date': 'Nov 6, 2017', 'age': '25', 'clubName': 'FC Porto', 'clubID': '720', 'value': '€13.00m'}, {'date': 'Feb 7, 2018', 'age': '26', 'clubName': 'FC Porto', 'clubID': '720', 'value': '€18.00m'}, {'date': 'Jun 13, 2018', 'age': '26', 'clubName': 'FC Porto', 'clubID': '720', 'value': '€18.00m'}, {'date': 'Jan 11, 2019', 'age': '26', 'clubName': 'FC Porto', 'clubID': '720', 'value': '€18.00m'}, {'date': 'Jun 7, 2019', 'age': '27', 'clubName': 'FC Porto', 'clubID': '720', 'value': '€15.00m'}, {'date': 'Oct 11, 2019', 'age': '27', 'clubName': 'FC Porto', 'clubID': '720', 'value': '€10.00m'}, {'date': 'Dec 30, 2019', 'age': '27', 'clubName': 'FC Porto', 'clubID': '720', 'value': '€7.00m'}, {'date': 'Apr 8, 2020', 'age': '28', 'clubName': 'FC Porto', 'clubID': '720', 'value': '€5.50m'}, {'date': 'Aug 17, 2020', 'age': '28', 'clubName': 'FC Porto', 'clubID': '720', 'value': '€5.00m'}, {'date': 'Dec 23, 2020', 'age': '28', 'clubName': 'Besiktas JK', 'clubID': '114', 'value': '€7.00m'}, {'date': 'Mar 16, 2021', 'age': '29', 'clubName': 'Besiktas JK', 'clubID': '114', 'value': '€10.00m'}, {'date': 'May 21, 2021', 'age': '29', 'clubName': 'Besiktas JK', 'clubID': '114', 'value': '€10.00m'}, {'date': 'Jan 6, 2022', 'age': '29', 'clubName': 'Al-Nassr FC', 'clubID': '18544', 'value': '€9.00m'}, {'date': 'Jun 30, 2022', 'age': '30', 'clubName': 'Al-Nassr FC', 'clubID': '18544', 'value': '€7.00m'}, {'date': 'Nov 14, 2022', 'age': '30', 'clubName': 'Al-Nassr FC', 'clubID': '18544', 'value': '€5.00m'}, {'date': 'Mar 14, 2023', 'age': '31', 'clubName': 'Besiktas JK', 'clubID': '114', 'value': '€5.00m'}, {'date': 'Jun 8, 2023', 'age': '31', 'clubName': 'Besiktas JK', 'clubID': '114', 'value': '€6.00m'}, {'date': 'Sep 27, 2023', 'age': '31', 'clubName': 'Besiktas JK', 'clubID': '114', 'value': '€7.00m'}, {'date': 'Dec 21, 2023', 'age': '31', 'clubName': 'Besiktas JK', 'clubID': '114', 'value': '€6.00m'}, {'date': 'Mar 15, 2024', 'age': '32', 'clubName': 'Besiktas JK', 'clubID': '114', 'value': '€4.50m'}, {'date': 'May 31, 2024', 'age': '32', 'clubName': 'Besiktas JK', 'clubID': '114', 'value': '€3.40m'}, {'date': 'Oct 4, 2024', 'age': '32', 'clubName': 'Hatayspor', 'clubID': '7775', 'value': '€2.80m'}, {'date': 'Dec 23, 2024', 'age': '32', 'clubName': 'Hatayspor', 'clubID': '7775', 'value': '€2.00m'}, {'date': 'Mar 20, 2025', 'age': '33', 'clubName': 'Hatayspor', 'clubID': '7775', 'value': '€1.60m'}, {'date': 'Jun 18, 2025', 'age': '33', 'clubName': 'Without Club', 'clubID': '515', 'value': '€1.20m'}, {'date': 'Oct 21, 2025', 'age': '33', 'clubName': 'Neftchi PFK', 'clubID': '8031', 'value': '€800k'}, {'date': 'Dec 23, 2025', 'age': '33', 'clubName': 'Neftchi PFK', 'clubID': '8031', 'value': '€700k'}]}</t>
  </si>
  <si>
    <t>1992-01-22</t>
  </si>
  <si>
    <t>Pastore</t>
  </si>
  <si>
    <t>{'marketValueHistory': [{'date': '08/09/2008', 'age': '19', 'clubName': 'CA Huracán', 'clubID': '2063', 'value': '€200k'}, {'date': '20/12/2008', 'age': '19', 'clubName': 'CA Huracán', 'clubID': '2063', 'value': '€800k'}, {'date': '09/04/2009', 'age': '19', 'clubName': 'CA Huracán', 'clubID': '2063', 'value': '€1.30m'}, {'date': '27/05/2009', 'age': '19', 'clubName': 'CA Huracán', 'clubID': '2063', 'value': '€3.00m'}, {'date': '06/08/2009', 'age': '20', 'clubName': 'US Palermo', 'clubID': '458', 'value': '€7.00m'}, {'date': '27/01/2010', 'age': '20', 'clubName': 'US Palermo', 'clubID': '458', 'value': '€8.50m'}, {'date': '02/08/2010', 'age': '21', 'clubName': 'US Palermo', 'clubID': '458', 'value': '€10.00m'}, {'date': '29/08/2010', 'age': '21', 'clubName': 'US Palermo', 'clubID': '458', 'value': '€12.50m'}, {'date': '10/01/2011', 'age': '21', 'clubName': 'US Palermo', 'clubID': '458', 'value': '€17.00m'}, {'date': '21/06/2011', 'age': '22', 'clubName': 'US Palermo', 'clubID': '458', 'value': '€21.00m'}, {'date': '12/08/2011', 'age': '22', 'clubName': 'Paris Saint-Germain', 'clubID': '583', 'value': '€30.00m'}, {'date': '24/12/2011', 'age': '22', 'clubName': 'Paris Saint-Germain', 'clubID': '583', 'value': '€30.00m'}, {'date': '23/05/2012', 'age': '22', 'clubName': 'Paris Saint-Germain', 'clubID': '583', 'value': '€29.00m'}, {'date': '07/01/2013', 'age': '23', 'clubName': 'Paris Saint-Germain', 'clubID': '583', 'value': '€27.00m'}, {'date': '30/05/2013', 'age': '23', 'clubName': 'Paris Saint-Germain', 'clubID': '583', 'value': '€27.00m'}, {'date': '14/01/2014', 'age': '24', 'clubName': 'Paris Saint-Germain', 'clubID': '583', 'value': '€20.50m'}, {'date': '01/08/2014', 'age': '25', 'clubName': 'Paris Saint-Germain', 'clubID': '583', 'value': '€18.00m'}, {'date': '14/01/2015', 'age': '25', 'clubName': 'Paris Saint-Germain', 'clubID': '583', 'value': '€20.00m'}, {'date': '06/06/2015', 'age': '25', 'clubName': 'Paris Saint-Germain', 'clubID': '583', 'value': '€25.00m'}, {'date': '04/02/2016', 'age': '26', 'clubName': 'Paris Saint-Germain', 'clubID': '583', 'value': '€25.00m'}, {'date': '13/07/2016', 'age': '27', 'clubName': 'Paris Saint-Germain', 'clubID': '583', 'value': '€24.00m'}, {'date': '16/01/2017', 'age': '27', 'clubName': 'Paris Saint-Germain', 'clubID': '583', 'value': '€20.00m'}, {'date': '01/06/2017', 'age': '27', 'clubName': 'Paris Saint-Germain', 'clubID': '583', 'value': '€20.00m'}, {'date': '24/01/2018', 'age': '28', 'clubName': 'Paris Saint-Germain', 'clubID': '583', 'value': '€18.00m'}, {'date': '04/06/2018', 'age': '28', 'clubName': 'Paris Saint-Germain', 'clubID': '583', 'value': '€15.00m'}, {'date': '12/10/2018', 'age': '29', 'clubName': 'AS Roma', 'clubID': '12', 'value': '€20.00m'}, {'date': '20/12/2018', 'age': '29', 'clubName': 'AS Roma', 'clubID': '12', 'value': '€20.00m'}, {'date': '01/03/2019', 'age': '29', 'clubName': 'AS Roma', 'clubID': '12', 'value': '€15.00m'}, {'date': '06/06/2019', 'age': '29', 'clubName': 'AS Roma', 'clubID': '12', 'value': '€15.00m'}, {'date': '12/12/2019', 'age': '30', 'clubName': 'AS Roma', 'clubID': '12', 'value': '€15.00m'}, {'date': '03/03/2020', 'age': '30', 'clubName': 'AS Roma', 'clubID': '12', 'value': '€10.00m'}, {'date': '08/04/2020', 'age': '30', 'clubName': 'AS Roma', 'clubID': '12', 'value': '€8.00m'}, {'date': '25/08/2020', 'age': '31', 'clubName': 'AS Roma', 'clubID': '12', 'value': '€5.00m'}, {'date': '29/12/2020', 'age': '31', 'clubName': 'AS Roma', 'clubID': '12', 'value': '€2.50m'}, {'date': '23/03/2021', 'age': '31', 'clubName': 'AS Roma', 'clubID': '12', 'value': '€2.00m'}, {'date': '03/06/2021', 'age': '31', 'clubName': 'AS Roma', 'clubID': '12', 'value': '€1.50m'}, {'date': '13/10/2021', 'age': '32', 'clubName': 'Elche CF', 'clubID': '1531', 'value': '€1.00m'}, {'date': '30/12/2021', 'age': '32', 'clubName': 'Elche CF', 'clubID': '1531', 'value': '€1.00m'}, {'date': '03/06/2022', 'age': '32', 'clubName': 'Elche CF', 'clubID': '1531', 'value': '€900k'}, {'date': '07/11/2022', 'age': '33', 'clubName': 'Elche CF', 'clubID': '1531', 'value': '€800k'}, {'date': '30/05/2023', 'age': '33', 'clubName': 'Qatar SC', 'clubID': '965', 'value': '€500k'}, {'date': '25/10/2023', 'age': '34', 'clubName': 'Retired', 'clubID': '123', 'value': '€400k'}, {'date': '29/03/2024', 'age': '34', 'clubName': 'Retired', 'clubID': '123', 'value': '€300k'}, {'date': '16/10/2024', 'age': '35', 'clubName': 'Retired', 'clubID': '123', 'value': '€200k'}, {'date': '19/12/2024', 'age': '35', 'clubName': 'Retired', 'clubID': '123', 'value': '-'}]}</t>
  </si>
  <si>
    <t>1989-06-20</t>
  </si>
  <si>
    <t>Goller</t>
  </si>
  <si>
    <t>{'marketValueHistory': [{'date': 'Aug 22, 2018', 'age': '19', 'clubName': 'FC Schalke 04', 'clubID': '33', 'value': '€200k'}, {'date': 'Dec 18, 2018', 'age': '19', 'clubName': 'FC Schalke 04', 'clubID': '33', 'value': '€500k'}, {'date': 'Jun 5, 2019', 'age': '20', 'clubName': 'FC Schalke 04', 'clubID': '33', 'value': '€400k'}, {'date': 'Dec 17, 2019', 'age': '20', 'clubName': 'SV Werder Bremen', 'clubID': '86', 'value': '€800k'}, {'date': 'Apr 8, 2020', 'age': '21', 'clubName': 'SV Werder Bremen', 'clubID': '86', 'value': '€725k'}, {'date': 'Feb 8, 2021', 'age': '22', 'clubName': 'Karlsruher SC', 'clubID': '48', 'value': '€800k'}, {'date': 'Jun 16, 2021', 'age': '22', 'clubName': 'Karlsruher SC', 'clubID': '48', 'value': '€700k'}, {'date': 'Dec 15, 2021', 'age': '22', 'clubName': 'SV Darmstadt 98', 'clubID': '105', 'value': '€700k'}, {'date': 'Jun 16, 2022', 'age': '23', 'clubName': 'Karlsruher SC', 'clubID': '48', 'value': '€700k'}, {'date': 'Nov 9, 2022', 'age': '23', 'clubName': 'SV Werder Bremen', 'clubID': '86', 'value': '€600k'}, {'date': 'Mar 31, 2023', 'age': '24', 'clubName': '1.FC Nuremberg', 'clubID': '4', 'value': '€450k'}, {'date': 'Jun 28, 2023', 'age': '24', 'clubName': '1.FC Nuremberg', 'clubID': '4', 'value': '€450k'}, {'date': 'Dec 15, 2023', 'age': '24', 'clubName': '1.FC Nuremberg', 'clubID': '4', 'value': '€750k'}, {'date': 'Jun 6, 2024', 'age': '25', 'clubName': '1.FC Nuremberg', 'clubID': '4', 'value': '€750k'}, {'date': 'Dec 19, 2024', 'age': '25', 'clubName': '1.FC Nuremberg', 'clubID': '4', 'value': '€600k'}, {'date': 'Mar 26, 2025', 'age': '26', 'clubName': '1.FC Nuremberg', 'clubID': '4', 'value': '€400k'}, {'date': 'Jun 19, 2025', 'age': '26', 'clubName': '1.FC Nuremberg', 'clubID': '4', 'value': '€400k'}, {'date': 'Dec 29, 2025', 'age': '26', 'clubName': '1.FC Nuremberg II', 'clubID': '473', 'value': '€300k'}]}</t>
  </si>
  <si>
    <t>1999-01-01</t>
  </si>
  <si>
    <t>Gorgelin</t>
  </si>
  <si>
    <t>{'marketValueHistory': [{'date': '16/07/2010', 'age': '19', 'clubName': 'Olympique Lyon', 'clubID': '1041', 'value': '€50k'}, {'date': '28/12/2010', 'age': '20', 'clubName': 'Olympique Lyon', 'clubID': '1041', 'value': '€150k'}, {'date': '24/05/2011', 'age': '20', 'clubName': 'Olympique Lyon', 'clubID': '1041', 'value': '€200k'}, {'date': '07/01/2013', 'age': '22', 'clubName': 'Olympique Lyon', 'clubID': '1041', 'value': '€200k'}, {'date': '30/05/2013', 'age': '22', 'clubName': 'Olympique Lyon', 'clubID': '1041', 'value': '€200k'}, {'date': '14/01/2014', 'age': '23', 'clubName': 'Olympique Lyon', 'clubID': '1041', 'value': '€300k'}, {'date': '07/08/2014', 'age': '24', 'clubName': 'Olympique Lyon', 'clubID': '1041', 'value': '€250k'}, {'date': '14/01/2015', 'age': '24', 'clubName': 'Olympique Lyon', 'clubID': '1041', 'value': '€400k'}, {'date': '06/06/2015', 'age': '24', 'clubName': 'Olympique Lyon', 'clubID': '1041', 'value': '€400k'}, {'date': '04/02/2016', 'age': '25', 'clubName': 'Olympique Lyon', 'clubID': '1041', 'value': '€400k'}, {'date': '13/07/2016', 'age': '25', 'clubName': 'Olympique Lyon', 'clubID': '1041', 'value': '€400k'}, {'date': '16/01/2017', 'age': '26', 'clubName': 'Olympique Lyon', 'clubID': '1041', 'value': '€400k'}, {'date': '01/06/2017', 'age': '26', 'clubName': 'Olympique Lyon', 'clubID': '1041', 'value': '€400k'}, {'date': '24/01/2018', 'age': '27', 'clubName': 'Olympique Lyon', 'clubID': '1041', 'value': '€400k'}, {'date': '04/06/2018', 'age': '27', 'clubName': 'Olympique Lyon', 'clubID': '1041', 'value': '€1.00m'}, {'date': '17/12/2018', 'age': '28', 'clubName': 'Olympique Lyon', 'clubID': '1041', 'value': '€1.00m'}, {'date': '03/06/2019', 'age': '28', 'clubName': 'Olympique Lyon', 'clubID': '1041', 'value': '€1.00m'}, {'date': '06/01/2020', 'age': '29', 'clubName': 'Le Havre AC', 'clubID': '738', 'value': '€1.00m'}, {'date': '08/04/2020', 'age': '29', 'clubName': 'Le Havre AC', 'clubID': '738', 'value': '€800k'}, {'date': '11/11/2020', 'age': '30', 'clubName': 'Le Havre AC', 'clubID': '738', 'value': '€800k'}, {'date': '25/06/2021', 'age': '30', 'clubName': 'Le Havre AC', 'clubID': '738', 'value': '€800k'}, {'date': '27/12/2021', 'age': '31', 'clubName': 'Le Havre AC', 'clubID': '738', 'value': '€600k'}, {'date': '02/06/2022', 'age': '31', 'clubName': 'Le Havre AC', 'clubID': '738', 'value': '€500k'}, {'date': '28/10/2022', 'age': '32', 'clubName': 'Le Havre AC', 'clubID': '738', 'value': '€400k'}, {'date': '06/04/2023', 'age': '32', 'clubName': 'Le Havre AC', 'clubID': '738', 'value': '€250k'}, {'date': '16/06/2023', 'age': '32', 'clubName': 'Le Havre AC', 'clubID': '738', 'value': '€200k'}, {'date': '18/12/2023', 'age': '33', 'clubName': 'Le Havre AC', 'clubID': '738', 'value': '€200k'}, {'date': '03/06/2024', 'age': '33', 'clubName': 'Le Havre AC', 'clubID': '738', 'value': '€200k'}, {'date': '10/12/2024', 'age': '34', 'clubName': 'Le Havre AC', 'clubID': '738', 'value': '€200k'}, {'date': '03/06/2025', 'age': '34', 'clubName': 'Le Havre AC', 'clubID': '738', 'value': '€300k'}, {'date': '21/10/2025', 'age': '35', 'clubName': 'Without Club', 'clubID': '515', 'value': '€250k'}]}</t>
  </si>
  <si>
    <t>1990-08-05</t>
  </si>
  <si>
    <t>Reznicek</t>
  </si>
  <si>
    <t>{'marketValueHistory': [{'date': 'Nov 21, 2007', 'age': '19', 'clubName': 'FK Mlada Boleslav', 'clubID': '5546', 'value': '€200k'}, {'date': 'Nov 28, 2007', 'age': '19', 'clubName': 'FK Mlada Boleslav', 'clubID': '5546', 'value': '-'}, {'date': 'May 16, 2008', 'age': '19', 'clubName': 'FK Mlada Boleslav', 'clubID': '5546', 'value': '€550k'}, {'date': 'Jan 15, 2009', 'age': '20', 'clubName': 'FK Mlada Boleslav', 'clubID': '5546', 'value': '€700k'}, {'date': 'Sep 4, 2009', 'age': '21', 'clubName': 'MFK Ruzomberok', 'clubID': '7087', 'value': '€350k'}, {'date': 'Oct 20, 2010', 'age': '22', 'clubName': 'FK Mlada Boleslav', 'clubID': '5546', 'value': '€350k'}, {'date': 'Aug 12, 2011', 'age': '23', 'clubName': 'FK Mlada Boleslav', 'clubID': '5546', 'value': '€450k'}, {'date': 'Dec 24, 2011', 'age': '23', 'clubName': 'FK Mlada Boleslav', 'clubID': '5546', 'value': '€400k'}, {'date': 'Nov 3, 2012', 'age': '24', 'clubName': 'SK Dynamo Ceske Budejovice', 'clubID': '1321', 'value': '€300k'}, {'date': 'Sep 24, 2013', 'age': '25', 'clubName': '1.FK Pribram', 'clubID': '2598', 'value': '€300k'}, {'date': 'May 8, 2014', 'age': '25', 'clubName': '1.FK Pribram', 'clubID': '2598', 'value': '€350k'}, {'date': 'Oct 15, 2015', 'age': '27', 'clubName': 'FC Zbrojovka Brno', 'clubID': '5225', 'value': '€400k'}, {'date': 'Mar 18, 2016', 'age': '27', 'clubName': 'FC Zbrojovka Brno', 'clubID': '5225', 'value': '€600k'}, {'date': 'Aug 3, 2016', 'age': '28', 'clubName': 'FC Zbrojovka Brno', 'clubID': '5225', 'value': '€600k'}, {'date': 'Dec 19, 2016', 'age': '28', 'clubName': 'FC Zbrojovka Brno', 'clubID': '5225', 'value': '€650k'}, {'date': 'Jun 10, 2017', 'age': '29', 'clubName': 'FC Zbrojovka Brno', 'clubID': '5225', 'value': '€700k'}, {'date': 'Dec 21, 2017', 'age': '29', 'clubName': 'FC Viktoria Plzen', 'clubID': '941', 'value': '€700k'}, {'date': 'Jul 14, 2018', 'age': '30', 'clubName': 'FC Viktoria Plzen', 'clubID': '941', 'value': '€700k'}, {'date': 'Dec 30, 2018', 'age': '30', 'clubName': 'FC Viktoria Plzen', 'clubID': '941', 'value': '€700k'}, {'date': 'Jun 10, 2019', 'age': '31', 'clubName': 'KSC Lokeren (-2020)', 'clubID': '498', 'value': '€650k'}, {'date': 'Dec 7, 2019', 'age': '31', 'clubName': 'FK Teplice', 'clubID': '814', 'value': '€650k'}, {'date': 'Apr 8, 2020', 'age': '31', 'clubName': 'FK Teplice', 'clubID': '814', 'value': '€525k'}, {'date': 'Jul 10, 2020', 'age': '32', 'clubName': 'FK Teplice', 'clubID': '814', 'value': '€650k'}, {'date': 'Dec 27, 2020', 'age': '32', 'clubName': 'FK Teplice', 'clubID': '814', 'value': '€500k'}, {'date': 'Apr 19, 2021', 'age': '32', 'clubName': 'FK Teplice', 'clubID': '814', 'value': '€300k'}, {'date': 'Jun 25, 2021', 'age': '33', 'clubName': 'FK Teplice', 'clubID': '814', 'value': '€200k'}, {'date': 'Dec 26, 2021', 'age': '33', 'clubName': 'FC Zbrojovka Brno', 'clubID': '5225', 'value': '€250k'}, {'date': 'Jun 22, 2022', 'age': '34', 'clubName': 'FC Zbrojovka Brno', 'clubID': '5225', 'value': '€250k'}, {'date': 'Dec 14, 2022', 'age': '34', 'clubName': 'FC Zbrojovka Brno', 'clubID': '5225', 'value': '€300k'}, {'date': 'Jun 20, 2023', 'age': '35', 'clubName': 'FC Zbrojovka Brno', 'clubID': '5225', 'value': '€300k'}, {'date': 'Dec 20, 2023', 'age': '35', 'clubName': 'FC Zbrojovka Brno', 'clubID': '5225', 'value': '€300k'}, {'date': 'Jun 5, 2024', 'age': '36', 'clubName': 'FC Zbrojovka Brno', 'clubID': '5225', 'value': '€200k'}, {'date': 'Dec 20, 2024', 'age': '36', 'clubName': 'FK Dukla Prague', 'clubID': '450', 'value': '€150k'}, {'date': 'Jun 17, 2025', 'age': '37', 'clubName': 'FK Dukla Prague', 'clubID': '450', 'value': '€100k'}, {'date': 'Sep 23, 2025', 'age': '37', 'clubName': 'FK Pribram', 'clubID': '2598', 'value': '€50k'}, {'date': 'Dec 22, 2025', 'age': '37', 'clubName': 'FK Pribram', 'clubID': '2598', 'value': '€25k'}]}</t>
  </si>
  <si>
    <t>La. Martinez</t>
  </si>
  <si>
    <t>{'marketValueHistory': [{'date': '06/02/2016', 'age': '18', 'clubName': 'Racing Club', 'clubID': '1444', 'value': '€100k'}, {'date': '08/08/2016', 'age': '18', 'clubName': 'Racing Club', 'clubID': '1444', 'value': '€500k'}, {'date': '13/02/2017', 'age': '19', 'clubName': 'Racing Club', 'clubID': '1444', 'value': '€2.50m'}, {'date': '09/10/2017', 'age': '20', 'clubName': 'Racing Club', 'clubID': '1444', 'value': '€10.00m'}, {'date': '08/05/2018', 'age': '20', 'clubName': 'Racing Club', 'clubID': '1444', 'value': '€25.00m'}, {'date': '20/12/2018', 'age': '21', 'clubName': 'Inter Milan', 'clubID': '46', 'value': '€25.00m'}, {'date': '06/06/2019', 'age': '21', 'clubName': 'Inter Milan', 'clubID': '46', 'value': '€30.00m'}, {'date': '08/10/2019', 'age': '22', 'clubName': 'Inter Milan', 'clubID': '46', 'value': '€40.00m'}, {'date': '12/12/2019', 'age': '22', 'clubName': 'Inter Milan', 'clubID': '46', 'value': '€80.00m'}, {'date': '08/04/2020', 'age': '22', 'clubName': 'Inter Milan', 'clubID': '46', 'value': '€64.00m'}, {'date': '25/08/2020', 'age': '23', 'clubName': 'Inter Milan', 'clubID': '46', 'value': '€70.00m'}, {'date': '29/12/2020', 'age': '23', 'clubName': 'Inter Milan', 'clubID': '46', 'value': '€70.00m'}, {'date': '03/06/2021', 'age': '23', 'clubName': 'Inter Milan', 'clubID': '46', 'value': '€80.00m'}, {'date': '28/12/2021', 'age': '24', 'clubName': 'Inter Milan', 'clubID': '46', 'value': '€80.00m'}, {'date': '15/03/2022', 'age': '24', 'clubName': 'Inter Milan', 'clubID': '46', 'value': '€70.00m'}, {'date': '07/06/2022', 'age': '24', 'clubName': 'Inter Milan', 'clubID': '46', 'value': '€75.00m'}, {'date': '11/11/2022', 'age': '25', 'clubName': 'Inter Milan', 'clubID': '46', 'value': '€75.00m'}, {'date': '21/03/2023', 'age': '25', 'clubName': 'Inter Milan', 'clubID': '46', 'value': '€80.00m'}, {'date': '15/06/2023', 'age': '25', 'clubName': 'Inter Milan', 'clubID': '46', 'value': '€85.00m'}, {'date': '11/10/2023', 'age': '26', 'clubName': 'Inter Milan', 'clubID': '46', 'value': '€100.00m'}, {'date': '20/12/2023', 'age': '26', 'clubName': 'Inter Milan', 'clubID': '46', 'value': '€110.00m'}, {'date': '05/06/2024', 'age': '26', 'clubName': 'Inter Milan', 'clubID': '46', 'value': '€110.00m'}, {'date': '18/12/2024', 'age': '27', 'clubName': 'Inter Milan', 'clubID': '46', 'value': '€100.00m'}, {'date': '25/03/2025', 'age': '27', 'clubName': 'Inter Milan', 'clubID': '46', 'value': '€95.00m'}, {'date': '17/06/2025', 'age': '27', 'clubName': 'Inter Milan', 'clubID': '46', 'value': '€95.00m'}, {'date': '07/10/2025', 'age': '28', 'clubName': 'Inter Milan', 'clubID': '46', 'value': '€85.00m'}, {'date': '23/12/2025', 'age': '28', 'clubName': 'Inter Milan', 'clubID': '46', 'value': '€85.00m'}]}</t>
  </si>
  <si>
    <t>1997-08-22</t>
  </si>
  <si>
    <t>Omer Bayram</t>
  </si>
  <si>
    <t>{'marketValueHistory': [{'date': 'Jul 11, 2009', 'age': '17', 'clubName': 'NAC Breda U19', 'clubID': '7462', 'value': '€50k'}, {'date': 'Aug 20, 2010', 'age': '19', 'clubName': 'NAC Breda', 'clubID': '132', 'value': '€100k'}, {'date': 'Jun 28, 2011', 'age': '19', 'clubName': 'NAC Breda', 'clubID': '132', 'value': '€150k'}, {'date': 'Oct 21, 2011', 'age': '20', 'clubName': 'NAC Breda', 'clubID': '132', 'value': '€350k'}, {'date': 'Jan 20, 2012', 'age': '20', 'clubName': 'NAC Breda', 'clubID': '132', 'value': '€500k'}, {'date': 'Jan 6, 2013', 'age': '21', 'clubName': 'Kayserispor', 'clubID': '3205', 'value': '€800k'}, {'date': 'Jun 14, 2013', 'age': '21', 'clubName': 'Kayserispor', 'clubID': '3205', 'value': '€1.00m'}, {'date': 'Jan 27, 2014', 'age': '22', 'clubName': 'Kayserispor', 'clubID': '3205', 'value': '€1.25m'}, {'date': 'Aug 11, 2014', 'age': '23', 'clubName': 'Kayserispor', 'clubID': '3205', 'value': '€1.25m'}, {'date': 'Jan 5, 2015', 'age': '23', 'clubName': 'Kayserispor', 'clubID': '3205', 'value': '€1.25m'}, {'date': 'Jun 8, 2015', 'age': '23', 'clubName': 'Kayserispor', 'clubID': '3205', 'value': '€1.70m'}, {'date': 'Jan 18, 2016', 'age': '24', 'clubName': 'Kayserispor', 'clubID': '3205', 'value': '€2.50m'}, {'date': 'Jul 15, 2016', 'age': '24', 'clubName': 'Akhisar Belediyespor', 'clubID': '19771', 'value': '€2.75m'}, {'date': 'Jan 10, 2017', 'age': '25', 'clubName': 'Akhisar Belediyespor', 'clubID': '19771', 'value': '€2.50m'}, {'date': 'Jun 9, 2017', 'age': '25', 'clubName': 'Akhisar Belediyespor', 'clubID': '19771', 'value': '€2.50m'}, {'date': 'Feb 12, 2018', 'age': '26', 'clubName': 'Akhisarspor', 'clubID': '19771', 'value': '€2.00m'}, {'date': 'May 29, 2018', 'age': '26', 'clubName': 'Akhisarspor', 'clubID': '19771', 'value': '€2.00m'}, {'date': 'Jan 4, 2019', 'age': '27', 'clubName': 'Galatasaray', 'clubID': '141', 'value': '€1.40m'}, {'date': 'Mar 27, 2019', 'age': '27', 'clubName': 'Galatasaray', 'clubID': '141', 'value': '€800k'}, {'date': 'Jun 4, 2019', 'age': '27', 'clubName': 'Galatasaray', 'clubID': '141', 'value': '€400k'}, {'date': 'Oct 4, 2019', 'age': '28', 'clubName': 'Galatasaray', 'clubID': '141', 'value': '€900k'}, {'date': 'Jan 3, 2020', 'age': '28', 'clubName': 'Galatasaray', 'clubID': '141', 'value': '€1.70m'}, {'date': 'Mar 25, 2020', 'age': '28', 'clubName': 'Galatasaray', 'clubID': '141', 'value': '€3.60m'}, {'date': 'Apr 8, 2020', 'age': '28', 'clubName': 'Galatasaray', 'clubID': '141', 'value': '€2.80m'}, {'date': 'Aug 4, 2020', 'age': '29', 'clubName': 'Galatasaray', 'clubID': '141', 'value': '€2.80m'}, {'date': 'Dec 23, 2020', 'age': '29', 'clubName': 'Galatasaray', 'clubID': '141', 'value': '€2.30m'}, {'date': 'Mar 16, 2021', 'age': '29', 'clubName': 'Galatasaray', 'clubID': '141', 'value': '€1.60m'}, {'date': 'May 21, 2021', 'age': '29', 'clubName': 'Galatasaray', 'clubID': '141', 'value': '€1.30m'}, {'date': 'Oct 12, 2021', 'age': '30', 'clubName': 'Galatasaray', 'clubID': '141', 'value': '€1.20m'}, {'date': 'Jan 4, 2022', 'age': '30', 'clubName': 'Galatasaray', 'clubID': '141', 'value': '€700k'}, {'date': 'Mar 31, 2022', 'age': '30', 'clubName': 'Galatasaray', 'clubID': '141', 'value': '€450k'}, {'date': 'Jun 1, 2022', 'age': '30', 'clubName': 'Galatasaray', 'clubID': '141', 'value': '€250k'}, {'date': 'Nov 15, 2022', 'age': '31', 'clubName': 'Eyüpspor', 'clubID': '7160', 'value': '€250k'}, {'date': 'Apr 3, 2023', 'age': '31', 'clubName': 'Eyüpspor', 'clubID': '7160', 'value': '€200k'}, {'date': 'Jun 23, 2023', 'age': '31', 'clubName': 'Eyüpspor', 'clubID': '7160', 'value': '€200k'}, {'date': 'Oct 20, 2023', 'age': '32', 'clubName': 'Eyüpspor', 'clubID': '7160', 'value': '€200k'}, {'date': 'Dec 29, 2023', 'age': '32', 'clubName': 'Eyüpspor', 'clubID': '7160', 'value': '€75k'}, {'date': 'Mar 26, 2024', 'age': '32', 'clubName': 'Eyüpspor', 'clubID': '7160', 'value': '€75k'}, {'date': 'Jun 13, 2024', 'age': '32', 'clubName': 'Eyüpspor', 'clubID': '7160', 'value': '€50k'}, {'date': 'Oct 16, 2024', 'age': '33', 'clubName': 'Amed SK', 'clubID': '12382', 'value': '€50k'}, {'date': 'Jan 9, 2025', 'age': '33', 'clubName': 'Amed SK', 'clubID': '12382', 'value': '€50k'}, {'date': 'Apr 2, 2025', 'age': '33', 'clubName': 'Amed SK', 'clubID': '12382', 'value': '€50k'}, {'date': 'Jun 25, 2025', 'age': '33', 'clubName': 'Amed SK', 'clubID': '12382', 'value': '€50k'}, {'date': 'Dec 29, 2025', 'age': '34', 'clubName': 'Sariyerspor', 'clubID': '518', 'value': '€50k'}]}</t>
  </si>
  <si>
    <t>1991-07-27</t>
  </si>
  <si>
    <t>Lato</t>
  </si>
  <si>
    <t>{'marketValueHistory': [{'date': '23/05/2018', 'age': '19', 'clubName': 'Sport Club Corinthians Paulista', 'clubID': '199', 'value': '€50k'}, {'date': '18/02/2019', 'age': '20', 'clubName': 'Sport Club Corinthians Paulista', 'clubID': '199', 'value': '€100k'}, {'date': '28/05/2019', 'age': '20', 'clubName': 'Sport Club Corinthians Paulista', 'clubID': '199', 'value': '€500k'}, {'date': '15/08/2019', 'age': '20', 'clubName': 'Sport Club Corinthians Paulista', 'clubID': '199', 'value': '€900k'}, {'date': '27/11/2019', 'age': '20', 'clubName': 'Sport Club Corinthians Paulista', 'clubID': '199', 'value': '€900k'}, {'date': '08/04/2020', 'age': '21', 'clubName': 'Sport Club Corinthians Paulista', 'clubID': '199', 'value': '€800k'}, {'date': '29/10/2020', 'age': '21', 'clubName': 'AC Monza', 'clubID': '2919', 'value': '€3.00m'}, {'date': '22/02/2021', 'age': '22', 'clubName': 'AC Monza', 'clubID': '2919', 'value': '€5.00m'}, {'date': '24/06/2021', 'age': '22', 'clubName': 'AC Monza', 'clubID': '2919', 'value': '€5.50m'}, {'date': '29/12/2021', 'age': '22', 'clubName': 'AC Monza', 'clubID': '2919', 'value': '€4.00m'}, {'date': '06/06/2022', 'age': '23', 'clubName': 'AC Monza', 'clubID': '2919', 'value': '€4.50m'}, {'date': '11/11/2022', 'age': '23', 'clubName': 'AC Monza', 'clubID': '2919', 'value': '€4.50m'}, {'date': '21/03/2023', 'age': '24', 'clubName': 'AC Monza', 'clubID': '2919', 'value': '€8.00m'}, {'date': '15/06/2023', 'age': '24', 'clubName': 'AC Monza', 'clubID': '2919', 'value': '€15.00m'}, {'date': '20/12/2023', 'age': '24', 'clubName': 'Inter Milan', 'clubID': '46', 'value': '€16.00m'}, {'date': '12/03/2024', 'age': '25', 'clubName': 'Inter Milan', 'clubID': '46', 'value': '€20.00m'}, {'date': '05/06/2024', 'age': '25', 'clubName': 'Inter Milan', 'clubID': '46', 'value': '€22.00m'}, {'date': '18/12/2024', 'age': '25', 'clubName': 'Inter Milan', 'clubID': '46', 'value': '€22.00m'}, {'date': '17/06/2025', 'age': '26', 'clubName': 'Inter Milan', 'clubID': '46', 'value': '€26.00m'}, {'date': '23/12/2025', 'age': '26', 'clubName': 'Inter Milan', 'clubID': '46', 'value': '€26.00m'}]}</t>
  </si>
  <si>
    <t>1999-01-07</t>
  </si>
  <si>
    <t>Choupo-Moting</t>
  </si>
  <si>
    <t>{'marketValueHistory': [{'date': 'May 9, 2007', 'age': '18', 'clubName': 'Hamburger SV U19', 'clubID': '41', 'value': '€200k'}, {'date': 'Nov 8, 2007', 'age': '18', 'clubName': 'Hamburger SV', 'clubID': '41', 'value': '€500k'}, {'date': 'Jan 1, 2008', 'age': '18', 'clubName': 'Hamburger SV', 'clubID': '41', 'value': '€800k'}, {'date': 'Jun 4, 2008', 'age': '19', 'clubName': 'Hamburger SV', 'clubID': '41', 'value': '€1.00m'}, {'date': 'Jul 13, 2010', 'age': '21', 'clubName': 'Hamburger SV', 'clubID': '41', 'value': '€1.50m'}, {'date': 'Jul 16, 2010', 'age': '21', 'clubName': 'Hamburger SV', 'clubID': '41', 'value': '€2.00m'}, {'date': 'Jan 12, 2011', 'age': '21', 'clubName': 'Hamburger SV', 'clubID': '41', 'value': '€3.00m'}, {'date': 'Jun 29, 2011', 'age': '22', 'clubName': 'Hamburger SV', 'clubID': '41', 'value': '€2.00m'}, {'date': 'Jan 23, 2012', 'age': '22', 'clubName': '1.FSV Mainz 05', 'clubID': '39', 'value': '€2.25m'}, {'date': 'Jun 29, 2012', 'age': '23', 'clubName': '1.FSV Mainz 05', 'clubID': '39', 'value': '€3.50m'}, {'date': 'Jan 13, 2013', 'age': '23', 'clubName': '1.FSV Mainz 05', 'clubID': '39', 'value': '€3.50m'}, {'date': 'Jun 30, 2013', 'age': '24', 'clubName': '1.FSV Mainz 05', 'clubID': '39', 'value': '€2.75m'}, {'date': 'Feb 12, 2014', 'age': '24', 'clubName': '1.FSV Mainz 05', 'clubID': '39', 'value': '€3.50m'}, {'date': 'Mar 31, 2014', 'age': '25', 'clubName': '1.FSV Mainz 05', 'clubID': '39', 'value': '€5.00m'}, {'date': 'Jul 10, 2014', 'age': '25', 'clubName': 'FC Schalke 04', 'clubID': '33', 'value': '€7.50m'}, {'date': 'Feb 4, 2015', 'age': '25', 'clubName': 'FC Schalke 04', 'clubID': '33', 'value': '€10.00m'}, {'date': 'Jul 1, 2015', 'age': '26', 'clubName': 'FC Schalke 04', 'clubID': '33', 'value': '€10.00m'}, {'date': 'Feb 15, 2016', 'age': '26', 'clubName': 'FC Schalke 04', 'clubID': '33', 'value': '€10.00m'}, {'date': 'Jul 22, 2016', 'age': '27', 'clubName': 'FC Schalke 04', 'clubID': '33', 'value': '€8.00m'}, {'date': 'Feb 7, 2017', 'age': '27', 'clubName': 'FC Schalke 04', 'clubID': '33', 'value': '€8.00m'}, {'date': 'Jun 19, 2017', 'age': '28', 'clubName': 'FC Schalke 04', 'clubID': '33', 'value': '€6.00m'}, {'date': 'Jan 2, 2018', 'age': '28', 'clubName': 'Stoke City', 'clubID': '512', 'value': '€8.00m'}, {'date': 'May 28, 2018', 'age': '29', 'clubName': 'Stoke City', 'clubID': '512', 'value': '€8.00m'}, {'date': 'Dec 17, 2018', 'age': '29', 'clubName': 'Paris Saint-Germain', 'clubID': '583', 'value': '€8.00m'}, {'date': 'Mar 7, 2019', 'age': '29', 'clubName': 'Paris Saint-Germain', 'clubID': '583', 'value': '€6.00m'}, {'date': 'Jun 3, 2019', 'age': '30', 'clubName': 'Paris Saint-Germain', 'clubID': '583', 'value': '€5.00m'}, {'date': 'Dec 19, 2019', 'age': '30', 'clubName': 'Paris Saint-Germain', 'clubID': '583', 'value': '€5.00m'}, {'date': 'Apr 8, 2020', 'age': '31', 'clubName': 'Paris Saint-Germain', 'clubID': '583', 'value': '€4.00m'}, {'date': 'Feb 10, 2021', 'age': '31', 'clubName': 'Bayern Munich', 'clubID': '27', 'value': '€3.50m'}, {'date': 'Jun 9, 2021', 'age': '32', 'clubName': 'Bayern Munich', 'clubID': '27', 'value': '€3.50m'}, {'date': 'Dec 22, 2021', 'age': '32', 'clubName': 'Bayern Munich', 'clubID': '27', 'value': '€3.50m'}, {'date': 'Jun 9, 2022', 'age': '33', 'clubName': 'Bayern Munich', 'clubID': '27', 'value': '€3.00m'}, {'date': 'Nov 9, 2022', 'age': '33', 'clubName': 'Bayern Munich', 'clubID': '27', 'value': '€6.00m'}, {'date': 'Jun 22, 2023', 'age': '34', 'clubName': 'Bayern Munich', 'clubID': '27', 'value': '€5.00m'}, {'date': 'Dec 14, 2023', 'age': '34', 'clubName': 'Bayern Munich', 'clubID': '27', 'value': '€3.00m'}, {'date': 'May 29, 2024', 'age': '35', 'clubName': 'Bayern Munich', 'clubID': '27', 'value': '€2.50m'}, {'date': 'Oct 16, 2024', 'age': '35', 'clubName': 'Without Club', 'clubID': '515', 'value': '€1.80m'}, {'date': 'Apr 17, 2025', 'age': '36', 'clubName': 'New York Red Bulls', 'clubID': '623', 'value': '€1.50m'}, {'date': 'Jun 5, 2025', 'age': '36', 'clubName': 'New York Red Bulls', 'clubID': '623', 'value': '€1.50m'}, {'date': 'Dec 11, 2025', 'age': '36', 'clubName': 'Red Bull New York', 'clubID': '623', 'value': '€1.20m'}]}</t>
  </si>
  <si>
    <t>1989-03-23</t>
  </si>
  <si>
    <t>Joveljic</t>
  </si>
  <si>
    <t>{'marketValueHistory': [{'date': '10/01/2018', 'age': '18', 'clubName': 'Red Star Belgrade', 'clubID': '159', 'value': '€700k'}, {'date': '02/07/2018', 'age': '18', 'clubName': 'Red Star Belgrade', 'clubID': '159', 'value': '€1.00m'}, {'date': '14/01/2019', 'age': '19', 'clubName': 'Red Star Belgrade', 'clubID': '159', 'value': '€2.00m'}, {'date': '09/06/2019', 'age': '19', 'clubName': 'Red Star Belgrade', 'clubID': '159', 'value': '€4.00m'}, {'date': '17/12/2019', 'age': '20', 'clubName': 'Eintracht Frankfurt', 'clubID': '24', 'value': '€4.00m'}, {'date': '08/04/2020', 'age': '20', 'clubName': 'RSC Anderlecht', 'clubID': '58', 'value': '€3.60m'}, {'date': '21/12/2020', 'age': '21', 'clubName': 'Wolfsberger AC', 'clubID': '4441', 'value': '€4.00m'}, {'date': '02/06/2021', 'age': '21', 'clubName': 'Wolfsberger AC', 'clubID': '4441', 'value': '€4.00m'}, {'date': '09/11/2021', 'age': '22', 'clubName': 'Los Angeles Galaxy', 'clubID': '1061', 'value': '€3.50m'}, {'date': '18/08/2022', 'age': '23', 'clubName': 'Los Angeles Galaxy', 'clubID': '1061', 'value': '€4.00m'}, {'date': '08/11/2022', 'age': '23', 'clubName': 'Los Angeles Galaxy', 'clubID': '1061', 'value': '€4.00m'}, {'date': '22/08/2023', 'age': '24', 'clubName': 'Los Angeles Galaxy', 'clubID': '1061', 'value': '€3.50m'}, {'date': '18/12/2023', 'age': '24', 'clubName': 'Los Angeles Galaxy', 'clubID': '1061', 'value': '€3.00m'}, {'date': '13/06/2024', 'age': '24', 'clubName': 'Los Angeles Galaxy', 'clubID': '1061', 'value': '€4.50m'}, {'date': '26/09/2024', 'age': '25', 'clubName': 'Los Angeles Galaxy', 'clubID': '1061', 'value': '€5.00m'}, {'date': '12/12/2024', 'age': '25', 'clubName': 'Los Angeles Galaxy', 'clubID': '1061', 'value': '€6.50m'}, {'date': '17/04/2025', 'age': '25', 'clubName': 'Sporting Kansas City', 'clubID': '4284', 'value': '€5.50m'}, {'date': '05/06/2025', 'age': '25', 'clubName': 'Sporting Kansas City', 'clubID': '4284', 'value': '€5.50m'}, {'date': '11/12/2025', 'age': '26', 'clubName': 'Sporting Kansas City', 'clubID': '4284', 'value': '€6.50m'}]}</t>
  </si>
  <si>
    <t>1999-08-07</t>
  </si>
  <si>
    <t>Gianniotas</t>
  </si>
  <si>
    <t>{'marketValueHistory': [{'date': 'Jul 27, 2011', 'age': '18', 'clubName': 'Aris Thessaloniki', 'clubID': '605', 'value': '€200k'}, {'date': 'Nov 21, 2011', 'age': '18', 'clubName': 'Aris Thessaloniki', 'clubID': '605', 'value': '€200k'}, {'date': 'Feb 26, 2012', 'age': '18', 'clubName': 'Aris Thessaloniki', 'clubID': '605', 'value': '€650k'}, {'date': 'Sep 21, 2012', 'age': '19', 'clubName': 'Aris Thessaloniki', 'clubID': '605', 'value': '€850k'}, {'date': 'Feb 10, 2013', 'age': '19', 'clubName': 'Aris Thessaloniki', 'clubID': '605', 'value': '€900k'}, {'date': 'Jan 20, 2014', 'age': '20', 'clubName': 'Fortuna Düsseldorf', 'clubID': '38', 'value': '€900k'}, {'date': 'Jun 30, 2014', 'age': '21', 'clubName': 'Fortuna Düsseldorf', 'clubID': '38', 'value': '€600k'}, {'date': 'Nov 11, 2014', 'age': '21', 'clubName': 'Asteras Tripolis', 'clubID': '6676', 'value': '€600k'}, {'date': 'May 10, 2015', 'age': '22', 'clubName': 'Asteras Tripolis', 'clubID': '6676', 'value': '€800k'}, {'date': 'Sep 27, 2015', 'age': '22', 'clubName': 'Olympiacos Piraeus', 'clubID': '683', 'value': '€800k'}, {'date': 'May 5, 2016', 'age': '23', 'clubName': 'APOEL Nicosia', 'clubID': '2784', 'value': '€800k'}, {'date': 'Dec 30, 2016', 'age': '23', 'clubName': 'APOEL Nicosia', 'clubID': '2784', 'value': '€1.00m'}, {'date': 'May 4, 2017', 'age': '24', 'clubName': 'APOEL Nicosia', 'clubID': '2784', 'value': '€1.25m'}, {'date': 'Jan 1, 2018', 'age': '24', 'clubName': 'Real Valladolid CF', 'clubID': '366', 'value': '€700k'}, {'date': 'May 30, 2018', 'age': '25', 'clubName': 'Real Valladolid CF', 'clubID': '366', 'value': '€700k'}, {'date': 'Dec 7, 2018', 'age': '25', 'clubName': 'AEK Athens', 'clubID': '2441', 'value': '€700k'}, {'date': 'May 21, 2019', 'age': '26', 'clubName': 'AEK Athens', 'clubID': '2441', 'value': '€600k'}, {'date': 'Jan 6, 2020', 'age': '26', 'clubName': 'Apollon Limassol', 'clubID': '429', 'value': '€700k'}, {'date': 'Apr 8, 2020', 'age': '26', 'clubName': 'Apollon Limassol', 'clubID': '429', 'value': '€550k'}, {'date': 'Oct 6, 2020', 'age': '27', 'clubName': 'Apollon Limassol', 'clubID': '429', 'value': '€500k'}, {'date': 'May 14, 2021', 'age': '28', 'clubName': 'Apollon Limassol', 'clubID': '429', 'value': '€600k'}, {'date': 'Oct 28, 2021', 'age': '28', 'clubName': 'Without Club', 'clubID': '515', 'value': '€500k'}, {'date': 'Jun 9, 2022', 'age': '29', 'clubName': 'Apollon Smyrnis', 'clubID': '441', 'value': '€300k'}, {'date': 'Nov 7, 2022', 'age': '29', 'clubName': 'Levadiakos', 'clubID': '2672', 'value': '€250k'}, {'date': 'May 22, 2023', 'age': '30', 'clubName': 'Levadiakos', 'clubID': '2672', 'value': '€250k'}, {'date': 'Dec 28, 2023', 'age': '30', 'clubName': 'Levadiakos', 'clubID': '2672', 'value': '€300k'}, {'date': 'Mar 13, 2024', 'age': '30', 'clubName': 'Levadiakos', 'clubID': '2672', 'value': '€350k'}, {'date': 'May 23, 2024', 'age': '31', 'clubName': 'Levadiakos', 'clubID': '2672', 'value': '€350k'}, {'date': 'Dec 18, 2024', 'age': '31', 'clubName': 'Levadiakos', 'clubID': '2672', 'value': '€300k'}, {'date': 'May 23, 2025', 'age': '32', 'clubName': 'Levadiakos', 'clubID': '2672', 'value': '€250k'}, {'date': 'Dec 12, 2025', 'age': '32', 'clubName': 'Aris Thessaloniki', 'clubID': '605', 'value': '€250k'}]}</t>
  </si>
  <si>
    <t>1993-04-29</t>
  </si>
  <si>
    <t>Giakoumakis</t>
  </si>
  <si>
    <t>{'marketValueHistory': [{'date': '29/07/2012', 'age': '17', 'clubName': 'Platanias Chanion', 'clubID': '21957', 'value': '€100k'}, {'date': '26/08/2012', 'age': '17', 'clubName': 'Platanias Chanion', 'clubID': '21957', 'value': '€100k'}, {'date': '21/09/2012', 'age': '17', 'clubName': 'Platanias Chanion', 'clubID': '21957', 'value': '€100k'}, {'date': '10/02/2013', 'age': '18', 'clubName': 'Platanias Chanion', 'clubID': '21957', 'value': '€100k'}, {'date': '02/12/2013', 'age': '18', 'clubName': 'Platanias Chanion', 'clubID': '21957', 'value': '€150k'}, {'date': '11/11/2014', 'age': '19', 'clubName': 'Platanias Chanion', 'clubID': '21957', 'value': '€150k'}, {'date': '10/05/2015', 'age': '20', 'clubName': 'Platanias Chanion', 'clubID': '21957', 'value': '€200k'}, {'date': '27/09/2015', 'age': '20', 'clubName': 'Platanias Chanion', 'clubID': '21957', 'value': '€200k'}, {'date': '21/06/2016', 'age': '21', 'clubName': 'Platanias Chanion', 'clubID': '21957', 'value': '€250k'}, {'date': '21/12/2016', 'age': '22', 'clubName': 'Platanias Chanion', 'clubID': '21957', 'value': '€400k'}, {'date': '11/05/2017', 'age': '22', 'clubName': 'Platanias Chanion', 'clubID': '21957', 'value': '€800k'}, {'date': '18/12/2017', 'age': '23', 'clubName': 'AEK Athens', 'clubID': '2441', 'value': '€800k'}, {'date': '22/05/2018', 'age': '23', 'clubName': 'AEK Athens', 'clubID': '2441', 'value': '€1.00m'}, {'date': '07/12/2018', 'age': '23', 'clubName': 'AEK Athens', 'clubID': '2441', 'value': '€800k'}, {'date': '07/02/2019', 'age': '24', 'clubName': 'OFI Crete', 'clubID': '653', 'value': '€400k'}, {'date': '21/05/2019', 'age': '24', 'clubName': 'OFI Crete', 'clubID': '653', 'value': '€400k'}, {'date': '18/12/2019', 'age': '25', 'clubName': 'AEK Athens', 'clubID': '2441', 'value': '€400k'}, {'date': '08/04/2020', 'age': '25', 'clubName': 'Górnik Zabrze', 'clubID': '428', 'value': '€325k'}, {'date': '14/10/2020', 'age': '25', 'clubName': 'VVV-Venlo', 'clubID': '1426', 'value': '€600k'}, {'date': '06/01/2021', 'age': '26', 'clubName': 'VVV-Venlo', 'clubID': '1426', 'value': '€800k'}, {'date': '09/03/2021', 'age': '26', 'clubName': 'VVV-Venlo', 'clubID': '1426', 'value': '€2.50m'}, {'date': '19/05/2021', 'age': '26', 'clubName': 'VVV-Venlo', 'clubID': '1426', 'value': '€2.50m'}, {'date': '31/12/2021', 'age': '27', 'clubName': 'Celtic FC', 'clubID': '371', 'value': '€2.00m'}, {'date': '27/06/2022', 'age': '27', 'clubName': 'Celtic FC', 'clubID': '371', 'value': '€4.00m'}, {'date': '13/12/2022', 'age': '28', 'clubName': 'Celtic FC', 'clubID': '371', 'value': '€5.00m'}, {'date': '22/08/2023', 'age': '28', 'clubName': 'Atlanta United FC', 'clubID': '51663', 'value': '€5.00m'}, {'date': '18/12/2023', 'age': '29', 'clubName': 'Atlanta United FC', 'clubID': '51663', 'value': '€6.00m'}, {'date': '13/06/2024', 'age': '29', 'clubName': 'Atlanta United FC', 'clubID': '51663', 'value': '€8.00m'}, {'date': '10/10/2024', 'age': '29', 'clubName': 'CD Cruz Azul', 'clubID': '3711', 'value': '€9.00m'}, {'date': '11/12/2024', 'age': '30', 'clubName': 'CD Cruz Azul', 'clubID': '3711', 'value': '€9.00m'}, {'date': '31/03/2025', 'age': '30', 'clubName': 'CD Cruz Azul', 'clubID': '3711', 'value': '€7.50m'}, {'date': '26/05/2025', 'age': '30', 'clubName': 'CD Cruz Azul', 'clubID': '3711', 'value': '€7.00m'}, {'date': '12/12/2025', 'age': '31', 'clubName': 'PAOK Thessaloniki', 'clubID': '1091', 'value': '€7.00m'}]}</t>
  </si>
  <si>
    <t>1994-12-09</t>
  </si>
  <si>
    <t>K. Thuram</t>
  </si>
  <si>
    <t>{'marketValueHistory': [{'date': 'Feb 15, 2019', 'age': '17', 'clubName': 'AS Monaco', 'clubID': '162', 'value': '€500k'}, {'date': 'Jun 3, 2019', 'age': '18', 'clubName': 'AS Monaco', 'clubID': '162', 'value': '€500k'}, {'date': 'Sep 27, 2019', 'age': '18', 'clubName': 'OGC Nice', 'clubID': '417', 'value': '€1.50m'}, {'date': 'Dec 19, 2019', 'age': '18', 'clubName': 'OGC Nice', 'clubID': '417', 'value': '€3.00m'}, {'date': 'Mar 13, 2020', 'age': '18', 'clubName': 'OGC Nice', 'clubID': '417', 'value': '€4.00m'}, {'date': 'Apr 8, 2020', 'age': '19', 'clubName': 'OGC Nice', 'clubID': '417', 'value': '€3.60m'}, {'date': 'Oct 15, 2020', 'age': '19', 'clubName': 'OGC Nice', 'clubID': '417', 'value': '€5.50m'}, {'date': 'Apr 9, 2021', 'age': '20', 'clubName': 'OGC Nice', 'clubID': '417', 'value': '€9.00m'}, {'date': 'Jun 4, 2021', 'age': '20', 'clubName': 'OGC Nice', 'clubID': '417', 'value': '€9.00m'}, {'date': 'Dec 16, 2021', 'age': '20', 'clubName': 'OGC Nice', 'clubID': '417', 'value': '€10.00m'}, {'date': 'Mar 23, 2022', 'age': '20', 'clubName': 'OGC Nice', 'clubID': '417', 'value': '€14.00m'}, {'date': 'May 30, 2022', 'age': '21', 'clubName': 'OGC Nice', 'clubID': '417', 'value': '€17.00m'}, {'date': 'Sep 19, 2022', 'age': '21', 'clubName': 'OGC Nice', 'clubID': '417', 'value': '€25.00m'}, {'date': 'Nov 2, 2022', 'age': '21', 'clubName': 'OGC Nice', 'clubID': '417', 'value': '€25.00m'}, {'date': 'Mar 27, 2023', 'age': '22', 'clubName': 'OGC Nice', 'clubID': '417', 'value': '€32.00m'}, {'date': 'Jun 27, 2023', 'age': '22', 'clubName': 'OGC Nice', 'clubID': '417', 'value': '€40.00m'}, {'date': 'Dec 18, 2023', 'age': '22', 'clubName': 'OGC Nice', 'clubID': '417', 'value': '€40.00m'}, {'date': 'Mar 19, 2024', 'age': '22', 'clubName': 'OGC Nice', 'clubID': '417', 'value': '€35.00m'}, {'date': 'Jun 3, 2024', 'age': '23', 'clubName': 'OGC Nice', 'clubID': '417', 'value': '€35.00m'}, {'date': 'Dec 18, 2024', 'age': '23', 'clubName': 'Juventus FC', 'clubID': '506', 'value': '€35.00m'}, {'date': 'Mar 25, 2025', 'age': '23', 'clubName': 'Juventus FC', 'clubID': '506', 'value': '€40.00m'}, {'date': 'Jun 17, 2025', 'age': '24', 'clubName': 'Juventus FC', 'clubID': '506', 'value': '€40.00m'}, {'date': 'Dec 23, 2025', 'age': '24', 'clubName': 'Juventus FC', 'clubID': '506', 'value': '€40.00m'}]}</t>
  </si>
  <si>
    <t>Khosonov</t>
  </si>
  <si>
    <t>{'marketValueHistory': [{'date': '23/01/2016', 'age': '17', 'clubName': 'CSKA Moscow II', 'clubID': '11755', 'value': '€50k'}, {'date': '02/12/2016', 'age': '18', 'clubName': 'CSKA Moscow II', 'clubID': '11755', 'value': '€150k'}, {'date': '01/06/2017', 'age': '18', 'clubName': 'CSKA Moscow II', 'clubID': '11755', 'value': '€150k'}, {'date': '02/10/2017', 'age': '19', 'clubName': 'CSKA Moscow II', 'clubID': '11755', 'value': '€200k'}, {'date': '24/11/2017', 'age': '19', 'clubName': 'CSKA Moscow II', 'clubID': '11755', 'value': '€300k'}, {'date': '06/06/2018', 'age': '19', 'clubName': 'CSKA Moscow II', 'clubID': '11755', 'value': '€450k'}, {'date': '20/12/2018', 'age': '20', 'clubName': 'CSKA Moscow', 'clubID': '2410', 'value': '€700k'}, {'date': '14/06/2019', 'age': '20', 'clubName': 'FK Tambov', 'clubID': '41201', 'value': '€700k'}, {'date': '23/12/2019', 'age': '21', 'clubName': 'FK Tambov', 'clubID': '41201', 'value': '€600k'}, {'date': '08/04/2020', 'age': '21', 'clubName': 'FK Tambov', 'clubID': '41201', 'value': '€525k'}, {'date': '29/07/2020', 'age': '22', 'clubName': 'CSKA Moscow', 'clubID': '2410', 'value': '€450k'}, {'date': '29/12/2020', 'age': '22', 'clubName': 'Alania Vladikavkaz', 'clubID': '75506', 'value': '€450k'}, {'date': '24/05/2021', 'age': '22', 'clubName': 'Alania Vladikavkaz', 'clubID': '75506', 'value': '€450k'}, {'date': '07/12/2021', 'age': '23', 'clubName': 'Alania Vladikavkaz', 'clubID': '75506', 'value': '€500k'}, {'date': '30/05/2022', 'age': '23', 'clubName': 'Alania Vladikavkaz', 'clubID': '75506', 'value': '€550k'}, {'date': '08/12/2022', 'age': '24', 'clubName': 'Alania Vladikavkaz', 'clubID': '75506', 'value': '€650k'}, {'date': '19/06/2023', 'age': '25', 'clubName': 'Alania Vladikavkaz', 'clubID': '75506', 'value': '€750k'}, {'date': '30/11/2023', 'age': '25', 'clubName': 'FC Khimki', 'clubID': '3719', 'value': '€800k'}, {'date': '14/06/2024', 'age': '25', 'clubName': 'FC Khimki', 'clubID': '3719', 'value': '€1.00m'}, {'date': '12/12/2024', 'age': '26', 'clubName': 'FC Khimki', 'clubID': '3719', 'value': '€1.00m'}, {'date': '02/06/2025', 'age': '26', 'clubName': 'Torpedo Moscow', 'clubID': '1186', 'value': '€1.00m'}, {'date': '18/09/2025', 'age': '27', 'clubName': 'Akron Tolyatti', 'clubID': '71985', 'value': '€900k'}, {'date': '16/12/2025', 'age': '27', 'clubName': 'Akron Tolyatti', 'clubID': '71985', 'value': '€1.00m'}]}</t>
  </si>
  <si>
    <t>1998-06-18</t>
  </si>
  <si>
    <t>Stoiljkovic</t>
  </si>
  <si>
    <t>{'marketValueHistory': [{'date': 'Sep 27, 2014', 'age': '20', 'clubName': 'NK Radomlje', 'clubID': '21460', 'value': '€150k'}, {'date': 'Feb 1, 2015', 'age': '20', 'clubName': 'NK Radomlje', 'clubID': '21460', 'value': '€200k'}, {'date': 'Jan 7, 2017', 'age': '22', 'clubName': 'NK Radomlje', 'clubID': '21460', 'value': '€50k'}, {'date': 'Jan 10, 2019', 'age': '24', 'clubName': 'FK Indjija', 'clubID': '11044', 'value': '€225k'}, {'date': 'Apr 5, 2019', 'age': '24', 'clubName': 'Buducnost Podgorica', 'clubID': '4391', 'value': '€200k'}, {'date': 'Oct 9, 2019', 'age': '25', 'clubName': 'Buducnost Podgorica', 'clubID': '4391', 'value': '€350k'}, {'date': 'Apr 8, 2020', 'age': '25', 'clubName': 'Buducnost Podgorica', 'clubID': '4391', 'value': '€300k'}, {'date': 'Dec 22, 2020', 'age': '26', 'clubName': 'FK Radnicki Nis', 'clubID': '7567', 'value': '€350k'}, {'date': 'Jun 12, 2021', 'age': '26', 'clubName': 'FK Novi Pazar', 'clubID': '4633', 'value': '€300k'}, {'date': 'Dec 25, 2021', 'age': '27', 'clubName': 'FK TSC Backa Topola', 'clubID': '3137', 'value': '€200k'}, {'date': 'Jun 26, 2022', 'age': '27', 'clubName': 'FK TSC Backa Topola', 'clubID': '3137', 'value': '€150k'}, {'date': 'Sep 12, 2022', 'age': '28', 'clubName': 'FK Radnicki 1923 Kragujevac', 'clubID': '4645', 'value': '€200k'}, {'date': 'Nov 18, 2022', 'age': '28', 'clubName': 'FK Radnicki 1923 Kragujevac', 'clubID': '4645', 'value': '€400k'}, {'date': 'Jun 2, 2023', 'age': '28', 'clubName': 'Turon Yaypan', 'clubID': '76366', 'value': '€300k'}, {'date': 'Dec 27, 2023', 'age': '29', 'clubName': 'FK Napredak Krusevac', 'clubID': '788', 'value': '€400k'}, {'date': 'Jun 10, 2024', 'age': '29', 'clubName': 'FK Napredak Krusevac', 'clubID': '788', 'value': '€350k'}, {'date': 'Dec 27, 2024', 'age': '30', 'clubName': 'FK Napredak Krusevac', 'clubID': '788', 'value': '€400k'}, {'date': 'Jun 12, 2025', 'age': '30', 'clubName': 'FK Napredak Krusevac', 'clubID': '788', 'value': '€350k'}, {'date': 'Dec 29, 2025', 'age': '31', 'clubName': 'Niki Volou', 'clubID': '5572', 'value': '€300k'}]}</t>
  </si>
  <si>
    <t>1994-09-05</t>
  </si>
  <si>
    <t>Rojo</t>
  </si>
  <si>
    <t>{'marketValueHistory': [{'date': '20/12/2008', 'age': '18', 'clubName': 'Club Estudiantes de La Plata II', 'clubID': '288', 'value': '€75k'}, {'date': '14/05/2009', 'age': '19', 'clubName': 'Club Estudiantes de La Plata II', 'clubID': '288', 'value': '€75k'}, {'date': '06/10/2009', 'age': '19', 'clubName': 'Club Estudiantes de La Plata', 'clubID': '288', 'value': '€200k'}, {'date': '05/01/2010', 'age': '19', 'clubName': 'Club Estudiantes de La Plata', 'clubID': '288', 'value': '€200k'}, {'date': '07/01/2010', 'age': '19', 'clubName': 'Club Estudiantes de La Plata', 'clubID': '288', 'value': '€500k'}, {'date': '01/01/2011', 'age': '20', 'clubName': 'Spartak Moscow', 'clubID': '232', 'value': '€1.50m'}, {'date': '21/07/2011', 'age': '21', 'clubName': 'Spartak Moscow', 'clubID': '232', 'value': '€2.00m'}, {'date': '09/12/2011', 'age': '21', 'clubName': 'Spartak Moscow', 'clubID': '232', 'value': '€2.00m'}, {'date': '04/07/2012', 'age': '22', 'clubName': 'Spartak Moscow', 'clubID': '232', 'value': '€2.00m'}, {'date': '10/11/2012', 'age': '22', 'clubName': 'Sporting CP', 'clubID': '336', 'value': '€4.30m'}, {'date': '28/03/2013', 'age': '23', 'clubName': 'Sporting CP', 'clubID': '336', 'value': '€5.00m'}, {'date': '02/07/2013', 'age': '23', 'clubName': 'Sporting CP', 'clubID': '336', 'value': '€5.50m'}, {'date': '25/07/2014', 'age': '24', 'clubName': 'Sporting CP', 'clubID': '336', 'value': '€12.00m'}, {'date': '05/10/2014', 'age': '24', 'clubName': 'Manchester United', 'clubID': '985', 'value': '€16.00m'}, {'date': '12/02/2015', 'age': '24', 'clubName': 'Manchester United', 'clubID': '985', 'value': '€16.00m'}, {'date': '01/07/2015', 'age': '25', 'clubName': 'Manchester United', 'clubID': '985', 'value': '€18.00m'}, {'date': '09/02/2016', 'age': '25', 'clubName': 'Manchester United', 'clubID': '985', 'value': '€18.00m'}, {'date': '01/08/2016', 'age': '26', 'clubName': 'Manchester United', 'clubID': '985', 'value': '€19.00m'}, {'date': '20/02/2017', 'age': '26', 'clubName': 'Manchester United', 'clubID': '985', 'value': '€19.00m'}, {'date': '28/06/2017', 'age': '27', 'clubName': 'Manchester United', 'clubID': '985', 'value': '€18.00m'}, {'date': '02/01/2018', 'age': '27', 'clubName': 'Manchester United', 'clubID': '985', 'value': '€18.00m'}, {'date': '28/05/2018', 'age': '28', 'clubName': 'Manchester United', 'clubID': '985', 'value': '€18.00m'}, {'date': '19/12/2018', 'age': '28', 'clubName': 'Manchester United', 'clubID': '985', 'value': '€15.00m'}, {'date': '13/06/2019', 'age': '29', 'clubName': 'Manchester United', 'clubID': '985', 'value': '€12.00m'}, {'date': '12/09/2019', 'age': '29', 'clubName': 'Manchester United', 'clubID': '985', 'value': '€10.00m'}, {'date': '10/12/2019', 'age': '29', 'clubName': 'Manchester United', 'clubID': '985', 'value': '€10.00m'}, {'date': '08/04/2020', 'age': '30', 'clubName': 'Club Estudiantes de La Plata', 'clubID': '288', 'value': '€8.00m'}, {'date': '13/10/2020', 'age': '30', 'clubName': 'Manchester United', 'clubID': '985', 'value': '€6.00m'}, {'date': '08/02/2021', 'age': '30', 'clubName': 'CA Boca Juniors', 'clubID': '189', 'value': '€5.00m'}, {'date': '11/06/2021', 'age': '31', 'clubName': 'CA Boca Juniors', 'clubID': '189', 'value': '€3.00m'}, {'date': '20/10/2021', 'age': '31', 'clubName': 'CA Boca Juniors', 'clubID': '189', 'value': '€3.60m'}, {'date': '24/05/2022', 'age': '32', 'clubName': 'CA Boca Juniors', 'clubID': '189', 'value': '€3.40m'}, {'date': '26/10/2022', 'age': '32', 'clubName': 'CA Boca Juniors', 'clubID': '189', 'value': '€3.40m'}, {'date': '05/04/2023', 'age': '33', 'clubName': 'CA Boca Juniors', 'clubID': '189', 'value': '€2.80m'}, {'date': '04/07/2023', 'age': '33', 'clubName': 'CA Boca Juniors', 'clubID': '189', 'value': '€2.20m'}, {'date': '19/12/2023', 'age': '33', 'clubName': 'CA Boca Juniors', 'clubID': '189', 'value': '€2.00m'}, {'date': '11/03/2024', 'age': '33', 'clubName': 'CA Boca Juniors', 'clubID': '189', 'value': '€1.50m'}, {'date': '12/06/2024', 'age': '34', 'clubName': 'CA Boca Juniors', 'clubID': '189', 'value': '€1.20m'}, {'date': '30/09/2024', 'age': '34', 'clubName': 'CA Boca Juniors', 'clubID': '189', 'value': '€800k'}, {'date': '13/12/2024', 'age': '34', 'clubName': 'CA Boca Juniors', 'clubID': '189', 'value': '€500k'}, {'date': '02/04/2025', 'age': '35', 'clubName': 'CA Boca Juniors', 'clubID': '189', 'value': '€350k'}, {'date': '02/06/2025', 'age': '35', 'clubName': 'CA Boca Juniors', 'clubID': '189', 'value': '€300k'}, {'date': '17/12/2025', 'age': '35', 'clubName': 'Racing Club', 'clubID': '1444', 'value': '€225k'}]}</t>
  </si>
  <si>
    <t>1990-03-20</t>
  </si>
  <si>
    <t>Lema</t>
  </si>
  <si>
    <t>{'marketValueHistory': [{'date': 'Aug 7, 2013', 'age': '17', 'clubName': 'SM Caen', 'clubID': '1162', 'value': '€150k'}, {'date': 'Sep 13, 2013', 'age': '17', 'clubName': 'SM Caen', 'clubID': '1162', 'value': '€400k'}, {'date': 'Aug 3, 2014', 'age': '18', 'clubName': 'SM Caen', 'clubID': '1162', 'value': '€750k'}, {'date': 'Jan 14, 2015', 'age': '19', 'clubName': 'SM Caen', 'clubID': '1162', 'value': '€800k'}, {'date': 'Jun 6, 2015', 'age': '19', 'clubName': 'SM Caen', 'clubID': '1162', 'value': '€1.25m'}, {'date': 'Sep 6, 2015', 'age': '19', 'clubName': 'AS Monaco', 'clubID': '162', 'value': '€4.00m'}, {'date': 'Feb 4, 2016', 'age': '20', 'clubName': 'AS Monaco', 'clubID': '162', 'value': '€7.50m'}, {'date': 'Jul 13, 2016', 'age': '20', 'clubName': 'AS Monaco', 'clubID': '162', 'value': '€12.00m'}, {'date': 'Nov 1, 2016', 'age': '20', 'clubName': 'AS Monaco', 'clubID': '162', 'value': '€14.00m'}, {'date': 'Jan 16, 2017', 'age': '21', 'clubName': 'AS Monaco', 'clubID': '162', 'value': '€20.00m'}, {'date': 'Jun 1, 2017', 'age': '21', 'clubName': 'AS Monaco', 'clubID': '162', 'value': '€24.00m'}, {'date': 'Oct 12, 2017', 'age': '21', 'clubName': 'AS Monaco', 'clubID': '162', 'value': '€30.00m'}, {'date': 'Jan 24, 2018', 'age': '22', 'clubName': 'AS Monaco', 'clubID': '162', 'value': '€65.00m'}, {'date': 'Jun 4, 2018', 'age': '22', 'clubName': 'AS Monaco', 'clubID': '162', 'value': '€65.00m'}, {'date': 'Jul 16, 2018', 'age': '22', 'clubName': 'Atlético de Madrid', 'clubID': '13', 'value': '€70.00m'}, {'date': 'Dec 21, 2018', 'age': '23', 'clubName': 'Atlético de Madrid', 'clubID': '13', 'value': '€60.00m'}, {'date': 'Feb 28, 2019', 'age': '23', 'clubName': 'Atlético de Madrid', 'clubID': '13', 'value': '€50.00m'}, {'date': 'Jun 11, 2019', 'age': '23', 'clubName': 'Atlético de Madrid', 'clubID': '13', 'value': '€40.00m'}, {'date': 'Dec 20, 2019', 'age': '24', 'clubName': 'Atlético de Madrid', 'clubID': '13', 'value': '€30.00m'}, {'date': 'Apr 8, 2020', 'age': '24', 'clubName': 'Atlético de Madrid', 'clubID': '13', 'value': '€24.00m'}, {'date': 'Oct 8, 2020', 'age': '24', 'clubName': 'Atlético de Madrid', 'clubID': '13', 'value': '€18.00m'}, {'date': 'Nov 23, 2020', 'age': '25', 'clubName': 'Atlético de Madrid', 'clubID': '13', 'value': '€15.00m'}, {'date': 'Jan 5, 2021', 'age': '25', 'clubName': 'Atlético de Madrid', 'clubID': '13', 'value': '€20.00m'}, {'date': 'Mar 19, 2021', 'age': '25', 'clubName': 'Atlético de Madrid', 'clubID': '13', 'value': '€25.00m'}, {'date': 'Jun 1, 2021', 'age': '25', 'clubName': 'Atlético de Madrid', 'clubID': '13', 'value': '€25.00m'}, {'date': 'Oct 13, 2021', 'age': '25', 'clubName': 'Atlético de Madrid', 'clubID': '13', 'value': '€40.00m'}, {'date': 'Dec 30, 2021', 'age': '26', 'clubName': 'Atlético de Madrid', 'clubID': '13', 'value': '€40.00m'}, {'date': 'Jun 3, 2022', 'age': '26', 'clubName': 'Atlético de Madrid', 'clubID': '13', 'value': '€40.00m'}, {'date': 'Sep 23, 2022', 'age': '26', 'clubName': 'Atlético de Madrid', 'clubID': '13', 'value': '€35.00m'}, {'date': 'Nov 7, 2022', 'age': '26', 'clubName': 'Atlético de Madrid', 'clubID': '13', 'value': '€30.00m'}, {'date': 'Mar 23, 2023', 'age': '27', 'clubName': 'Atlético de Madrid', 'clubID': '13', 'value': '€25.00m'}, {'date': 'Jun 13, 2023', 'age': '27', 'clubName': 'Atlético de Madrid', 'clubID': '13', 'value': '€22.00m'}, {'date': 'Oct 13, 2023', 'age': '27', 'clubName': 'Atlético de Madrid', 'clubID': '13', 'value': '€15.00m'}, {'date': 'Dec 22, 2023', 'age': '28', 'clubName': 'Atlético de Madrid', 'clubID': '13', 'value': '€12.00m'}, {'date': 'Jun 7, 2024', 'age': '28', 'clubName': 'Atlético de Madrid', 'clubID': '13', 'value': '€10.00m'}, {'date': 'Oct 11, 2024', 'age': '28', 'clubName': 'Atlético de Madrid', 'clubID': '13', 'value': '€7.50m'}, {'date': 'Dec 27, 2024', 'age': '29', 'clubName': 'Atlético de Madrid', 'clubID': '13', 'value': '€5.00m'}, {'date': 'Jun 9, 2025', 'age': '29', 'clubName': 'Atlético de Madrid', 'clubID': '13', 'value': '€5.00m'}, {'date': 'Oct 2, 2025', 'age': '29', 'clubName': 'Girona FC', 'clubID': '12321', 'value': '€3.00m'}, {'date': 'Dec 12, 2025', 'age': '30', 'clubName': 'Girona FC', 'clubID': '12321', 'value': '€2.00m'}]}</t>
  </si>
  <si>
    <t>Subasic</t>
  </si>
  <si>
    <t>{'marketValueHistory': [{'date': '09/10/2007', 'age': '22', 'clubName': 'NK Zadar', 'clubID': '2566', 'value': '€500k'}, {'date': '07/01/2008', 'age': '23', 'clubName': 'NK Zadar', 'clubID': '2566', 'value': '€1.00m'}, {'date': '27/04/2008', 'age': '23', 'clubName': 'NK Zadar', 'clubID': '2566', 'value': '€900k'}, {'date': '15/09/2008', 'age': '23', 'clubName': 'HNK Hajduk Split', 'clubID': '447', 'value': '€1.50m'}, {'date': '08/02/2009', 'age': '24', 'clubName': 'HNK Hajduk Split', 'clubID': '447', 'value': '€2.00m'}, {'date': '05/10/2009', 'age': '24', 'clubName': 'HNK Hajduk Split', 'clubID': '447', 'value': '€2.00m'}, {'date': '29/01/2010', 'age': '25', 'clubName': 'HNK Hajduk Split', 'clubID': '447', 'value': '€2.50m'}, {'date': '13/09/2010', 'age': '25', 'clubName': 'HNK Hajduk Split', 'clubID': '447', 'value': '€2.00m'}, {'date': '13/02/2011', 'age': '26', 'clubName': 'HNK Hajduk Split', 'clubID': '447', 'value': '€1.50m'}, {'date': '29/08/2011', 'age': '26', 'clubName': 'HNK Hajduk Split', 'clubID': '447', 'value': '€1.50m'}, {'date': '31/05/2012', 'age': '27', 'clubName': 'AS Monaco', 'clubID': '162', 'value': '€2.00m'}, {'date': '04/01/2013', 'age': '28', 'clubName': 'AS Monaco', 'clubID': '162', 'value': '€2.50m'}, {'date': '29/05/2013', 'age': '28', 'clubName': 'AS Monaco', 'clubID': '162', 'value': '€2.50m'}, {'date': '14/01/2014', 'age': '29', 'clubName': 'AS Monaco', 'clubID': '162', 'value': '€3.50m'}, {'date': '07/08/2014', 'age': '29', 'clubName': 'AS Monaco', 'clubID': '162', 'value': '€4.75m'}, {'date': '14/01/2015', 'age': '30', 'clubName': 'AS Monaco', 'clubID': '162', 'value': '€5.00m'}, {'date': '06/06/2015', 'age': '30', 'clubName': 'AS Monaco', 'clubID': '162', 'value': '€6.00m'}, {'date': '04/02/2016', 'age': '31', 'clubName': 'AS Monaco', 'clubID': '162', 'value': '€5.00m'}, {'date': '01/06/2016', 'age': '31', 'clubName': 'AS Monaco', 'clubID': '162', 'value': '€5.00m'}, {'date': '13/07/2016', 'age': '31', 'clubName': 'AS Monaco', 'clubID': '162', 'value': '€5.00m'}, {'date': '16/01/2017', 'age': '32', 'clubName': 'AS Monaco', 'clubID': '162', 'value': '€5.00m'}, {'date': '01/06/2017', 'age': '32', 'clubName': 'AS Monaco', 'clubID': '162', 'value': '€5.00m'}, {'date': '24/01/2018', 'age': '33', 'clubName': 'AS Monaco', 'clubID': '162', 'value': '€5.00m'}, {'date': '04/06/2018', 'age': '33', 'clubName': 'AS Monaco', 'clubID': '162', 'value': '€4.50m'}, {'date': '17/12/2018', 'age': '34', 'clubName': 'AS Monaco', 'clubID': '162', 'value': '€4.00m'}, {'date': '07/03/2019', 'age': '34', 'clubName': 'AS Monaco', 'clubID': '162', 'value': '€3.00m'}, {'date': '03/06/2019', 'age': '34', 'clubName': 'AS Monaco', 'clubID': '162', 'value': '€2.00m'}, {'date': '19/12/2019', 'age': '35', 'clubName': 'AS Monaco', 'clubID': '162', 'value': '€1.00m'}, {'date': '08/04/2020', 'age': '35', 'clubName': 'AS Monaco', 'clubID': '162', 'value': '€800k'}, {'date': '10/11/2020', 'age': '36', 'clubName': 'Career break', 'clubID': '2113', 'value': '€500k'}, {'date': '09/04/2021', 'age': '36', 'clubName': 'Career break', 'clubID': '2113', 'value': '€300k'}, {'date': '30/12/2021', 'age': '37', 'clubName': 'HNK Hajduk Split', 'clubID': '447', 'value': '€150k'}, {'date': '06/06/2022', 'age': '37', 'clubName': 'HNK Hajduk Split', 'clubID': '447', 'value': '€100k'}, {'date': '08/11/2022', 'age': '38', 'clubName': 'HNK Hajduk Split', 'clubID': '447', 'value': '€50k'}, {'date': '06/06/2023', 'age': '38', 'clubName': 'HNK Hajduk Split', 'clubID': '447', 'value': '€50k'}, {'date': '01/07/2023', 'age': '38', 'clubName': 'Retired', 'clubID': '123', 'value': '-'}]}</t>
  </si>
  <si>
    <t>1984-10-27</t>
  </si>
  <si>
    <t>Kayode</t>
  </si>
  <si>
    <t>{'marketValueHistory': [{'date': 'Mar 1, 2021', 'age': '16', 'clubName': 'AC Gozzano', 'clubID': '13484', 'value': '€75k'}, {'date': 'Jun 24, 2021', 'age': '16', 'clubName': 'AC Gozzano', 'clubID': '13484', 'value': '€125k'}, {'date': 'Jun 13, 2023', 'age': '18', 'clubName': 'Fiorentina Primavera', 'clubID': '8505', 'value': '€800k'}, {'date': 'Oct 11, 2023', 'age': '19', 'clubName': 'ACF Fiorentina', 'clubID': '430', 'value': '€5.00m'}, {'date': 'Dec 20, 2023', 'age': '19', 'clubName': 'ACF Fiorentina', 'clubID': '430', 'value': '€12.00m'}, {'date': 'Mar 12, 2024', 'age': '19', 'clubName': 'ACF Fiorentina', 'clubID': '430', 'value': '€15.00m'}, {'date': 'Jun 5, 2024', 'age': '19', 'clubName': 'ACF Fiorentina', 'clubID': '430', 'value': '€25.00m'}, {'date': 'Oct 18, 2024', 'age': '20', 'clubName': 'ACF Fiorentina', 'clubID': '430', 'value': '€22.00m'}, {'date': 'Dec 18, 2024', 'age': '20', 'clubName': 'ACF Fiorentina', 'clubID': '430', 'value': '€18.00m'}, {'date': 'May 30, 2025', 'age': '20', 'clubName': 'Brentford FC', 'clubID': '1148', 'value': '€18.00m'}, {'date': 'Oct 17, 2025', 'age': '21', 'clubName': 'Brentford FC', 'clubID': '1148', 'value': '€20.00m'}, {'date': 'Dec 9, 2025', 'age': '21', 'clubName': 'Brentford FC', 'clubID': '1148', 'value': '€27.00m'}, {'date': 'Mar 9, 2026', 'age': '21', 'clubName': 'Brentford FC', 'clubID': '1148', 'value': '€35.00m'}]}</t>
  </si>
  <si>
    <t>2004-07-10</t>
  </si>
  <si>
    <t>Malcom</t>
  </si>
  <si>
    <t>{'marketValueHistory': [{'date': '06/08/2014', 'age': '17', 'clubName': 'Sport Club Corinthians Paulista', 'clubID': '199', 'value': '€200k'}, {'date': '01/02/2015', 'age': '17', 'clubName': 'Sport Club Corinthians Paulista', 'clubID': '199', 'value': '€4.00m'}, {'date': '31/05/2015', 'age': '18', 'clubName': 'Sport Club Corinthians Paulista', 'clubID': '199', 'value': '€6.00m'}, {'date': '11/09/2015', 'age': '18', 'clubName': 'Sport Club Corinthians Paulista', 'clubID': '199', 'value': '€9.00m'}, {'date': '15/12/2015', 'age': '18', 'clubName': 'Sport Club Corinthians Paulista', 'clubID': '199', 'value': '€10.00m'}, {'date': '04/02/2016', 'age': '18', 'clubName': 'FC Girondins Bordeaux', 'clubID': '40', 'value': '€10.00m'}, {'date': '13/07/2016', 'age': '19', 'clubName': 'FC Girondins Bordeaux', 'clubID': '40', 'value': '€10.00m'}, {'date': '16/01/2017', 'age': '19', 'clubName': 'FC Girondins Bordeaux', 'clubID': '40', 'value': '€10.00m'}, {'date': '01/06/2017', 'age': '20', 'clubName': 'FC Girondins Bordeaux', 'clubID': '40', 'value': '€10.00m'}, {'date': '12/10/2017', 'age': '20', 'clubName': 'FC Girondins Bordeaux', 'clubID': '40', 'value': '€17.00m'}, {'date': '24/01/2018', 'age': '20', 'clubName': 'FC Girondins Bordeaux', 'clubID': '40', 'value': '€30.00m'}, {'date': '20/03/2018', 'age': '21', 'clubName': 'FC Girondins Bordeaux', 'clubID': '40', 'value': '€45.00m'}, {'date': '04/06/2018', 'age': '21', 'clubName': 'FC Girondins Bordeaux', 'clubID': '40', 'value': '€45.00m'}, {'date': '21/12/2018', 'age': '21', 'clubName': 'FC Barcelona', 'clubID': '131', 'value': '€40.00m'}, {'date': '11/06/2019', 'age': '22', 'clubName': 'FC Barcelona', 'clubID': '131', 'value': '€40.00m'}, {'date': '23/12/2019', 'age': '22', 'clubName': 'Zenit St. Petersburg', 'clubID': '964', 'value': '€40.00m'}, {'date': '30/03/2020', 'age': '23', 'clubName': 'Zenit St. Petersburg', 'clubID': '964', 'value': '€38.00m'}, {'date': '08/04/2020', 'age': '23', 'clubName': 'Zenit St. Petersburg', 'clubID': '964', 'value': '€30.50m'}, {'date': '29/07/2020', 'age': '23', 'clubName': 'Zenit St. Petersburg', 'clubID': '964', 'value': '€30.00m'}, {'date': '29/12/2020', 'age': '23', 'clubName': 'Zenit St. Petersburg', 'clubID': '964', 'value': '€24.00m'}, {'date': '02/06/2021', 'age': '24', 'clubName': 'Zenit St. Petersburg', 'clubID': '964', 'value': '€22.00m'}, {'date': '29/12/2021', 'age': '24', 'clubName': 'Zenit St. Petersburg', 'clubID': '964', 'value': '€22.00m'}, {'date': '02/06/2022', 'age': '25', 'clubName': 'Zenit St. Petersburg', 'clubID': '964', 'value': '€22.00m'}, {'date': '21/11/2022', 'age': '25', 'clubName': 'Zenit St. Petersburg', 'clubID': '964', 'value': '€24.00m'}, {'date': '13/04/2023', 'age': '26', 'clubName': 'Zenit St. Petersburg', 'clubID': '964', 'value': '€27.00m'}, {'date': '14/06/2023', 'age': '26', 'clubName': 'Zenit St. Petersburg', 'clubID': '964', 'value': '€30.00m'}, {'date': '15/12/2023', 'age': '26', 'clubName': 'Al-Hilal SFC', 'clubID': '1114', 'value': '€30.00m'}, {'date': '04/06/2024', 'age': '27', 'clubName': 'Al-Hilal SFC', 'clubID': '1114', 'value': '€28.00m'}, {'date': '13/12/2024', 'age': '27', 'clubName': 'Al-Hilal SFC', 'clubID': '1114', 'value': '€25.00m'}, {'date': '27/05/2025', 'age': '28', 'clubName': 'Al-Hilal SFC', 'clubID': '1114', 'value': '€22.00m'}, {'date': '18/12/2025', 'age': '28', 'clubName': 'Al-Hilal SFC', 'clubID': '1114', 'value': '€20.00m'}]}</t>
  </si>
  <si>
    <t>1997-02-26</t>
  </si>
  <si>
    <t>Mugdat Celik</t>
  </si>
  <si>
    <t>{'marketValueHistory': [{'date': 'Feb 6, 2008', 'age': '18', 'clubName': 'Genclerbirligi Ankara U21', 'clubID': '15273', 'value': '€50k'}, {'date': 'Jun 11, 2008', 'age': '18', 'clubName': 'Genclerbirligi Ankara U21', 'clubID': '15273', 'value': '€50k'}, {'date': 'Jun 23, 2013', 'age': '23', 'clubName': 'Nazilli Belediyespor', 'clubID': '13473', 'value': '€325k'}, {'date': 'Jan 23, 2014', 'age': '24', 'clubName': 'Balikesirspor', 'clubID': '20698', 'value': '€400k'}, {'date': 'Jul 1, 2014', 'age': '24', 'clubName': 'Balikesirspor', 'clubID': '20698', 'value': '€800k'}, {'date': 'Jan 26, 2015', 'age': '25', 'clubName': 'Balikesirspor', 'clubID': '20698', 'value': '€650k'}, {'date': 'Jun 25, 2015', 'age': '25', 'clubName': 'Balikesirspor', 'clubID': '20698', 'value': '€650k'}, {'date': 'Jan 4, 2016', 'age': '26', 'clubName': 'Balikesirspor', 'clubID': '20698', 'value': '€500k'}, {'date': 'Jul 15, 2016', 'age': '26', 'clubName': 'Akhisar Belediyespor', 'clubID': '19771', 'value': '€750k'}, {'date': 'Jan 10, 2017', 'age': '27', 'clubName': 'Akhisar Belediyespor', 'clubID': '19771', 'value': '€700k'}, {'date': 'Jun 9, 2017', 'age': '27', 'clubName': 'Akhisar Belediyespor', 'clubID': '19771', 'value': '€700k'}, {'date': 'Feb 12, 2018', 'age': '28', 'clubName': 'Akhisarspor', 'clubID': '19771', 'value': '€500k'}, {'date': 'May 29, 2018', 'age': '28', 'clubName': 'Akhisarspor', 'clubID': '19771', 'value': '€750k'}, {'date': 'Jan 4, 2019', 'age': '29', 'clubName': 'Galatasaray', 'clubID': '141', 'value': '€500k'}, {'date': 'Jun 4, 2019', 'age': '29', 'clubName': 'Galatasaray', 'clubID': '141', 'value': '€300k'}, {'date': 'Jan 3, 2020', 'age': '30', 'clubName': 'Gaziantep FK', 'clubID': '2832', 'value': '€300k'}, {'date': 'Aug 4, 2020', 'age': '30', 'clubName': 'Gaziantep FK', 'clubID': '2832', 'value': '€175k'}, {'date': 'Dec 23, 2020', 'age': '30', 'clubName': 'Kayserispor', 'clubID': '3205', 'value': '€175k'}, {'date': 'Mar 16, 2021', 'age': '31', 'clubName': 'Kayserispor', 'clubID': '3205', 'value': '€125k'}, {'date': 'May 21, 2021', 'age': '31', 'clubName': 'Kayserispor', 'clubID': '3205', 'value': '€125k'}, {'date': 'Jan 17, 2022', 'age': '32', 'clubName': 'Denizlispor', 'clubID': '833', 'value': '€100k'}, {'date': 'Jun 10, 2022', 'age': '32', 'clubName': 'Denizlispor', 'clubID': '833', 'value': '€75k'}, {'date': 'Jul 1, 2022', 'age': '32', 'clubName': 'Denizlispor', 'clubID': '833', 'value': '-'}]}</t>
  </si>
  <si>
    <t>1990-01-03</t>
  </si>
  <si>
    <t>Paredes</t>
  </si>
  <si>
    <t>{'marketValueHistory': [{'date': '01/01/2011', 'age': '16', 'clubName': 'Unknown', 'clubID': '75', 'value': '€50k'}, {'date': '05/11/2012', 'age': '18', 'clubName': 'CA Boca Juniors', 'clubID': '189', 'value': '€2.50m'}, {'date': '26/12/2012', 'age': '18', 'clubName': 'CA Boca Juniors', 'clubID': '189', 'value': '€4.00m'}, {'date': '30/06/2013', 'age': '19', 'clubName': 'CA Boca Juniors', 'clubID': '189', 'value': '€3.50m'}, {'date': '20/02/2014', 'age': '19', 'clubName': 'Chievo Verona', 'clubID': '862', 'value': '€4.00m'}, {'date': '01/07/2014', 'age': '20', 'clubName': 'AS Roma', 'clubID': '12', 'value': '€4.00m'}, {'date': '07/01/2015', 'age': '20', 'clubName': 'AS Roma', 'clubID': '12', 'value': '€3.70m'}, {'date': '01/07/2015', 'age': '21', 'clubName': 'AS Roma', 'clubID': '12', 'value': '€3.50m'}, {'date': '04/01/2016', 'age': '21', 'clubName': 'FC Empoli', 'clubID': '749', 'value': '€5.00m'}, {'date': '01/04/2016', 'age': '21', 'clubName': 'FC Empoli', 'clubID': '749', 'value': '€6.00m'}, {'date': '15/07/2016', 'age': '22', 'clubName': 'AS Roma', 'clubID': '12', 'value': '€10.00m'}, {'date': '02/01/2017', 'age': '22', 'clubName': 'AS Roma', 'clubID': '12', 'value': '€10.00m'}, {'date': '08/06/2017', 'age': '22', 'clubName': 'AS Roma', 'clubID': '12', 'value': '€13.00m'}, {'date': '02/10/2017', 'age': '23', 'clubName': 'Zenit St. Petersburg', 'clubID': '964', 'value': '€18.00m'}, {'date': '23/12/2017', 'age': '23', 'clubName': 'Zenit St. Petersburg', 'clubID': '964', 'value': '€18.00m'}, {'date': '06/06/2018', 'age': '23', 'clubName': 'Zenit St. Petersburg', 'clubID': '964', 'value': '€20.00m'}, {'date': '20/12/2018', 'age': '24', 'clubName': 'Zenit St. Petersburg', 'clubID': '964', 'value': '€25.00m'}, {'date': '07/03/2019', 'age': '24', 'clubName': 'Paris Saint-Germain', 'clubID': '583', 'value': '€40.00m'}, {'date': '03/06/2019', 'age': '24', 'clubName': 'Paris Saint-Germain', 'clubID': '583', 'value': '€35.00m'}, {'date': '27/09/2019', 'age': '25', 'clubName': 'Paris Saint-Germain', 'clubID': '583', 'value': '€25.00m'}, {'date': '19/12/2019', 'age': '25', 'clubName': 'Paris Saint-Germain', 'clubID': '583', 'value': '€25.00m'}, {'date': '08/04/2020', 'age': '25', 'clubName': 'Paris Saint-Germain', 'clubID': '583', 'value': '€20.00m'}, {'date': '15/10/2020', 'age': '26', 'clubName': 'Paris Saint-Germain', 'clubID': '583', 'value': '€20.00m'}, {'date': '04/06/2021', 'age': '26', 'clubName': 'Paris Saint-Germain', 'clubID': '583', 'value': '€20.00m'}, {'date': '16/07/2021', 'age': '27', 'clubName': 'Paris Saint-Germain', 'clubID': '583', 'value': '€22.00m'}, {'date': '16/12/2021', 'age': '27', 'clubName': 'Paris Saint-Germain', 'clubID': '583', 'value': '€20.00m'}, {'date': '30/05/2022', 'age': '27', 'clubName': 'Paris Saint-Germain', 'clubID': '583', 'value': '€17.00m'}, {'date': '11/11/2022', 'age': '28', 'clubName': 'Juventus FC', 'clubID': '506', 'value': '€15.00m'}, {'date': '21/03/2023', 'age': '28', 'clubName': 'Juventus FC', 'clubID': '506', 'value': '€12.00m'}, {'date': '15/06/2023', 'age': '28', 'clubName': 'Juventus FC', 'clubID': '506', 'value': '€12.00m'}, {'date': '11/10/2023', 'age': '29', 'clubName': 'AS Roma', 'clubID': '12', 'value': '€9.00m'}, {'date': '20/12/2023', 'age': '29', 'clubName': 'AS Roma', 'clubID': '12', 'value': '€8.00m'}, {'date': '05/06/2024', 'age': '29', 'clubName': 'AS Roma', 'clubID': '12', 'value': '€8.00m'}, {'date': '18/12/2024', 'age': '30', 'clubName': 'AS Roma', 'clubID': '12', 'value': '€5.00m'}, {'date': '17/06/2025', 'age': '30', 'clubName': 'AS Roma', 'clubID': '12', 'value': '€5.00m'}, {'date': '17/12/2025', 'age': '31', 'clubName': 'CA Boca Juniors', 'clubID': '189', 'value': '€5.00m'}]}</t>
  </si>
  <si>
    <t>1994-06-29</t>
  </si>
  <si>
    <t>Ekpai</t>
  </si>
  <si>
    <t>{'marketValueHistory': [{'date': 'Aug 3, 2016', 'age': '20', 'clubName': 'FC Slovan Liberec', 'clubID': '697', 'value': '€100k'}, {'date': 'Dec 19, 2016', 'age': '21', 'clubName': 'FC Slovan Liberec', 'clubID': '697', 'value': '€175k'}, {'date': 'Jun 10, 2017', 'age': '21', 'clubName': 'FC Slovan Liberec', 'clubID': '697', 'value': '€250k'}, {'date': 'Oct 7, 2017', 'age': '21', 'clubName': 'FC Fastav Zlin', 'clubID': '5545', 'value': '€350k'}, {'date': 'Dec 21, 2017', 'age': '22', 'clubName': 'FC Fastav Zlin', 'clubID': '5545', 'value': '€400k'}, {'date': 'Jul 14, 2018', 'age': '22', 'clubName': 'FC Viktoria Plzen', 'clubID': '941', 'value': '€600k'}, {'date': 'Dec 30, 2018', 'age': '23', 'clubName': 'FC Viktoria Plzen', 'clubID': '941', 'value': '€600k'}, {'date': 'Apr 30, 2019', 'age': '23', 'clubName': 'FC Viktoria Plzen', 'clubID': '941', 'value': '€500k'}, {'date': 'Jun 25, 2019', 'age': '23', 'clubName': 'FC Viktoria Plzen', 'clubID': '941', 'value': '€400k'}, {'date': 'Dec 7, 2019', 'age': '24', 'clubName': 'SK Dynamo Ceske Budejovice', 'clubID': '1321', 'value': '€400k'}, {'date': 'Apr 8, 2020', 'age': '24', 'clubName': 'FC Viktoria Plzen', 'clubID': '941', 'value': '€325k'}, {'date': 'Jul 10, 2020', 'age': '24', 'clubName': 'FC Viktoria Plzen', 'clubID': '941', 'value': '€300k'}, {'date': 'Dec 27, 2020', 'age': '25', 'clubName': 'SK Dynamo Ceske Budejovice', 'clubID': '1321', 'value': '€250k'}, {'date': 'Jun 25, 2021', 'age': '25', 'clubName': 'SK Dynamo Ceske Budejovice', 'clubID': '1321', 'value': '€250k'}, {'date': 'Oct 12, 2021', 'age': '25', 'clubName': 'SK Slavia Prague', 'clubID': '62', 'value': '€500k'}, {'date': 'Dec 26, 2021', 'age': '26', 'clubName': 'SK Slavia Prague', 'clubID': '62', 'value': '€600k'}, {'date': 'Jun 22, 2022', 'age': '26', 'clubName': 'FC Banik Ostrava', 'clubID': '377', 'value': '€500k'}, {'date': 'Dec 14, 2022', 'age': '27', 'clubName': 'FK Mlada Boleslav', 'clubID': '5546', 'value': '€400k'}, {'date': 'Jun 20, 2023', 'age': '27', 'clubName': 'FK Mlada Boleslav', 'clubID': '5546', 'value': '€200k'}, {'date': 'Mar 27, 2024', 'age': '28', 'clubName': 'FC Liria', 'clubID': '19587', 'value': '€150k'}, {'date': 'Jun 21, 2024', 'age': '28', 'clubName': 'FC Liria', 'clubID': '19587', 'value': '€100k'}, {'date': 'Dec 20, 2024', 'age': '29', 'clubName': 'SK Dynamo Ceske Budejovice', 'clubID': '1321', 'value': '€125k'}, {'date': 'Apr 1, 2025', 'age': '29', 'clubName': 'SK Dynamo Ceske Budejovice', 'clubID': '1321', 'value': '€150k'}, {'date': 'Jun 17, 2025', 'age': '29', 'clubName': 'SK Dynamo Ceske Budejovice', 'clubID': '1321', 'value': '€150k'}, {'date': 'Oct 21, 2025', 'age': '30', 'clubName': 'Without Club', 'clubID': '515', 'value': '€100k'}, {'date': 'Apr 9, 2026', 'age': '30', 'clubName': 'Without Club', 'clubID': '515', 'value': '€50k'}]}</t>
  </si>
  <si>
    <t>D. de Wit</t>
  </si>
  <si>
    <t>{'marketValueHistory': [{'date': '17/02/2017', 'age': '19', 'clubName': 'Ajax Amsterdam U19', 'clubID': '610', 'value': '€50k'}, {'date': '21/06/2017', 'age': '19', 'clubName': 'Ajax Amsterdam U19', 'clubID': '610', 'value': '€75k'}, {'date': '01/03/2018', 'age': '20', 'clubName': 'Ajax Amsterdam U21', 'clubID': '610', 'value': '€300k'}, {'date': '29/06/2018', 'age': '20', 'clubName': 'Ajax Amsterdam U21', 'clubID': '610', 'value': '€400k'}, {'date': '04/10/2018', 'age': '20', 'clubName': 'Ajax Amsterdam U21', 'clubID': '610', 'value': '€1.00m'}, {'date': '28/12/2018', 'age': '20', 'clubName': 'Ajax Amsterdam U21', 'clubID': '610', 'value': '€1.00m'}, {'date': '21/01/2019', 'age': '20', 'clubName': 'Ajax Amsterdam', 'clubID': '610', 'value': '€1.00m'}, {'date': '12/06/2019', 'age': '21', 'clubName': 'Ajax Amsterdam', 'clubID': '610', 'value': '€1.00m'}, {'date': '19/09/2019', 'age': '21', 'clubName': 'AZ Alkmaar', 'clubID': '1090', 'value': '€2.00m'}, {'date': '18/12/2019', 'age': '21', 'clubName': 'AZ Alkmaar', 'clubID': '1090', 'value': '€3.00m'}, {'date': '08/04/2020', 'age': '22', 'clubName': 'AZ Alkmaar', 'clubID': '1090', 'value': '€2.70m'}, {'date': '14/10/2020', 'age': '22', 'clubName': 'AZ Alkmaar', 'clubID': '1090', 'value': '€2.70m'}, {'date': '06/01/2021', 'age': '22', 'clubName': 'AZ Alkmaar', 'clubID': '1090', 'value': '€3.00m'}, {'date': '19/05/2021', 'age': '23', 'clubName': 'AZ Alkmaar', 'clubID': '1090', 'value': '€3.00m'}, {'date': '05/01/2022', 'age': '23', 'clubName': 'AZ Alkmaar', 'clubID': '1090', 'value': '€2.80m'}, {'date': '17/03/2022', 'age': '24', 'clubName': 'AZ Alkmaar', 'clubID': '1090', 'value': '€3.50m'}, {'date': '08/06/2022', 'age': '24', 'clubName': 'AZ Alkmaar', 'clubID': '1090', 'value': '€3.50m'}, {'date': '11/11/2022', 'age': '24', 'clubName': 'AZ Alkmaar', 'clubID': '1090', 'value': '€4.00m'}, {'date': '23/06/2023', 'age': '25', 'clubName': 'AZ Alkmaar', 'clubID': '1090', 'value': '€4.00m'}, {'date': '17/10/2023', 'age': '25', 'clubName': 'AZ Alkmaar', 'clubID': '1090', 'value': '€5.00m'}, {'date': '15/12/2023', 'age': '25', 'clubName': 'AZ Alkmaar', 'clubID': '1090', 'value': '€4.50m'}, {'date': '31/05/2024', 'age': '26', 'clubName': 'AZ Alkmaar', 'clubID': '1090', 'value': '€5.00m'}, {'date': '20/12/2024', 'age': '26', 'clubName': 'VfL Bochum', 'clubID': '80', 'value': '€4.00m'}, {'date': '27/03/2025', 'age': '27', 'clubName': 'VfL Bochum', 'clubID': '80', 'value': '€3.00m'}, {'date': '05/06/2025', 'age': '27', 'clubName': 'VfL Bochum', 'clubID': '80', 'value': '€2.50m'}, {'date': '02/12/2025', 'age': '27', 'clubName': 'FC Utrecht', 'clubID': '200', 'value': '€2.50m'}]}</t>
  </si>
  <si>
    <t>1998-01-28</t>
  </si>
  <si>
    <t>Mboula</t>
  </si>
  <si>
    <t>{'marketValueHistory': [{'date': 'Jul 1, 2017', 'age': '18', 'clubName': 'AS Monaco', 'clubID': '162', 'value': '€2.00m'}, {'date': 'Jan 24, 2018', 'age': '18', 'clubName': 'AS Monaco', 'clubID': '162', 'value': '€4.00m'}, {'date': 'Jun 4, 2018', 'age': '19', 'clubName': 'AS Monaco', 'clubID': '162', 'value': '€4.00m'}, {'date': 'Dec 17, 2018', 'age': '19', 'clubName': 'AS Monaco', 'clubID': '162', 'value': '€3.00m'}, {'date': 'Jun 3, 2019', 'age': '20', 'clubName': 'AS Monaco', 'clubID': '162', 'value': '€3.00m'}, {'date': 'Sep 13, 2019', 'age': '20', 'clubName': 'Cercle Brugge ', 'clubID': '520', 'value': '€2.50m'}, {'date': 'Dec 13, 2019', 'age': '20', 'clubName': 'Cercle Brugge ', 'clubID': '520', 'value': '€2.00m'}, {'date': 'Apr 8, 2020', 'age': '21', 'clubName': 'SD Huesca', 'clubID': '5358', 'value': '€1.80m'}, {'date': 'Oct 8, 2020', 'age': '21', 'clubName': 'RCD Mallorca', 'clubID': '237', 'value': '€1.80m'}, {'date': 'Jan 8, 2021', 'age': '21', 'clubName': 'RCD Mallorca', 'clubID': '237', 'value': '€1.50m'}, {'date': 'Jun 24, 2021', 'age': '22', 'clubName': 'RCD Mallorca', 'clubID': '237', 'value': '€1.00m'}, {'date': 'Dec 30, 2021', 'age': '22', 'clubName': 'RCD Mallorca', 'clubID': '237', 'value': '€1.50m'}, {'date': 'May 31, 2022', 'age': '23', 'clubName': 'GD Estoril Praia', 'clubID': '1465', 'value': '€1.50m'}, {'date': 'Dec 29, 2022', 'age': '23', 'clubName': 'Racing Santander', 'clubID': '630', 'value': '€1.20m'}, {'date': 'Jun 14, 2023', 'age': '24', 'clubName': 'Racing Santander', 'clubID': '630', 'value': '€1.20m'}, {'date': 'Dec 20, 2023', 'age': '24', 'clubName': 'Hellas Verona', 'clubID': '276', 'value': '€1.20m'}, {'date': 'Jun 24, 2024', 'age': '25', 'clubName': 'Racing Santander', 'clubID': '630', 'value': '€1.20m'}, {'date': 'Dec 19, 2024', 'age': '25', 'clubName': 'Gil Vicente FC', 'clubID': '2424', 'value': '€1.00m'}, {'date': 'Mar 31, 2025', 'age': '26', 'clubName': 'Gil Vicente FC', 'clubID': '2424', 'value': '€800k'}, {'date': 'May 30, 2025', 'age': '26', 'clubName': 'Gil Vicente FC', 'clubID': '2424', 'value': '€500k'}, {'date': 'Dec 30, 2025', 'age': '26', 'clubName': 'Cultural Leonesa', 'clubID': '4542', 'value': '€500k'}]}</t>
  </si>
  <si>
    <t>1999-03-16</t>
  </si>
  <si>
    <t>Zhemaletdinov</t>
  </si>
  <si>
    <t>{'marketValueHistory': [{'date': '25/08/2015', 'age': '18', 'clubName': 'Lokomotiv Moscow II', 'clubID': '932', 'value': '€275k'}, {'date': '26/05/2016', 'age': '19', 'clubName': 'Lokomotiv Moscow II', 'clubID': '932', 'value': '€500k'}, {'date': '27/12/2016', 'age': '20', 'clubName': 'Rubin Kazan', 'clubID': '2698', 'value': '€1.00m'}, {'date': '01/06/2017', 'age': '20', 'clubName': 'Rubin Kazan', 'clubID': '2698', 'value': '€1.20m'}, {'date': '02/10/2017', 'age': '21', 'clubName': 'Rubin Kazan', 'clubID': '2698', 'value': '€1.50m'}, {'date': '23/12/2017', 'age': '21', 'clubName': 'Rubin Kazan', 'clubID': '2698', 'value': '€1.50m'}, {'date': '06/06/2018', 'age': '21', 'clubName': 'Rubin Kazan', 'clubID': '2698', 'value': '€1.50m'}, {'date': '20/12/2018', 'age': '22', 'clubName': 'Lokomotiv Moscow', 'clubID': '932', 'value': '€1.50m'}, {'date': '14/06/2019', 'age': '22', 'clubName': 'Lokomotiv Moscow', 'clubID': '932', 'value': '€2.00m'}, {'date': '10/09/2019', 'age': '22', 'clubName': 'Lokomotiv Moscow', 'clubID': '932', 'value': '€2.20m'}, {'date': '23/12/2019', 'age': '23', 'clubName': 'Lokomotiv Moscow', 'clubID': '932', 'value': '€3.50m'}, {'date': '08/04/2020', 'age': '23', 'clubName': 'Lokomotiv Moscow', 'clubID': '932', 'value': '€2.80m'}, {'date': '29/07/2020', 'age': '23', 'clubName': 'Lokomotiv Moscow', 'clubID': '932', 'value': '€3.50m'}, {'date': '29/12/2020', 'age': '24', 'clubName': 'Lokomotiv Moscow', 'clubID': '932', 'value': '€3.00m'}, {'date': '13/04/2021', 'age': '24', 'clubName': 'Lokomotiv Moscow', 'clubID': '932', 'value': '€3.50m'}, {'date': '26/05/2021', 'age': '24', 'clubName': 'Lokomotiv Moscow', 'clubID': '932', 'value': '€4.00m'}, {'date': '15/09/2021', 'age': '24', 'clubName': 'Lokomotiv Moscow', 'clubID': '932', 'value': '€7.50m'}, {'date': '29/12/2021', 'age': '25', 'clubName': 'Lokomotiv Moscow', 'clubID': '932', 'value': '€7.50m'}, {'date': '02/06/2022', 'age': '25', 'clubName': 'Lokomotiv Moscow', 'clubID': '932', 'value': '€7.50m'}, {'date': '21/11/2022', 'age': '26', 'clubName': 'Lokomotiv Moscow', 'clubID': '932', 'value': '€7.00m'}, {'date': '13/04/2023', 'age': '26', 'clubName': 'Lokomotiv Moscow', 'clubID': '932', 'value': '€6.00m'}, {'date': '14/06/2023', 'age': '26', 'clubName': 'Lokomotiv Moscow', 'clubID': '932', 'value': '€5.00m'}, {'date': '05/10/2023', 'age': '27', 'clubName': 'Lokomotiv Moscow', 'clubID': '932', 'value': '€4.50m'}, {'date': '13/12/2023', 'age': '27', 'clubName': 'Lokomotiv Moscow', 'clubID': '932', 'value': '€4.00m'}, {'date': '04/06/2024', 'age': '27', 'clubName': 'Lokomotiv Moscow', 'clubID': '932', 'value': '€3.00m'}, {'date': '12/12/2024', 'age': '28', 'clubName': 'CSKA Moscow', 'clubID': '2410', 'value': '€2.50m'}, {'date': '04/06/2025', 'age': '28', 'clubName': 'CSKA Moscow', 'clubID': '2410', 'value': '€2.50m'}, {'date': '16/12/2025', 'age': '29', 'clubName': 'Akhmat Grozny', 'clubID': '3725', 'value': '€1.50m'}]}</t>
  </si>
  <si>
    <t>1996-09-20</t>
  </si>
  <si>
    <t>Gouano</t>
  </si>
  <si>
    <t>{'marketValueHistory': [{'date': 'Aug 8, 2011', 'age': '17', 'clubName': 'Unknown', 'clubID': '75', 'value': '€100k'}, {'date': 'Nov 22, 2011', 'age': '17', 'clubName': 'Juventus Primavera', 'clubID': '506', 'value': '€400k'}, {'date': 'Mar 1, 2012', 'age': '18', 'clubName': 'Juventus Primavera', 'clubID': '506', 'value': '€250k'}, {'date': 'Dec 26, 2012', 'age': '19', 'clubName': 'SS Virtus Lanciano', 'clubID': '4718', 'value': '€200k'}, {'date': 'Jun 30, 2013', 'age': '19', 'clubName': 'Juventus FC', 'clubID': '506', 'value': '€200k'}, {'date': 'Feb 11, 2014', 'age': '20', 'clubName': 'RKC Waalwijk', 'clubID': '235', 'value': '€500k'}, {'date': 'Sep 30, 2014', 'age': '20', 'clubName': 'Rio Ave FC', 'clubID': '2425', 'value': '€700k'}, {'date': 'Feb 17, 2015', 'age': '21', 'clubName': 'Rio Ave FC', 'clubID': '2425', 'value': '€1.20m'}, {'date': 'Jul 1, 2015', 'age': '21', 'clubName': 'Atalanta BC', 'clubID': '800', 'value': '€1.70m'}, {'date': 'Apr 7, 2016', 'age': '22', 'clubName': 'Gaziantepspor', 'clubID': '524', 'value': '€1.70m'}, {'date': 'Jul 15, 2016', 'age': '22', 'clubName': 'Atalanta BC', 'clubID': '800', 'value': '€1.70m'}, {'date': 'Oct 31, 2016', 'age': '22', 'clubName': 'Vitória Guimarães SC', 'clubID': '2420', 'value': '€1.50m'}, {'date': 'Feb 22, 2017', 'age': '23', 'clubName': 'Vitória Guimarães SC', 'clubID': '2420', 'value': '€1.25m'}, {'date': 'Jun 26, 2017', 'age': '23', 'clubName': 'Vitória Guimarães SC', 'clubID': '2420', 'value': '€1.25m'}, {'date': 'Jan 24, 2018', 'age': '24', 'clubName': 'Amiens SC', 'clubID': '1416', 'value': '€3.00m'}, {'date': 'Jun 4, 2018', 'age': '24', 'clubName': 'Amiens SC', 'clubID': '1416', 'value': '€3.00m'}, {'date': 'Dec 17, 2018', 'age': '24', 'clubName': 'Amiens SC', 'clubID': '1416', 'value': '€7.00m'}, {'date': 'Jun 3, 2019', 'age': '25', 'clubName': 'Amiens SC', 'clubID': '1416', 'value': '€7.00m'}, {'date': 'Dec 19, 2019', 'age': '25', 'clubName': 'Amiens SC', 'clubID': '1416', 'value': '€6.00m'}, {'date': 'Apr 8, 2020', 'age': '26', 'clubName': 'Amiens SC', 'clubID': '1416', 'value': '€4.80m'}, {'date': 'Nov 11, 2020', 'age': '26', 'clubName': 'Amiens SC', 'clubID': '1416', 'value': '€2.00m'}, {'date': 'Jun 25, 2021', 'age': '27', 'clubName': 'Amiens SC', 'clubID': '1416', 'value': '€1.00m'}, {'date': 'Oct 28, 2021', 'age': '27', 'clubName': 'Retired', 'clubID': '123', 'value': '€800k'}, {'date': 'Apr 21, 2022', 'age': '28', 'clubName': 'Retired', 'clubID': '123', 'value': '€350k'}, {'date': 'Mar 7, 2023', 'age': '29', 'clubName': 'Retired', 'clubID': '123', 'value': '-'}]}</t>
  </si>
  <si>
    <t>1993-12-24</t>
  </si>
  <si>
    <t>Kagawa</t>
  </si>
  <si>
    <t>{'marketValueHistory': [{'date': '05/01/2009', 'age': '19', 'clubName': 'Cerezo Osaka', 'clubID': '1022', 'value': '€1.70m'}, {'date': '18/05/2009', 'age': '20', 'clubName': 'Cerezo Osaka', 'clubID': '1022', 'value': '€3.00m'}, {'date': '13/12/2009', 'age': '20', 'clubName': 'Cerezo Osaka', 'clubID': '1022', 'value': '€3.20m'}, {'date': '20/06/2010', 'age': '21', 'clubName': 'Cerezo Osaka', 'clubID': '1022', 'value': '€2.50m'}, {'date': '28/09/2010', 'age': '21', 'clubName': 'Borussia Dortmund', 'clubID': '16', 'value': '€5.00m'}, {'date': '12/01/2011', 'age': '21', 'clubName': 'Borussia Dortmund', 'clubID': '16', 'value': '€8.00m'}, {'date': '29/06/2011', 'age': '22', 'clubName': 'Borussia Dortmund', 'clubID': '16', 'value': '€8.00m'}, {'date': '26/08/2011', 'age': '22', 'clubName': 'Borussia Dortmund', 'clubID': '16', 'value': '€13.00m'}, {'date': '23/01/2012', 'age': '22', 'clubName': 'Borussia Dortmund', 'clubID': '16', 'value': '€13.00m'}, {'date': '05/03/2012', 'age': '22', 'clubName': 'Borussia Dortmund', 'clubID': '16', 'value': '€17.00m'}, {'date': '29/06/2012', 'age': '23', 'clubName': 'Borussia Dortmund', 'clubID': '16', 'value': '€22.00m'}, {'date': '28/01/2013', 'age': '23', 'clubName': 'Manchester United', 'clubID': '985', 'value': '€21.00m'}, {'date': '02/07/2013', 'age': '24', 'clubName': 'Manchester United', 'clubID': '985', 'value': '€20.00m'}, {'date': '15/01/2014', 'age': '24', 'clubName': 'Manchester United', 'clubID': '985', 'value': '€17.00m'}, {'date': '12/08/2014', 'age': '25', 'clubName': 'Manchester United', 'clubID': '985', 'value': '€15.00m'}, {'date': '04/02/2015', 'age': '25', 'clubName': 'Borussia Dortmund', 'clubID': '16', 'value': '€10.00m'}, {'date': '01/07/2015', 'age': '26', 'clubName': 'Borussia Dortmund', 'clubID': '16', 'value': '€10.00m'}, {'date': '16/10/2015', 'age': '26', 'clubName': 'Borussia Dortmund', 'clubID': '16', 'value': '€12.00m'}, {'date': '15/02/2016', 'age': '26', 'clubName': 'Borussia Dortmund', 'clubID': '16', 'value': '€14.00m'}, {'date': '22/07/2016', 'age': '27', 'clubName': 'Borussia Dortmund', 'clubID': '16', 'value': '€16.00m'}, {'date': '07/02/2017', 'age': '27', 'clubName': 'Borussia Dortmund', 'clubID': '16', 'value': '€13.00m'}, {'date': '19/06/2017', 'age': '28', 'clubName': 'Borussia Dortmund', 'clubID': '16', 'value': '€13.00m'}, {'date': '28/12/2017', 'age': '28', 'clubName': 'Borussia Dortmund', 'clubID': '16', 'value': '€13.00m'}, {'date': '05/06/2018', 'age': '29', 'clubName': 'Borussia Dortmund', 'clubID': '16', 'value': '€13.00m'}, {'date': '22/10/2018', 'age': '29', 'clubName': 'Borussia Dortmund', 'clubID': '16', 'value': '€11.00m'}, {'date': '18/12/2018', 'age': '29', 'clubName': 'Borussia Dortmund', 'clubID': '16', 'value': '€8.00m'}, {'date': '04/06/2019', 'age': '30', 'clubName': 'Besiktas JK', 'clubID': '114', 'value': '€6.00m'}, {'date': '10/09/2019', 'age': '30', 'clubName': 'Real Zaragoza', 'clubID': '142', 'value': '€4.00m'}, {'date': '20/12/2019', 'age': '30', 'clubName': 'Real Zaragoza', 'clubID': '142', 'value': '€3.00m'}, {'date': '08/04/2020', 'age': '31', 'clubName': 'Real Zaragoza', 'clubID': '142', 'value': '€2.40m'}, {'date': '08/10/2020', 'age': '31', 'clubName': 'Without Club', 'clubID': '515', 'value': '€2.00m'}, {'date': '30/05/2021', 'age': '32', 'clubName': 'PAOK Thessaloniki', 'clubID': '1091', 'value': '€1.50m'}, {'date': '01/11/2021', 'age': '32', 'clubName': 'PAOK Thessaloniki', 'clubID': '1091', 'value': '€1.20m'}, {'date': '12/04/2022', 'age': '33', 'clubName': 'Sint-Truidense VV', 'clubID': '475', 'value': '€1.00m'}, {'date': '04/11/2022', 'age': '33', 'clubName': 'Sint-Truidense VV', 'clubID': '475', 'value': '€800k'}, {'date': '28/06/2023', 'age': '34', 'clubName': 'Cerezo Osaka', 'clubID': '1022', 'value': '€700k'}, {'date': '22/02/2024', 'age': '34', 'clubName': 'Cerezo Osaka', 'clubID': '1022', 'value': '€450k'}, {'date': '12/06/2024', 'age': '35', 'clubName': 'Cerezo Osaka', 'clubID': '1022', 'value': '€350k'}, {'date': '10/12/2024', 'age': '35', 'clubName': 'Cerezo Osaka', 'clubID': '1022', 'value': '€300k'}, {'date': '29/05/2025', 'age': '36', 'clubName': 'Cerezo Osaka', 'clubID': '1022', 'value': '€250k'}, {'date': '15/12/2025', 'age': '36', 'clubName': 'Cerezo Osaka', 'clubID': '1022', 'value': '€175k'}]}</t>
  </si>
  <si>
    <t>1989-03-17</t>
  </si>
  <si>
    <t>Amiri</t>
  </si>
  <si>
    <t>{'marketValueHistory': [{'date': 'Sep 8, 2014', 'age': '17', 'clubName': 'TSG 1899 Hoffenheim', 'clubID': '533', 'value': '€100k'}, {'date': 'Feb 4, 2015', 'age': '18', 'clubName': 'TSG 1899 Hoffenheim', 'clubID': '533', 'value': '€350k'}, {'date': 'Jul 1, 2015', 'age': '18', 'clubName': 'TSG 1899 Hoffenheim', 'clubID': '533', 'value': '€1.00m'}, {'date': 'Feb 15, 2016', 'age': '19', 'clubName': 'TSG 1899 Hoffenheim', 'clubID': '533', 'value': '€1.50m'}, {'date': 'Jul 22, 2016', 'age': '19', 'clubName': 'TSG 1899 Hoffenheim', 'clubID': '533', 'value': '€4.00m'}, {'date': 'Feb 7, 2017', 'age': '20', 'clubName': 'TSG 1899 Hoffenheim', 'clubID': '533', 'value': '€7.00m'}, {'date': 'Jun 19, 2017', 'age': '20', 'clubName': 'TSG 1899 Hoffenheim', 'clubID': '533', 'value': '€10.00m'}, {'date': 'Dec 28, 2017', 'age': '21', 'clubName': 'TSG 1899 Hoffenheim', 'clubID': '533', 'value': '€15.00m'}, {'date': 'Jun 5, 2018', 'age': '21', 'clubName': 'TSG 1899 Hoffenheim', 'clubID': '533', 'value': '€17.00m'}, {'date': 'Dec 18, 2018', 'age': '22', 'clubName': 'TSG 1899 Hoffenheim', 'clubID': '533', 'value': '€17.00m'}, {'date': 'Jun 5, 2019', 'age': '22', 'clubName': 'TSG 1899 Hoffenheim', 'clubID': '533', 'value': '€17.00m'}, {'date': 'Oct 2, 2019', 'age': '22', 'clubName': 'Bayer 04 Leverkusen', 'clubID': '15', 'value': '€15.00m'}, {'date': 'Dec 17, 2019', 'age': '23', 'clubName': 'Bayer 04 Leverkusen', 'clubID': '15', 'value': '€20.00m'}, {'date': 'Apr 8, 2020', 'age': '23', 'clubName': 'Bayer 04 Leverkusen', 'clubID': '15', 'value': '€16.00m'}, {'date': 'Feb 10, 2021', 'age': '24', 'clubName': 'Bayer 04 Leverkusen', 'clubID': '15', 'value': '€22.00m'}, {'date': 'Jun 9, 2021', 'age': '24', 'clubName': 'Bayer 04 Leverkusen', 'clubID': '15', 'value': '€18.00m'}, {'date': 'Oct 7, 2021', 'age': '24', 'clubName': 'Bayer 04 Leverkusen', 'clubID': '15', 'value': '€15.00m'}, {'date': 'Dec 22, 2021', 'age': '25', 'clubName': 'Bayer 04 Leverkusen', 'clubID': '15', 'value': '€11.00m'}, {'date': 'Mar 15, 2022', 'age': '25', 'clubName': 'Genoa CFC', 'clubID': '252', 'value': '€9.00m'}, {'date': 'Jun 7, 2022', 'age': '25', 'clubName': 'Genoa CFC', 'clubID': '252', 'value': '€8.00m'}, {'date': 'Sep 21, 2022', 'age': '25', 'clubName': 'Bayer 04 Leverkusen', 'clubID': '15', 'value': '€6.00m'}, {'date': 'Nov 9, 2022', 'age': '26', 'clubName': 'Bayer 04 Leverkusen', 'clubID': '15', 'value': '€6.00m'}, {'date': 'Jun 22, 2023', 'age': '26', 'clubName': 'Bayer 04 Leverkusen', 'clubID': '15', 'value': '€6.00m'}, {'date': 'Oct 18, 2023', 'age': '26', 'clubName': 'Bayer 04 Leverkusen', 'clubID': '15', 'value': '€4.00m'}, {'date': 'Dec 14, 2023', 'age': '27', 'clubName': 'Bayer 04 Leverkusen', 'clubID': '15', 'value': '€4.00m'}, {'date': 'May 29, 2024', 'age': '27', 'clubName': '1.FSV Mainz 05', 'clubID': '39', 'value': '€7.00m'}, {'date': 'Oct 9, 2024', 'age': '27', 'clubName': '1.FSV Mainz 05', 'clubID': '39', 'value': '€9.00m'}, {'date': 'Dec 20, 2024', 'age': '28', 'clubName': '1.FSV Mainz 05', 'clubID': '39', 'value': '€11.00m'}, {'date': 'Mar 27, 2025', 'age': '28', 'clubName': '1.FSV Mainz 05', 'clubID': '39', 'value': '€18.00m'}, {'date': 'Jun 5, 2025', 'age': '28', 'clubName': '1.FSV Mainz 05', 'clubID': '39', 'value': '€20.00m'}, {'date': 'Dec 19, 2025', 'age': '29', 'clubName': '1.FSV Mainz 05', 'clubID': '39', 'value': '€17.00m'}]}</t>
  </si>
  <si>
    <t>1996-10-27</t>
  </si>
  <si>
    <t>Bruno Costa</t>
  </si>
  <si>
    <t>{'marketValueHistory': [{'date': '30/09/2016', 'age': '19', 'clubName': 'FC Porto B', 'clubID': '10331', 'value': '€25k'}, {'date': '30/06/2017', 'age': '20', 'clubName': 'FC Porto B', 'clubID': '10331', 'value': '€100k'}, {'date': '08/09/2017', 'age': '20', 'clubName': 'FC Porto B', 'clubID': '10331', 'value': '€100k'}, {'date': '23/02/2018', 'age': '20', 'clubName': 'FC Porto B', 'clubID': '10331', 'value': '€250k'}, {'date': '29/06/2018', 'age': '21', 'clubName': 'FC Porto B', 'clubID': '10331', 'value': '€1.25m'}, {'date': '11/01/2019', 'age': '21', 'clubName': 'FC Porto', 'clubID': '720', 'value': '€1.00m'}, {'date': '07/06/2019', 'age': '22', 'clubName': 'FC Porto', 'clubID': '720', 'value': '€1.00m'}, {'date': '30/12/2019', 'age': '22', 'clubName': 'FC Porto', 'clubID': '720', 'value': '€2.00m'}, {'date': '08/04/2020', 'age': '22', 'clubName': 'Portimonense SAD', 'clubID': '7378', 'value': '€1.60m'}, {'date': '17/08/2020', 'age': '23', 'clubName': 'FC Paços de Ferreira', 'clubID': '2995', 'value': '€1.00m'}, {'date': '28/01/2021', 'age': '23', 'clubName': 'FC Paços de Ferreira', 'clubID': '2995', 'value': '€2.00m'}, {'date': '21/05/2021', 'age': '24', 'clubName': 'FC Paços de Ferreira', 'clubID': '2995', 'value': '€2.50m'}, {'date': '27/12/2021', 'age': '24', 'clubName': 'FC Porto', 'clubID': '720', 'value': '€2.50m'}, {'date': '31/05/2022', 'age': '25', 'clubName': 'FC Porto', 'clubID': '720', 'value': '€2.50m'}, {'date': '01/11/2022', 'age': '25', 'clubName': 'FC Porto', 'clubID': '720', 'value': '€2.50m'}, {'date': '02/03/2023', 'age': '25', 'clubName': 'FC Porto B', 'clubID': '10331', 'value': '€2.00m'}, {'date': '16/06/2023', 'age': '26', 'clubName': 'FC Porto B', 'clubID': '10331', 'value': '€1.50m'}, {'date': '13/12/2023', 'age': '26', 'clubName': 'Valenciennes FC', 'clubID': '1423', 'value': '€1.20m'}, {'date': '06/06/2024', 'age': '27', 'clubName': 'FC Vizela', 'clubID': '6912', 'value': '€800k'}, {'date': '19/12/2024', 'age': '27', 'clubName': 'CD Nacional', 'clubID': '982', 'value': '€500k'}, {'date': '30/05/2025', 'age': '28', 'clubName': 'CD Nacional', 'clubID': '982', 'value': '€500k'}, {'date': '16/12/2025', 'age': '28', 'clubName': 'Gyeongnam FC', 'clubID': '16696', 'value': '€500k'}]}</t>
  </si>
  <si>
    <t>1997-04-19</t>
  </si>
  <si>
    <t>Zhamaletdinov</t>
  </si>
  <si>
    <t>{'marketValueHistory': [{'date': 'Aug 25, 2015', 'age': '18', 'clubName': 'CSKA Moscow II', 'clubID': '11755', 'value': '€50k'}, {'date': 'Jan 23, 2016', 'age': '18', 'clubName': 'CSKA Moscow II', 'clubID': '11755', 'value': '€100k'}, {'date': 'Dec 2, 2016', 'age': '19', 'clubName': 'CSKA Moscow II', 'clubID': '11755', 'value': '€150k'}, {'date': 'Jun 1, 2017', 'age': '20', 'clubName': 'CSKA Moscow II', 'clubID': '11755', 'value': '€200k'}, {'date': 'Oct 2, 2017', 'age': '20', 'clubName': 'CSKA Moscow', 'clubID': '2410', 'value': '€700k'}, {'date': 'Nov 24, 2017', 'age': '20', 'clubName': 'CSKA Moscow', 'clubID': '2410', 'value': '€800k'}, {'date': 'Jun 6, 2018', 'age': '21', 'clubName': 'CSKA Moscow', 'clubID': '2410', 'value': '€800k'}, {'date': 'Oct 15, 2018', 'age': '21', 'clubName': 'CSKA Moscow', 'clubID': '2410', 'value': '€1.20m'}, {'date': 'Dec 20, 2018', 'age': '21', 'clubName': 'CSKA Moscow', 'clubID': '2410', 'value': '€1.20m'}, {'date': 'Jan 25, 2019', 'age': '21', 'clubName': 'Lech Poznan', 'clubID': '238', 'value': '€1.20m'}, {'date': 'Jun 29, 2019', 'age': '22', 'clubName': 'Lech Poznan', 'clubID': '238', 'value': '€800k'}, {'date': 'Jan 15, 2020', 'age': '22', 'clubName': 'Lech Poznan', 'clubID': '238', 'value': '€400k'}, {'date': 'Apr 8, 2020', 'age': '22', 'clubName': 'Lech Poznan', 'clubID': '238', 'value': '€325k'}, {'date': 'Oct 19, 2020', 'age': '23', 'clubName': 'FC Ufa', 'clubID': '28095', 'value': '€500k'}, {'date': 'Dec 29, 2020', 'age': '23', 'clubName': 'FC Ufa', 'clubID': '28095', 'value': '€700k'}, {'date': 'Jun 2, 2021', 'age': '24', 'clubName': 'FC Ufa', 'clubID': '28095', 'value': '€700k'}, {'date': 'Dec 29, 2021', 'age': '24', 'clubName': 'FC Ufa', 'clubID': '28095', 'value': '€500k'}, {'date': 'Jun 2, 2022', 'age': '25', 'clubName': 'FC Ufa', 'clubID': '28095', 'value': '€300k'}, {'date': 'Dec 8, 2022', 'age': '25', 'clubName': 'SKA Khabarovsk', 'clubID': '3690', 'value': '€350k'}, {'date': 'Jun 19, 2023', 'age': '26', 'clubName': 'SKA Khabarovsk', 'clubID': '3690', 'value': '€300k'}, {'date': 'Nov 30, 2023', 'age': '26', 'clubName': 'Volgar Astrakhan', 'clubID': '6432', 'value': '€300k'}, {'date': 'Jun 14, 2024', 'age': '27', 'clubName': 'Volgar Astrakhan', 'clubID': '6432', 'value': '€250k'}, {'date': 'Dec 4, 2024', 'age': '27', 'clubName': 'Shinnik Yaroslavl', 'clubID': '2374', 'value': '€200k'}, {'date': 'Mar 6, 2025', 'age': '27', 'clubName': 'Znamya Truda Orekhovo-Zuevo', 'clubID': '12444', 'value': '-'}, {'date': 'Jul 9, 2025', 'age': '28', 'clubName': 'FK Chelyabinsk', 'clubID': '23110', 'value': '€250k'}, {'date': 'Dec 3, 2025', 'age': '28', 'clubName': 'FK Chelyabinsk', 'clubID': '23110', 'value': '€225k'}]}</t>
  </si>
  <si>
    <t>1997-05-21</t>
  </si>
  <si>
    <t>{'marketValueHistory': [{'date': '24/06/2014', 'age': '18', 'clubName': 'Roma U19', 'clubID': '11997', 'value': '€175k'}, {'date': '02/03/2015', 'age': '18', 'clubName': 'Roma U19', 'clubID': '11997', 'value': '€200k'}, {'date': '17/06/2015', 'age': '18', 'clubName': 'Roma U19', 'clubID': '11997', 'value': '€250k'}, {'date': '04/01/2016', 'age': '19', 'clubName': 'US Sassuolo', 'clubID': '6574', 'value': '€1.00m'}, {'date': '15/07/2016', 'age': '20', 'clubName': 'US Sassuolo', 'clubID': '6574', 'value': '€2.50m'}, {'date': '02/01/2017', 'age': '20', 'clubName': 'US Sassuolo', 'clubID': '6574', 'value': '€6.00m'}, {'date': '28/03/2017', 'age': '20', 'clubName': 'US Sassuolo', 'clubID': '6574', 'value': '€8.00m'}, {'date': '08/06/2017', 'age': '20', 'clubName': 'US Sassuolo', 'clubID': '6574', 'value': '€12.00m'}, {'date': '29/12/2017', 'age': '21', 'clubName': 'AS Roma', 'clubID': '12', 'value': '€16.00m'}, {'date': '24/03/2018', 'age': '21', 'clubName': 'AS Roma', 'clubID': '12', 'value': '€23.00m'}, {'date': '07/06/2018', 'age': '21', 'clubName': 'AS Roma', 'clubID': '12', 'value': '€28.00m'}, {'date': '20/12/2018', 'age': '22', 'clubName': 'AS Roma', 'clubID': '12', 'value': '€35.00m'}, {'date': '06/06/2019', 'age': '22', 'clubName': 'AS Roma', 'clubID': '12', 'value': '€35.00m'}, {'date': '08/10/2019', 'age': '23', 'clubName': 'AS Roma', 'clubID': '12', 'value': '€40.00m'}, {'date': '12/12/2019', 'age': '23', 'clubName': 'AS Roma', 'clubID': '12', 'value': '€40.00m'}, {'date': '08/04/2020', 'age': '23', 'clubName': 'AS Roma', 'clubID': '12', 'value': '€32.00m'}, {'date': '25/08/2020', 'age': '24', 'clubName': 'AS Roma', 'clubID': '12', 'value': '€32.00m'}, {'date': '29/12/2020', 'age': '24', 'clubName': 'AS Roma', 'clubID': '12', 'value': '€37.00m'}, {'date': '25/05/2021', 'age': '24', 'clubName': 'AS Roma', 'clubID': '12', 'value': '€40.00m'}, {'date': '14/10/2021', 'age': '25', 'clubName': 'AS Roma', 'clubID': '12', 'value': '€45.00m'}, {'date': '28/12/2021', 'age': '25', 'clubName': 'AS Roma', 'clubID': '12', 'value': '€45.00m'}, {'date': '07/06/2022', 'age': '25', 'clubName': 'AS Roma', 'clubID': '12', 'value': '€45.00m'}, {'date': '11/11/2022', 'age': '26', 'clubName': 'AS Roma', 'clubID': '12', 'value': '€45.00m'}, {'date': '21/03/2023', 'age': '26', 'clubName': 'AS Roma', 'clubID': '12', 'value': '€35.00m'}, {'date': '15/06/2023', 'age': '26', 'clubName': 'AS Roma', 'clubID': '12', 'value': '€35.00m'}, {'date': '11/10/2023', 'age': '27', 'clubName': 'AS Roma', 'clubID': '12', 'value': '€30.00m'}, {'date': '20/12/2023', 'age': '27', 'clubName': 'AS Roma', 'clubID': '12', 'value': '€25.00m'}, {'date': '05/06/2024', 'age': '27', 'clubName': 'AS Roma', 'clubID': '12', 'value': '€25.00m'}, {'date': '18/10/2024', 'age': '28', 'clubName': 'AS Roma', 'clubID': '12', 'value': '€22.00m'}, {'date': '18/12/2024', 'age': '28', 'clubName': 'AS Roma', 'clubID': '12', 'value': '€14.00m'}, {'date': '17/06/2025', 'age': '28', 'clubName': 'AS Roma', 'clubID': '12', 'value': '€9.00m'}, {'date': '23/12/2025', 'age': '29', 'clubName': 'AS Roma', 'clubID': '12', 'value': '€9.00m'}]}</t>
  </si>
  <si>
    <t>Coric</t>
  </si>
  <si>
    <t>{'marketValueHistory': [{'date': 'Oct 1, 2014', 'age': '17', 'clubName': 'GNK Dinamo Zagreb', 'clubID': '419', 'value': '€1.00m'}, {'date': 'Mar 17, 2015', 'age': '17', 'clubName': 'GNK Dinamo Zagreb', 'clubID': '419', 'value': '€2.50m'}, {'date': 'Sep 14, 2015', 'age': '18', 'clubName': 'GNK Dinamo Zagreb', 'clubID': '419', 'value': '€5.00m'}, {'date': 'Mar 14, 2016', 'age': '18', 'clubName': 'GNK Dinamo Zagreb', 'clubID': '419', 'value': '€6.00m'}, {'date': 'Jun 1, 2016', 'age': '19', 'clubName': 'GNK Dinamo Zagreb', 'clubID': '419', 'value': '€7.00m'}, {'date': 'Sep 14, 2016', 'age': '19', 'clubName': 'GNK Dinamo Zagreb', 'clubID': '419', 'value': '€10.00m'}, {'date': 'Mar 13, 2017', 'age': '19', 'clubName': 'GNK Dinamo Zagreb', 'clubID': '419', 'value': '€10.00m'}, {'date': 'Oct 23, 2017', 'age': '20', 'clubName': 'GNK Dinamo Zagreb', 'clubID': '419', 'value': '€8.50m'}, {'date': 'Mar 18, 2018', 'age': '20', 'clubName': 'GNK Dinamo Zagreb', 'clubID': '419', 'value': '€7.50m'}, {'date': 'Dec 20, 2018', 'age': '21', 'clubName': 'AS Roma', 'clubID': '12', 'value': '€7.00m'}, {'date': 'Jun 6, 2019', 'age': '22', 'clubName': 'AS Roma', 'clubID': '12', 'value': '€6.00m'}, {'date': 'Sep 10, 2019', 'age': '22', 'clubName': 'UD Almería', 'clubID': '3302', 'value': '€4.00m'}, {'date': 'Dec 20, 2019', 'age': '22', 'clubName': 'UD Almería', 'clubID': '3302', 'value': '€3.00m'}, {'date': 'Apr 8, 2020', 'age': '22', 'clubName': 'UD Almería', 'clubID': '3302', 'value': '€2.40m'}, {'date': 'Aug 25, 2020', 'age': '23', 'clubName': 'AS Roma', 'clubID': '12', 'value': '€1.70m'}, {'date': 'Oct 14, 2020', 'age': '23', 'clubName': 'VVV-Venlo', 'clubID': '1426', 'value': '€1.70m'}, {'date': 'Jan 6, 2021', 'age': '23', 'clubName': 'VVV-Venlo', 'clubID': '1426', 'value': '€1.00m'}, {'date': 'Jun 8, 2021', 'age': '24', 'clubName': 'NK Olimpija Ljubljana', 'clubID': '4772', 'value': '€700k'}, {'date': 'Jan 3, 2022', 'age': '24', 'clubName': 'FC Zürich', 'clubID': '260', 'value': '€700k'}, {'date': 'Jun 8, 2022', 'age': '25', 'clubName': 'FC Zürich', 'clubID': '260', 'value': '€800k'}, {'date': 'Nov 11, 2022', 'age': '25', 'clubName': 'AS Roma', 'clubID': '12', 'value': '€500k'}, {'date': 'Mar 21, 2023', 'age': '25', 'clubName': 'AS Roma', 'clubID': '12', 'value': '€400k'}, {'date': 'Jun 15, 2023', 'age': '26', 'clubName': 'AS Roma', 'clubID': '12', 'value': '€300k'}, {'date': 'Jun 4, 2024', 'age': '27', 'clubName': 'NK Rudes', 'clubID': '11083', 'value': '€250k'}, {'date': 'Dec 23, 2024', 'age': '27', 'clubName': 'NK Varazdin', 'clubID': '599', 'value': '€150k'}, {'date': 'Apr 4, 2025', 'age': '27', 'clubName': 'Without Club', 'clubID': '515', 'value': '€125k'}, {'date': 'Oct 17, 2025', 'age': '28', 'clubName': 'Hamrun Spartans', 'clubID': '17149', 'value': '€250k'}, {'date': 'Apr 9, 2026', 'age': '28', 'clubName': 'Without Club', 'clubID': '515', 'value': '€225k'}]}</t>
  </si>
  <si>
    <t>1997-04-14</t>
  </si>
  <si>
    <t>M. Sadilek</t>
  </si>
  <si>
    <t>{'marketValueHistory': [{'date': '04/11/2016', 'age': '17', 'clubName': 'PSV Eindhoven U19', 'clubID': '383', 'value': '€25k'}, {'date': '02/02/2017', 'age': '17', 'clubName': 'PSV Eindhoven U19', 'clubID': '383', 'value': '€50k'}, {'date': '21/06/2017', 'age': '18', 'clubName': 'PSV Eindhoven U19', 'clubID': '383', 'value': '€100k'}, {'date': '01/03/2018', 'age': '18', 'clubName': 'PSV Eindhoven U19', 'clubID': '383', 'value': '€100k'}, {'date': '29/06/2018', 'age': '19', 'clubName': 'PSV Eindhoven U19', 'clubID': '383', 'value': '€125k'}, {'date': '28/12/2018', 'age': '19', 'clubName': 'PSV Eindhoven U21', 'clubID': '383', 'value': '€300k'}, {'date': '21/01/2019', 'age': '19', 'clubName': 'PSV Eindhoven', 'clubID': '383', 'value': '€600k'}, {'date': '13/03/2019', 'age': '19', 'clubName': 'PSV Eindhoven', 'clubID': '383', 'value': '€1.00m'}, {'date': '12/06/2019', 'age': '20', 'clubName': 'PSV Eindhoven', 'clubID': '383', 'value': '€3.00m'}, {'date': '18/12/2019', 'age': '20', 'clubName': 'PSV Eindhoven', 'clubID': '383', 'value': '€3.50m'}, {'date': '08/04/2020', 'age': '20', 'clubName': 'PSV Eindhoven', 'clubID': '383', 'value': '€3.20m'}, {'date': '27/12/2020', 'age': '21', 'clubName': 'FC Slovan Liberec', 'clubID': '697', 'value': '€2.50m'}, {'date': '28/05/2021', 'age': '21', 'clubName': 'FC Slovan Liberec', 'clubID': '697', 'value': '€2.30m'}, {'date': '05/01/2022', 'age': '22', 'clubName': 'FC Twente Enschede', 'clubID': '317', 'value': '€2.50m'}, {'date': '08/06/2022', 'age': '23', 'clubName': 'FC Twente Enschede', 'clubID': '317', 'value': '€4.00m'}, {'date': '11/11/2022', 'age': '23', 'clubName': 'FC Twente Enschede', 'clubID': '317', 'value': '€4.00m'}, {'date': '23/06/2023', 'age': '24', 'clubName': 'FC Twente Enschede', 'clubID': '317', 'value': '€4.00m'}, {'date': '17/10/2023', 'age': '24', 'clubName': 'FC Twente Enschede', 'clubID': '317', 'value': '€5.00m'}, {'date': '15/12/2023', 'age': '24', 'clubName': 'FC Twente Enschede', 'clubID': '317', 'value': '€6.00m'}, {'date': '31/05/2024', 'age': '25', 'clubName': 'FC Twente Enschede', 'clubID': '317', 'value': '€8.00m'}, {'date': '17/12/2024', 'age': '25', 'clubName': 'FC Twente Enschede', 'clubID': '317', 'value': '€7.00m'}, {'date': '28/03/2025', 'age': '25', 'clubName': 'FC Twente Enschede', 'clubID': '317', 'value': '€8.00m'}, {'date': '28/05/2025', 'age': '25', 'clubName': 'FC Twente Enschede', 'clubID': '317', 'value': '€8.00m'}, {'date': '22/12/2025', 'age': '26', 'clubName': 'SK Slavia Prague', 'clubID': '62', 'value': '€7.50m'}, {'date': '24/03/2026', 'age': '26', 'clubName': 'SK Slavia Prague', 'clubID': '62', 'value': '€8.00m'}]}</t>
  </si>
  <si>
    <t>1999-05-31</t>
  </si>
  <si>
    <t>Denis Suarez</t>
  </si>
  <si>
    <t>{'marketValueHistory': [{'date': 'Jun 22, 2013', 'age': '19', 'clubName': 'Manchester City U21', 'clubID': '9265', 'value': '€500k'}, {'date': 'Jun 27, 2013', 'age': '19', 'clubName': 'Manchester City U21', 'clubID': '9265', 'value': '€1.00m'}, {'date': 'Oct 15, 2013', 'age': '19', 'clubName': 'FC Barcelona B', 'clubID': '2464', 'value': '€2.50m'}, {'date': 'Feb 6, 2014', 'age': '20', 'clubName': 'FC Barcelona B', 'clubID': '2464', 'value': '€2.50m'}, {'date': 'Mar 28, 2014', 'age': '20', 'clubName': 'FC Barcelona B', 'clubID': '2464', 'value': '€3.50m'}, {'date': 'Jul 20, 2014', 'age': '20', 'clubName': 'Sevilla FC', 'clubID': '368', 'value': '€5.00m'}, {'date': 'Oct 23, 2014', 'age': '20', 'clubName': 'Sevilla FC', 'clubID': '368', 'value': '€8.00m'}, {'date': 'Jan 23, 2015', 'age': '21', 'clubName': 'Sevilla FC', 'clubID': '368', 'value': '€12.00m'}, {'date': 'Jul 1, 2015', 'age': '21', 'clubName': 'Sevilla FC', 'clubID': '368', 'value': '€12.00m'}, {'date': 'Feb 22, 2016', 'age': '22', 'clubName': 'Villarreal CF', 'clubID': '1050', 'value': '€12.00m'}, {'date': 'Jul 15, 2016', 'age': '22', 'clubName': 'FC Barcelona', 'clubID': '131', 'value': '€15.00m'}, {'date': 'Jan 24, 2017', 'age': '23', 'clubName': 'FC Barcelona', 'clubID': '131', 'value': '€18.00m'}, {'date': 'Jun 5, 2017', 'age': '23', 'clubName': 'FC Barcelona', 'clubID': '131', 'value': '€18.00m'}, {'date': 'Jan 1, 2018', 'age': '23', 'clubName': 'FC Barcelona', 'clubID': '131', 'value': '€18.00m'}, {'date': 'Mar 22, 2018', 'age': '24', 'clubName': 'FC Barcelona', 'clubID': '131', 'value': '€15.00m'}, {'date': 'May 30, 2018', 'age': '24', 'clubName': 'FC Barcelona', 'clubID': '131', 'value': '€15.00m'}, {'date': 'Dec 21, 2018', 'age': '24', 'clubName': 'FC Barcelona', 'clubID': '131', 'value': '€12.00m'}, {'date': 'Jun 13, 2019', 'age': '25', 'clubName': 'Arsenal FC', 'clubID': '11', 'value': '€12.00m'}, {'date': 'Dec 20, 2019', 'age': '25', 'clubName': 'Celta de Vigo', 'clubID': '940', 'value': '€12.00m'}, {'date': 'Apr 8, 2020', 'age': '26', 'clubName': 'Celta de Vigo', 'clubID': '940', 'value': '€9.50m'}, {'date': 'Oct 8, 2020', 'age': '26', 'clubName': 'Celta de Vigo', 'clubID': '940', 'value': '€10.00m'}, {'date': 'Jan 5, 2021', 'age': '26', 'clubName': 'Celta de Vigo', 'clubID': '940', 'value': '€10.00m'}, {'date': 'Jun 10, 2021', 'age': '27', 'clubName': 'Celta de Vigo', 'clubID': '940', 'value': '€12.00m'}, {'date': 'Dec 30, 2021', 'age': '27', 'clubName': 'Celta de Vigo', 'clubID': '940', 'value': '€10.00m'}, {'date': 'Jun 3, 2022', 'age': '28', 'clubName': 'Celta de Vigo', 'clubID': '940', 'value': '€10.00m'}, {'date': 'Sep 23, 2022', 'age': '28', 'clubName': 'Celta de Vigo', 'clubID': '940', 'value': '€5.00m'}, {'date': 'Nov 7, 2022', 'age': '28', 'clubName': 'Celta de Vigo', 'clubID': '940', 'value': '€5.00m'}, {'date': 'Jun 13, 2023', 'age': '29', 'clubName': 'RCD Espanyol Barcelona', 'clubID': '714', 'value': '€5.00m'}, {'date': 'Oct 13, 2023', 'age': '29', 'clubName': 'Villarreal CF', 'clubID': '1050', 'value': '€2.50m'}, {'date': 'Dec 22, 2023', 'age': '29', 'clubName': 'Villarreal CF', 'clubID': '1050', 'value': '€2.00m'}, {'date': 'Jun 7, 2024', 'age': '30', 'clubName': 'Villarreal CF', 'clubID': '1050', 'value': '€1.50m'}, {'date': 'Dec 27, 2024', 'age': '30', 'clubName': 'Villarreal CF', 'clubID': '1050', 'value': '€1.30m'}, {'date': 'Jun 9, 2025', 'age': '31', 'clubName': 'Villarreal CF', 'clubID': '1050', 'value': '€1.20m'}, {'date': 'Dec 12, 2025', 'age': '31', 'clubName': 'Deportivo Alavés', 'clubID': '1108', 'value': '€1.20m'}]}</t>
  </si>
  <si>
    <t>1994-01-06</t>
  </si>
  <si>
    <t>Isimat-Mirin</t>
  </si>
  <si>
    <t>{'marketValueHistory': [{'date': '20/01/2011', 'age': '19', 'clubName': 'Valenciennes FC', 'clubID': '1423', 'value': '€250k'}, {'date': '24/05/2011', 'age': '19', 'clubName': 'Valenciennes FC', 'clubID': '1423', 'value': '€400k'}, {'date': '27/09/2011', 'age': '19', 'clubName': 'Valenciennes FC', 'clubID': '1423', 'value': '€1.00m'}, {'date': '24/12/2011', 'age': '20', 'clubName': 'Valenciennes FC', 'clubID': '1423', 'value': '€2.00m'}, {'date': '23/05/2012', 'age': '20', 'clubName': 'Valenciennes FC', 'clubID': '1423', 'value': '€2.50m'}, {'date': '07/01/2013', 'age': '21', 'clubName': 'Valenciennes FC', 'clubID': '1423', 'value': '€3.50m'}, {'date': '30/05/2013', 'age': '21', 'clubName': 'Valenciennes FC', 'clubID': '1423', 'value': '€4.50m'}, {'date': '14/01/2014', 'age': '22', 'clubName': 'AS Monaco', 'clubID': '162', 'value': '€3.50m'}, {'date': '07/08/2014', 'age': '22', 'clubName': 'AS Monaco', 'clubID': '162', 'value': '€2.50m'}, {'date': '16/02/2015', 'age': '23', 'clubName': 'PSV Eindhoven', 'clubID': '383', 'value': '€2.50m'}, {'date': '01/07/2015', 'age': '23', 'clubName': 'PSV Eindhoven', 'clubID': '383', 'value': '€3.00m'}, {'date': '05/02/2016', 'age': '24', 'clubName': 'PSV Eindhoven', 'clubID': '383', 'value': '€3.00m'}, {'date': '15/07/2016', 'age': '24', 'clubName': 'PSV Eindhoven', 'clubID': '383', 'value': '€3.00m'}, {'date': '18/01/2017', 'age': '25', 'clubName': 'PSV Eindhoven', 'clubID': '383', 'value': '€3.50m'}, {'date': '07/06/2017', 'age': '25', 'clubName': 'PSV Eindhoven', 'clubID': '383', 'value': '€4.00m'}, {'date': '17/01/2018', 'age': '26', 'clubName': 'PSV Eindhoven', 'clubID': '383', 'value': '€4.00m'}, {'date': '12/06/2018', 'age': '26', 'clubName': 'PSV Eindhoven', 'clubID': '383', 'value': '€4.00m'}, {'date': '28/12/2018', 'age': '27', 'clubName': 'PSV Eindhoven', 'clubID': '383', 'value': '€2.50m'}, {'date': '27/03/2019', 'age': '27', 'clubName': 'Besiktas JK', 'clubID': '114', 'value': '€1.75m'}, {'date': '04/06/2019', 'age': '27', 'clubName': 'Besiktas JK', 'clubID': '114', 'value': '€1.25m'}, {'date': '19/12/2019', 'age': '28', 'clubName': 'FC Toulouse', 'clubID': '415', 'value': '€1.50m'}, {'date': '08/04/2020', 'age': '28', 'clubName': 'FC Toulouse', 'clubID': '415', 'value': '€1.20m'}, {'date': '04/08/2020', 'age': '28', 'clubName': 'Besiktas JK', 'clubID': '114', 'value': '€1.00m'}, {'date': '12/10/2020', 'age': '28', 'clubName': 'Besiktas JK', 'clubID': '114', 'value': '€800k'}, {'date': '23/12/2020', 'age': '29', 'clubName': 'Besiktas JK', 'clubID': '114', 'value': '€400k'}, {'date': '09/07/2021', 'age': '29', 'clubName': 'Sporting Kansas City', 'clubID': '4284', 'value': '€400k'}, {'date': '09/11/2021', 'age': '29', 'clubName': 'Sporting Kansas City', 'clubID': '4284', 'value': '€400k'}, {'date': '18/08/2022', 'age': '30', 'clubName': 'Sporting Kansas City', 'clubID': '4284', 'value': '€400k'}, {'date': '08/11/2022', 'age': '30', 'clubName': 'Sporting Kansas City', 'clubID': '4284', 'value': '€400k'}, {'date': '23/06/2023', 'age': '31', 'clubName': 'Vitesse Arnhem', 'clubID': '499', 'value': '€450k'}, {'date': '15/12/2023', 'age': '32', 'clubName': 'Vitesse Arnhem', 'clubID': '499', 'value': '€375k'}, {'date': '31/05/2024', 'age': '32', 'clubName': 'Vitesse Arnhem', 'clubID': '499', 'value': '€325k'}, {'date': '26/09/2024', 'age': '32', 'clubName': 'Athens Kallithea', 'clubID': '3062', 'value': '€300k'}, {'date': '18/12/2024', 'age': '33', 'clubName': 'Athens Kallithea', 'clubID': '3062', 'value': '€250k'}, {'date': '23/05/2025', 'age': '33', 'clubName': 'Athens Kallithea', 'clubID': '3062', 'value': '€200k'}, {'date': '21/10/2025', 'age': '33', 'clubName': 'Without Club', 'clubID': '515', 'value': '€150k'}, {'date': '09/04/2026', 'age': '34', 'clubName': 'Without Club', 'clubID': '515', 'value': '€100k'}]}</t>
  </si>
  <si>
    <t>1991-11-15</t>
  </si>
  <si>
    <t>Ounas</t>
  </si>
  <si>
    <t>{'marketValueHistory': [{'date': 'Dec 11, 2015', 'age': '19', 'clubName': 'FC Girondins Bordeaux', 'clubID': '40', 'value': '€400k'}, {'date': 'Feb 4, 2016', 'age': '19', 'clubName': 'FC Girondins Bordeaux', 'clubID': '40', 'value': '€1.50m'}, {'date': 'Jul 13, 2016', 'age': '19', 'clubName': 'FC Girondins Bordeaux', 'clubID': '40', 'value': '€4.00m'}, {'date': 'Jan 16, 2017', 'age': '20', 'clubName': 'FC Girondins Bordeaux', 'clubID': '40', 'value': '€4.00m'}, {'date': 'Jun 1, 2017', 'age': '20', 'clubName': 'FC Girondins Bordeaux', 'clubID': '40', 'value': '€4.00m'}, {'date': 'Oct 13, 2017', 'age': '20', 'clubName': 'SSC Napoli', 'clubID': '6195', 'value': '€5.00m'}, {'date': 'Dec 29, 2017', 'age': '21', 'clubName': 'SSC Napoli', 'clubID': '6195', 'value': '€5.00m'}, {'date': 'Jun 7, 2018', 'age': '21', 'clubName': 'SSC Napoli', 'clubID': '6195', 'value': '€4.50m'}, {'date': 'Dec 20, 2018', 'age': '22', 'clubName': 'SSC Napoli', 'clubID': '6195', 'value': '€7.50m'}, {'date': 'Mar 1, 2019', 'age': '22', 'clubName': 'SSC Napoli', 'clubID': '6195', 'value': '€10.00m'}, {'date': 'Jun 6, 2019', 'age': '22', 'clubName': 'SSC Napoli', 'clubID': '6195', 'value': '€10.00m'}, {'date': 'Dec 19, 2019', 'age': '23', 'clubName': 'OGC Nice', 'clubID': '417', 'value': '€10.00m'}, {'date': 'Apr 8, 2020', 'age': '23', 'clubName': 'OGC Nice', 'clubID': '417', 'value': '€8.00m'}, {'date': 'Aug 25, 2020', 'age': '23', 'clubName': 'SSC Napoli', 'clubID': '6195', 'value': '€8.00m'}, {'date': 'Dec 29, 2020', 'age': '24', 'clubName': 'Cagliari Calcio', 'clubID': '1390', 'value': '€8.00m'}, {'date': 'Jun 3, 2021', 'age': '24', 'clubName': 'FC Crotone', 'clubID': '4083', 'value': '€8.00m'}, {'date': 'Dec 28, 2021', 'age': '25', 'clubName': 'SSC Napoli', 'clubID': '6195', 'value': '€8.00m'}, {'date': 'Jun 7, 2022', 'age': '25', 'clubName': 'SSC Napoli', 'clubID': '6195', 'value': '€7.00m'}, {'date': 'Nov 2, 2022', 'age': '25', 'clubName': 'LOSC Lille', 'clubID': '1082', 'value': '€8.00m'}, {'date': 'Jun 27, 2023', 'age': '26', 'clubName': 'LOSC Lille', 'clubID': '1082', 'value': '€7.00m'}, {'date': 'Dec 18, 2023', 'age': '27', 'clubName': 'LOSC Lille', 'clubID': '1082', 'value': '€5.00m'}, {'date': 'Jun 3, 2024', 'age': '27', 'clubName': 'LOSC Lille', 'clubID': '1082', 'value': '€4.00m'}, {'date': 'Oct 16, 2024', 'age': '27', 'clubName': 'Without Club', 'clubID': '515', 'value': '€3.00m'}, {'date': 'Dec 10, 2024', 'age': '28', 'clubName': 'Al-Sadd SC', 'clubID': '656', 'value': '€3.00m'}, {'date': 'May 28, 2025', 'age': '28', 'clubName': 'Al-Sadd SC', 'clubID': '656', 'value': '€2.00m'}, {'date': 'Dec 30, 2025', 'age': '29', 'clubName': 'Al-Sailiya SC', 'clubID': '4630', 'value': '€1.50m'}]}</t>
  </si>
  <si>
    <t>1996-11-11</t>
  </si>
  <si>
    <t>Verdi</t>
  </si>
  <si>
    <t>{'marketValueHistory': [{'date': '17/11/2009', 'age': '17', 'clubName': 'Unknown', 'clubID': '75', 'value': '€300k'}, {'date': '05/06/2011', 'age': '18', 'clubName': 'Unknown', 'clubID': '75', 'value': '€400k'}, {'date': '01/01/2012', 'age': '19', 'clubName': 'Torino FC', 'clubID': '416', 'value': '€600k'}, {'date': '12/06/2012', 'age': '19', 'clubName': 'Torino FC', 'clubID': '416', 'value': '€500k'}, {'date': '14/01/2013', 'age': '20', 'clubName': 'Torino FC', 'clubID': '416', 'value': '€500k'}, {'date': '05/07/2013', 'age': '20', 'clubName': 'Torino FC', 'clubID': '416', 'value': '€900k'}, {'date': '29/01/2014', 'age': '21', 'clubName': 'FC Empoli', 'clubID': '749', 'value': '€1.00m'}, {'date': '15/07/2014', 'age': '22', 'clubName': 'Torino FC', 'clubID': '416', 'value': '€2.50m'}, {'date': '07/01/2015', 'age': '22', 'clubName': 'FC Empoli', 'clubID': '749', 'value': '€3.20m'}, {'date': '01/07/2015', 'age': '22', 'clubName': 'AC Milan', 'clubID': '5', 'value': '€3.00m'}, {'date': '22/02/2016', 'age': '23', 'clubName': 'Carpi FC 1909', 'clubID': '4102', 'value': '€2.00m'}, {'date': '15/07/2016', 'age': '24', 'clubName': 'Bologna FC 1909', 'clubID': '1025', 'value': '€1.50m'}, {'date': '14/10/2016', 'age': '24', 'clubName': 'Bologna FC 1909', 'clubID': '1025', 'value': '€3.00m'}, {'date': '02/01/2017', 'age': '24', 'clubName': 'Bologna FC 1909', 'clubID': '1025', 'value': '€3.00m'}, {'date': '28/03/2017', 'age': '24', 'clubName': 'Bologna FC 1909', 'clubID': '1025', 'value': '€5.00m'}, {'date': '08/06/2017', 'age': '24', 'clubName': 'Bologna FC 1909', 'clubID': '1025', 'value': '€6.00m'}, {'date': '29/12/2017', 'age': '25', 'clubName': 'Bologna FC 1909', 'clubID': '1025', 'value': '€14.00m'}, {'date': '24/03/2018', 'age': '25', 'clubName': 'Bologna FC 1909', 'clubID': '1025', 'value': '€20.00m'}, {'date': '07/06/2018', 'age': '25', 'clubName': 'Bologna FC 1909', 'clubID': '1025', 'value': '€25.00m'}, {'date': '20/12/2018', 'age': '26', 'clubName': 'SSC Napoli', 'clubID': '6195', 'value': '€25.00m'}, {'date': '06/06/2019', 'age': '26', 'clubName': 'SSC Napoli', 'clubID': '6195', 'value': '€23.00m'}, {'date': '12/12/2019', 'age': '27', 'clubName': 'Torino FC', 'clubID': '416', 'value': '€20.00m'}, {'date': '03/03/2020', 'age': '27', 'clubName': 'Torino FC', 'clubID': '416', 'value': '€16.00m'}, {'date': '08/04/2020', 'age': '27', 'clubName': 'Torino FC', 'clubID': '416', 'value': '€13.00m'}, {'date': '25/08/2020', 'age': '28', 'clubName': 'Torino FC', 'clubID': '416', 'value': '€13.00m'}, {'date': '29/12/2020', 'age': '28', 'clubName': 'Torino FC', 'clubID': '416', 'value': '€10.00m'}, {'date': '23/03/2021', 'age': '28', 'clubName': 'Torino FC', 'clubID': '416', 'value': '€8.00m'}, {'date': '03/06/2021', 'age': '28', 'clubName': 'Torino FC', 'clubID': '416', 'value': '€8.00m'}, {'date': '14/10/2021', 'age': '29', 'clubName': 'Torino FC', 'clubID': '416', 'value': '€6.50m'}, {'date': '28/12/2021', 'age': '29', 'clubName': 'Torino FC', 'clubID': '416', 'value': '€5.00m'}, {'date': '07/06/2022', 'age': '29', 'clubName': 'US Salernitana 1919', 'clubID': '380', 'value': '€5.00m'}, {'date': '11/11/2022', 'age': '30', 'clubName': 'Hellas Verona', 'clubID': '276', 'value': '€4.50m'}, {'date': '15/06/2023', 'age': '30', 'clubName': 'Hellas Verona', 'clubID': '276', 'value': '€4.00m'}, {'date': '11/10/2023', 'age': '31', 'clubName': 'Como 1907', 'clubID': '1047', 'value': '€2.70m'}, {'date': '27/12/2023', 'age': '31', 'clubName': 'Como 1907', 'clubID': '1047', 'value': '€2.50m'}, {'date': '03/06/2024', 'age': '31', 'clubName': 'Como 1907', 'clubID': '1047', 'value': '€2.50m'}, {'date': '18/12/2024', 'age': '32', 'clubName': 'Como 1907', 'clubID': '1047', 'value': '€2.00m'}, {'date': '02/06/2025', 'age': '32', 'clubName': 'US Sassuolo', 'clubID': '6574', 'value': '€1.50m'}, {'date': '07/10/2025', 'age': '33', 'clubName': 'Como 1907', 'clubID': '1047', 'value': '€900k'}, {'date': '23/12/2025', 'age': '33', 'clubName': 'Como 1907', 'clubID': '1047', 'value': '€500k'}]}</t>
  </si>
  <si>
    <t>1992-07-12</t>
  </si>
  <si>
    <t>Luan Peres</t>
  </si>
  <si>
    <t>{'marketValueHistory': [{'date': 'Nov 28, 2016', 'age': '22', 'clubName': 'Santa Cruz FC (PE)', 'clubID': '1785', 'value': '€250k'}, {'date': 'Dec 7, 2017', 'age': '23', 'clubName': 'Associação Atlética Ponte Preta', 'clubID': '1134', 'value': '€600k'}, {'date': 'May 23, 2018', 'age': '23', 'clubName': 'Fluminense Football Club', 'clubID': '2462', 'value': '€700k'}, {'date': 'Dec 27, 2018', 'age': '24', 'clubName': 'Club Brugge KV', 'clubID': '2282', 'value': '€700k'}, {'date': 'Jun 10, 2019', 'age': '24', 'clubName': 'Club Brugge KV', 'clubID': '2282', 'value': '€600k'}, {'date': 'Nov 27, 2019', 'age': '25', 'clubName': 'Santos FC', 'clubID': '221', 'value': '€700k'}, {'date': 'Apr 8, 2020', 'age': '25', 'clubName': 'Santos FC', 'clubID': '221', 'value': '€550k'}, {'date': 'Sep 9, 2020', 'age': '26', 'clubName': 'Santos FC', 'clubID': '221', 'value': '€1.00m'}, {'date': 'Feb 9, 2021', 'age': '26', 'clubName': 'Club Brugge KV', 'clubID': '2282', 'value': '€1.50m'}, {'date': 'May 28, 2021', 'age': '26', 'clubName': 'Santos FC', 'clubID': '221', 'value': '€2.00m'}, {'date': 'Oct 8, 2021', 'age': '27', 'clubName': 'Olympique Marseille', 'clubID': '244', 'value': '€6.00m'}, {'date': 'Dec 16, 2021', 'age': '27', 'clubName': 'Olympique Marseille', 'clubID': '244', 'value': '€6.00m'}, {'date': 'May 30, 2022', 'age': '27', 'clubName': 'Olympique Marseille', 'clubID': '244', 'value': '€7.00m'}, {'date': 'Sep 13, 2022', 'age': '28', 'clubName': 'Fenerbahce', 'clubID': '36', 'value': '€6.00m'}, {'date': 'Oct 27, 2022', 'age': '28', 'clubName': 'Fenerbahce', 'clubID': '36', 'value': '€6.00m'}, {'date': 'Mar 14, 2023', 'age': '28', 'clubName': 'Fenerbahce', 'clubID': '36', 'value': '€5.00m'}, {'date': 'Jun 8, 2023', 'age': '28', 'clubName': 'Fenerbahce', 'clubID': '36', 'value': '€5.00m'}, {'date': 'Sep 27, 2023', 'age': '29', 'clubName': 'Fenerbahce', 'clubID': '36', 'value': '€4.00m'}, {'date': 'Dec 21, 2023', 'age': '29', 'clubName': 'Fenerbahce', 'clubID': '36', 'value': '€2.50m'}, {'date': 'Mar 15, 2024', 'age': '29', 'clubName': 'Fenerbahce', 'clubID': '36', 'value': '€1.80m'}, {'date': 'May 31, 2024', 'age': '29', 'clubName': 'Fenerbahce', 'clubID': '36', 'value': '€1.30m'}, {'date': 'Nov 27, 2024', 'age': '30', 'clubName': 'Santos FC', 'clubID': '221', 'value': '€1.30m'}, {'date': 'Jun 6, 2025', 'age': '30', 'clubName': 'Santos FC', 'clubID': '221', 'value': '€1.00m'}, {'date': 'Dec 10, 2025', 'age': '31', 'clubName': 'Santos FC', 'clubID': '221', 'value': '€800k'}]}</t>
  </si>
  <si>
    <t>1994-07-19</t>
  </si>
  <si>
    <t>{'marketValueHistory': [{'date': '22/06/2013', 'age': '17', 'clubName': 'FC Barcelona U19', 'clubID': '2470', 'value': '€200k'}, {'date': '08/10/2013', 'age': '17', 'clubName': 'FC Barcelona B', 'clubID': '2464', 'value': '€200k'}, {'date': '06/02/2014', 'age': '18', 'clubName': 'FC Barcelona B', 'clubID': '2464', 'value': '€1.00m'}, {'date': '05/08/2014', 'age': '18', 'clubName': 'FC Barcelona B', 'clubID': '2464', 'value': '€5.00m'}, {'date': '08/01/2015', 'age': '18', 'clubName': 'FC Barcelona B', 'clubID': '2464', 'value': '€5.00m'}, {'date': '14/08/2015', 'age': '19', 'clubName': 'Aston Villa', 'clubID': '405', 'value': '€5.00m'}, {'date': '14/10/2015', 'age': '19', 'clubName': 'Aston Villa', 'clubID': '405', 'value': '€8.00m'}, {'date': '09/02/2016', 'age': '20', 'clubName': 'Aston Villa', 'clubID': '405', 'value': '€8.00m'}, {'date': '01/09/2016', 'age': '20', 'clubName': 'Middlesbrough FC', 'clubID': '641', 'value': '€7.00m'}, {'date': '20/02/2017', 'age': '21', 'clubName': 'Middlesbrough FC', 'clubID': '641', 'value': '€8.00m'}, {'date': '28/06/2017', 'age': '21', 'clubName': 'Middlesbrough FC', 'clubID': '641', 'value': '€8.00m'}, {'date': '13/08/2018', 'age': '22', 'clubName': 'Wolverhampton Wanderers', 'clubID': '543', 'value': '€18.00m'}, {'date': '19/12/2018', 'age': '22', 'clubName': 'Wolverhampton Wanderers', 'clubID': '543', 'value': '€18.00m'}, {'date': '13/06/2019', 'age': '23', 'clubName': 'Wolverhampton Wanderers', 'clubID': '543', 'value': '€15.00m'}, {'date': '10/12/2019', 'age': '23', 'clubName': 'Wolverhampton Wanderers', 'clubID': '543', 'value': '€28.00m'}, {'date': '09/03/2020', 'age': '24', 'clubName': 'Wolverhampton Wanderers', 'clubID': '543', 'value': '€32.00m'}, {'date': '08/04/2020', 'age': '24', 'clubName': 'Wolverhampton Wanderers', 'clubID': '543', 'value': '€25.50m'}, {'date': '30/07/2020', 'age': '24', 'clubName': 'Wolverhampton Wanderers', 'clubID': '543', 'value': '€35.00m'}, {'date': '13/10/2020', 'age': '24', 'clubName': 'Wolverhampton Wanderers', 'clubID': '543', 'value': '€40.00m'}, {'date': '18/03/2021', 'age': '25', 'clubName': 'Wolverhampton Wanderers', 'clubID': '543', 'value': '€35.00m'}, {'date': '31/05/2021', 'age': '25', 'clubName': 'Wolverhampton Wanderers', 'clubID': '543', 'value': '€30.00m'}, {'date': '23/12/2021', 'age': '25', 'clubName': 'Wolverhampton Wanderers', 'clubID': '543', 'value': '€28.00m'}, {'date': '03/06/2022', 'age': '26', 'clubName': 'FC Barcelona', 'clubID': '131', 'value': '€20.00m'}, {'date': '15/09/2022', 'age': '26', 'clubName': 'Wolverhampton Wanderers', 'clubID': '543', 'value': '€15.00m'}, {'date': '03/11/2022', 'age': '26', 'clubName': 'Wolverhampton Wanderers', 'clubID': '543', 'value': '€15.00m'}, {'date': '16/03/2023', 'age': '27', 'clubName': 'Wolverhampton Wanderers', 'clubID': '543', 'value': '€12.00m'}, {'date': '20/06/2023', 'age': '27', 'clubName': 'Wolverhampton Wanderers', 'clubID': '543', 'value': '€10.00m'}, {'date': '19/12/2023', 'age': '27', 'clubName': 'Fulham FC', 'clubID': '931', 'value': '€9.00m'}, {'date': '27/05/2024', 'age': '28', 'clubName': 'Fulham FC', 'clubID': '931', 'value': '€9.00m'}, {'date': '16/12/2024', 'age': '28', 'clubName': 'Fulham FC', 'clubID': '931', 'value': '€10.00m'}, {'date': '30/05/2025', 'age': '29', 'clubName': 'Fulham FC', 'clubID': '931', 'value': '€9.00m'}, {'date': '09/12/2025', 'age': '29', 'clubName': 'Fulham FC', 'clubID': '931', 'value': '€8.00m'}]}</t>
  </si>
  <si>
    <t>Wagner</t>
  </si>
  <si>
    <t>{'marketValueHistory': [{'date': 'Oct 4, 2004', 'age': '25', 'clubName': 'Lokomotiv Moskau', 'clubID': '932', 'value': '€500k'}, {'date': 'Sep 3, 2006', 'age': '27', 'clubName': 'Real Betis Balompié', 'clubID': '150', 'value': '€1.00m'}, {'date': 'Sep 2, 2007', 'age': '28', 'clubName': 'São Paulo Futebol Clube', 'clubID': '585', 'value': '€2.50m'}, {'date': 'Oct 4, 2007', 'age': '28', 'clubName': 'São Paulo Futebol Clube', 'clubID': '585', 'value': '€3.00m'}, {'date': 'Jan 29, 2008', 'age': '29', 'clubName': 'São Paulo Futebol Clube', 'clubID': '585', 'value': '€4.00m'}, {'date': 'Aug 6, 2008', 'age': '29', 'clubName': 'São Paulo Futebol Clube', 'clubID': '585', 'value': '€4.50m'}, {'date': 'Jun 27, 2009', 'age': '30', 'clubName': 'São Paulo Futebol Clube', 'clubID': '585', 'value': '€4.00m'}, {'date': 'Sep 6, 2009', 'age': '30', 'clubName': 'São Paulo Futebol Clube', 'clubID': '585', 'value': '€3.00m'}, {'date': 'Dec 8, 2009', 'age': '31', 'clubName': 'São Paulo Futebol Clube', 'clubID': '585', 'value': '€2.50m'}, {'date': 'Jun 6, 2010', 'age': '31', 'clubName': 'São Paulo Futebol Clube', 'clubID': '585', 'value': '€1.80m'}, {'date': 'Jul 13, 2010', 'age': '31', 'clubName': 'São Paulo Futebol Clube', 'clubID': '585', 'value': '€1.00m'}, {'date': 'Sep 6, 2010', 'age': '31', 'clubName': 'São Paulo Futebol Clube', 'clubID': '585', 'value': '€750k'}, {'date': 'Dec 10, 2010', 'age': '32', 'clubName': 'São Paulo Futebol Clube', 'clubID': '585', 'value': '€500k'}, {'date': 'Jan 20, 2011', 'age': '32', 'clubName': 'Kashiwa Reysol', 'clubID': '6632', 'value': '€400k'}, {'date': 'Jul 2, 2011', 'age': '32', 'clubName': 'Kashiwa Reysol', 'clubID': '6632', 'value': '€400k'}, {'date': 'Jan 1, 2012', 'age': '33', 'clubName': 'Kashiwa Reysol', 'clubID': '6632', 'value': '€500k'}, {'date': 'Jun 26, 2012', 'age': '33', 'clubName': 'Kashiwa Reysol', 'clubID': '6632', 'value': '€500k'}, {'date': 'Jul 5, 2013', 'age': '34', 'clubName': 'Kashiwa Reysol', 'clubID': '6632', 'value': '€500k'}, {'date': 'May 31, 2015', 'age': '36', 'clubName': 'Esporte Clube Vitória', 'clubID': '2125', 'value': '€500k'}, {'date': 'Sep 11, 2015', 'age': '36', 'clubName': 'Esporte Clube Vitória', 'clubID': '2125', 'value': '€500k'}, {'date': 'Dec 15, 2015', 'age': '37', 'clubName': 'Esporte Clube Vitória', 'clubID': '2125', 'value': '€500k'}, {'date': 'May 1, 2017', 'age': '38', 'clubName': 'Retired', 'clubID': '123', 'value': '-'}]}</t>
  </si>
  <si>
    <t>1978-11-17</t>
  </si>
  <si>
    <t>Ghoulam</t>
  </si>
  <si>
    <t>{'marketValueHistory': [{'date': '30/05/2011', 'age': '20', 'clubName': 'AS Saint-Étienne', 'clubID': '618', 'value': '€750k'}, {'date': '24/12/2011', 'age': '20', 'clubName': 'AS Saint-Étienne', 'clubID': '618', 'value': '€1.50m'}, {'date': '23/05/2012', 'age': '21', 'clubName': 'AS Saint-Étienne', 'clubID': '618', 'value': '€2.50m'}, {'date': '07/01/2013', 'age': '21', 'clubName': 'AS Saint-Étienne', 'clubID': '618', 'value': '€3.50m'}, {'date': '30/05/2013', 'age': '22', 'clubName': 'AS Saint-Étienne', 'clubID': '618', 'value': '€3.50m'}, {'date': '13/09/2013', 'age': '22', 'clubName': 'AS Saint-Étienne', 'clubID': '618', 'value': '€3.00m'}, {'date': '14/01/2014', 'age': '22', 'clubName': 'AS Saint-Étienne', 'clubID': '618', 'value': '€3.00m'}, {'date': '10/03/2014', 'age': '23', 'clubName': 'SSC Napoli', 'clubID': '6195', 'value': '€5.00m'}, {'date': '11/07/2014', 'age': '23', 'clubName': 'SSC Napoli', 'clubID': '6195', 'value': '€7.00m'}, {'date': '07/01/2015', 'age': '23', 'clubName': 'SSC Napoli', 'clubID': '6195', 'value': '€7.00m'}, {'date': '01/07/2015', 'age': '24', 'clubName': 'SSC Napoli', 'clubID': '6195', 'value': '€7.00m'}, {'date': '05/11/2015', 'age': '24', 'clubName': 'SSC Napoli', 'clubID': '6195', 'value': '€10.00m'}, {'date': '04/01/2016', 'age': '24', 'clubName': 'SSC Napoli', 'clubID': '6195', 'value': '€11.00m'}, {'date': '15/07/2016', 'age': '25', 'clubName': 'SSC Napoli', 'clubID': '6195', 'value': '€13.00m'}, {'date': '02/01/2017', 'age': '25', 'clubName': 'SSC Napoli', 'clubID': '6195', 'value': '€15.00m'}, {'date': '08/06/2017', 'age': '26', 'clubName': 'SSC Napoli', 'clubID': '6195', 'value': '€17.00m'}, {'date': '13/10/2017', 'age': '26', 'clubName': 'SSC Napoli', 'clubID': '6195', 'value': '€20.00m'}, {'date': '29/12/2017', 'age': '26', 'clubName': 'SSC Napoli', 'clubID': '6195', 'value': '€25.00m'}, {'date': '07/06/2018', 'age': '27', 'clubName': 'SSC Napoli', 'clubID': '6195', 'value': '€25.00m'}, {'date': '20/12/2018', 'age': '27', 'clubName': 'SSC Napoli', 'clubID': '6195', 'value': '€25.00m'}, {'date': '06/06/2019', 'age': '28', 'clubName': 'SSC Napoli', 'clubID': '6195', 'value': '€23.00m'}, {'date': '12/12/2019', 'age': '28', 'clubName': 'SSC Napoli', 'clubID': '6195', 'value': '€18.00m'}, {'date': '03/03/2020', 'age': '29', 'clubName': 'SSC Napoli', 'clubID': '6195', 'value': '€12.00m'}, {'date': '08/04/2020', 'age': '29', 'clubName': 'SSC Napoli', 'clubID': '6195', 'value': '€9.50m'}, {'date': '25/08/2020', 'age': '29', 'clubName': 'SSC Napoli', 'clubID': '6195', 'value': '€7.00m'}, {'date': '29/12/2020', 'age': '29', 'clubName': 'SSC Napoli', 'clubID': '6195', 'value': '€5.00m'}, {'date': '23/03/2021', 'age': '30', 'clubName': 'SSC Napoli', 'clubID': '6195', 'value': '€3.00m'}, {'date': '03/06/2021', 'age': '30', 'clubName': 'SSC Napoli', 'clubID': '6195', 'value': '€3.00m'}, {'date': '28/12/2021', 'age': '30', 'clubName': 'SSC Napoli', 'clubID': '6195', 'value': '€1.80m'}, {'date': '07/06/2022', 'age': '31', 'clubName': 'SSC Napoli', 'clubID': '6195', 'value': '€1.40m'}, {'date': '07/10/2022', 'age': '31', 'clubName': 'Without Club', 'clubID': '515', 'value': '€1.00m'}, {'date': '27/06/2023', 'age': '32', 'clubName': 'Angers SCO', 'clubID': '1420', 'value': '€900k'}, {'date': '27/09/2023', 'age': '32', 'clubName': 'Hatayspor', 'clubID': '7775', 'value': '€750k'}, {'date': '21/12/2023', 'age': '32', 'clubName': 'Hatayspor', 'clubID': '7775', 'value': '€700k'}, {'date': '15/03/2024', 'age': '33', 'clubName': 'Hatayspor', 'clubID': '7775', 'value': '€400k'}, {'date': '31/05/2024', 'age': '33', 'clubName': 'Hatayspor', 'clubID': '7775', 'value': '€300k'}, {'date': '16/10/2024', 'age': '33', 'clubName': 'Without Club', 'clubID': '515', 'value': '€250k'}, {'date': '04/04/2025', 'age': '34', 'clubName': 'Without Club', 'clubID': '515', 'value': '€200k'}, {'date': '26/09/2025', 'age': '34', 'clubName': 'The Football Circle', 'clubID': '135035', 'value': '-'}]}</t>
  </si>
  <si>
    <t>1991-02-01</t>
  </si>
  <si>
    <t>Kuchaev</t>
  </si>
  <si>
    <t>{'marketValueHistory': [{'date': 'Jul 1, 2015', 'age': '17', 'clubName': 'CSKA Moscow II', 'clubID': '11755', 'value': '€50k'}, {'date': 'Aug 25, 2015', 'age': '17', 'clubName': 'CSKA Moscow II', 'clubID': '11755', 'value': '€100k'}, {'date': 'Dec 2, 2016', 'age': '18', 'clubName': 'CSKA Moscow II', 'clubID': '11755', 'value': '€250k'}, {'date': 'Jun 1, 2017', 'age': '19', 'clubName': 'CSKA Moscow II', 'clubID': '11755', 'value': '€250k'}, {'date': 'Nov 24, 2017', 'age': '19', 'clubName': 'CSKA Moscow', 'clubID': '2410', 'value': '€600k'}, {'date': 'Jun 6, 2018', 'age': '20', 'clubName': 'CSKA Moscow', 'clubID': '2410', 'value': '€2.00m'}, {'date': 'Dec 20, 2018', 'age': '20', 'clubName': 'CSKA Moscow', 'clubID': '2410', 'value': '€2.00m'}, {'date': 'Jun 14, 2019', 'age': '21', 'clubName': 'CSKA Moscow', 'clubID': '2410', 'value': '€1.80m'}, {'date': 'Dec 23, 2019', 'age': '21', 'clubName': 'CSKA Moscow', 'clubID': '2410', 'value': '€2.50m'}, {'date': 'Apr 8, 2020', 'age': '22', 'clubName': 'CSKA Moscow', 'clubID': '2410', 'value': '€2.30m'}, {'date': 'Jul 29, 2020', 'age': '22', 'clubName': 'CSKA Moscow', 'clubID': '2410', 'value': '€2.50m'}, {'date': 'Oct 19, 2020', 'age': '22', 'clubName': 'CSKA Moscow', 'clubID': '2410', 'value': '€4.00m'}, {'date': 'Dec 29, 2020', 'age': '22', 'clubName': 'CSKA Moscow', 'clubID': '2410', 'value': '€5.00m'}, {'date': 'Jun 2, 2021', 'age': '23', 'clubName': 'CSKA Moscow', 'clubID': '2410', 'value': '€5.00m'}, {'date': 'Dec 29, 2021', 'age': '23', 'clubName': 'CSKA Moscow', 'clubID': '2410', 'value': '€4.00m'}, {'date': 'Jun 2, 2022', 'age': '24', 'clubName': 'Rubin Kazan', 'clubID': '2698', 'value': '€3.00m'}, {'date': 'Sep 12, 2022', 'age': '24', 'clubName': 'CSKA Moscow', 'clubID': '2410', 'value': '€3.50m'}, {'date': 'Nov 21, 2022', 'age': '24', 'clubName': 'CSKA Moscow', 'clubID': '2410', 'value': '€3.50m'}, {'date': 'Jun 14, 2023', 'age': '25', 'clubName': 'CSKA Moscow', 'clubID': '2410', 'value': '€3.00m'}, {'date': 'Dec 13, 2023', 'age': '25', 'clubName': 'CSKA Moscow', 'clubID': '2410', 'value': '€2.50m'}, {'date': 'Jun 4, 2024', 'age': '26', 'clubName': 'FC Pari Nizhniy Novgorod', 'clubID': '49702', 'value': '€2.00m'}, {'date': 'Dec 12, 2024', 'age': '26', 'clubName': 'FC Rostov', 'clubID': '1083', 'value': '€1.50m'}, {'date': 'Jun 4, 2025', 'age': '27', 'clubName': 'FC Rostov', 'clubID': '1083', 'value': '€1.50m'}, {'date': 'Sep 18, 2025', 'age': '27', 'clubName': 'FC Rostov', 'clubID': '1083', 'value': '€1.80m'}, {'date': 'Dec 16, 2025', 'age': '27', 'clubName': 'FC Rostov', 'clubID': '1083', 'value': '€2.00m'}]}</t>
  </si>
  <si>
    <t>1998-03-18</t>
  </si>
  <si>
    <t>Ahmed Kutucu</t>
  </si>
  <si>
    <t>{'marketValueHistory': [{'date': '18/12/2018', 'age': '18', 'clubName': 'FC Schalke 04 U19', 'clubID': '1463', 'value': '€400k'}, {'date': '06/03/2019', 'age': '19', 'clubName': 'FC Schalke 04', 'clubID': '33', 'value': '€4.50m'}, {'date': '05/06/2019', 'age': '19', 'clubName': 'FC Schalke 04', 'clubID': '33', 'value': '€4.50m'}, {'date': '17/12/2019', 'age': '19', 'clubName': 'FC Schalke 04', 'clubID': '33', 'value': '€6.00m'}, {'date': '08/04/2020', 'age': '20', 'clubName': 'FC Schalke 04', 'clubID': '33', 'value': '€5.40m'}, {'date': '26/11/2020', 'age': '20', 'clubName': 'FC Schalke 04', 'clubID': '33', 'value': '€3.50m'}, {'date': '09/03/2021', 'age': '21', 'clubName': 'Heracles Almelo', 'clubID': '1304', 'value': '€2.00m'}, {'date': '19/05/2021', 'age': '21', 'clubName': 'Heracles Almelo', 'clubID': '1304', 'value': '€1.70m'}, {'date': '12/10/2021', 'age': '21', 'clubName': 'Basaksehir FK', 'clubID': '6890', 'value': '€1.40m'}, {'date': '04/01/2022', 'age': '21', 'clubName': 'Basaksehir FK', 'clubID': '6890', 'value': '€1.00m'}, {'date': '23/03/2022', 'age': '22', 'clubName': 'SV Sandhausen', 'clubID': '254', 'value': '€700k'}, {'date': '16/06/2022', 'age': '22', 'clubName': 'SV Sandhausen', 'clubID': '254', 'value': '€700k'}, {'date': '30/11/2022', 'age': '22', 'clubName': 'SV Sandhausen', 'clubID': '254', 'value': '€600k'}, {'date': '28/06/2023', 'age': '23', 'clubName': 'SV Sandhausen', 'clubID': '254', 'value': '€500k'}, {'date': '20/10/2023', 'age': '23', 'clubName': 'Eyüpspor', 'clubID': '7160', 'value': '€950k'}, {'date': '29/12/2023', 'age': '23', 'clubName': 'Eyüpspor', 'clubID': '7160', 'value': '€1.50m'}, {'date': '26/03/2024', 'age': '24', 'clubName': 'Eyüpspor', 'clubID': '7160', 'value': '€1.50m'}, {'date': '13/06/2024', 'age': '24', 'clubName': 'Eyüpspor', 'clubID': '7160', 'value': '€1.50m'}, {'date': '04/10/2024', 'age': '24', 'clubName': 'Eyüpspor', 'clubID': '7160', 'value': '€2.40m'}, {'date': '23/12/2024', 'age': '24', 'clubName': 'Eyüpspor', 'clubID': '7160', 'value': '€3.50m'}, {'date': '20/03/2025', 'age': '25', 'clubName': 'Galatasaray', 'clubID': '141', 'value': '€5.50m'}, {'date': '18/06/2025', 'age': '25', 'clubName': 'Galatasaray', 'clubID': '141', 'value': '€5.00m'}, {'date': '17/12/2025', 'age': '25', 'clubName': 'Galatasaray', 'clubID': '141', 'value': '€4.00m'}, {'date': '05/03/2026', 'age': '26', 'clubName': 'Galatasaray', 'clubID': '141', 'value': '€3.50m'}]}</t>
  </si>
  <si>
    <t>2000-03-01</t>
  </si>
  <si>
    <t>Jorge</t>
  </si>
  <si>
    <t>1955-10-04</t>
  </si>
  <si>
    <t>Ekkelenkamp</t>
  </si>
  <si>
    <t>{'marketValueHistory': [{'date': '19/04/2018', 'age': '18', 'clubName': 'Ajax Amsterdam U19', 'clubID': '610', 'value': '€100k'}, {'date': '12/06/2018', 'age': '18', 'clubName': 'Ajax Amsterdam U19', 'clubID': '610', 'value': '€400k'}, {'date': '21/01/2019', 'age': '18', 'clubName': 'Ajax Amsterdam U21', 'clubID': '610', 'value': '€400k'}, {'date': '12/06/2019', 'age': '19', 'clubName': 'Ajax Amsterdam U21', 'clubID': '610', 'value': '€1.50m'}, {'date': '18/12/2019', 'age': '19', 'clubName': 'Ajax Amsterdam', 'clubID': '610', 'value': '€1.50m'}, {'date': '08/04/2020', 'age': '20', 'clubName': 'Ajax Amsterdam', 'clubID': '610', 'value': '€1.30m'}, {'date': '29/06/2020', 'age': '20', 'clubName': 'Ajax Amsterdam', 'clubID': '610', 'value': '€3.20m'}, {'date': '14/10/2020', 'age': '20', 'clubName': 'Ajax Amsterdam', 'clubID': '610', 'value': '€3.20m'}, {'date': '06/01/2021', 'age': '20', 'clubName': 'Ajax Amsterdam', 'clubID': '610', 'value': '€4.00m'}, {'date': '09/03/2021', 'age': '20', 'clubName': 'Ajax Amsterdam', 'clubID': '610', 'value': '€3.20m'}, {'date': '19/05/2021', 'age': '21', 'clubName': 'Ajax Amsterdam', 'clubID': '610', 'value': '€3.20m'}, {'date': '22/12/2021', 'age': '21', 'clubName': 'Hertha BSC', 'clubID': '44', 'value': '€3.50m'}, {'date': '09/06/2022', 'age': '22', 'clubName': 'Hertha BSC', 'clubID': '44', 'value': '€3.50m'}, {'date': '07/09/2022', 'age': '22', 'clubName': 'Royal Antwerp FC', 'clubID': '1096', 'value': '€5.00m'}, {'date': '04/11/2022', 'age': '22', 'clubName': 'Royal Antwerp FC', 'clubID': '1096', 'value': '€5.50m'}, {'date': '09/06/2023', 'age': '23', 'clubName': 'Royal Antwerp FC', 'clubID': '1096', 'value': '€6.00m'}, {'date': '19/12/2023', 'age': '23', 'clubName': 'Royal Antwerp FC', 'clubID': '1096', 'value': '€5.00m'}, {'date': '04/06/2024', 'age': '24', 'clubName': 'Royal Antwerp FC', 'clubID': '1096', 'value': '€4.50m'}, {'date': '18/10/2024', 'age': '24', 'clubName': 'Udinese Calcio', 'clubID': '410', 'value': '€5.50m'}, {'date': '18/12/2024', 'age': '24', 'clubName': 'Udinese Calcio', 'clubID': '410', 'value': '€5.50m'}, {'date': '25/03/2025', 'age': '24', 'clubName': 'Udinese Calcio', 'clubID': '410', 'value': '€7.50m'}, {'date': '17/06/2025', 'age': '25', 'clubName': 'Udinese Calcio', 'clubID': '410', 'value': '€7.00m'}, {'date': '23/12/2025', 'age': '25', 'clubName': 'Udinese Calcio', 'clubID': '410', 'value': '€7.00m'}]}</t>
  </si>
  <si>
    <t>2000-04-05</t>
  </si>
  <si>
    <t>Toure</t>
  </si>
  <si>
    <t>{'marketValueHistory': [{'date': 'Oct 4, 2004', 'age': '21', 'clubName': 'Metalurg Donetsk', 'clubID': '2783', 'value': '€2.00m'}, {'date': 'Sep 14, 2005', 'age': '22', 'clubName': 'Olympiacos Piraeus', 'clubID': '683', 'value': '€4.00m'}, {'date': 'Jan 15, 2006', 'age': '22', 'clubName': 'Olympiacos Piraeus', 'clubID': '683', 'value': '€6.00m'}, {'date': 'Apr 1, 2006', 'age': '22', 'clubName': 'Olympiacos Piraeus', 'clubID': '683', 'value': '€8.00m'}, {'date': 'Dec 28, 2006', 'age': '23', 'clubName': 'AS Monaco', 'clubID': '162', 'value': '€10.00m'}, {'date': 'Jun 26, 2007', 'age': '24', 'clubName': 'AS Monaco', 'clubID': '162', 'value': '€11.00m'}, {'date': 'Sep 9, 2007', 'age': '24', 'clubName': 'FC Barcelona', 'clubID': '131', 'value': '€12.00m'}, {'date': 'Mar 27, 2008', 'age': '24', 'clubName': 'FC Barcelona', 'clubID': '131', 'value': '€20.00m'}, {'date': 'Jul 22, 2008', 'age': '25', 'clubName': 'FC Barcelona', 'clubID': '131', 'value': '€20.00m'}, {'date': 'Oct 15, 2008', 'age': '25', 'clubName': 'FC Barcelona', 'clubID': '131', 'value': '€18.00m'}, {'date': 'Jan 26, 2009', 'age': '25', 'clubName': 'FC Barcelona', 'clubID': '131', 'value': '€22.00m'}, {'date': 'Jul 22, 2009', 'age': '26', 'clubName': 'FC Barcelona', 'clubID': '131', 'value': '€25.00m'}, {'date': 'Dec 3, 2009', 'age': '26', 'clubName': 'FC Barcelona', 'clubID': '131', 'value': '€25.00m'}, {'date': 'Apr 12, 2010', 'age': '26', 'clubName': 'FC Barcelona', 'clubID': '131', 'value': '€18.00m'}, {'date': 'Aug 13, 2010', 'age': '27', 'clubName': 'Manchester City', 'clubID': '281', 'value': '€21.00m'}, {'date': 'Feb 1, 2011', 'age': '27', 'clubName': 'Manchester City', 'clubID': '281', 'value': '€25.00m'}, {'date': 'Aug 8, 2011', 'age': '28', 'clubName': 'Manchester City', 'clubID': '281', 'value': '€29.00m'}, {'date': 'Feb 6, 2012', 'age': '28', 'clubName': 'Manchester City', 'clubID': '281', 'value': '€35.00m'}, {'date': 'Jun 24, 2012', 'age': '29', 'clubName': 'Manchester City', 'clubID': '281', 'value': '€36.50m'}, {'date': 'Jan 28, 2013', 'age': '29', 'clubName': 'Manchester City', 'clubID': '281', 'value': '€36.00m'}, {'date': 'Jul 2, 2013', 'age': '30', 'clubName': 'Manchester City', 'clubID': '281', 'value': '€30.00m'}, {'date': 'Jan 15, 2014', 'age': '30', 'clubName': 'Manchester City', 'clubID': '281', 'value': '€30.00m'}, {'date': 'Aug 12, 2014', 'age': '31', 'clubName': 'Manchester City', 'clubID': '281', 'value': '€30.00m'}, {'date': 'Feb 12, 2015', 'age': '31', 'clubName': 'Manchester City', 'clubID': '281', 'value': '€28.00m'}, {'date': 'Jul 1, 2015', 'age': '32', 'clubName': 'Manchester City', 'clubID': '281', 'value': '€22.00m'}, {'date': 'Feb 9, 2016', 'age': '32', 'clubName': 'Manchester City', 'clubID': '281', 'value': '€20.00m'}, {'date': 'Aug 1, 2016', 'age': '33', 'clubName': 'Manchester City', 'clubID': '281', 'value': '€16.00m'}, {'date': 'Oct 24, 2016', 'age': '33', 'clubName': 'Manchester City', 'clubID': '281', 'value': '€12.00m'}, {'date': 'Feb 20, 2017', 'age': '33', 'clubName': 'Manchester City', 'clubID': '281', 'value': '€10.00m'}, {'date': 'Jun 28, 2017', 'age': '34', 'clubName': 'Manchester City', 'clubID': '281', 'value': '€8.00m'}, {'date': 'Jan 2, 2018', 'age': '34', 'clubName': 'Manchester City', 'clubID': '281', 'value': '€5.00m'}, {'date': 'May 28, 2018', 'age': '35', 'clubName': 'Manchester City', 'clubID': '281', 'value': '€2.50m'}, {'date': 'Dec 7, 2018', 'age': '35', 'clubName': 'Olympiacos Piraeus', 'clubID': '683', 'value': '€1.00m'}, {'date': 'Sep 5, 2019', 'age': '36', 'clubName': 'Qingdao Huanghai', 'clubID': '38987', 'value': '€250k'}, {'date': 'Dec 27, 2019', 'age': '36', 'clubName': 'Qingdao Huanghai', 'clubID': '38987', 'value': '€100k'}, {'date': 'Jan 1, 2020', 'age': '36', 'clubName': 'Retired', 'clubID': '123', 'value': '-'}]}</t>
  </si>
  <si>
    <t>1983-05-13</t>
  </si>
  <si>
    <t>Castillo</t>
  </si>
  <si>
    <t>Serrano</t>
  </si>
  <si>
    <t>{'marketValueHistory': [{'date': 'Jun 28, 2017', 'age': '20', 'clubName': 'Manchester City', 'clubID': '281', 'value': '€1.00m'}, {'date': 'Jan 1, 2018', 'age': '20', 'clubName': 'Girona FC', 'clubID': '12321', 'value': '€1.00m'}, {'date': 'May 30, 2018', 'age': '20', 'clubName': 'Girona FC', 'clubID': '12321', 'value': '€1.00m'}, {'date': 'Dec 21, 2018', 'age': '21', 'clubName': 'Girona FC', 'clubID': '12321', 'value': '€2.00m'}, {'date': 'Jun 11, 2019', 'age': '21', 'clubName': 'Girona FC', 'clubID': '12321', 'value': '€3.00m'}, {'date': 'Dec 13, 2019', 'age': '22', 'clubName': 'Royal Excel Mouscron (-2022)', 'clubID': '29228', 'value': '€4.00m'}, {'date': 'Apr 8, 2020', 'age': '22', 'clubName': 'Royal Excel Mouscron (-2022)', 'clubID': '29228', 'value': '€3.20m'}, {'date': 'Dec 18, 2020', 'age': '23', 'clubName': 'FC Dinamo 1948', 'clubID': '312', 'value': '€2.00m'}, {'date': 'Jun 10, 2021', 'age': '23', 'clubName': 'SD Eibar', 'clubID': '1533', 'value': '€1.80m'}, {'date': 'Dec 27, 2021', 'age': '24', 'clubName': 'Girona FC', 'clubID': '12321', 'value': '€1.80m'}, {'date': 'Jun 29, 2022', 'age': '25', 'clubName': 'Girona FC', 'clubID': '12321', 'value': '€2.50m'}, {'date': 'Sep 23, 2022', 'age': '25', 'clubName': 'Girona FC', 'clubID': '12321', 'value': '€4.00m'}, {'date': 'Nov 7, 2022', 'age': '25', 'clubName': 'Girona FC', 'clubID': '12321', 'value': '€7.00m'}, {'date': 'Mar 23, 2023', 'age': '25', 'clubName': 'Girona FC', 'clubID': '12321', 'value': '€10.00m'}, {'date': 'Jun 13, 2023', 'age': '25', 'clubName': 'Girona FC', 'clubID': '12321', 'value': '€10.00m'}, {'date': 'Dec 22, 2023', 'age': '26', 'clubName': 'Girona FC', 'clubID': '12321', 'value': '€20.00m'}, {'date': 'Mar 21, 2024', 'age': '26', 'clubName': 'Girona FC', 'clubID': '12321', 'value': '€25.00m'}, {'date': 'Jun 7, 2024', 'age': '26', 'clubName': 'Girona FC', 'clubID': '12321', 'value': '€25.00m'}, {'date': 'Oct 9, 2024', 'age': '27', 'clubName': 'Bayer 04 Leverkusen', 'clubID': '15', 'value': '€20.00m'}, {'date': 'Dec 20, 2024', 'age': '27', 'clubName': 'Bayer 04 Leverkusen', 'clubID': '15', 'value': '€20.00m'}, {'date': 'Jun 5, 2025', 'age': '27', 'clubName': 'Bayer 04 Leverkusen', 'clubID': '15', 'value': '€20.00m'}, {'date': 'Dec 19, 2025', 'age': '28', 'clubName': 'Bayer 04 Leverkusen', 'clubID': '15', 'value': '€20.00m'}]}</t>
  </si>
  <si>
    <t>1997-06-28</t>
  </si>
  <si>
    <t>Jovetic</t>
  </si>
  <si>
    <t>{'marketValueHistory': [{'date': '12/02/2007', 'age': '17', 'clubName': 'FK Partizan Belgrade', 'clubID': '669', 'value': '€1.20m'}, {'date': '07/10/2007', 'age': '17', 'clubName': 'FK Partizan Belgrade', 'clubID': '669', 'value': '€4.00m'}, {'date': '23/12/2007', 'age': '18', 'clubName': 'FK Partizan Belgrade', 'clubID': '669', 'value': '€5.00m'}, {'date': '27/02/2008', 'age': '18', 'clubName': 'FK Partizan Belgrade', 'clubID': '669', 'value': '€7.00m'}, {'date': '04/07/2008', 'age': '18', 'clubName': 'ACF Fiorentina', 'clubID': '430', 'value': '€8.00m'}, {'date': '06/08/2009', 'age': '19', 'clubName': 'ACF Fiorentina', 'clubID': '430', 'value': '€9.50m'}, {'date': '27/01/2010', 'age': '20', 'clubName': 'ACF Fiorentina', 'clubID': '430', 'value': '€14.00m'}, {'date': '19/07/2010', 'age': '20', 'clubName': 'ACF Fiorentina', 'clubID': '430', 'value': '€17.50m'}, {'date': '21/06/2011', 'age': '21', 'clubName': 'ACF Fiorentina', 'clubID': '430', 'value': '€17.50m'}, {'date': '11/01/2012', 'age': '22', 'clubName': 'ACF Fiorentina', 'clubID': '430', 'value': '€20.00m'}, {'date': '08/06/2012', 'age': '22', 'clubName': 'ACF Fiorentina', 'clubID': '430', 'value': '€25.00m'}, {'date': '15/01/2013', 'age': '23', 'clubName': 'ACF Fiorentina', 'clubID': '430', 'value': '€30.00m'}, {'date': '19/06/2013', 'age': '23', 'clubName': 'ACF Fiorentina', 'clubID': '430', 'value': '€28.00m'}, {'date': '18/09/2013', 'age': '23', 'clubName': 'Manchester City', 'clubID': '281', 'value': '€26.00m'}, {'date': '15/01/2014', 'age': '24', 'clubName': 'Manchester City', 'clubID': '281', 'value': '€26.00m'}, {'date': '12/08/2014', 'age': '24', 'clubName': 'Manchester City', 'clubID': '281', 'value': '€24.00m'}, {'date': '12/02/2015', 'age': '25', 'clubName': 'Manchester City', 'clubID': '281', 'value': '€20.00m'}, {'date': '01/07/2015', 'age': '25', 'clubName': 'Manchester City', 'clubID': '281', 'value': '€15.00m'}, {'date': '05/11/2015', 'age': '26', 'clubName': 'Inter Milan', 'clubID': '46', 'value': '€17.00m'}, {'date': '04/01/2016', 'age': '26', 'clubName': 'Inter Milan', 'clubID': '46', 'value': '€17.00m'}, {'date': '01/04/2016', 'age': '26', 'clubName': 'Inter Milan', 'clubID': '46', 'value': '€15.00m'}, {'date': '15/07/2016', 'age': '26', 'clubName': 'Inter Milan', 'clubID': '46', 'value': '€14.00m'}, {'date': '14/10/2016', 'age': '26', 'clubName': 'Inter Milan', 'clubID': '46', 'value': '€12.50m'}, {'date': '02/01/2017', 'age': '27', 'clubName': 'Manchester City', 'clubID': '281', 'value': '€10.00m'}, {'date': '05/06/2017', 'age': '27', 'clubName': 'Sevilla FC', 'clubID': '368', 'value': '€10.00m'}, {'date': '24/01/2018', 'age': '28', 'clubName': 'AS Monaco', 'clubID': '162', 'value': '€10.00m'}, {'date': '20/03/2018', 'age': '28', 'clubName': 'AS Monaco', 'clubID': '162', 'value': '€14.00m'}, {'date': '04/06/2018', 'age': '28', 'clubName': 'AS Monaco', 'clubID': '162', 'value': '€14.00m'}, {'date': '17/12/2018', 'age': '29', 'clubName': 'AS Monaco', 'clubID': '162', 'value': '€14.00m'}, {'date': '07/03/2019', 'age': '29', 'clubName': 'AS Monaco', 'clubID': '162', 'value': '€12.00m'}, {'date': '03/06/2019', 'age': '29', 'clubName': 'AS Monaco', 'clubID': '162', 'value': '€10.00m'}, {'date': '19/12/2019', 'age': '30', 'clubName': 'AS Monaco', 'clubID': '162', 'value': '€8.00m'}, {'date': '08/04/2020', 'age': '30', 'clubName': 'AS Monaco', 'clubID': '162', 'value': '€6.50m'}, {'date': '12/10/2020', 'age': '30', 'clubName': 'AS Monaco', 'clubID': '162', 'value': '€6.50m'}, {'date': '09/04/2021', 'age': '31', 'clubName': 'AS Monaco', 'clubID': '162', 'value': '€5.50m'}, {'date': '04/06/2021', 'age': '31', 'clubName': 'AS Monaco', 'clubID': '162', 'value': '€5.00m'}, {'date': '07/10/2021', 'age': '31', 'clubName': 'Hertha BSC', 'clubID': '44', 'value': '€3.00m'}, {'date': '22/12/2021', 'age': '32', 'clubName': 'Hertha BSC', 'clubID': '44', 'value': '€3.00m'}, {'date': '09/06/2022', 'age': '32', 'clubName': 'Hertha BSC', 'clubID': '44', 'value': '€2.50m'}, {'date': '09/11/2022', 'age': '33', 'clubName': 'Hertha BSC', 'clubID': '44', 'value': '€2.00m'}, {'date': '22/06/2023', 'age': '33', 'clubName': 'Hertha BSC', 'clubID': '44', 'value': '€1.50m'}, {'date': '20/12/2023', 'age': '34', 'clubName': 'Olympiacos Piraeus', 'clubID': '683', 'value': '€1.20m'}, {'date': '06/03/2024', 'age': '34', 'clubName': 'Olympiacos Piraeus', 'clubID': '683', 'value': '€800k'}, {'date': '30/05/2024', 'age': '34', 'clubName': 'Olympiacos Piraeus', 'clubID': '683', 'value': '€700k'}, {'date': '09/12/2024', 'age': '35', 'clubName': 'Omonia Nicosia', 'clubID': '829', 'value': '€500k'}, {'date': '29/05/2025', 'age': '35', 'clubName': 'Omonia Nicosia', 'clubID': '829', 'value': '€400k'}, {'date': '08/10/2025', 'age': '35', 'clubName': 'Omonia Nicosia', 'clubID': '829', 'value': '€350k'}, {'date': '23/12/2025', 'age': '36', 'clubName': 'Omonia Nicosia', 'clubID': '829', 'value': '€300k'}]}</t>
  </si>
  <si>
    <t>Montenegro</t>
  </si>
  <si>
    <t>Dentinho</t>
  </si>
  <si>
    <t>{'marketValueHistory': [{'date': 'Feb 27, 2008', 'age': '19', 'clubName': 'Sport Club Corinthians Paulista', 'clubID': '199', 'value': '€600k'}, {'date': 'Mar 1, 2008', 'age': '19', 'clubName': 'Sport Club Corinthians Paulista', 'clubID': '199', 'value': '€2.00m'}, {'date': 'Oct 9, 2008', 'age': '19', 'clubName': 'Sport Club Corinthians Paulista', 'clubID': '199', 'value': '€4.00m'}, {'date': 'Oct 22, 2008', 'age': '19', 'clubName': 'Sport Club Corinthians Paulista', 'clubID': '199', 'value': '€5.00m'}, {'date': 'Sep 6, 2010', 'age': '21', 'clubName': 'Sport Club Corinthians Paulista', 'clubID': '199', 'value': '€4.00m'}, {'date': 'Dec 10, 2010', 'age': '21', 'clubName': 'Sport Club Corinthians Paulista', 'clubID': '199', 'value': '€3.50m'}, {'date': 'Feb 21, 2011', 'age': '22', 'clubName': 'Sport Club Corinthians Paulista', 'clubID': '199', 'value': '€3.00m'}, {'date': 'May 30, 2011', 'age': '22', 'clubName': 'Sport Club Corinthians Paulista', 'clubID': '199', 'value': '€3.00m'}, {'date': 'Jul 4, 2011', 'age': '22', 'clubName': 'Shakhtar Donetsk', 'clubID': '660', 'value': '€6.00m'}, {'date': 'Jan 5, 2012', 'age': '22', 'clubName': 'Shakhtar Donetsk', 'clubID': '660', 'value': '€5.50m'}, {'date': 'Jul 2, 2012', 'age': '23', 'clubName': 'Shakhtar Donetsk', 'clubID': '660', 'value': '€4.50m'}, {'date': 'Jun 15, 2013', 'age': '24', 'clubName': 'Besiktas JK', 'clubID': '114', 'value': '€3.00m'}, {'date': 'Jun 30, 2014', 'age': '25', 'clubName': 'Shakhtar Donetsk', 'clubID': '660', 'value': '€2.50m'}, {'date': 'Dec 25, 2014', 'age': '25', 'clubName': 'Shakhtar Donetsk', 'clubID': '660', 'value': '€2.50m'}, {'date': 'Jun 7, 2015', 'age': '26', 'clubName': 'Shakhtar Donetsk', 'clubID': '660', 'value': '€2.50m'}, {'date': 'Dec 18, 2015', 'age': '26', 'clubName': 'Shakhtar Donetsk', 'clubID': '660', 'value': '€2.50m'}, {'date': 'Jul 21, 2016', 'age': '27', 'clubName': 'Shakhtar Donetsk', 'clubID': '660', 'value': '€2.50m'}, {'date': 'Jan 3, 2017', 'age': '27', 'clubName': 'Shakhtar Donetsk', 'clubID': '660', 'value': '€3.00m'}, {'date': 'Jun 26, 2017', 'age': '28', 'clubName': 'Shakhtar Donetsk', 'clubID': '660', 'value': '€3.00m'}, {'date': 'Jan 12, 2018', 'age': '28', 'clubName': 'Shakhtar Donetsk', 'clubID': '660', 'value': '€2.00m'}, {'date': 'Aug 6, 2018', 'age': '29', 'clubName': 'Shakhtar Donetsk', 'clubID': '660', 'value': '€1.50m'}, {'date': 'Dec 10, 2018', 'age': '29', 'clubName': 'Shakhtar Donetsk', 'clubID': '660', 'value': '€1.00m'}, {'date': 'Jun 20, 2019', 'age': '30', 'clubName': 'Shakhtar Donetsk', 'clubID': '660', 'value': '€1.50m'}, {'date': 'Jan 8, 2020', 'age': '30', 'clubName': 'Shakhtar Donetsk', 'clubID': '660', 'value': '€1.50m'}, {'date': 'Apr 8, 2020', 'age': '31', 'clubName': 'Shakhtar Donetsk', 'clubID': '660', 'value': '€1.20m'}, {'date': 'Sep 4, 2020', 'age': '31', 'clubName': 'Shakhtar Donetsk', 'clubID': '660', 'value': '€1.00m'}, {'date': 'Jan 14, 2021', 'age': '31', 'clubName': 'Shakhtar Donetsk', 'clubID': '660', 'value': '€1.00m'}, {'date': 'Jun 7, 2021', 'age': '32', 'clubName': 'Shakhtar Donetsk', 'clubID': '660', 'value': '€1.50m'}, {'date': 'Dec 20, 2021', 'age': '32', 'clubName': 'Shakhtar Donetsk', 'clubID': '660', 'value': '€1.00m'}, {'date': 'Apr 6, 2022', 'age': '33', 'clubName': 'Ceará Sporting Club', 'clubID': '2029', 'value': '€1.00m'}, {'date': 'Aug 19, 2022', 'age': '33', 'clubName': 'Ceará Sporting Club', 'clubID': '2029', 'value': '€500k'}, {'date': 'Nov 14, 2022', 'age': '33', 'clubName': 'Ceará Sporting Club', 'clubID': '2029', 'value': '€350k'}, {'date': 'Mar 28, 2023', 'age': '34', 'clubName': 'Without Club', 'clubID': '515', 'value': '€250k'}, {'date': 'Mar 29, 2024', 'age': '35', 'clubName': 'Without Club', 'clubID': '515', 'value': '-'}, {'date': 'Nov 27, 2024', 'age': '35', 'clubName': 'Amazonas FC', 'clubID': '87727', 'value': '€50k'}, {'date': 'Jan 28, 2025', 'age': '36', 'clubName': 'Brasiliense FC (DF)', 'clubID': '3973', 'value': '-'}]}</t>
  </si>
  <si>
    <t>1989-01-19</t>
  </si>
  <si>
    <t>{'marketValueHistory': [{'date': '06/02/2016', 'age': '17', 'clubName': 'CA Belgrano II', 'clubID': '61444', 'value': '€150k'}, {'date': '13/02/2017', 'age': '18', 'clubName': 'Club Atlético Belgrano', 'clubID': '2417', 'value': '€2.00m'}, {'date': '09/10/2017', 'age': '19', 'clubName': 'Club Atlético Belgrano', 'clubID': '2417', 'value': '€1.00m'}, {'date': '08/05/2018', 'age': '20', 'clubName': 'Club Atlético Belgrano', 'clubID': '2417', 'value': '€750k'}, {'date': '20/12/2018', 'age': '20', 'clubName': 'Genoa CFC', 'clubID': '252', 'value': '€4.00m'}, {'date': '01/03/2019', 'age': '20', 'clubName': 'Genoa CFC', 'clubID': '252', 'value': '€15.00m'}, {'date': '06/06/2019', 'age': '21', 'clubName': 'Genoa CFC', 'clubID': '252', 'value': '€15.00m'}, {'date': '12/12/2019', 'age': '21', 'clubName': 'Genoa CFC', 'clubID': '252', 'value': '€15.00m'}, {'date': '08/04/2020', 'age': '21', 'clubName': 'Genoa CFC', 'clubID': '252', 'value': '€13.50m'}, {'date': '25/08/2020', 'age': '22', 'clubName': 'Genoa CFC', 'clubID': '252', 'value': '€14.00m'}, {'date': '29/12/2020', 'age': '22', 'clubName': 'Atalanta BC', 'clubID': '800', 'value': '€15.00m'}, {'date': '23/03/2021', 'age': '22', 'clubName': 'Atalanta BC', 'clubID': '800', 'value': '€25.00m'}, {'date': '03/06/2021', 'age': '23', 'clubName': 'Atalanta BC', 'clubID': '800', 'value': '€30.00m'}, {'date': '16/07/2021', 'age': '23', 'clubName': 'Atalanta BC', 'clubID': '800', 'value': '€35.00m'}, {'date': '23/12/2021', 'age': '23', 'clubName': 'Tottenham Hotspur', 'clubID': '148', 'value': '€35.00m'}, {'date': '29/03/2022', 'age': '23', 'clubName': 'Tottenham Hotspur', 'clubID': '148', 'value': '€40.00m'}, {'date': '15/06/2022', 'age': '24', 'clubName': 'Tottenham Hotspur', 'clubID': '148', 'value': '€48.00m'}, {'date': '15/09/2022', 'age': '24', 'clubName': 'Tottenham Hotspur', 'clubID': '148', 'value': '€55.00m'}, {'date': '03/11/2022', 'age': '24', 'clubName': 'Tottenham Hotspur', 'clubID': '148', 'value': '€55.00m'}, {'date': '23/12/2022', 'age': '24', 'clubName': 'Tottenham Hotspur', 'clubID': '148', 'value': '€60.00m'}, {'date': '20/06/2023', 'age': '25', 'clubName': 'Tottenham Hotspur', 'clubID': '148', 'value': '€60.00m'}, {'date': '19/12/2023', 'age': '25', 'clubName': 'Tottenham Hotspur', 'clubID': '148', 'value': '€65.00m'}, {'date': '14/03/2024', 'age': '25', 'clubName': 'Tottenham Hotspur', 'clubID': '148', 'value': '€60.00m'}, {'date': '27/05/2024', 'age': '26', 'clubName': 'Tottenham Hotspur', 'clubID': '148', 'value': '€60.00m'}, {'date': '19/07/2024', 'age': '26', 'clubName': 'Tottenham Hotspur', 'clubID': '148', 'value': '€65.00m'}, {'date': '16/12/2024', 'age': '26', 'clubName': 'Tottenham Hotspur', 'clubID': '148', 'value': '€65.00m'}, {'date': '18/03/2025', 'age': '26', 'clubName': 'Tottenham Hotspur', 'clubID': '148', 'value': '€55.00m'}, {'date': '30/05/2025', 'age': '27', 'clubName': 'Tottenham Hotspur', 'clubID': '148', 'value': '€50.00m'}, {'date': '17/10/2025', 'age': '27', 'clubName': 'Tottenham Hotspur', 'clubID': '148', 'value': '€55.00m'}, {'date': '09/12/2025', 'age': '27', 'clubName': 'Tottenham Hotspur', 'clubID': '148', 'value': '€60.00m'}, {'date': '09/03/2026', 'age': '27', 'clubName': 'Tottenham Hotspur', 'clubID': '148', 'value': '€50.00m'}]}</t>
  </si>
  <si>
    <t>Chong</t>
  </si>
  <si>
    <t>{'marketValueHistory': [{'date': 'Aug 7, 2019', 'age': '19', 'clubName': 'Manchester United', 'clubID': '985', 'value': '€7.00m'}, {'date': 'Apr 8, 2020', 'age': '20', 'clubName': 'Manchester United', 'clubID': '985', 'value': '€6.30m'}, {'date': 'Mar 17, 2021', 'age': '21', 'clubName': 'Club Brugge KV', 'clubID': '2282', 'value': '€5.00m'}, {'date': 'Jun 7, 2021', 'age': '21', 'clubName': 'Club Brugge KV', 'clubID': '2282', 'value': '€4.00m'}, {'date': 'Dec 23, 2021', 'age': '22', 'clubName': 'Birmingham City', 'clubID': '337', 'value': '€4.00m'}, {'date': 'May 13, 2022', 'age': '22', 'clubName': 'Birmingham City', 'clubID': '337', 'value': '€3.50m'}, {'date': 'Sep 14, 2022', 'age': '22', 'clubName': 'Birmingham City', 'clubID': '337', 'value': '€2.00m'}, {'date': 'Oct 27, 2022', 'age': '22', 'clubName': 'Birmingham City', 'clubID': '337', 'value': '€2.50m'}, {'date': 'Mar 24, 2023', 'age': '23', 'clubName': 'Birmingham City', 'clubID': '337', 'value': '€3.00m'}, {'date': 'Jun 1, 2023', 'age': '23', 'clubName': 'Birmingham City', 'clubID': '337', 'value': '€3.20m'}, {'date': 'Oct 9, 2023', 'age': '23', 'clubName': 'Luton Town', 'clubID': '1031', 'value': '€4.50m'}, {'date': 'Dec 19, 2023', 'age': '24', 'clubName': 'Luton Town', 'clubID': '1031', 'value': '€4.50m'}, {'date': 'May 27, 2024', 'age': '24', 'clubName': 'Luton Town', 'clubID': '1031', 'value': '€6.00m'}, {'date': 'Dec 30, 2024', 'age': '25', 'clubName': 'Luton Town', 'clubID': '1031', 'value': '€6.00m'}, {'date': 'May 27, 2025', 'age': '25', 'clubName': 'Luton Town', 'clubID': '1031', 'value': '€5.00m'}, {'date': 'Dec 3, 2025', 'age': '25', 'clubName': 'Sheffield United', 'clubID': '350', 'value': '€4.50m'}]}</t>
  </si>
  <si>
    <t>1999-12-04</t>
  </si>
  <si>
    <t>Magallan</t>
  </si>
  <si>
    <t>{'marketValueHistory': [{'date': '01/01/2011', 'age': '17', 'clubName': 'Club de Gimnasia y Esgrima La Plata', 'clubID': '1106', 'value': '€75k'}, {'date': '30/06/2011', 'age': '17', 'clubName': 'Club de Gimnasia y Esgrima La Plata', 'clubID': '1106', 'value': '€200k'}, {'date': '02/08/2012', 'age': '18', 'clubName': 'CA Boca Juniors', 'clubID': '189', 'value': '€500k'}, {'date': '11/01/2015', 'age': '21', 'clubName': 'CA Boca Juniors', 'clubID': '189', 'value': '€800k'}, {'date': '14/07/2015', 'age': '21', 'clubName': 'CA Boca Juniors', 'clubID': '189', 'value': '€800k'}, {'date': '06/02/2016', 'age': '22', 'clubName': 'Defensa y Justicia', 'clubID': '2402', 'value': '€800k'}, {'date': '08/08/2016', 'age': '22', 'clubName': 'CA Boca Juniors', 'clubID': '189', 'value': '€1.50m'}, {'date': '13/02/2017', 'age': '23', 'clubName': 'CA Boca Juniors', 'clubID': '189', 'value': '€1.25m'}, {'date': '09/10/2017', 'age': '24', 'clubName': 'CA Boca Juniors', 'clubID': '189', 'value': '€2.00m'}, {'date': '08/05/2018', 'age': '24', 'clubName': 'CA Boca Juniors', 'clubID': '189', 'value': '€4.50m'}, {'date': '18/12/2018', 'age': '25', 'clubName': 'CA Boca Juniors', 'clubID': '189', 'value': '€6.00m'}, {'date': '12/06/2019', 'age': '25', 'clubName': 'Ajax Amsterdam', 'clubID': '610', 'value': '€6.00m'}, {'date': '20/12/2019', 'age': '26', 'clubName': 'Deportivo Alavés', 'clubID': '1108', 'value': '€6.00m'}, {'date': '08/04/2020', 'age': '26', 'clubName': 'Deportivo Alavés', 'clubID': '1108', 'value': '€4.80m'}, {'date': '29/10/2020', 'age': '27', 'clubName': 'FC Crotone', 'clubID': '4083', 'value': '€4.50m'}, {'date': '29/12/2020', 'age': '27', 'clubName': 'FC Crotone', 'clubID': '4083', 'value': '€3.50m'}, {'date': '23/03/2021', 'age': '27', 'clubName': 'FC Crotone', 'clubID': '4083', 'value': '€2.80m'}, {'date': '03/06/2021', 'age': '27', 'clubName': 'FC Crotone', 'clubID': '4083', 'value': '€2.50m'}, {'date': '06/01/2022', 'age': '28', 'clubName': 'RSC Anderlecht', 'clubID': '58', 'value': '€2.50m'}, {'date': '12/04/2022', 'age': '28', 'clubName': 'RSC Anderlecht', 'clubID': '58', 'value': '€2.50m'}, {'date': '11/11/2022', 'age': '29', 'clubName': 'Ajax Amsterdam', 'clubID': '610', 'value': '€2.50m'}, {'date': '23/03/2023', 'age': '29', 'clubName': 'Elche CF', 'clubID': '1531', 'value': '€2.00m'}, {'date': '13/06/2023', 'age': '29', 'clubName': 'Elche CF', 'clubID': '1531', 'value': '€1.80m'}, {'date': '29/12/2023', 'age': '30', 'clubName': 'UNAM Pumas', 'clubID': '7633', 'value': '€1.80m'}, {'date': '14/06/2024', 'age': '30', 'clubName': 'UNAM Pumas', 'clubID': '7633', 'value': '€1.80m'}, {'date': '11/12/2024', 'age': '31', 'clubName': 'UNAM Pumas', 'clubID': '7633', 'value': '€1.80m'}, {'date': '26/05/2025', 'age': '31', 'clubName': 'UNAM Pumas', 'clubID': '7633', 'value': '€1.50m'}, {'date': '17/12/2025', 'age': '32', 'clubName': 'CA Vélez Sarsfield', 'clubID': '1029', 'value': '€1.20m'}]}</t>
  </si>
  <si>
    <t>1993-09-27</t>
  </si>
  <si>
    <t>Jeong</t>
  </si>
  <si>
    <t>{'marketValueHistory': [{'date': 'Sep 7, 2018', 'age': '18', 'clubName': 'FC Bayern Munich II', 'clubID': '27', 'value': '€125k'}, {'date': 'Dec 18, 2018', 'age': '19', 'clubName': 'FC Bayern Munich II', 'clubID': '27', 'value': '€700k'}, {'date': 'May 2, 2019', 'age': '19', 'clubName': 'FC Bayern Munich II', 'clubID': '27', 'value': '€2.00m'}, {'date': 'Jun 5, 2019', 'age': '19', 'clubName': 'FC Bayern Munich II', 'clubID': '27', 'value': '€2.00m'}, {'date': 'Dec 17, 2019', 'age': '20', 'clubName': 'SC Freiburg', 'clubID': '60', 'value': '€2.00m'}, {'date': 'Apr 8, 2020', 'age': '20', 'clubName': 'FC Bayern Munich II', 'clubID': '27', 'value': '€1.80m'}, {'date': 'Nov 26, 2020', 'age': '21', 'clubName': 'SC Freiburg', 'clubID': '60', 'value': '€2.50m'}, {'date': 'Feb 10, 2021', 'age': '21', 'clubName': 'SC Freiburg', 'clubID': '60', 'value': '€3.00m'}, {'date': 'Jun 9, 2021', 'age': '21', 'clubName': 'SC Freiburg', 'clubID': '60', 'value': '€3.00m'}, {'date': 'Oct 7, 2021', 'age': '22', 'clubName': 'SC Freiburg', 'clubID': '60', 'value': '€4.50m'}, {'date': 'Dec 22, 2021', 'age': '22', 'clubName': 'SC Freiburg', 'clubID': '60', 'value': '€5.50m'}, {'date': 'Jun 9, 2022', 'age': '22', 'clubName': 'SC Freiburg', 'clubID': '60', 'value': '€5.50m'}, {'date': 'Nov 9, 2022', 'age': '23', 'clubName': 'SC Freiburg', 'clubID': '60', 'value': '€5.50m'}, {'date': 'Mar 29, 2023', 'age': '23', 'clubName': 'SC Freiburg', 'clubID': '60', 'value': '€4.00m'}, {'date': 'Jun 22, 2023', 'age': '23', 'clubName': 'SC Freiburg', 'clubID': '60', 'value': '€3.50m'}, {'date': 'Dec 14, 2023', 'age': '24', 'clubName': 'VfB Stuttgart', 'clubID': '79', 'value': '€3.50m'}, {'date': 'May 29, 2024', 'age': '24', 'clubName': 'VfB Stuttgart', 'clubID': '79', 'value': '€3.50m'}, {'date': 'Dec 20, 2024', 'age': '25', 'clubName': '1.FC Union Berlin', 'clubID': '89', 'value': '€4.00m'}, {'date': 'Jun 5, 2025', 'age': '25', 'clubName': '1.FC Union Berlin', 'clubID': '89', 'value': '€4.00m'}, {'date': 'Dec 19, 2025', 'age': '26', 'clubName': '1.FC Union Berlin', 'clubID': '89', 'value': '€3.50m'}]}</t>
  </si>
  <si>
    <t>1999-09-20</t>
  </si>
  <si>
    <t>Lysov</t>
  </si>
  <si>
    <t>{'marketValueHistory': [{'date': '25/08/2015', 'age': '17', 'clubName': 'Lokomotiv Moscow II', 'clubID': '932', 'value': '€300k'}, {'date': '02/12/2016', 'age': '18', 'clubName': 'Lokomotiv Moscow II', 'clubID': '932', 'value': '€300k'}, {'date': '01/06/2017', 'age': '19', 'clubName': 'Lokomotiv Moscow II', 'clubID': '932', 'value': '€300k'}, {'date': '23/12/2017', 'age': '19', 'clubName': 'Lokomotiv Moscow', 'clubID': '932', 'value': '€900k'}, {'date': '06/06/2018', 'age': '20', 'clubName': 'Lokomotiv Moscow', 'clubID': '932', 'value': '€1.20m'}, {'date': '20/12/2018', 'age': '20', 'clubName': 'Lokomotiv Moscow', 'clubID': '932', 'value': '€1.20m'}, {'date': '14/06/2019', 'age': '21', 'clubName': 'Lokomotiv Moscow', 'clubID': '932', 'value': '€1.50m'}, {'date': '23/12/2019', 'age': '21', 'clubName': 'Lokomotiv Moscow', 'clubID': '932', 'value': '€1.50m'}, {'date': '08/04/2020', 'age': '22', 'clubName': 'Lokomotiv Moscow', 'clubID': '932', 'value': '€1.30m'}, {'date': '29/07/2020', 'age': '22', 'clubName': 'Lokomotiv Moscow', 'clubID': '932', 'value': '€1.00m'}, {'date': '29/12/2020', 'age': '22', 'clubName': 'Lokomotiv Moscow', 'clubID': '932', 'value': '€700k'}, {'date': '02/06/2021', 'age': '23', 'clubName': 'Lokomotiv Moscow', 'clubID': '932', 'value': '€400k'}, {'date': '01/07/2021', 'age': '23', 'clubName': 'Retired', 'clubID': '123', 'value': '-'}]}</t>
  </si>
  <si>
    <t>1998-01-29</t>
  </si>
  <si>
    <t>Dagba</t>
  </si>
  <si>
    <t>{'marketValueHistory': [{'date': 'Sep 6, 2018', 'age': '19', 'clubName': 'Paris Saint-Germain', 'clubID': '583', 'value': '€2.00m'}, {'date': 'Dec 17, 2018', 'age': '20', 'clubName': 'Paris Saint-Germain', 'clubID': '583', 'value': '€2.00m'}, {'date': 'Mar 7, 2019', 'age': '20', 'clubName': 'Paris Saint-Germain', 'clubID': '583', 'value': '€5.00m'}, {'date': 'Jun 3, 2019', 'age': '20', 'clubName': 'Paris Saint-Germain', 'clubID': '583', 'value': '€12.00m'}, {'date': 'Sep 27, 2019', 'age': '21', 'clubName': 'Paris Saint-Germain', 'clubID': '583', 'value': '€18.00m'}, {'date': 'Dec 19, 2019', 'age': '21', 'clubName': 'Paris Saint-Germain', 'clubID': '583', 'value': '€18.00m'}, {'date': 'Apr 8, 2020', 'age': '21', 'clubName': 'Paris Saint-Germain', 'clubID': '583', 'value': '€16.00m'}, {'date': 'Oct 15, 2020', 'age': '22', 'clubName': 'Paris Saint-Germain', 'clubID': '583', 'value': '€12.00m'}, {'date': 'Jun 4, 2021', 'age': '22', 'clubName': 'Paris Saint-Germain', 'clubID': '583', 'value': '€12.00m'}, {'date': 'Oct 8, 2021', 'age': '23', 'clubName': 'Paris Saint-Germain', 'clubID': '583', 'value': '€10.00m'}, {'date': 'Dec 16, 2021', 'age': '23', 'clubName': 'Paris Saint-Germain', 'clubID': '583', 'value': '€8.00m'}, {'date': 'May 30, 2022', 'age': '23', 'clubName': 'Paris Saint-Germain', 'clubID': '583', 'value': '€7.00m'}, {'date': 'Sep 19, 2022', 'age': '24', 'clubName': 'RC Strasbourg Alsace', 'clubID': '667', 'value': '€5.00m'}, {'date': 'Nov 2, 2022', 'age': '24', 'clubName': 'RC Strasbourg Alsace', 'clubID': '667', 'value': '€5.00m'}, {'date': 'Jun 27, 2023', 'age': '24', 'clubName': 'RC Strasbourg Alsace', 'clubID': '667', 'value': '€4.50m'}, {'date': 'Oct 27, 2023', 'age': '25', 'clubName': 'AJ Auxerre', 'clubID': '290', 'value': '€2.50m'}, {'date': 'Dec 13, 2023', 'age': '25', 'clubName': 'AJ Auxerre', 'clubID': '290', 'value': '€1.80m'}, {'date': 'Mar 26, 2024', 'age': '25', 'clubName': 'AJ Auxerre', 'clubID': '290', 'value': '€1.50m'}, {'date': 'Jun 11, 2024', 'age': '25', 'clubName': 'AJ Auxerre', 'clubID': '290', 'value': '€1.20m'}, {'date': 'Dec 11, 2024', 'age': '26', 'clubName': 'Beerschot VA', 'clubID': '41274', 'value': '€800k'}, {'date': 'Jun 12, 2025', 'age': '26', 'clubName': 'Beerschot VA', 'clubID': '41274', 'value': '€700k'}, {'date': 'Dec 18, 2025', 'age': '27', 'clubName': 'Beerschot VA', 'clubID': '41274', 'value': '€600k'}]}</t>
  </si>
  <si>
    <t>1998-09-09</t>
  </si>
  <si>
    <t>Kristensen</t>
  </si>
  <si>
    <t>{'marketValueHistory': [{'date': '12/08/2016', 'age': '19', 'clubName': 'FC Midtjylland', 'clubID': '865', 'value': '€400k'}, {'date': '12/12/2016', 'age': '19', 'clubName': 'FC Midtjylland', 'clubID': '865', 'value': '€600k'}, {'date': '27/03/2017', 'age': '19', 'clubName': 'FC Midtjylland', 'clubID': '865', 'value': '€700k'}, {'date': '21/06/2017', 'age': '19', 'clubName': 'FC Midtjylland', 'clubID': '865', 'value': '€1.50m'}, {'date': '18/12/2017', 'age': '20', 'clubName': 'FC Midtjylland', 'clubID': '865', 'value': '€1.75m'}, {'date': '27/03/2018', 'age': '20', 'clubName': 'Ajax Amsterdam', 'clubID': '610', 'value': '€3.00m'}, {'date': '12/06/2018', 'age': '20', 'clubName': 'Ajax Amsterdam', 'clubID': '610', 'value': '€3.00m'}, {'date': '04/10/2018', 'age': '21', 'clubName': 'Ajax Amsterdam', 'clubID': '610', 'value': '€2.00m'}, {'date': '28/12/2018', 'age': '21', 'clubName': 'Ajax Amsterdam', 'clubID': '610', 'value': '€2.50m'}, {'date': '12/06/2019', 'age': '21', 'clubName': 'Ajax Amsterdam', 'clubID': '610', 'value': '€2.50m'}, {'date': '03/09/2019', 'age': '22', 'clubName': 'Red Bull Salzburg', 'clubID': '409', 'value': '€3.00m'}, {'date': '16/12/2019', 'age': '22', 'clubName': 'Red Bull Salzburg', 'clubID': '409', 'value': '€4.00m'}, {'date': '08/04/2020', 'age': '22', 'clubName': 'Red Bull Salzburg', 'clubID': '409', 'value': '€3.20m'}, {'date': '22/07/2020', 'age': '23', 'clubName': 'Red Bull Salzburg', 'clubID': '409', 'value': '€4.00m'}, {'date': '21/12/2020', 'age': '23', 'clubName': 'Red Bull Salzburg', 'clubID': '409', 'value': '€7.00m'}, {'date': '26/05/2021', 'age': '23', 'clubName': 'Red Bull Salzburg', 'clubID': '409', 'value': '€8.50m'}, {'date': '06/09/2021', 'age': '24', 'clubName': 'Red Bull Salzburg', 'clubID': '409', 'value': '€12.00m'}, {'date': '16/12/2021', 'age': '24', 'clubName': 'Red Bull Salzburg', 'clubID': '409', 'value': '€13.00m'}, {'date': '11/03/2022', 'age': '24', 'clubName': 'Red Bull Salzburg', 'clubID': '409', 'value': '€15.00m'}, {'date': '27/05/2022', 'age': '24', 'clubName': 'Red Bull Salzburg', 'clubID': '409', 'value': '€15.00m'}, {'date': '03/11/2022', 'age': '25', 'clubName': 'Leeds United', 'clubID': '399', 'value': '€15.00m'}, {'date': '20/06/2023', 'age': '25', 'clubName': 'Leeds United', 'clubID': '399', 'value': '€13.00m'}, {'date': '20/12/2023', 'age': '26', 'clubName': 'AS Roma', 'clubID': '12', 'value': '€10.00m'}, {'date': '05/06/2024', 'age': '26', 'clubName': 'AS Roma', 'clubID': '12', 'value': '€10.00m'}, {'date': '20/12/2024', 'age': '27', 'clubName': 'Eintracht Frankfurt', 'clubID': '24', 'value': '€10.00m'}, {'date': '05/06/2025', 'age': '27', 'clubName': 'Eintracht Frankfurt', 'clubID': '24', 'value': '€14.00m'}, {'date': '19/12/2025', 'age': '28', 'clubName': 'Eintracht Frankfurt', 'clubID': '24', 'value': '€14.00m'}, {'date': '20/03/2026', 'age': '28', 'clubName': 'Eintracht Frankfurt', 'clubID': '24', 'value': '€12.00m'}]}</t>
  </si>
  <si>
    <t>1997-07-11</t>
  </si>
  <si>
    <t>Rog</t>
  </si>
  <si>
    <t>{'marketValueHistory': [{'date': 'Dec 10, 2019', 'age': '17', 'clubName': 'Manchester City U23', 'clubID': '9265', 'value': '€1.50m'}, {'date': 'Apr 8, 2020', 'age': '17', 'clubName': 'Manchester City U23', 'clubID': '9265', 'value': '€1.30m'}, {'date': 'Nov 24, 2021', 'age': '19', 'clubName': 'AFC Bournemouth', 'clubID': '989', 'value': '€1.80m'}, {'date': 'May 13, 2022', 'age': '19', 'clubName': 'AFC Bournemouth', 'clubID': '989', 'value': '€1.80m'}, {'date': 'Mar 24, 2023', 'age': '20', 'clubName': 'Blackpool FC', 'clubID': '1181', 'value': '€1.80m'}, {'date': 'Jun 1, 2023', 'age': '20', 'clubName': 'Manchester City U21', 'clubID': '9265', 'value': '€1.80m'}, {'date': 'Oct 27, 2023', 'age': '21', 'clubName': 'Middlesbrough FC', 'clubID': '641', 'value': '€2.20m'}, {'date': 'Dec 21, 2023', 'age': '21', 'clubName': 'Middlesbrough FC', 'clubID': '641', 'value': '€2.80m'}, {'date': 'Mar 14, 2024', 'age': '21', 'clubName': 'Aston Villa', 'clubID': '405', 'value': '€8.00m'}, {'date': 'May 27, 2024', 'age': '21', 'clubName': 'Aston Villa', 'clubID': '405', 'value': '€15.00m'}, {'date': 'Oct 1, 2024', 'age': '22', 'clubName': 'Aston Villa', 'clubID': '405', 'value': '€22.00m'}, {'date': 'Dec 16, 2024', 'age': '22', 'clubName': 'Aston Villa', 'clubID': '405', 'value': '€40.00m'}, {'date': 'Mar 18, 2025', 'age': '22', 'clubName': 'Aston Villa', 'clubID': '405', 'value': '€50.00m'}, {'date': 'May 30, 2025', 'age': '22', 'clubName': 'Aston Villa', 'clubID': '405', 'value': '€55.00m'}, {'date': 'Oct 17, 2025', 'age': '23', 'clubName': 'Aston Villa', 'clubID': '405', 'value': '€65.00m'}, {'date': 'Dec 9, 2025', 'age': '23', 'clubName': 'Aston Villa', 'clubID': '405', 'value': '€70.00m'}, {'date': 'Mar 9, 2026', 'age': '23', 'clubName': 'Aston Villa', 'clubID': '405', 'value': '€80.00m'}]}</t>
  </si>
  <si>
    <t>2002-07-26</t>
  </si>
  <si>
    <t>Ferri</t>
  </si>
  <si>
    <t>1939-08-18</t>
  </si>
  <si>
    <t>Chidozie Awaziem</t>
  </si>
  <si>
    <t>{'marketValueHistory': [{'date': 'Jul 31, 2015', 'age': '18', 'clubName': 'FC Porto B', 'clubID': '10331', 'value': '€50k'}, {'date': 'Feb 24, 2016', 'age': '19', 'clubName': 'FC Porto B', 'clubID': '10331', 'value': '€1.00m'}, {'date': 'Jul 29, 2016', 'age': '19', 'clubName': 'FC Porto', 'clubID': '720', 'value': '€2.00m'}, {'date': 'Jun 30, 2017', 'age': '20', 'clubName': 'FC Porto B', 'clubID': '10331', 'value': '€1.25m'}, {'date': 'Jan 24, 2018', 'age': '21', 'clubName': 'FC Nantes', 'clubID': '995', 'value': '€4.00m'}, {'date': 'Mar 20, 2018', 'age': '21', 'clubName': 'FC Nantes', 'clubID': '995', 'value': '€6.00m'}, {'date': 'Jun 4, 2018', 'age': '21', 'clubName': 'FC Nantes', 'clubID': '995', 'value': '€6.00m'}, {'date': 'Jan 11, 2019', 'age': '22', 'clubName': 'FC Porto', 'clubID': '720', 'value': '€5.00m'}, {'date': 'Mar 27, 2019', 'age': '22', 'clubName': 'Caykur Rizespor', 'clubID': '126', 'value': '€3.00m'}, {'date': 'Jun 4, 2019', 'age': '22', 'clubName': 'Caykur Rizespor', 'clubID': '126', 'value': '€3.50m'}, {'date': 'Dec 20, 2019', 'age': '22', 'clubName': 'CD Leganés', 'clubID': '1244', 'value': '€2.50m'}, {'date': 'Mar 5, 2020', 'age': '23', 'clubName': 'CD Leganés', 'clubID': '1244', 'value': '€5.00m'}, {'date': 'Apr 8, 2020', 'age': '23', 'clubName': 'CD Leganés', 'clubID': '1244', 'value': '€4.00m'}, {'date': 'Jul 23, 2020', 'age': '23', 'clubName': 'FC Porto', 'clubID': '720', 'value': '€6.00m'}, {'date': 'Jan 28, 2021', 'age': '24', 'clubName': 'Boavista FC', 'clubID': '2503', 'value': '€5.00m'}, {'date': 'May 21, 2021', 'age': '24', 'clubName': 'Boavista FC', 'clubID': '2503', 'value': '€5.00m'}, {'date': 'Oct 12, 2021', 'age': '24', 'clubName': 'Alanyaspor', 'clubID': '11282', 'value': '€5.00m'}, {'date': 'Jan 4, 2022', 'age': '25', 'clubName': 'Alanyaspor', 'clubID': '11282', 'value': '€4.30m'}, {'date': 'Mar 31, 2022', 'age': '25', 'clubName': 'Alanyaspor', 'clubID': '11282', 'value': '€4.50m'}, {'date': 'Jun 1, 2022', 'age': '25', 'clubName': 'Alanyaspor', 'clubID': '11282', 'value': '€4.00m'}, {'date': 'Nov 8, 2022', 'age': '25', 'clubName': 'HNK Hajduk Split', 'clubID': '447', 'value': '€5.00m'}, {'date': 'Jun 6, 2023', 'age': '26', 'clubName': 'HNK Hajduk Split', 'clubID': '447', 'value': '€3.50m'}, {'date': 'Dec 27, 2023', 'age': '26', 'clubName': 'Boavista FC', 'clubID': '2503', 'value': '€3.00m'}, {'date': 'Jun 6, 2024', 'age': '27', 'clubName': 'Boavista FC', 'clubID': '2503', 'value': '€3.00m'}, {'date': 'Sep 26, 2024', 'age': '27', 'clubName': 'FC Cincinnati', 'clubID': '51772', 'value': '€2.00m'}, {'date': 'Dec 12, 2024', 'age': '27', 'clubName': 'Colorado Rapids', 'clubID': '1247', 'value': '€2.00m'}, {'date': 'Jun 5, 2025', 'age': '28', 'clubName': 'Colorado Rapids', 'clubID': '1247', 'value': '€2.00m'}, {'date': 'Oct 10, 2025', 'age': '28', 'clubName': 'FC Nantes', 'clubID': '995', 'value': '€3.00m'}, {'date': 'Dec 15, 2025', 'age': '28', 'clubName': 'FC Nantes', 'clubID': '995', 'value': '€3.00m'}]}</t>
  </si>
  <si>
    <t>1997-01-01</t>
  </si>
  <si>
    <t>Moreno</t>
  </si>
  <si>
    <t>Diatta</t>
  </si>
  <si>
    <t>{'marketValueHistory': [{'date': 'Dec 23, 2017', 'age': '18', 'clubName': 'Sarpsborg 08 FF', 'clubID': '10217', 'value': '€1.00m'}, {'date': 'Jan 9, 2018', 'age': '18', 'clubName': 'Club Brugge KV', 'clubID': '2282', 'value': '€1.50m'}, {'date': 'Jun 3, 2018', 'age': '19', 'clubName': 'Club Brugge KV', 'clubID': '2282', 'value': '€3.00m'}, {'date': 'Dec 27, 2018', 'age': '19', 'clubName': 'Club Brugge KV', 'clubID': '2282', 'value': '€3.00m'}, {'date': 'Mar 4, 2019', 'age': '20', 'clubName': 'Club Brugge KV', 'clubID': '2282', 'value': '€4.50m'}, {'date': 'Jun 10, 2019', 'age': '20', 'clubName': 'Club Brugge KV', 'clubID': '2282', 'value': '€7.00m'}, {'date': 'Sep 13, 2019', 'age': '20', 'clubName': 'Club Brugge KV', 'clubID': '2282', 'value': '€14.00m'}, {'date': 'Dec 13, 2019', 'age': '20', 'clubName': 'Club Brugge KV', 'clubID': '2282', 'value': '€17.00m'}, {'date': 'Mar 30, 2020', 'age': '21', 'clubName': 'Club Brugge KV', 'clubID': '2282', 'value': '€21.00m'}, {'date': 'Apr 8, 2020', 'age': '21', 'clubName': 'Club Brugge KV', 'clubID': '2282', 'value': '€19.00m'}, {'date': 'Aug 6, 2020', 'age': '21', 'clubName': 'Club Brugge KV', 'clubID': '2282', 'value': '€20.00m'}, {'date': 'Oct 16, 2020', 'age': '21', 'clubName': 'Club Brugge KV', 'clubID': '2282', 'value': '€20.00m'}, {'date': 'Jan 4, 2021', 'age': '21', 'clubName': 'Club Brugge KV', 'clubID': '2282', 'value': '€18.00m'}, {'date': 'Jun 4, 2021', 'age': '22', 'clubName': 'AS Monaco', 'clubID': '162', 'value': '€18.00m'}, {'date': 'Oct 8, 2021', 'age': '22', 'clubName': 'AS Monaco', 'clubID': '162', 'value': '€15.00m'}, {'date': 'Dec 16, 2021', 'age': '22', 'clubName': 'AS Monaco', 'clubID': '162', 'value': '€15.00m'}, {'date': 'May 30, 2022', 'age': '23', 'clubName': 'AS Monaco', 'clubID': '162', 'value': '€13.00m'}, {'date': 'Nov 2, 2022', 'age': '23', 'clubName': 'AS Monaco', 'clubID': '162', 'value': '€13.00m'}, {'date': 'Mar 27, 2023', 'age': '24', 'clubName': 'AS Monaco', 'clubID': '162', 'value': '€15.00m'}, {'date': 'Jun 27, 2023', 'age': '24', 'clubName': 'AS Monaco', 'clubID': '162', 'value': '€15.00m'}, {'date': 'Oct 16, 2023', 'age': '24', 'clubName': 'AS Monaco', 'clubID': '162', 'value': '€13.00m'}, {'date': 'Dec 18, 2023', 'age': '24', 'clubName': 'AS Monaco', 'clubID': '162', 'value': '€12.00m'}, {'date': 'Jun 3, 2024', 'age': '25', 'clubName': 'AS Monaco', 'clubID': '162', 'value': '€12.00m'}, {'date': 'Dec 10, 2024', 'age': '25', 'clubName': 'AS Monaco', 'clubID': '162', 'value': '€10.00m'}, {'date': 'Jun 3, 2025', 'age': '26', 'clubName': 'AS Monaco', 'clubID': '162', 'value': '€7.00m'}, {'date': 'Oct 10, 2025', 'age': '26', 'clubName': 'AS Monaco', 'clubID': '162', 'value': '€5.00m'}, {'date': 'Dec 15, 2025', 'age': '26', 'clubName': 'AS Monaco', 'clubID': '162', 'value': '€6.00m'}]}</t>
  </si>
  <si>
    <t>1999-02-25</t>
  </si>
  <si>
    <t>Gakpo</t>
  </si>
  <si>
    <t>{'marketValueHistory': [{'date': '04/11/2016', 'age': '17', 'clubName': 'PSV Eindhoven U19', 'clubID': '383', 'value': '€25k'}, {'date': '21/06/2017', 'age': '18', 'clubName': 'PSV Eindhoven U19', 'clubID': '383', 'value': '€50k'}, {'date': '01/03/2018', 'age': '18', 'clubName': 'PSV Eindhoven U19', 'clubID': '383', 'value': '€150k'}, {'date': '27/03/2018', 'age': '18', 'clubName': 'PSV Eindhoven U19', 'clubID': '383', 'value': '€250k'}, {'date': '12/06/2018', 'age': '19', 'clubName': 'PSV Eindhoven U19', 'clubID': '383', 'value': '€400k'}, {'date': '28/12/2018', 'age': '19', 'clubName': 'PSV Eindhoven', 'clubID': '383', 'value': '€500k'}, {'date': '21/01/2019', 'age': '19', 'clubName': 'PSV Eindhoven', 'clubID': '383', 'value': '€600k'}, {'date': '13/03/2019', 'age': '19', 'clubName': 'PSV Eindhoven', 'clubID': '383', 'value': '€2.50m'}, {'date': '12/06/2019', 'age': '20', 'clubName': 'PSV Eindhoven', 'clubID': '383', 'value': '€4.00m'}, {'date': '19/09/2019', 'age': '20', 'clubName': 'PSV Eindhoven', 'clubID': '383', 'value': '€6.00m'}, {'date': '18/12/2019', 'age': '20', 'clubName': 'PSV Eindhoven', 'clubID': '383', 'value': '€6.00m'}, {'date': '12/03/2020', 'age': '20', 'clubName': 'PSV Eindhoven', 'clubID': '383', 'value': '€8.00m'}, {'date': '08/04/2020', 'age': '20', 'clubName': 'PSV Eindhoven', 'clubID': '383', 'value': '€7.20m'}, {'date': '14/10/2020', 'age': '21', 'clubName': 'PSV Eindhoven', 'clubID': '383', 'value': '€10.00m'}, {'date': '06/01/2021', 'age': '21', 'clubName': 'PSV Eindhoven', 'clubID': '383', 'value': '€14.00m'}, {'date': '27/05/2021', 'age': '22', 'clubName': 'PSV Eindhoven', 'clubID': '383', 'value': '€18.00m'}, {'date': '04/10/2021', 'age': '22', 'clubName': 'PSV Eindhoven', 'clubID': '383', 'value': '€22.00m'}, {'date': '05/01/2022', 'age': '22', 'clubName': 'PSV Eindhoven', 'clubID': '383', 'value': '€22.00m'}, {'date': '17/03/2022', 'age': '22', 'clubName': 'PSV Eindhoven', 'clubID': '383', 'value': '€25.00m'}, {'date': '08/06/2022', 'age': '23', 'clubName': 'PSV Eindhoven', 'clubID': '383', 'value': '€30.00m'}, {'date': '14/09/2022', 'age': '23', 'clubName': 'PSV Eindhoven', 'clubID': '383', 'value': '€35.00m'}, {'date': '11/11/2022', 'age': '23', 'clubName': 'PSV Eindhoven', 'clubID': '383', 'value': '€45.00m'}, {'date': '23/12/2022', 'age': '23', 'clubName': 'PSV Eindhoven', 'clubID': '383', 'value': '€60.00m'}, {'date': '20/06/2023', 'age': '24', 'clubName': 'Liverpool FC', 'clubID': '31', 'value': '€55.00m'}, {'date': '19/12/2023', 'age': '24', 'clubName': 'Liverpool FC', 'clubID': '31', 'value': '€50.00m'}, {'date': '27/05/2024', 'age': '25', 'clubName': 'Liverpool FC', 'clubID': '31', 'value': '€50.00m'}, {'date': '18/07/2024', 'age': '25', 'clubName': 'Liverpool FC', 'clubID': '31', 'value': '€55.00m'}, {'date': '16/12/2024', 'age': '25', 'clubName': 'Liverpool FC', 'clubID': '31', 'value': '€60.00m'}, {'date': '18/03/2025', 'age': '25', 'clubName': 'Liverpool FC', 'clubID': '31', 'value': '€70.00m'}, {'date': '30/05/2025', 'age': '26', 'clubName': 'Liverpool FC', 'clubID': '31', 'value': '€70.00m'}, {'date': '09/12/2025', 'age': '26', 'clubName': 'Liverpool FC', 'clubID': '31', 'value': '€70.00m'}, {'date': '09/03/2026', 'age': '26', 'clubName': 'Liverpool FC', 'clubID': '31', 'value': '€65.00m'}]}</t>
  </si>
  <si>
    <t>1999-05-07</t>
  </si>
  <si>
    <t>Bazoer</t>
  </si>
  <si>
    <t>{'marketValueHistory': [{'date': 'Aug 7, 2013', 'age': '16', 'clubName': 'Ajax Amsterdam U21', 'clubID': '41580', 'value': '€75k'}, {'date': 'Sep 26, 2013', 'age': '16', 'clubName': 'Ajax Amsterdam U21', 'clubID': '41580', 'value': '€200k'}, {'date': 'Feb 10, 2014', 'age': '17', 'clubName': 'Ajax Amsterdam U21', 'clubID': '41580', 'value': '€300k'}, {'date': 'Aug 11, 2014', 'age': '17', 'clubName': 'Ajax Amsterdam', 'clubID': '610', 'value': '€400k'}, {'date': 'Feb 16, 2015', 'age': '18', 'clubName': 'Ajax Amsterdam', 'clubID': '610', 'value': '€750k'}, {'date': 'Apr 2, 2015', 'age': '18', 'clubName': 'Ajax Amsterdam', 'clubID': '610', 'value': '€2.00m'}, {'date': 'Jul 1, 2015', 'age': '18', 'clubName': 'Ajax Amsterdam', 'clubID': '610', 'value': '€3.50m'}, {'date': 'Nov 11, 2015', 'age': '19', 'clubName': 'Ajax Amsterdam', 'clubID': '610', 'value': '€6.50m'}, {'date': 'Feb 5, 2016', 'age': '19', 'clubName': 'Ajax Amsterdam', 'clubID': '610', 'value': '€9.00m'}, {'date': 'Apr 8, 2016', 'age': '19', 'clubName': 'Ajax Amsterdam', 'clubID': '610', 'value': '€15.00m'}, {'date': 'Jul 15, 2016', 'age': '19', 'clubName': 'Ajax Amsterdam', 'clubID': '610', 'value': '€15.00m'}, {'date': 'Feb 7, 2017', 'age': '20', 'clubName': 'VfL Wolfsburg', 'clubID': '82', 'value': '€12.00m'}, {'date': 'Jun 19, 2017', 'age': '20', 'clubName': 'VfL Wolfsburg', 'clubID': '82', 'value': '€10.00m'}, {'date': 'Oct 18, 2017', 'age': '21', 'clubName': 'VfL Wolfsburg', 'clubID': '82', 'value': '€8.00m'}, {'date': 'Dec 28, 2017', 'age': '21', 'clubName': 'VfL Wolfsburg', 'clubID': '82', 'value': '€6.00m'}, {'date': 'Apr 4, 2018', 'age': '21', 'clubName': 'VfL Wolfsburg', 'clubID': '82', 'value': '€4.00m'}, {'date': 'Jun 5, 2018', 'age': '21', 'clubName': 'VfL Wolfsburg', 'clubID': '82', 'value': '€3.00m'}, {'date': 'Jan 11, 2019', 'age': '22', 'clubName': 'FC Utrecht', 'clubID': '200', 'value': '€2.50m'}, {'date': 'Jun 12, 2019', 'age': '22', 'clubName': 'FC Utrecht', 'clubID': '200', 'value': '€2.50m'}, {'date': 'Dec 18, 2019', 'age': '23', 'clubName': 'Vitesse Arnhem', 'clubID': '499', 'value': '€1.75m'}, {'date': 'Apr 8, 2020', 'age': '23', 'clubName': 'Vitesse Arnhem', 'clubID': '499', 'value': '€1.40m'}, {'date': 'Oct 14, 2020', 'age': '24', 'clubName': 'Vitesse Arnhem', 'clubID': '499', 'value': '€2.00m'}, {'date': 'Jan 6, 2021', 'age': '24', 'clubName': 'Vitesse Arnhem', 'clubID': '499', 'value': '€3.00m'}, {'date': 'Mar 9, 2021', 'age': '24', 'clubName': 'Vitesse Arnhem', 'clubID': '499', 'value': '€4.00m'}, {'date': 'May 19, 2021', 'age': '24', 'clubName': 'Vitesse Arnhem', 'clubID': '499', 'value': '€4.50m'}, {'date': 'Jan 5, 2022', 'age': '25', 'clubName': 'Vitesse Arnhem', 'clubID': '499', 'value': '€4.00m'}, {'date': 'Mar 17, 2022', 'age': '25', 'clubName': 'Vitesse Arnhem', 'clubID': '499', 'value': '€5.00m'}, {'date': 'Jun 8, 2022', 'age': '25', 'clubName': 'Vitesse Arnhem', 'clubID': '499', 'value': '€5.00m'}, {'date': 'Nov 11, 2022', 'age': '26', 'clubName': 'AZ Alkmaar', 'clubID': '1090', 'value': '€4.50m'}, {'date': 'Mar 17, 2023', 'age': '26', 'clubName': 'AZ Alkmaar', 'clubID': '1090', 'value': '€3.50m'}, {'date': 'Jun 23, 2023', 'age': '26', 'clubName': 'AZ Alkmaar', 'clubID': '1090', 'value': '€2.80m'}, {'date': 'Dec 15, 2023', 'age': '27', 'clubName': 'AZ Alkmaar', 'clubID': '1090', 'value': '€4.00m'}, {'date': 'May 31, 2024', 'age': '27', 'clubName': 'AZ Alkmaar', 'clubID': '1090', 'value': '€4.00m'}, {'date': 'Oct 4, 2024', 'age': '27', 'clubName': 'Konyaspor', 'clubID': '2293', 'value': '€3.80m'}, {'date': 'Dec 23, 2024', 'age': '28', 'clubName': 'Konyaspor', 'clubID': '2293', 'value': '€3.50m'}, {'date': 'Mar 20, 2025', 'age': '28', 'clubName': 'Konyaspor', 'clubID': '2293', 'value': '€3.00m'}, {'date': 'Jun 18, 2025', 'age': '28', 'clubName': 'Konyaspor', 'clubID': '2293', 'value': '€3.00m'}, {'date': 'Dec 17, 2025', 'age': '29', 'clubName': 'Konyaspor', 'clubID': '2293', 'value': '€2.80m'}, {'date': 'Mar 5, 2026', 'age': '29', 'clubName': 'Konyaspor', 'clubID': '2293', 'value': '€2.20m'}]}</t>
  </si>
  <si>
    <t>1996-10-12</t>
  </si>
  <si>
    <t>Diaby</t>
  </si>
  <si>
    <t>{'marketValueHistory': [{'date': '01/02/2018', 'age': '18', 'clubName': 'FC Crotone', 'clubID': '4083', 'value': '€500k'}, {'date': '07/06/2018', 'age': '18', 'clubName': 'FC Crotone', 'clubID': '4083', 'value': '€500k'}, {'date': '06/09/2018', 'age': '19', 'clubName': 'Paris Saint-Germain', 'clubID': '583', 'value': '€1.50m'}, {'date': '24/10/2018', 'age': '19', 'clubName': 'Paris Saint-Germain', 'clubID': '583', 'value': '€6.00m'}, {'date': '17/12/2018', 'age': '19', 'clubName': 'Paris Saint-Germain', 'clubID': '583', 'value': '€7.00m'}, {'date': '07/03/2019', 'age': '19', 'clubName': 'Paris Saint-Germain', 'clubID': '583', 'value': '€12.00m'}, {'date': '03/06/2019', 'age': '19', 'clubName': 'Paris Saint-Germain', 'clubID': '583', 'value': '€12.00m'}, {'date': '02/10/2019', 'age': '20', 'clubName': 'Bayer 04 Leverkusen', 'clubID': '15', 'value': '€15.00m'}, {'date': '17/12/2019', 'age': '20', 'clubName': 'Bayer 04 Leverkusen', 'clubID': '15', 'value': '€20.00m'}, {'date': '11/03/2020', 'age': '20', 'clubName': 'Bayer 04 Leverkusen', 'clubID': '15', 'value': '€30.00m'}, {'date': '08/04/2020', 'age': '20', 'clubName': 'Bayer 04 Leverkusen', 'clubID': '15', 'value': '€27.00m'}, {'date': '08/07/2020', 'age': '21', 'clubName': 'Bayer 04 Leverkusen', 'clubID': '15', 'value': '€32.00m'}, {'date': '26/11/2020', 'age': '21', 'clubName': 'Bayer 04 Leverkusen', 'clubID': '15', 'value': '€36.00m'}, {'date': '10/02/2021', 'age': '21', 'clubName': 'Bayer 04 Leverkusen', 'clubID': '15', 'value': '€38.00m'}, {'date': '09/06/2021', 'age': '21', 'clubName': 'Bayer 04 Leverkusen', 'clubID': '15', 'value': '€38.00m'}, {'date': '07/10/2021', 'age': '22', 'clubName': 'Bayer 04 Leverkusen', 'clubID': '15', 'value': '€42.00m'}, {'date': '22/12/2021', 'age': '22', 'clubName': 'Bayer 04 Leverkusen', 'clubID': '15', 'value': '€45.00m'}, {'date': '24/03/2022', 'age': '22', 'clubName': 'Bayer 04 Leverkusen', 'clubID': '15', 'value': '€55.00m'}, {'date': '09/06/2022', 'age': '22', 'clubName': 'Bayer 04 Leverkusen', 'clubID': '15', 'value': '€60.00m'}, {'date': '09/11/2022', 'age': '23', 'clubName': 'Bayer 04 Leverkusen', 'clubID': '15', 'value': '€50.00m'}, {'date': '22/06/2023', 'age': '23', 'clubName': 'Bayer 04 Leverkusen', 'clubID': '15', 'value': '€50.00m'}, {'date': '09/10/2023', 'age': '24', 'clubName': 'Aston Villa', 'clubID': '405', 'value': '€55.00m'}, {'date': '19/12/2023', 'age': '24', 'clubName': 'Aston Villa', 'clubID': '405', 'value': '€60.00m'}, {'date': '14/03/2024', 'age': '24', 'clubName': 'Aston Villa', 'clubID': '405', 'value': '€55.00m'}, {'date': '27/05/2024', 'age': '24', 'clubName': 'Aston Villa', 'clubID': '405', 'value': '€55.00m'}, {'date': '13/12/2024', 'age': '25', 'clubName': 'Al-Ittihad Club', 'clubID': '8023', 'value': '€35.00m'}, {'date': '27/05/2025', 'age': '25', 'clubName': 'Al-Ittihad Club', 'clubID': '8023', 'value': '€30.00m'}, {'date': '18/12/2025', 'age': '26', 'clubName': 'Al-Ittihad Club', 'clubID': '8023', 'value': '€28.00m'}]}</t>
  </si>
  <si>
    <t>Hernandez</t>
  </si>
  <si>
    <t>{'marketValueHistory': [{'date': 'Aug 1, 2016', 'age': '20', 'clubName': 'Villarreal CF', 'clubID': '1050', 'value': '€500k'}, {'date': 'Jan 24, 2017', 'age': '20', 'clubName': 'Villarreal CF', 'clubID': '1050', 'value': '€1.50m'}, {'date': 'Jun 5, 2017', 'age': '20', 'clubName': 'Villarreal CF', 'clubID': '1050', 'value': '€2.50m'}, {'date': 'Jan 1, 2018', 'age': '21', 'clubName': 'Villarreal CF', 'clubID': '1050', 'value': '€20.00m'}, {'date': 'May 30, 2018', 'age': '21', 'clubName': 'Villarreal CF', 'clubID': '1050', 'value': '€25.00m'}, {'date': 'Oct 31, 2018', 'age': '22', 'clubName': 'Atlético de Madrid', 'clubID': '13', 'value': '€40.00m'}, {'date': 'Dec 21, 2018', 'age': '22', 'clubName': 'Atlético de Madrid', 'clubID': '13', 'value': '€50.00m'}, {'date': 'Feb 28, 2019', 'age': '22', 'clubName': 'Atlético de Madrid', 'clubID': '13', 'value': '€60.00m'}, {'date': 'Jun 11, 2019', 'age': '22', 'clubName': 'Atlético de Madrid', 'clubID': '13', 'value': '€80.00m'}, {'date': 'Dec 10, 2019', 'age': '23', 'clubName': 'Manchester City', 'clubID': '281', 'value': '€80.00m'}, {'date': 'Apr 8, 2020', 'age': '23', 'clubName': 'Manchester City', 'clubID': '281', 'value': '€64.00m'}, {'date': 'Oct 13, 2020', 'age': '24', 'clubName': 'Manchester City', 'clubID': '281', 'value': '€64.00m'}, {'date': 'Mar 18, 2021', 'age': '24', 'clubName': 'Manchester City', 'clubID': '281', 'value': '€70.00m'}, {'date': 'May 31, 2021', 'age': '24', 'clubName': 'Manchester City', 'clubID': '281', 'value': '€70.00m'}, {'date': 'Dec 23, 2021', 'age': '25', 'clubName': 'Manchester City', 'clubID': '281', 'value': '€70.00m'}, {'date': 'Jun 15, 2022', 'age': '25', 'clubName': 'Manchester City', 'clubID': '281', 'value': '€80.00m'}, {'date': 'Nov 3, 2022', 'age': '26', 'clubName': 'Manchester City', 'clubID': '281', 'value': '€80.00m'}, {'date': 'Jun 20, 2023', 'age': '26', 'clubName': 'Manchester City', 'clubID': '281', 'value': '€90.00m'}, {'date': 'Oct 9, 2023', 'age': '27', 'clubName': 'Manchester City', 'clubID': '281', 'value': '€100.00m'}, {'date': 'Dec 19, 2023', 'age': '27', 'clubName': 'Manchester City', 'clubID': '281', 'value': '€110.00m'}, {'date': 'May 27, 2024', 'age': '27', 'clubName': 'Manchester City', 'clubID': '281', 'value': '€120.00m'}, {'date': 'Jul 18, 2024', 'age': '28', 'clubName': 'Manchester City', 'clubID': '281', 'value': '€130.00m'}, {'date': 'Dec 16, 2024', 'age': '28', 'clubName': 'Manchester City', 'clubID': '281', 'value': '€130.00m'}, {'date': 'May 30, 2025', 'age': '28', 'clubName': 'Manchester City', 'clubID': '281', 'value': '€110.00m'}, {'date': 'Oct 17, 2025', 'age': '29', 'clubName': 'Manchester City', 'clubID': '281', 'value': '€90.00m'}, {'date': 'Dec 9, 2025', 'age': '29', 'clubName': 'Manchester City', 'clubID': '281', 'value': '€75.00m'}, {'date': 'Mar 9, 2026', 'age': '29', 'clubName': 'Manchester City', 'clubID': '281', 'value': '€65.00m'}]}</t>
  </si>
  <si>
    <t>Grifo</t>
  </si>
  <si>
    <t>{'marketValueHistory': [{'date': '15/07/2012', 'age': '19', 'clubName': 'TSG 1899 Hoffenheim II', 'clubID': '983', 'value': '€25k'}, {'date': '20/10/2012', 'age': '19', 'clubName': 'TSG 1899 Hoffenheim II', 'clubID': '983', 'value': '€100k'}, {'date': '13/01/2013', 'age': '19', 'clubName': 'TSG 1899 Hoffenheim II', 'clubID': '983', 'value': '€400k'}, {'date': '30/06/2013', 'age': '20', 'clubName': 'TSG 1899 Hoffenheim II', 'clubID': '983', 'value': '€400k'}, {'date': '20/01/2014', 'age': '20', 'clubName': 'SG Dynamo Dresden', 'clubID': '129', 'value': '€400k'}, {'date': '30/06/2014', 'age': '21', 'clubName': 'TSG 1899 Hoffenheim', 'clubID': '533', 'value': '€400k'}, {'date': '13/01/2015', 'age': '21', 'clubName': 'FSV Frankfurt', 'clubID': '293', 'value': '€700k'}, {'date': '01/07/2015', 'age': '22', 'clubName': 'SC Freiburg', 'clubID': '60', 'value': '€1.00m'}, {'date': '22/10/2015', 'age': '22', 'clubName': 'SC Freiburg', 'clubID': '60', 'value': '€1.50m'}, {'date': '11/02/2016', 'age': '22', 'clubName': 'SC Freiburg', 'clubID': '60', 'value': '€2.25m'}, {'date': '22/03/2016', 'age': '22', 'clubName': 'SC Freiburg', 'clubID': '60', 'value': '€2.75m'}, {'date': '22/07/2016', 'age': '23', 'clubName': 'SC Freiburg', 'clubID': '60', 'value': '€3.50m'}, {'date': '13/10/2016', 'age': '23', 'clubName': 'SC Freiburg', 'clubID': '60', 'value': '€4.00m'}, {'date': '07/02/2017', 'age': '23', 'clubName': 'SC Freiburg', 'clubID': '60', 'value': '€5.50m'}, {'date': '22/03/2017', 'age': '23', 'clubName': 'SC Freiburg', 'clubID': '60', 'value': '€7.00m'}, {'date': '19/06/2017', 'age': '24', 'clubName': 'SC Freiburg', 'clubID': '60', 'value': '€10.00m'}, {'date': '28/12/2017', 'age': '24', 'clubName': 'Borussia Mönchengladbach', 'clubID': '18', 'value': '€10.00m'}, {'date': '05/06/2018', 'age': '25', 'clubName': 'Borussia Mönchengladbach', 'clubID': '18', 'value': '€7.50m'}, {'date': '22/10/2018', 'age': '25', 'clubName': 'TSG 1899 Hoffenheim', 'clubID': '533', 'value': '€5.50m'}, {'date': '18/12/2018', 'age': '25', 'clubName': 'TSG 1899 Hoffenheim', 'clubID': '533', 'value': '€6.00m'}, {'date': '05/06/2019', 'age': '26', 'clubName': 'SC Freiburg', 'clubID': '60', 'value': '€9.00m'}, {'date': '17/12/2019', 'age': '26', 'clubName': 'SC Freiburg', 'clubID': '60', 'value': '€7.00m'}, {'date': '08/04/2020', 'age': '27', 'clubName': 'SC Freiburg', 'clubID': '60', 'value': '€5.50m'}, {'date': '08/07/2020', 'age': '27', 'clubName': 'SC Freiburg', 'clubID': '60', 'value': '€6.50m'}, {'date': '10/02/2021', 'age': '27', 'clubName': 'SC Freiburg', 'clubID': '60', 'value': '€10.00m'}, {'date': '25/05/2021', 'age': '28', 'clubName': 'SC Freiburg', 'clubID': '60', 'value': '€12.00m'}, {'date': '22/12/2021', 'age': '28', 'clubName': 'SC Freiburg', 'clubID': '60', 'value': '€12.00m'}, {'date': '09/06/2022', 'age': '29', 'clubName': 'SC Freiburg', 'clubID': '60', 'value': '€12.00m'}, {'date': '09/11/2022', 'age': '29', 'clubName': 'SC Freiburg', 'clubID': '60', 'value': '€12.00m'}, {'date': '22/06/2023', 'age': '30', 'clubName': 'SC Freiburg', 'clubID': '60', 'value': '€12.00m'}, {'date': '14/12/2023', 'age': '30', 'clubName': 'SC Freiburg', 'clubID': '60', 'value': '€12.00m'}, {'date': '29/05/2024', 'age': '31', 'clubName': 'SC Freiburg', 'clubID': '60', 'value': '€9.00m'}, {'date': '20/12/2024', 'age': '31', 'clubName': 'SC Freiburg', 'clubID': '60', 'value': '€7.50m'}, {'date': '05/06/2025', 'age': '32', 'clubName': 'SC Freiburg', 'clubID': '60', 'value': '€6.00m'}, {'date': '19/12/2025', 'age': '32', 'clubName': 'SC Freiburg', 'clubID': '60', 'value': '€5.00m'}]}</t>
  </si>
  <si>
    <t>1993-04-07</t>
  </si>
  <si>
    <t>Hack</t>
  </si>
  <si>
    <t>Labyad</t>
  </si>
  <si>
    <t>{'marketValueHistory': [{'date': '28/02/2010', 'age': '16', 'clubName': 'PSV Eindhoven U19', 'clubID': '32801', 'value': '€100k'}, {'date': '01/08/2010', 'age': '17', 'clubName': 'PSV Eindhoven', 'clubID': '383', 'value': '€1.00m'}, {'date': '15/06/2011', 'age': '18', 'clubName': 'PSV Eindhoven', 'clubID': '383', 'value': '€1.25m'}, {'date': '05/01/2012', 'age': '18', 'clubName': 'PSV Eindhoven', 'clubID': '383', 'value': '€4.00m'}, {'date': '11/07/2012', 'age': '19', 'clubName': 'Sporting CP', 'clubID': '336', 'value': '€4.50m'}, {'date': '28/03/2013', 'age': '20', 'clubName': 'Sporting CP', 'clubID': '336', 'value': '€5.50m'}, {'date': '02/07/2013', 'age': '20', 'clubName': 'Sporting CP', 'clubID': '336', 'value': '€5.50m'}, {'date': '11/02/2014', 'age': '20', 'clubName': 'Vitesse Arnhem', 'clubID': '499', 'value': '€5.50m'}, {'date': '10/08/2014', 'age': '21', 'clubName': 'Vitesse Arnhem', 'clubID': '499', 'value': '€4.00m'}, {'date': '16/02/2015', 'age': '21', 'clubName': 'Vitesse Arnhem', 'clubID': '499', 'value': '€4.00m'}, {'date': '01/07/2015', 'age': '22', 'clubName': 'Sporting CP', 'clubID': '336', 'value': '€3.00m'}, {'date': '20/04/2016', 'age': '23', 'clubName': 'Fulham FC', 'clubID': '931', 'value': '€2.50m'}, {'date': '29/07/2016', 'age': '23', 'clubName': 'Sporting CP', 'clubID': '336', 'value': '€2.00m'}, {'date': '18/01/2017', 'age': '23', 'clubName': 'FC Utrecht', 'clubID': '200', 'value': '€1.50m'}, {'date': '07/06/2017', 'age': '24', 'clubName': 'FC Utrecht', 'clubID': '200', 'value': '€1.75m'}, {'date': '26/10/2017', 'age': '24', 'clubName': 'FC Utrecht', 'clubID': '200', 'value': '€3.00m'}, {'date': '17/01/2018', 'age': '24', 'clubName': 'FC Utrecht', 'clubID': '200', 'value': '€5.00m'}, {'date': '12/06/2018', 'age': '25', 'clubName': 'FC Utrecht', 'clubID': '200', 'value': '€6.00m'}, {'date': '28/12/2018', 'age': '25', 'clubName': 'Ajax Amsterdam', 'clubID': '610', 'value': '€6.00m'}, {'date': '12/06/2019', 'age': '26', 'clubName': 'Ajax Amsterdam', 'clubID': '610', 'value': '€4.00m'}, {'date': '18/12/2019', 'age': '26', 'clubName': 'Ajax Amsterdam', 'clubID': '610', 'value': '€4.00m'}, {'date': '08/04/2020', 'age': '27', 'clubName': 'Ajax Amsterdam', 'clubID': '610', 'value': '€3.20m'}, {'date': '14/10/2020', 'age': '27', 'clubName': 'Ajax Amsterdam', 'clubID': '610', 'value': '€3.20m'}, {'date': '06/01/2021', 'age': '27', 'clubName': 'Ajax Amsterdam', 'clubID': '610', 'value': '€4.00m'}, {'date': '19/05/2021', 'age': '28', 'clubName': 'Ajax Amsterdam', 'clubID': '610', 'value': '€4.00m'}, {'date': '05/01/2022', 'age': '28', 'clubName': 'Ajax Amsterdam', 'clubID': '610', 'value': '€4.00m'}, {'date': '08/06/2022', 'age': '29', 'clubName': 'Ajax Amsterdam', 'clubID': '610', 'value': '€3.00m'}, {'date': '07/10/2022', 'age': '29', 'clubName': 'Without Club', 'clubID': '515', 'value': '€2.50m'}, {'date': '23/06/2023', 'age': '30', 'clubName': 'FC Utrecht', 'clubID': '200', 'value': '€1.60m'}, {'date': '15/12/2023', 'age': '30', 'clubName': 'FC Utrecht', 'clubID': '200', 'value': '€1.00m'}, {'date': '12/03/2024', 'age': '31', 'clubName': 'Yunnan Yukun', 'clubID': '93753', 'value': '€850k'}, {'date': '17/06/2024', 'age': '31', 'clubName': 'Yunnan Yukun', 'clubID': '93753', 'value': '€700k'}, {'date': '03/12/2024', 'age': '31', 'clubName': 'Yunnan Yukun', 'clubID': '93753', 'value': '€650k'}, {'date': '19/06/2025', 'age': '32', 'clubName': 'Dalian Yingbo', 'clubID': '98080', 'value': '€550k'}, {'date': '17/12/2025', 'age': '32', 'clubName': 'Dalian Yingbo', 'clubID': '98080', 'value': '€500k'}]}</t>
  </si>
  <si>
    <t>1993-03-09</t>
  </si>
  <si>
    <t>Yunus Akgun</t>
  </si>
  <si>
    <t>{'marketValueHistory': [{'date': 'Jul 4, 2017', 'age': '16', 'clubName': 'Galatasaray U19', 'clubID': '41591', 'value': '€50k'}, {'date': 'Apr 4, 2018', 'age': '17', 'clubName': 'Galatasaray U19', 'clubID': '41591', 'value': '€150k'}, {'date': 'Jan 4, 2019', 'age': '18', 'clubName': 'Galatasaray', 'clubID': '141', 'value': '€400k'}, {'date': 'Mar 27, 2019', 'age': '18', 'clubName': 'Galatasaray', 'clubID': '141', 'value': '€2.00m'}, {'date': 'Jun 4, 2019', 'age': '18', 'clubName': 'Galatasaray', 'clubID': '141', 'value': '€2.00m'}, {'date': 'Jan 3, 2020', 'age': '19', 'clubName': 'Galatasaray', 'clubID': '141', 'value': '€1.50m'}, {'date': 'Apr 8, 2020', 'age': '19', 'clubName': 'Galatasaray', 'clubID': '141', 'value': '€1.30m'}, {'date': 'Aug 4, 2020', 'age': '20', 'clubName': 'Galatasaray', 'clubID': '141', 'value': '€1.20m'}, {'date': 'Oct 12, 2020', 'age': '20', 'clubName': 'Adana Demirspor', 'clubID': '3840', 'value': '€1.00m'}, {'date': 'Dec 30, 2020', 'age': '20', 'clubName': 'Adana Demirspor', 'clubID': '3840', 'value': '€1.20m'}, {'date': 'Mar 23, 2021', 'age': '20', 'clubName': 'Adana Demirspor', 'clubID': '3840', 'value': '€1.40m'}, {'date': 'Jun 2, 2021', 'age': '20', 'clubName': 'Adana Demirspor', 'clubID': '3840', 'value': '€2.00m'}, {'date': 'Oct 12, 2021', 'age': '21', 'clubName': 'Adana Demirspor', 'clubID': '3840', 'value': '€2.10m'}, {'date': 'Jan 4, 2022', 'age': '21', 'clubName': 'Adana Demirspor', 'clubID': '3840', 'value': '€3.60m'}, {'date': 'Mar 31, 2022', 'age': '21', 'clubName': 'Adana Demirspor', 'clubID': '3840', 'value': '€5.50m'}, {'date': 'Jun 1, 2022', 'age': '21', 'clubName': 'Adana Demirspor', 'clubID': '3840', 'value': '€7.50m'}, {'date': 'Oct 27, 2022', 'age': '22', 'clubName': 'Galatasaray', 'clubID': '141', 'value': '€8.50m'}, {'date': 'Mar 14, 2023', 'age': '22', 'clubName': 'Galatasaray', 'clubID': '141', 'value': '€8.00m'}, {'date': 'Jun 8, 2023', 'age': '22', 'clubName': 'Galatasaray', 'clubID': '141', 'value': '€7.00m'}, {'date': 'Dec 21, 2023', 'age': '23', 'clubName': 'Leicester City', 'clubID': '1003', 'value': '€6.00m'}, {'date': 'Mar 7, 2024', 'age': '23', 'clubName': 'Leicester City', 'clubID': '1003', 'value': '€5.00m'}, {'date': 'May 24, 2024', 'age': '23', 'clubName': 'Leicester City', 'clubID': '1003', 'value': '€5.00m'}, {'date': 'Oct 4, 2024', 'age': '24', 'clubName': 'Galatasaray', 'clubID': '141', 'value': '€6.50m'}, {'date': 'Dec 23, 2024', 'age': '24', 'clubName': 'Galatasaray', 'clubID': '141', 'value': '€11.00m'}, {'date': 'Mar 20, 2025', 'age': '24', 'clubName': 'Galatasaray', 'clubID': '141', 'value': '€12.00m'}, {'date': 'Jun 18, 2025', 'age': '24', 'clubName': 'Galatasaray', 'clubID': '141', 'value': '€14.00m'}, {'date': 'Oct 1, 2025', 'age': '25', 'clubName': 'Galatasaray', 'clubID': '141', 'value': '€15.00m'}, {'date': 'Dec 17, 2025', 'age': '25', 'clubName': 'Galatasaray', 'clubID': '141', 'value': '€17.00m'}, {'date': 'Mar 5, 2026', 'age': '25', 'clubName': 'Galatasaray', 'clubID': '141', 'value': '€18.00m'}]}</t>
  </si>
  <si>
    <t>2000-07-07</t>
  </si>
  <si>
    <t>Greenwood</t>
  </si>
  <si>
    <t>{'marketValueHistory': [{'date': '07/08/2019', 'age': '17', 'clubName': 'Manchester United', 'clubID': '985', 'value': '€7.00m'}, {'date': '12/09/2019', 'age': '17', 'clubName': 'Manchester United', 'clubID': '985', 'value': '€10.00m'}, {'date': '10/12/2019', 'age': '18', 'clubName': 'Manchester United', 'clubID': '985', 'value': '€20.00m'}, {'date': '09/03/2020', 'age': '18', 'clubName': 'Manchester United', 'clubID': '985', 'value': '€32.00m'}, {'date': '08/04/2020', 'age': '18', 'clubName': 'Manchester United', 'clubID': '985', 'value': '€29.00m'}, {'date': '30/07/2020', 'age': '18', 'clubName': 'Manchester United', 'clubID': '985', 'value': '€45.00m'}, {'date': '13/10/2020', 'age': '19', 'clubName': 'Manchester United', 'clubID': '985', 'value': '€50.00m'}, {'date': '18/03/2021', 'age': '19', 'clubName': 'Manchester United', 'clubID': '985', 'value': '€50.00m'}, {'date': '28/05/2021', 'age': '19', 'clubName': 'Manchester United', 'clubID': '985', 'value': '€50.00m'}, {'date': '23/12/2021', 'age': '20', 'clubName': 'Manchester United', 'clubID': '985', 'value': '€50.00m'}, {'date': '29/03/2022', 'age': '20', 'clubName': 'Manchester United', 'clubID': '985', 'value': '-'}, {'date': '01/09/2023', 'age': '21', 'clubName': 'Getafe CF', 'clubID': '3709', 'value': '€5.00m'}, {'date': '22/12/2023', 'age': '22', 'clubName': 'Getafe CF', 'clubID': '3709', 'value': '€7.50m'}, {'date': '21/03/2024', 'age': '22', 'clubName': 'Getafe CF', 'clubID': '3709', 'value': '€15.00m'}, {'date': '07/06/2024', 'age': '22', 'clubName': 'Getafe CF', 'clubID': '3709', 'value': '€25.00m'}, {'date': '07/10/2024', 'age': '23', 'clubName': 'Olympique Marseille', 'clubID': '244', 'value': '€35.00m'}, {'date': '10/12/2024', 'age': '23', 'clubName': 'Olympique Marseille', 'clubID': '244', 'value': '€35.00m'}, {'date': '03/06/2025', 'age': '23', 'clubName': 'Olympique Marseille', 'clubID': '244', 'value': '€40.00m'}, {'date': '15/12/2025', 'age': '24', 'clubName': 'Olympique Marseille', 'clubID': '244', 'value': '€50.00m'}, {'date': '27/03/2026', 'age': '24', 'clubName': 'Olympique Marseille', 'clubID': '244', 'value': '€55.00m'}]}</t>
  </si>
  <si>
    <t>2001-10-01</t>
  </si>
  <si>
    <t>Nishimura</t>
  </si>
  <si>
    <t>{'marketValueHistory': [{'date': 'Feb 12, 2015', 'age': '18', 'clubName': 'Vegalta Sendai', 'clubID': '6395', 'value': '€50k'}, {'date': 'Jul 1, 2015', 'age': '18', 'clubName': 'Vegalta Sendai', 'clubID': '6395', 'value': '€50k'}, {'date': 'Feb 25, 2016', 'age': '19', 'clubName': 'Vegalta Sendai', 'clubID': '6395', 'value': '€100k'}, {'date': 'Mar 25, 2017', 'age': '20', 'clubName': 'Vegalta Sendai', 'clubID': '6395', 'value': '€150k'}, {'date': 'Jan 5, 2018', 'age': '21', 'clubName': 'Vegalta Sendai', 'clubID': '6395', 'value': '€450k'}, {'date': 'Aug 15, 2018', 'age': '21', 'clubName': 'Vegalta Sendai', 'clubID': '6395', 'value': '€1.00m'}, {'date': 'Dec 20, 2018', 'age': '22', 'clubName': 'CSKA Moscow', 'clubID': '2410', 'value': '€1.00m'}, {'date': 'Jun 14, 2019', 'age': '22', 'clubName': 'CSKA Moscow', 'clubID': '2410', 'value': '€1.20m'}, {'date': 'Dec 23, 2019', 'age': '23', 'clubName': 'CSKA Moscow', 'clubID': '2410', 'value': '€900k'}, {'date': 'Apr 8, 2020', 'age': '23', 'clubName': 'Vegalta Sendai', 'clubID': '6395', 'value': '€725k'}, {'date': 'Jan 29, 2021', 'age': '24', 'clubName': 'CSKA Moscow', 'clubID': '2410', 'value': '€700k'}, {'date': 'Jun 29, 2021', 'age': '24', 'clubName': 'Vegalta Sendai', 'clubID': '6395', 'value': '€700k'}, {'date': 'Jan 14, 2022', 'age': '25', 'clubName': 'Yokohama F. Marinos', 'clubID': '3828', 'value': '€700k'}, {'date': 'Jun 28, 2022', 'age': '25', 'clubName': 'Yokohama F. Marinos', 'clubID': '3828', 'value': '€800k'}, {'date': 'Jan 6, 2023', 'age': '26', 'clubName': 'Yokohama F. Marinos', 'clubID': '3828', 'value': '€1.00m'}, {'date': 'Jun 28, 2023', 'age': '26', 'clubName': 'Yokohama F. Marinos', 'clubID': '3828', 'value': '€1.20m'}, {'date': 'Feb 22, 2024', 'age': '27', 'clubName': 'Servette FC', 'clubID': '61', 'value': '€1.20m'}, {'date': 'May 31, 2024', 'age': '27', 'clubName': 'Servette FC', 'clubID': '61', 'value': '€1.10m'}, {'date': 'Dec 10, 2024', 'age': '28', 'clubName': 'Yokohama F. Marinos', 'clubID': '3828', 'value': '€1.00m'}, {'date': 'May 29, 2025', 'age': '28', 'clubName': 'Machida Zelvia', 'clubID': '23568', 'value': '€1.00m'}, {'date': 'Dec 15, 2025', 'age': '29', 'clubName': 'Machida Zelvia', 'clubID': '23568', 'value': '€1.00m'}]}</t>
  </si>
  <si>
    <t>1996-10-22</t>
  </si>
  <si>
    <t>Rotenberg</t>
  </si>
  <si>
    <t>{'marketValueHistory': [{'date': '06/08/2007', 'age': '21', 'clubName': 'Zenit St. Petersburg II', 'clubID': '6082', 'value': '€50k'}, {'date': '05/10/2007', 'age': '21', 'clubName': 'Zenit St. Petersburg II', 'clubID': '6082', 'value': '€25k'}, {'date': '15/01/2008', 'age': '21', 'clubName': 'Shinnik Yaroslavl II', 'clubID': '2374', 'value': '€100k'}, {'date': '09/02/2010', 'age': '23', 'clubName': 'Alania Vladikavkaz', 'clubID': '2703', 'value': '€250k'}, {'date': '15/07/2011', 'age': '25', 'clubName': 'Dinamo Moscow', 'clubID': '121', 'value': '€250k'}, {'date': '15/12/2011', 'age': '25', 'clubName': 'Dinamo Moscow', 'clubID': '121', 'value': '€200k'}, {'date': '02/07/2012', 'age': '26', 'clubName': 'Dinamo Moscow', 'clubID': '121', 'value': '€200k'}, {'date': '03/03/2014', 'age': '27', 'clubName': 'Dinamo Moscow', 'clubID': '121', 'value': '€200k'}, {'date': '31/07/2014', 'age': '28', 'clubName': 'Dinamo Moscow', 'clubID': '121', 'value': '€150k'}, {'date': '23/02/2015', 'age': '28', 'clubName': 'Dinamo Moscow', 'clubID': '121', 'value': '€150k'}, {'date': '18/06/2015', 'age': '29', 'clubName': 'Dinamo Moscow', 'clubID': '121', 'value': '€400k'}, {'date': '06/01/2016', 'age': '29', 'clubName': 'FC Rostov', 'clubID': '1083', 'value': '€400k'}, {'date': '25/05/2016', 'age': '30', 'clubName': 'FC Rostov', 'clubID': '1083', 'value': '€500k'}, {'date': '27/12/2016', 'age': '30', 'clubName': 'Lokomotiv Moskau', 'clubID': '932', 'value': '€400k'}, {'date': '01/06/2017', 'age': '31', 'clubName': 'Lokomotiv Moskau', 'clubID': '932', 'value': '€300k'}, {'date': '23/12/2017', 'age': '31', 'clubName': 'Lokomotiv Moscow', 'clubID': '932', 'value': '€200k'}, {'date': '06/06/2018', 'age': '32', 'clubName': 'Lokomotiv Moscow', 'clubID': '932', 'value': '€100k'}, {'date': '20/12/2018', 'age': '32', 'clubName': 'Lokomotiv Moscow', 'clubID': '932', 'value': '€100k'}, {'date': '14/06/2019', 'age': '33', 'clubName': 'Lokomotiv Moscow', 'clubID': '932', 'value': '€50k'}, {'date': '23/12/2019', 'age': '33', 'clubName': 'Lokomotiv Moscow', 'clubID': '932', 'value': '€50k'}, {'date': '29/07/2020', 'age': '34', 'clubName': 'Lokomotiv Moscow', 'clubID': '932', 'value': '€50k'}, {'date': '29/12/2020', 'age': '34', 'clubName': 'Lokomotiv Moscow', 'clubID': '932', 'value': '€50k'}, {'date': '02/06/2021', 'age': '35', 'clubName': 'Lokomotiv Moscow', 'clubID': '932', 'value': '€50k'}, {'date': '29/12/2021', 'age': '35', 'clubName': 'Lokomotiv Moscow', 'clubID': '932', 'value': '€50k'}, {'date': '02/06/2022', 'age': '36', 'clubName': 'Lokomotiv Moscow', 'clubID': '932', 'value': '-'}]}</t>
  </si>
  <si>
    <t>Finland</t>
  </si>
  <si>
    <t>1986-05-19</t>
  </si>
  <si>
    <t>Sergio Gomez</t>
  </si>
  <si>
    <t>{'marketValueHistory': [{'date': 'Apr 4, 2018', 'age': '17', 'clubName': 'Borussia Dortmund', 'clubID': '16', 'value': '€2.00m'}, {'date': 'Jun 5, 2018', 'age': '17', 'clubName': 'Borussia Dortmund', 'clubID': '16', 'value': '€2.00m'}, {'date': 'Dec 18, 2018', 'age': '18', 'clubName': 'Borussia Dortmund', 'clubID': '16', 'value': '€3.00m'}, {'date': 'Jun 5, 2019', 'age': '18', 'clubName': 'Borussia Dortmund', 'clubID': '16', 'value': '€3.00m'}, {'date': 'Dec 20, 2019', 'age': '19', 'clubName': 'SD Huesca', 'clubID': '5358', 'value': '€2.50m'}, {'date': 'Apr 8, 2020', 'age': '19', 'clubName': 'SD Huesca', 'clubID': '5358', 'value': '€2.30m'}, {'date': 'Oct 8, 2020', 'age': '20', 'clubName': 'SD Huesca', 'clubID': '5358', 'value': '€2.50m'}, {'date': 'Jan 5, 2021', 'age': '20', 'clubName': 'SD Huesca', 'clubID': '5358', 'value': '€2.50m'}, {'date': 'Jun 10, 2021', 'age': '20', 'clubName': 'SD Huesca', 'clubID': '5358', 'value': '€2.50m'}, {'date': 'Oct 6, 2021', 'age': '21', 'clubName': 'RSC Anderlecht', 'clubID': '58', 'value': '€3.00m'}, {'date': 'Jan 6, 2022', 'age': '21', 'clubName': 'RSC Anderlecht', 'clubID': '58', 'value': '€9.00m'}, {'date': 'Apr 12, 2022', 'age': '21', 'clubName': 'RSC Anderlecht', 'clubID': '58', 'value': '€10.00m'}, {'date': 'Sep 15, 2022', 'age': '22', 'clubName': 'Manchester City', 'clubID': '281', 'value': '€13.00m'}, {'date': 'Nov 3, 2022', 'age': '22', 'clubName': 'Manchester City', 'clubID': '281', 'value': '€15.00m'}, {'date': 'Jun 20, 2023', 'age': '22', 'clubName': 'Manchester City', 'clubID': '281', 'value': '€13.00m'}, {'date': 'Dec 19, 2023', 'age': '23', 'clubName': 'Manchester City', 'clubID': '281', 'value': '€10.00m'}, {'date': 'May 27, 2024', 'age': '23', 'clubName': 'Manchester City', 'clubID': '281', 'value': '€10.00m'}, {'date': 'Dec 27, 2024', 'age': '24', 'clubName': 'Real Sociedad', 'clubID': '681', 'value': '€20.00m'}, {'date': 'Jun 9, 2025', 'age': '24', 'clubName': 'Real Sociedad', 'clubID': '681', 'value': '€20.00m'}, {'date': 'Oct 2, 2025', 'age': '25', 'clubName': 'Real Sociedad', 'clubID': '681', 'value': '€15.00m'}, {'date': 'Dec 12, 2025', 'age': '25', 'clubName': 'Real Sociedad', 'clubID': '681', 'value': '€15.00m'}]}</t>
  </si>
  <si>
    <t>2000-09-04</t>
  </si>
  <si>
    <t>Wuthrich</t>
  </si>
  <si>
    <t>{'marketValueHistory': [{'date': '14/02/2014', 'age': '19', 'clubName': 'BSC Young Boys U21', 'clubID': '5508', 'value': '€50k'}, {'date': '16/07/2014', 'age': '19', 'clubName': 'BSC Young Boys', 'clubID': '452', 'value': '€150k'}, {'date': '12/09/2014', 'age': '19', 'clubName': 'BSC Young Boys', 'clubID': '452', 'value': '€500k'}, {'date': '15/12/2014', 'age': '20', 'clubName': 'BSC Young Boys', 'clubID': '452', 'value': '€500k'}, {'date': '14/04/2015', 'age': '20', 'clubName': 'Grasshopper Club Zurich', 'clubID': '504', 'value': '€850k'}, {'date': '18/06/2015', 'age': '20', 'clubName': 'Grasshopper Club Zurich', 'clubID': '504', 'value': '€1.00m'}, {'date': '18/12/2015', 'age': '21', 'clubName': 'BSC Young Boys', 'clubID': '452', 'value': '€1.50m'}, {'date': '16/07/2016', 'age': '21', 'clubName': 'BSC Young Boys', 'clubID': '452', 'value': '€1.50m'}, {'date': '20/12/2016', 'age': '22', 'clubName': 'BSC Young Boys', 'clubID': '452', 'value': '€1.50m'}, {'date': '12/07/2017', 'age': '22', 'clubName': 'BSC Young Boys', 'clubID': '452', 'value': '€1.00m'}, {'date': '29/09/2017', 'age': '22', 'clubName': 'BSC Young Boys', 'clubID': '452', 'value': '€750k'}, {'date': '08/01/2018', 'age': '23', 'clubName': 'BSC Young Boys', 'clubID': '452', 'value': '€750k'}, {'date': '24/04/2018', 'age': '23', 'clubName': 'BSC Young Boys', 'clubID': '452', 'value': '€750k'}, {'date': '12/07/2018', 'age': '23', 'clubName': 'BSC Young Boys', 'clubID': '452', 'value': '€1.00m'}, {'date': '21/01/2019', 'age': '24', 'clubName': 'BSC Young Boys', 'clubID': '452', 'value': '€1.00m'}, {'date': '15/04/2019', 'age': '24', 'clubName': 'BSC Young Boys', 'clubID': '452', 'value': '€1.00m'}, {'date': '04/06/2019', 'age': '24', 'clubName': 'BSC Young Boys', 'clubID': '452', 'value': '€1.00m'}, {'date': '08/04/2020', 'age': '25', 'clubName': 'Perth Glory', 'clubID': '970', 'value': '€800k'}, {'date': '21/12/2020', 'age': '26', 'clubName': 'SK Sturm Graz', 'clubID': '122', 'value': '€1.00m'}, {'date': '02/06/2021', 'age': '26', 'clubName': 'SK Sturm Graz', 'clubID': '122', 'value': '€1.50m'}, {'date': '16/12/2021', 'age': '27', 'clubName': 'SK Sturm Graz', 'clubID': '122', 'value': '€1.50m'}, {'date': '27/05/2022', 'age': '27', 'clubName': 'SK Sturm Graz', 'clubID': '122', 'value': '€2.00m'}, {'date': '10/11/2022', 'age': '27', 'clubName': 'SK Sturm Graz', 'clubID': '122', 'value': '€3.00m'}, {'date': '12/06/2023', 'age': '28', 'clubName': 'SK Sturm Graz', 'clubID': '122', 'value': '€3.00m'}, {'date': '11/12/2023', 'age': '29', 'clubName': 'SK Sturm Graz', 'clubID': '122', 'value': '€3.00m'}, {'date': '21/05/2024', 'age': '29', 'clubName': 'SK Sturm Graz', 'clubID': '122', 'value': '€4.00m'}, {'date': '17/12/2024', 'age': '30', 'clubName': 'SK Sturm Graz', 'clubID': '122', 'value': '€4.00m'}, {'date': '17/03/2025', 'age': '30', 'clubName': 'SK Sturm Graz', 'clubID': '122', 'value': '€3.50m'}, {'date': '06/06/2025', 'age': '30', 'clubName': 'SK Sturm Graz', 'clubID': '122', 'value': '€3.50m'}, {'date': '02/10/2025', 'age': '30', 'clubName': 'BSC Young Boys', 'clubID': '452', 'value': '€3.00m'}, {'date': '29/12/2025', 'age': '31', 'clubName': 'BSC Young Boys', 'clubID': '452', 'value': '€2.50m'}, {'date': '17/03/2026', 'age': '31', 'clubName': 'BSC Young Boys', 'clubID': '452', 'value': '€2.00m'}]}</t>
  </si>
  <si>
    <t>1994-12-04</t>
  </si>
  <si>
    <t>Decarli</t>
  </si>
  <si>
    <t>{'marketValueHistory': [{'date': 'Jul 13, 2010', 'age': '18', 'clubName': 'FC Locarno', 'clubID': '2411', 'value': '€50k'}, {'date': 'Jan 17, 2011', 'age': '18', 'clubName': 'FC Locarno', 'clubID': '2411', 'value': '€100k'}, {'date': 'Jan 10, 2012', 'age': '19', 'clubName': 'FC Locarno', 'clubID': '2411', 'value': '€250k'}, {'date': 'Jun 21, 2012', 'age': '20', 'clubName': 'FC Locarno', 'clubID': '2411', 'value': '€350k'}, {'date': 'Jun 25, 2013', 'age': '21', 'clubName': 'AS Livorno', 'clubID': '1210', 'value': '€700k'}, {'date': 'Jan 7, 2014', 'age': '21', 'clubName': 'AS Livorno', 'clubID': '1210', 'value': '€600k'}, {'date': 'Jan 29, 2014', 'age': '21', 'clubName': 'AS Avellino 1912', 'clubID': '2331', 'value': '€400k'}, {'date': 'Jul 15, 2014', 'age': '22', 'clubName': 'Eintracht Braunschweig', 'clubID': '23', 'value': '€300k'}, {'date': 'Oct 1, 2014', 'age': '22', 'clubName': 'Eintracht Braunschweig', 'clubID': '23', 'value': '€600k'}, {'date': 'Jan 13, 2015', 'age': '22', 'clubName': 'Eintracht Braunschweig', 'clubID': '23', 'value': '€600k'}, {'date': 'Jul 1, 2015', 'age': '23', 'clubName': 'Eintracht Braunschweig', 'clubID': '23', 'value': '€800k'}, {'date': 'Feb 11, 2016', 'age': '24', 'clubName': 'Eintracht Braunschweig', 'clubID': '23', 'value': '€1.00m'}, {'date': 'Jul 22, 2016', 'age': '24', 'clubName': 'Eintracht Braunschweig', 'clubID': '23', 'value': '€1.30m'}, {'date': 'Jan 23, 2017', 'age': '24', 'clubName': 'Eintracht Braunschweig', 'clubID': '23', 'value': '€1.60m'}, {'date': 'Jun 27, 2017', 'age': '25', 'clubName': 'Eintracht Braunschweig', 'clubID': '23', 'value': '€1.75m'}, {'date': 'Jan 9, 2018', 'age': '25', 'clubName': 'Club Brugge KV', 'clubID': '2282', 'value': '€1.80m'}, {'date': 'Jun 3, 2018', 'age': '26', 'clubName': 'Club Brugge KV', 'clubID': '2282', 'value': '€1.80m'}, {'date': 'Dec 27, 2018', 'age': '26', 'clubName': 'Club Brugge KV', 'clubID': '2282', 'value': '€1.80m'}, {'date': 'Mar 4, 2019', 'age': '27', 'clubName': 'Club Brugge KV', 'clubID': '2282', 'value': '€1.50m'}, {'date': 'Jun 10, 2019', 'age': '27', 'clubName': 'Club Brugge KV', 'clubID': '2282', 'value': '€1.30m'}, {'date': 'Dec 13, 2019', 'age': '27', 'clubName': 'VfL Bochum', 'clubID': '80', 'value': '€1.00m'}, {'date': 'Apr 8, 2020', 'age': '28', 'clubName': 'VfL Bochum', 'clubID': '80', 'value': '€800k'}, {'date': 'Sep 10, 2020', 'age': '28', 'clubName': 'VfL Bochum', 'clubID': '80', 'value': '€650k'}, {'date': 'Feb 8, 2021', 'age': '29', 'clubName': 'VfL Bochum', 'clubID': '80', 'value': '€550k'}, {'date': 'Jun 16, 2021', 'age': '29', 'clubName': 'VfL Bochum', 'clubID': '80', 'value': '€550k'}, {'date': 'Dec 22, 2021', 'age': '29', 'clubName': 'VfL Bochum', 'clubID': '80', 'value': '€500k'}, {'date': 'Mar 24, 2022', 'age': '30', 'clubName': 'VfL Bochum', 'clubID': '80', 'value': '€300k'}, {'date': 'Jun 9, 2022', 'age': '30', 'clubName': 'VfL Bochum', 'clubID': '80', 'value': '€300k'}, {'date': 'Nov 30, 2022', 'age': '30', 'clubName': 'Eintracht Braunschweig', 'clubID': '23', 'value': '€300k'}, {'date': 'Jun 28, 2023', 'age': '31', 'clubName': 'Eintracht Braunschweig', 'clubID': '23', 'value': '€350k'}, {'date': 'Dec 15, 2023', 'age': '31', 'clubName': 'Eintracht Braunschweig', 'clubID': '23', 'value': '€350k'}, {'date': 'Jun 6, 2024', 'age': '32', 'clubName': 'Eintracht Braunschweig', 'clubID': '23', 'value': '€300k'}, {'date': 'Dec 23, 2024', 'age': '32', 'clubName': 'Grasshopper Club Zurich', 'clubID': '504', 'value': '€200k'}, {'date': 'Jun 10, 2025', 'age': '33', 'clubName': 'Grasshopper Club Zurich', 'clubID': '504', 'value': '€100k'}, {'date': 'Dec 29, 2025', 'age': '33', 'clubName': 'Grasshopper Club Zurich', 'clubID': '504', 'value': '€100k'}]}</t>
  </si>
  <si>
    <t>1992-02-04</t>
  </si>
  <si>
    <t>Kyrnats</t>
  </si>
  <si>
    <t>{'marketValueHistory': [{'date': '25/08/2015', 'age': '17', 'clubName': 'CSKA Moscow II', 'clubID': '11755', 'value': '€50k'}, {'date': '02/12/2016', 'age': '18', 'clubName': 'CSKA Moscow II', 'clubID': '11755', 'value': '€50k'}, {'date': '01/06/2017', 'age': '18', 'clubName': 'CSKA Moscow II', 'clubID': '11755', 'value': '€100k'}, {'date': '24/11/2017', 'age': '19', 'clubName': 'CSKA Moscow II', 'clubID': '11755', 'value': '€150k'}, {'date': '06/06/2018', 'age': '19', 'clubName': 'CSKA Moscow II', 'clubID': '11755', 'value': '€175k'}, {'date': '14/10/2018', 'age': '20', 'clubName': 'CSKA Moscow II', 'clubID': '11755', 'value': '€200k'}, {'date': '20/12/2018', 'age': '20', 'clubName': 'CSKA Moscow II', 'clubID': '11755', 'value': '€200k'}, {'date': '14/06/2019', 'age': '20', 'clubName': 'CSKA Moscow', 'clubID': '2410', 'value': '€200k'}, {'date': '23/12/2019', 'age': '21', 'clubName': 'SKA Khabarovsk', 'clubID': '3690', 'value': '€200k'}, {'date': '29/06/2020', 'age': '22', 'clubName': 'SKA Khabarovsk', 'clubID': '3690', 'value': '€200k'}, {'date': '29/12/2020', 'age': '22', 'clubName': 'SKA Khabarovsk', 'clubID': '3690', 'value': '€150k'}, {'date': '24/05/2021', 'age': '22', 'clubName': 'SKA Khabarovsk', 'clubID': '3690', 'value': '€100k'}, {'date': '03/12/2021', 'age': '23', 'clubName': 'SKA Khabarovsk 2', 'clubID': '3690', 'value': '€125k'}, {'date': '21/04/2022', 'age': '23', 'clubName': 'Medialiga (RU)', 'clubID': '112192', 'value': '€100k'}, {'date': '07/10/2022', 'age': '24', 'clubName': 'Medialiga (RU)', 'clubID': '112192', 'value': '-'}]}</t>
  </si>
  <si>
    <t>1998-06-22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</si>
</sst>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703"/>
  <sheetViews>
    <sheetView workbookViewId="0" tabSelected="1"/>
  </sheetViews>
  <sheetFormatPr defaultRowHeight="15" x14ac:dyDescent="0.25"/>
  <cols>
    <col min="1" max="1" style="8" width="13.576428571428572" customWidth="1" bestFit="1"/>
    <col min="2" max="2" style="8" width="13.576428571428572" customWidth="1" bestFit="1"/>
    <col min="3" max="3" style="8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10" width="13.576428571428572" customWidth="1" bestFit="1"/>
    <col min="10" max="10" style="9" width="13.576428571428572" customWidth="1" bestFit="1"/>
    <col min="11" max="11" style="8" width="13.576428571428572" customWidth="1" bestFit="1"/>
    <col min="12" max="12" style="8" width="13.576428571428572" customWidth="1" bestFit="1"/>
    <col min="13" max="13" style="8" width="13.576428571428572" customWidth="1" bestFit="1"/>
    <col min="14" max="14" style="8" width="13.576428571428572" customWidth="1" bestFit="1"/>
    <col min="15" max="15" style="8" width="13.576428571428572" customWidth="1" bestFit="1"/>
  </cols>
  <sheetData>
    <row x14ac:dyDescent="0.25" r="1" customHeight="1" ht="2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x14ac:dyDescent="0.25" r="2" customHeight="1" ht="18.75">
      <c r="A2" s="4" t="s">
        <v>15</v>
      </c>
      <c r="B2" s="4" t="s">
        <v>16</v>
      </c>
      <c r="C2" s="4" t="s">
        <v>17</v>
      </c>
      <c r="D2" s="5">
        <v>1170</v>
      </c>
      <c r="E2" s="5">
        <v>13</v>
      </c>
      <c r="F2" s="5">
        <v>0</v>
      </c>
      <c r="G2" s="5">
        <v>0</v>
      </c>
      <c r="H2" s="6">
        <v>64.4</v>
      </c>
      <c r="I2" s="6">
        <v>23.9</v>
      </c>
      <c r="J2" s="5">
        <v>105470</v>
      </c>
      <c r="K2" s="4" t="s">
        <v>18</v>
      </c>
      <c r="L2" s="4" t="s">
        <v>19</v>
      </c>
      <c r="M2" s="4" t="s">
        <v>20</v>
      </c>
      <c r="N2" s="7">
        <f>(80+90)/2</f>
      </c>
      <c r="O2" s="7">
        <f>(45+60+65)/3</f>
      </c>
    </row>
    <row x14ac:dyDescent="0.25" r="3" customHeight="1" ht="18.75">
      <c r="A3" s="4" t="s">
        <v>21</v>
      </c>
      <c r="B3" s="4" t="s">
        <v>16</v>
      </c>
      <c r="C3" s="4" t="s">
        <v>22</v>
      </c>
      <c r="D3" s="5">
        <v>1152</v>
      </c>
      <c r="E3" s="5">
        <v>13</v>
      </c>
      <c r="F3" s="5">
        <v>4</v>
      </c>
      <c r="G3" s="5">
        <v>1</v>
      </c>
      <c r="H3" s="6">
        <v>134.8</v>
      </c>
      <c r="I3" s="6">
        <v>32.2</v>
      </c>
      <c r="J3" s="5">
        <v>200512</v>
      </c>
      <c r="K3" s="4" t="s">
        <v>23</v>
      </c>
      <c r="L3" s="4" t="s">
        <v>24</v>
      </c>
      <c r="M3" s="4" t="s">
        <v>25</v>
      </c>
      <c r="N3" s="7">
        <f>(85+120+150)/3</f>
      </c>
      <c r="O3" s="7">
        <f>(60+70+75)/3</f>
      </c>
    </row>
    <row x14ac:dyDescent="0.25" r="4" customHeight="1" ht="18.75">
      <c r="A4" s="4" t="s">
        <v>26</v>
      </c>
      <c r="B4" s="4" t="s">
        <v>27</v>
      </c>
      <c r="C4" s="4" t="s">
        <v>22</v>
      </c>
      <c r="D4" s="5">
        <v>1080</v>
      </c>
      <c r="E4" s="5">
        <v>12</v>
      </c>
      <c r="F4" s="5">
        <v>6</v>
      </c>
      <c r="G4" s="5">
        <v>5</v>
      </c>
      <c r="H4" s="6">
        <v>140.7</v>
      </c>
      <c r="I4" s="6">
        <v>29.2</v>
      </c>
      <c r="J4" s="5">
        <v>36139</v>
      </c>
      <c r="K4" s="4" t="s">
        <v>28</v>
      </c>
      <c r="L4" s="4" t="s">
        <v>29</v>
      </c>
      <c r="M4" s="4" t="s">
        <v>30</v>
      </c>
      <c r="N4" s="7">
        <f>(20+25+25)/3</f>
      </c>
      <c r="O4" s="7">
        <f>(15+15+18)/3</f>
      </c>
    </row>
    <row x14ac:dyDescent="0.25" r="5" customHeight="1" ht="18.75">
      <c r="A5" s="4" t="s">
        <v>31</v>
      </c>
      <c r="B5" s="4" t="s">
        <v>16</v>
      </c>
      <c r="C5" s="4" t="s">
        <v>32</v>
      </c>
      <c r="D5" s="5">
        <v>1080</v>
      </c>
      <c r="E5" s="5">
        <v>12</v>
      </c>
      <c r="F5" s="5">
        <v>2</v>
      </c>
      <c r="G5" s="5">
        <v>1</v>
      </c>
      <c r="H5" s="6">
        <v>105.9</v>
      </c>
      <c r="I5" s="6">
        <v>32.4</v>
      </c>
      <c r="J5" s="5">
        <v>139208</v>
      </c>
      <c r="K5" s="4" t="s">
        <v>33</v>
      </c>
      <c r="L5" s="4" t="s">
        <v>34</v>
      </c>
      <c r="M5" s="4" t="s">
        <v>35</v>
      </c>
      <c r="N5" s="7">
        <f>(90+100+100)/3</f>
      </c>
      <c r="O5" s="7">
        <f>(50+50+60+75)/4</f>
      </c>
    </row>
    <row x14ac:dyDescent="0.25" r="6" customHeight="1" ht="18.75">
      <c r="A6" s="4" t="s">
        <v>36</v>
      </c>
      <c r="B6" s="4" t="s">
        <v>27</v>
      </c>
      <c r="C6" s="4" t="s">
        <v>32</v>
      </c>
      <c r="D6" s="5">
        <v>1080</v>
      </c>
      <c r="E6" s="5">
        <v>12</v>
      </c>
      <c r="F6" s="5">
        <v>0</v>
      </c>
      <c r="G6" s="5">
        <v>0</v>
      </c>
      <c r="H6" s="6">
        <v>123.3</v>
      </c>
      <c r="I6" s="6">
        <v>30.6</v>
      </c>
      <c r="J6" s="5">
        <v>12282</v>
      </c>
      <c r="K6" s="4" t="s">
        <v>37</v>
      </c>
      <c r="L6" s="4" t="s">
        <v>34</v>
      </c>
      <c r="M6" s="4" t="s">
        <v>38</v>
      </c>
      <c r="N6" s="7">
        <f>(24+25)/2</f>
      </c>
      <c r="O6" s="7">
        <f>(20+18+18)/3</f>
      </c>
    </row>
    <row x14ac:dyDescent="0.25" r="7" customHeight="1" ht="18.75">
      <c r="A7" s="4" t="s">
        <v>39</v>
      </c>
      <c r="B7" s="4" t="s">
        <v>40</v>
      </c>
      <c r="C7" s="4" t="s">
        <v>32</v>
      </c>
      <c r="D7" s="5">
        <v>1080</v>
      </c>
      <c r="E7" s="5">
        <v>12</v>
      </c>
      <c r="F7" s="5">
        <v>0</v>
      </c>
      <c r="G7" s="5">
        <v>0</v>
      </c>
      <c r="H7" s="6">
        <v>122.7</v>
      </c>
      <c r="I7" s="6">
        <v>29.7</v>
      </c>
      <c r="J7" s="5">
        <v>42710</v>
      </c>
      <c r="K7" s="4" t="s">
        <v>41</v>
      </c>
      <c r="L7" s="4" t="s">
        <v>42</v>
      </c>
      <c r="M7" s="4" t="s">
        <v>43</v>
      </c>
      <c r="N7" s="7">
        <f>(40+35)/2</f>
      </c>
      <c r="O7" s="7">
        <f>(35+40+40+40)/4</f>
      </c>
    </row>
    <row x14ac:dyDescent="0.25" r="8" customHeight="1" ht="18.75">
      <c r="A8" s="4" t="s">
        <v>44</v>
      </c>
      <c r="B8" s="4" t="s">
        <v>27</v>
      </c>
      <c r="C8" s="4" t="s">
        <v>17</v>
      </c>
      <c r="D8" s="5">
        <v>1080</v>
      </c>
      <c r="E8" s="5">
        <v>12</v>
      </c>
      <c r="F8" s="5">
        <v>0</v>
      </c>
      <c r="G8" s="5">
        <v>0</v>
      </c>
      <c r="H8" s="6">
        <v>47.4</v>
      </c>
      <c r="I8" s="6">
        <v>25.6</v>
      </c>
      <c r="J8" s="5">
        <v>485706</v>
      </c>
      <c r="K8" s="4" t="s">
        <v>45</v>
      </c>
      <c r="L8" s="4" t="s">
        <v>42</v>
      </c>
      <c r="M8" s="4" t="s">
        <v>46</v>
      </c>
      <c r="N8" s="4"/>
      <c r="O8" s="4"/>
    </row>
    <row x14ac:dyDescent="0.25" r="9" customHeight="1" ht="18.75">
      <c r="A9" s="4" t="s">
        <v>47</v>
      </c>
      <c r="B9" s="4" t="s">
        <v>16</v>
      </c>
      <c r="C9" s="4" t="s">
        <v>22</v>
      </c>
      <c r="D9" s="5">
        <v>1058</v>
      </c>
      <c r="E9" s="5">
        <v>12</v>
      </c>
      <c r="F9" s="5">
        <v>5</v>
      </c>
      <c r="G9" s="5">
        <v>2</v>
      </c>
      <c r="H9" s="6">
        <v>117.6</v>
      </c>
      <c r="I9" s="6">
        <v>32.8</v>
      </c>
      <c r="J9" s="5">
        <v>148455</v>
      </c>
      <c r="K9" s="4" t="s">
        <v>48</v>
      </c>
      <c r="L9" s="4" t="s">
        <v>49</v>
      </c>
      <c r="M9" s="4" t="s">
        <v>50</v>
      </c>
      <c r="N9" s="7">
        <f>(150+150)/2</f>
      </c>
      <c r="O9" s="7">
        <f>(80+150+150)/3</f>
      </c>
    </row>
    <row x14ac:dyDescent="0.25" r="10" customHeight="1" ht="18.75">
      <c r="A10" s="4" t="s">
        <v>51</v>
      </c>
      <c r="B10" s="4" t="s">
        <v>52</v>
      </c>
      <c r="C10" s="4" t="s">
        <v>53</v>
      </c>
      <c r="D10" s="5">
        <v>1035</v>
      </c>
      <c r="E10" s="5">
        <v>12</v>
      </c>
      <c r="F10" s="5">
        <v>0</v>
      </c>
      <c r="G10" s="5">
        <v>0</v>
      </c>
      <c r="H10" s="6">
        <v>124.2</v>
      </c>
      <c r="I10" s="6">
        <v>33.3</v>
      </c>
      <c r="J10" s="5">
        <v>65230</v>
      </c>
      <c r="K10" s="4" t="s">
        <v>54</v>
      </c>
      <c r="L10" s="4" t="s">
        <v>55</v>
      </c>
      <c r="M10" s="4" t="s">
        <v>56</v>
      </c>
      <c r="N10" s="7">
        <f>(50+35)/2</f>
      </c>
      <c r="O10" s="7">
        <f>(80+80+75)/3</f>
      </c>
    </row>
    <row x14ac:dyDescent="0.25" r="11" customHeight="1" ht="18.75">
      <c r="A11" s="4" t="s">
        <v>57</v>
      </c>
      <c r="B11" s="4" t="s">
        <v>52</v>
      </c>
      <c r="C11" s="4" t="s">
        <v>53</v>
      </c>
      <c r="D11" s="5">
        <v>1020</v>
      </c>
      <c r="E11" s="5">
        <v>12</v>
      </c>
      <c r="F11" s="5">
        <v>1</v>
      </c>
      <c r="G11" s="5">
        <v>2</v>
      </c>
      <c r="H11" s="6">
        <v>120.1</v>
      </c>
      <c r="I11" s="6">
        <v>29.7</v>
      </c>
      <c r="J11" s="5">
        <v>32467</v>
      </c>
      <c r="K11" s="4" t="s">
        <v>58</v>
      </c>
      <c r="L11" s="4" t="s">
        <v>59</v>
      </c>
      <c r="M11" s="4" t="s">
        <v>60</v>
      </c>
      <c r="N11" s="7">
        <f>(50+40+35+25)/4</f>
      </c>
      <c r="O11" s="7">
        <f>(45+50+50+70+65)/5</f>
      </c>
    </row>
    <row x14ac:dyDescent="0.25" r="12" customHeight="1" ht="18.75">
      <c r="A12" s="4" t="s">
        <v>61</v>
      </c>
      <c r="B12" s="4" t="s">
        <v>16</v>
      </c>
      <c r="C12" s="4" t="s">
        <v>32</v>
      </c>
      <c r="D12" s="5">
        <v>1008</v>
      </c>
      <c r="E12" s="5">
        <v>12</v>
      </c>
      <c r="F12" s="5">
        <v>0</v>
      </c>
      <c r="G12" s="5">
        <v>2</v>
      </c>
      <c r="H12" s="6">
        <v>113.5</v>
      </c>
      <c r="I12" s="6">
        <v>32.4</v>
      </c>
      <c r="J12" s="5">
        <v>234803</v>
      </c>
      <c r="K12" s="4" t="s">
        <v>62</v>
      </c>
      <c r="L12" s="4" t="s">
        <v>63</v>
      </c>
      <c r="M12" s="4" t="s">
        <v>64</v>
      </c>
      <c r="N12" s="7">
        <f>(50+60+80)/3</f>
      </c>
      <c r="O12" s="7">
        <f>(10+25+35+45)/4</f>
      </c>
    </row>
    <row x14ac:dyDescent="0.25" r="13" customHeight="1" ht="18.75">
      <c r="A13" s="4" t="s">
        <v>65</v>
      </c>
      <c r="B13" s="4" t="s">
        <v>40</v>
      </c>
      <c r="C13" s="4" t="s">
        <v>53</v>
      </c>
      <c r="D13" s="5">
        <v>1003</v>
      </c>
      <c r="E13" s="5">
        <v>12</v>
      </c>
      <c r="F13" s="5">
        <v>2</v>
      </c>
      <c r="G13" s="5">
        <v>3</v>
      </c>
      <c r="H13" s="6">
        <v>135.9</v>
      </c>
      <c r="I13" s="6">
        <v>32.2</v>
      </c>
      <c r="J13" s="5">
        <v>69633</v>
      </c>
      <c r="K13" s="4" t="s">
        <v>66</v>
      </c>
      <c r="L13" s="4" t="s">
        <v>67</v>
      </c>
      <c r="M13" s="4" t="s">
        <v>68</v>
      </c>
      <c r="N13" s="7">
        <f>(85+100+90)/3</f>
      </c>
      <c r="O13" s="7">
        <f>(70+80+80)/3</f>
      </c>
    </row>
    <row x14ac:dyDescent="0.25" r="14" customHeight="1" ht="18.75">
      <c r="A14" s="4" t="s">
        <v>69</v>
      </c>
      <c r="B14" s="4" t="s">
        <v>52</v>
      </c>
      <c r="C14" s="4" t="s">
        <v>32</v>
      </c>
      <c r="D14" s="5">
        <v>1000</v>
      </c>
      <c r="E14" s="5">
        <v>12</v>
      </c>
      <c r="F14" s="5">
        <v>0</v>
      </c>
      <c r="G14" s="5">
        <v>0</v>
      </c>
      <c r="H14" s="6">
        <v>108.3</v>
      </c>
      <c r="I14" s="6">
        <v>31.3</v>
      </c>
      <c r="J14" s="5">
        <v>182904</v>
      </c>
      <c r="K14" s="4" t="s">
        <v>70</v>
      </c>
      <c r="L14" s="4" t="s">
        <v>71</v>
      </c>
      <c r="M14" s="4" t="s">
        <v>72</v>
      </c>
      <c r="N14" s="7">
        <f>(50+60+60)/3</f>
      </c>
      <c r="O14" s="7">
        <f>(15+20+25+36+40+40)/6</f>
      </c>
    </row>
    <row x14ac:dyDescent="0.25" r="15" customHeight="1" ht="18.75">
      <c r="A15" s="4" t="s">
        <v>73</v>
      </c>
      <c r="B15" s="4" t="s">
        <v>27</v>
      </c>
      <c r="C15" s="4" t="s">
        <v>32</v>
      </c>
      <c r="D15" s="5">
        <v>990</v>
      </c>
      <c r="E15" s="5">
        <v>11</v>
      </c>
      <c r="F15" s="5">
        <v>2</v>
      </c>
      <c r="G15" s="5">
        <v>0</v>
      </c>
      <c r="H15" s="6">
        <v>110.5</v>
      </c>
      <c r="I15" s="6">
        <v>30.8</v>
      </c>
      <c r="J15" s="5">
        <v>326031</v>
      </c>
      <c r="K15" s="4" t="s">
        <v>74</v>
      </c>
      <c r="L15" s="4" t="s">
        <v>34</v>
      </c>
      <c r="M15" s="4" t="s">
        <v>75</v>
      </c>
      <c r="N15" s="7">
        <f>(70+75+75)/3</f>
      </c>
      <c r="O15" s="7">
        <f>(16+25+40+50+65)/5</f>
      </c>
    </row>
    <row x14ac:dyDescent="0.25" r="16" customHeight="1" ht="18.75">
      <c r="A16" s="4" t="s">
        <v>76</v>
      </c>
      <c r="B16" s="4" t="s">
        <v>52</v>
      </c>
      <c r="C16" s="4" t="s">
        <v>32</v>
      </c>
      <c r="D16" s="5">
        <v>990</v>
      </c>
      <c r="E16" s="5">
        <v>11</v>
      </c>
      <c r="F16" s="5">
        <v>2</v>
      </c>
      <c r="G16" s="5">
        <v>0</v>
      </c>
      <c r="H16" s="6">
        <v>103.6</v>
      </c>
      <c r="I16" s="6">
        <v>31.3</v>
      </c>
      <c r="J16" s="5">
        <v>18944</v>
      </c>
      <c r="K16" s="4" t="s">
        <v>77</v>
      </c>
      <c r="L16" s="4" t="s">
        <v>55</v>
      </c>
      <c r="M16" s="4" t="s">
        <v>78</v>
      </c>
      <c r="N16" s="7">
        <f>(35+25)/2</f>
      </c>
      <c r="O16" s="7">
        <f>(40+50+50+45+40)/5</f>
      </c>
    </row>
    <row x14ac:dyDescent="0.25" r="17" customHeight="1" ht="18.75">
      <c r="A17" s="4" t="s">
        <v>79</v>
      </c>
      <c r="B17" s="4" t="s">
        <v>52</v>
      </c>
      <c r="C17" s="4" t="s">
        <v>32</v>
      </c>
      <c r="D17" s="5">
        <v>990</v>
      </c>
      <c r="E17" s="5">
        <v>11</v>
      </c>
      <c r="F17" s="5">
        <v>1</v>
      </c>
      <c r="G17" s="5">
        <v>5</v>
      </c>
      <c r="H17" s="5">
        <v>119</v>
      </c>
      <c r="I17" s="6">
        <v>32.8</v>
      </c>
      <c r="J17" s="5">
        <v>69751</v>
      </c>
      <c r="K17" s="4" t="s">
        <v>80</v>
      </c>
      <c r="L17" s="4" t="s">
        <v>55</v>
      </c>
      <c r="M17" s="4" t="s">
        <v>81</v>
      </c>
      <c r="N17" s="7">
        <f>(50+50)/2</f>
      </c>
      <c r="O17" s="7">
        <f>(40+60+60+70+70)/5</f>
      </c>
    </row>
    <row x14ac:dyDescent="0.25" r="18" customHeight="1" ht="18.75">
      <c r="A18" s="4" t="s">
        <v>82</v>
      </c>
      <c r="B18" s="4" t="s">
        <v>52</v>
      </c>
      <c r="C18" s="4" t="s">
        <v>17</v>
      </c>
      <c r="D18" s="5">
        <v>990</v>
      </c>
      <c r="E18" s="5">
        <v>11</v>
      </c>
      <c r="F18" s="5">
        <v>0</v>
      </c>
      <c r="G18" s="5">
        <v>0</v>
      </c>
      <c r="H18" s="6">
        <v>40.9</v>
      </c>
      <c r="I18" s="6">
        <v>22.9</v>
      </c>
      <c r="J18" s="5">
        <v>74857</v>
      </c>
      <c r="K18" s="4" t="s">
        <v>83</v>
      </c>
      <c r="L18" s="4" t="s">
        <v>84</v>
      </c>
      <c r="M18" s="4" t="s">
        <v>85</v>
      </c>
      <c r="N18" s="7">
        <f>(90+90)/2</f>
      </c>
      <c r="O18" s="7">
        <f>(40+60+60+80+80)/5</f>
      </c>
    </row>
    <row x14ac:dyDescent="0.25" r="19" customHeight="1" ht="18.75">
      <c r="A19" s="4" t="s">
        <v>86</v>
      </c>
      <c r="B19" s="4" t="s">
        <v>27</v>
      </c>
      <c r="C19" s="4" t="s">
        <v>53</v>
      </c>
      <c r="D19" s="5">
        <v>986</v>
      </c>
      <c r="E19" s="5">
        <v>11</v>
      </c>
      <c r="F19" s="5">
        <v>0</v>
      </c>
      <c r="G19" s="5">
        <v>0</v>
      </c>
      <c r="H19" s="6">
        <v>123.4</v>
      </c>
      <c r="I19" s="6">
        <v>32.8</v>
      </c>
      <c r="J19" s="5">
        <v>129046</v>
      </c>
      <c r="K19" s="4" t="s">
        <v>87</v>
      </c>
      <c r="L19" s="4" t="s">
        <v>42</v>
      </c>
      <c r="M19" s="4" t="s">
        <v>88</v>
      </c>
      <c r="N19" s="4"/>
      <c r="O19" s="4"/>
    </row>
    <row x14ac:dyDescent="0.25" r="20" customHeight="1" ht="18.75">
      <c r="A20" s="4" t="s">
        <v>89</v>
      </c>
      <c r="B20" s="4" t="s">
        <v>27</v>
      </c>
      <c r="C20" s="4" t="s">
        <v>53</v>
      </c>
      <c r="D20" s="5">
        <v>985</v>
      </c>
      <c r="E20" s="5">
        <v>12</v>
      </c>
      <c r="F20" s="5">
        <v>3</v>
      </c>
      <c r="G20" s="5">
        <v>2</v>
      </c>
      <c r="H20" s="6">
        <v>130.4</v>
      </c>
      <c r="I20" s="6">
        <v>30.4</v>
      </c>
      <c r="J20" s="5">
        <v>288255</v>
      </c>
      <c r="K20" s="4" t="s">
        <v>90</v>
      </c>
      <c r="L20" s="4" t="s">
        <v>34</v>
      </c>
      <c r="M20" s="4" t="s">
        <v>91</v>
      </c>
      <c r="N20" s="7">
        <f>(25+40+50+55)/4</f>
      </c>
      <c r="O20" s="7">
        <f>(9+14+18+20)/4</f>
      </c>
    </row>
    <row x14ac:dyDescent="0.25" r="21" customHeight="1" ht="18.75">
      <c r="A21" s="4" t="s">
        <v>92</v>
      </c>
      <c r="B21" s="4" t="s">
        <v>27</v>
      </c>
      <c r="C21" s="4" t="s">
        <v>53</v>
      </c>
      <c r="D21" s="5">
        <v>985</v>
      </c>
      <c r="E21" s="5">
        <v>11</v>
      </c>
      <c r="F21" s="5">
        <v>3</v>
      </c>
      <c r="G21" s="5">
        <v>3</v>
      </c>
      <c r="H21" s="6">
        <v>115.7</v>
      </c>
      <c r="I21" s="6">
        <v>31.3</v>
      </c>
      <c r="J21" s="5">
        <v>217111</v>
      </c>
      <c r="K21" s="4" t="s">
        <v>93</v>
      </c>
      <c r="L21" s="4" t="s">
        <v>94</v>
      </c>
      <c r="M21" s="4" t="s">
        <v>95</v>
      </c>
      <c r="N21" s="7">
        <f>(40+50)/2</f>
      </c>
      <c r="O21" s="7">
        <f>(20+25+30+35)/4</f>
      </c>
    </row>
    <row x14ac:dyDescent="0.25" r="22" customHeight="1" ht="18.75">
      <c r="A22" s="4" t="s">
        <v>96</v>
      </c>
      <c r="B22" s="4" t="s">
        <v>40</v>
      </c>
      <c r="C22" s="4" t="s">
        <v>17</v>
      </c>
      <c r="D22" s="5">
        <v>979</v>
      </c>
      <c r="E22" s="5">
        <v>11</v>
      </c>
      <c r="F22" s="5">
        <v>0</v>
      </c>
      <c r="G22" s="5">
        <v>0</v>
      </c>
      <c r="H22" s="6">
        <v>51.1</v>
      </c>
      <c r="I22" s="6">
        <v>28.6</v>
      </c>
      <c r="J22" s="5">
        <v>17965</v>
      </c>
      <c r="K22" s="4" t="s">
        <v>97</v>
      </c>
      <c r="L22" s="4" t="s">
        <v>71</v>
      </c>
      <c r="M22" s="4" t="s">
        <v>98</v>
      </c>
      <c r="N22" s="7">
        <f>(25+18)/2</f>
      </c>
      <c r="O22" s="7">
        <f>(25+25+30+30)/4</f>
      </c>
    </row>
    <row x14ac:dyDescent="0.25" r="23" customHeight="1" ht="18.75">
      <c r="A23" s="4" t="s">
        <v>99</v>
      </c>
      <c r="B23" s="4" t="s">
        <v>16</v>
      </c>
      <c r="C23" s="4" t="s">
        <v>53</v>
      </c>
      <c r="D23" s="5">
        <v>971</v>
      </c>
      <c r="E23" s="5">
        <v>12</v>
      </c>
      <c r="F23" s="5">
        <v>2</v>
      </c>
      <c r="G23" s="5">
        <v>0</v>
      </c>
      <c r="H23" s="6">
        <v>117.8</v>
      </c>
      <c r="I23" s="6">
        <v>31.5</v>
      </c>
      <c r="J23" s="5">
        <v>49499</v>
      </c>
      <c r="K23" s="4" t="s">
        <v>100</v>
      </c>
      <c r="L23" s="4" t="s">
        <v>34</v>
      </c>
      <c r="M23" s="4" t="s">
        <v>101</v>
      </c>
      <c r="N23" s="7">
        <f>(50+50)/2</f>
      </c>
      <c r="O23" s="7">
        <f>(30+30+40+40)/4</f>
      </c>
    </row>
    <row x14ac:dyDescent="0.25" r="24" customHeight="1" ht="18.75">
      <c r="A24" s="4" t="s">
        <v>102</v>
      </c>
      <c r="B24" s="4" t="s">
        <v>103</v>
      </c>
      <c r="C24" s="4" t="s">
        <v>32</v>
      </c>
      <c r="D24" s="5">
        <v>930</v>
      </c>
      <c r="E24" s="5">
        <v>10</v>
      </c>
      <c r="F24" s="5">
        <v>1</v>
      </c>
      <c r="G24" s="5">
        <v>3</v>
      </c>
      <c r="H24" s="6">
        <v>102.6</v>
      </c>
      <c r="I24" s="6">
        <v>32.6</v>
      </c>
      <c r="J24" s="5">
        <v>255755</v>
      </c>
      <c r="K24" s="4" t="s">
        <v>104</v>
      </c>
      <c r="L24" s="4" t="s">
        <v>19</v>
      </c>
      <c r="M24" s="4" t="s">
        <v>105</v>
      </c>
      <c r="N24" s="7">
        <f>(30+35+40)/3</f>
      </c>
      <c r="O24" s="7">
        <f>(16+25)/2</f>
      </c>
    </row>
    <row x14ac:dyDescent="0.25" r="25" customHeight="1" ht="18.75">
      <c r="A25" s="4" t="s">
        <v>106</v>
      </c>
      <c r="B25" s="4" t="s">
        <v>103</v>
      </c>
      <c r="C25" s="4" t="s">
        <v>32</v>
      </c>
      <c r="D25" s="5">
        <v>930</v>
      </c>
      <c r="E25" s="5">
        <v>10</v>
      </c>
      <c r="F25" s="5">
        <v>1</v>
      </c>
      <c r="G25" s="5">
        <v>0</v>
      </c>
      <c r="H25" s="6">
        <v>96.9</v>
      </c>
      <c r="I25" s="6">
        <v>32.6</v>
      </c>
      <c r="J25" s="5">
        <v>159372</v>
      </c>
      <c r="K25" s="4" t="s">
        <v>107</v>
      </c>
      <c r="L25" s="4" t="s">
        <v>19</v>
      </c>
      <c r="M25" s="4" t="s">
        <v>108</v>
      </c>
      <c r="N25" s="7">
        <f>(40+40+45+45)/4</f>
      </c>
      <c r="O25" s="7">
        <f>(30+35+35)/3</f>
      </c>
    </row>
    <row x14ac:dyDescent="0.25" r="26" customHeight="1" ht="18.75">
      <c r="A26" s="4" t="s">
        <v>109</v>
      </c>
      <c r="B26" s="4" t="s">
        <v>103</v>
      </c>
      <c r="C26" s="4" t="s">
        <v>53</v>
      </c>
      <c r="D26" s="5">
        <v>930</v>
      </c>
      <c r="E26" s="5">
        <v>10</v>
      </c>
      <c r="F26" s="5">
        <v>0</v>
      </c>
      <c r="G26" s="5">
        <v>0</v>
      </c>
      <c r="H26" s="6">
        <v>107.3</v>
      </c>
      <c r="I26" s="5">
        <v>31</v>
      </c>
      <c r="J26" s="5">
        <v>145707</v>
      </c>
      <c r="K26" s="4" t="s">
        <v>110</v>
      </c>
      <c r="L26" s="4" t="s">
        <v>19</v>
      </c>
      <c r="M26" s="4" t="s">
        <v>111</v>
      </c>
      <c r="N26" s="7">
        <f>(20+20)/2</f>
      </c>
      <c r="O26" s="7">
        <f>(18+20+20)/3</f>
      </c>
    </row>
    <row x14ac:dyDescent="0.25" r="27" customHeight="1" ht="18.75">
      <c r="A27" s="4" t="s">
        <v>112</v>
      </c>
      <c r="B27" s="4" t="s">
        <v>103</v>
      </c>
      <c r="C27" s="4" t="s">
        <v>17</v>
      </c>
      <c r="D27" s="5">
        <v>930</v>
      </c>
      <c r="E27" s="5">
        <v>10</v>
      </c>
      <c r="F27" s="5">
        <v>0</v>
      </c>
      <c r="G27" s="5">
        <v>0</v>
      </c>
      <c r="H27" s="6">
        <v>36.9</v>
      </c>
      <c r="I27" s="6">
        <v>22.9</v>
      </c>
      <c r="J27" s="5">
        <v>3979</v>
      </c>
      <c r="K27" s="4" t="s">
        <v>113</v>
      </c>
      <c r="L27" s="4" t="s">
        <v>55</v>
      </c>
      <c r="M27" s="4" t="s">
        <v>114</v>
      </c>
      <c r="N27" s="7">
        <f>(1+1)/2</f>
      </c>
      <c r="O27" s="7">
        <f>(1+1)/2</f>
      </c>
    </row>
    <row x14ac:dyDescent="0.25" r="28" customHeight="1" ht="18.75">
      <c r="A28" s="4" t="s">
        <v>115</v>
      </c>
      <c r="B28" s="4" t="s">
        <v>16</v>
      </c>
      <c r="C28" s="4" t="s">
        <v>32</v>
      </c>
      <c r="D28" s="5">
        <v>921</v>
      </c>
      <c r="E28" s="5">
        <v>11</v>
      </c>
      <c r="F28" s="5">
        <v>0</v>
      </c>
      <c r="G28" s="5">
        <v>4</v>
      </c>
      <c r="H28" s="6">
        <v>103.5</v>
      </c>
      <c r="I28" s="6">
        <v>31.3</v>
      </c>
      <c r="J28" s="5">
        <v>314353</v>
      </c>
      <c r="K28" s="4" t="s">
        <v>116</v>
      </c>
      <c r="L28" s="4" t="s">
        <v>63</v>
      </c>
      <c r="M28" s="4" t="s">
        <v>117</v>
      </c>
      <c r="N28" s="7">
        <f>(50+80+110)/3</f>
      </c>
      <c r="O28" s="7">
        <f>(8+25+35+45)/4</f>
      </c>
    </row>
    <row x14ac:dyDescent="0.25" r="29" customHeight="1" ht="18.75">
      <c r="A29" s="4" t="s">
        <v>118</v>
      </c>
      <c r="B29" s="4" t="s">
        <v>40</v>
      </c>
      <c r="C29" s="4" t="s">
        <v>53</v>
      </c>
      <c r="D29" s="5">
        <v>906</v>
      </c>
      <c r="E29" s="5">
        <v>12</v>
      </c>
      <c r="F29" s="5">
        <v>4</v>
      </c>
      <c r="G29" s="5">
        <v>1</v>
      </c>
      <c r="H29" s="5">
        <v>102</v>
      </c>
      <c r="I29" s="6">
        <v>32.2</v>
      </c>
      <c r="J29" s="5">
        <v>91845</v>
      </c>
      <c r="K29" s="4" t="s">
        <v>119</v>
      </c>
      <c r="L29" s="4" t="s">
        <v>120</v>
      </c>
      <c r="M29" s="4" t="s">
        <v>121</v>
      </c>
      <c r="N29" s="7">
        <f>(65+80+80)/3</f>
      </c>
      <c r="O29" s="7">
        <f>(35+50+50)/3</f>
      </c>
    </row>
    <row x14ac:dyDescent="0.25" r="30" customHeight="1" ht="18.75">
      <c r="A30" s="4" t="s">
        <v>122</v>
      </c>
      <c r="B30" s="4" t="s">
        <v>16</v>
      </c>
      <c r="C30" s="4" t="s">
        <v>53</v>
      </c>
      <c r="D30" s="5">
        <v>901</v>
      </c>
      <c r="E30" s="5">
        <v>12</v>
      </c>
      <c r="F30" s="5">
        <v>2</v>
      </c>
      <c r="G30" s="5">
        <v>2</v>
      </c>
      <c r="H30" s="6">
        <v>121.7</v>
      </c>
      <c r="I30" s="6">
        <v>29.9</v>
      </c>
      <c r="J30" s="5">
        <v>3333</v>
      </c>
      <c r="K30" s="4" t="s">
        <v>123</v>
      </c>
      <c r="L30" s="4" t="s">
        <v>63</v>
      </c>
      <c r="M30" s="4" t="s">
        <v>124</v>
      </c>
      <c r="N30" s="7">
        <f>(15+12)/2</f>
      </c>
      <c r="O30" s="7">
        <f>(12+15+15)/3</f>
      </c>
    </row>
    <row x14ac:dyDescent="0.25" r="31" customHeight="1" ht="18.75">
      <c r="A31" s="4" t="s">
        <v>125</v>
      </c>
      <c r="B31" s="4" t="s">
        <v>27</v>
      </c>
      <c r="C31" s="4" t="s">
        <v>32</v>
      </c>
      <c r="D31" s="5">
        <v>900</v>
      </c>
      <c r="E31" s="5">
        <v>10</v>
      </c>
      <c r="F31" s="5">
        <v>3</v>
      </c>
      <c r="G31" s="5">
        <v>0</v>
      </c>
      <c r="H31" s="5">
        <v>105</v>
      </c>
      <c r="I31" s="6">
        <v>29.7</v>
      </c>
      <c r="J31" s="5">
        <v>131225</v>
      </c>
      <c r="K31" s="4" t="s">
        <v>126</v>
      </c>
      <c r="L31" s="4" t="s">
        <v>127</v>
      </c>
      <c r="M31" s="4" t="s">
        <v>128</v>
      </c>
      <c r="N31" s="7">
        <f>(25+28+35)/3</f>
      </c>
      <c r="O31" s="7">
        <f>(7+9+12+16+20)/5</f>
      </c>
    </row>
    <row x14ac:dyDescent="0.25" r="32" customHeight="1" ht="18.75">
      <c r="A32" s="4" t="s">
        <v>129</v>
      </c>
      <c r="B32" s="4" t="s">
        <v>52</v>
      </c>
      <c r="C32" s="4" t="s">
        <v>22</v>
      </c>
      <c r="D32" s="5">
        <v>900</v>
      </c>
      <c r="E32" s="5">
        <v>10</v>
      </c>
      <c r="F32" s="5">
        <v>1</v>
      </c>
      <c r="G32" s="5">
        <v>5</v>
      </c>
      <c r="H32" s="6">
        <v>93.4</v>
      </c>
      <c r="I32" s="5">
        <v>31</v>
      </c>
      <c r="J32" s="5">
        <v>44352</v>
      </c>
      <c r="K32" s="4" t="s">
        <v>130</v>
      </c>
      <c r="L32" s="4" t="s">
        <v>131</v>
      </c>
      <c r="M32" s="4" t="s">
        <v>132</v>
      </c>
      <c r="N32" s="7">
        <f>(50+40)/2</f>
      </c>
      <c r="O32" s="7">
        <f>(85+70+60)/3</f>
      </c>
    </row>
    <row x14ac:dyDescent="0.25" r="33" customHeight="1" ht="18.75">
      <c r="A33" s="4" t="s">
        <v>133</v>
      </c>
      <c r="B33" s="4" t="s">
        <v>134</v>
      </c>
      <c r="C33" s="4" t="s">
        <v>32</v>
      </c>
      <c r="D33" s="5">
        <v>900</v>
      </c>
      <c r="E33" s="5">
        <v>10</v>
      </c>
      <c r="F33" s="5">
        <v>0</v>
      </c>
      <c r="G33" s="5">
        <v>2</v>
      </c>
      <c r="H33" s="6">
        <v>94.2</v>
      </c>
      <c r="I33" s="6">
        <v>31.5</v>
      </c>
      <c r="J33" s="5">
        <v>39983</v>
      </c>
      <c r="K33" s="4" t="s">
        <v>135</v>
      </c>
      <c r="L33" s="4" t="s">
        <v>136</v>
      </c>
      <c r="M33" s="4" t="s">
        <v>137</v>
      </c>
      <c r="N33" s="7">
        <f>(28+25)/2</f>
      </c>
      <c r="O33" s="7">
        <f>(35+35)/2</f>
      </c>
    </row>
    <row x14ac:dyDescent="0.25" r="34" customHeight="1" ht="18.75">
      <c r="A34" s="4" t="s">
        <v>138</v>
      </c>
      <c r="B34" s="4" t="s">
        <v>139</v>
      </c>
      <c r="C34" s="4" t="s">
        <v>17</v>
      </c>
      <c r="D34" s="5">
        <v>900</v>
      </c>
      <c r="E34" s="5">
        <v>10</v>
      </c>
      <c r="F34" s="5">
        <v>0</v>
      </c>
      <c r="G34" s="5">
        <v>1</v>
      </c>
      <c r="H34" s="6">
        <v>36.3</v>
      </c>
      <c r="I34" s="6">
        <v>26.1</v>
      </c>
      <c r="J34" s="5">
        <v>238223</v>
      </c>
      <c r="K34" s="4" t="s">
        <v>140</v>
      </c>
      <c r="L34" s="4" t="s">
        <v>141</v>
      </c>
      <c r="M34" s="4" t="s">
        <v>142</v>
      </c>
      <c r="N34" s="7">
        <f>(70+70)/2</f>
      </c>
      <c r="O34" s="7">
        <f>(35+45+50+60+60)/5</f>
      </c>
    </row>
    <row x14ac:dyDescent="0.25" r="35" customHeight="1" ht="18.75">
      <c r="A35" s="4" t="s">
        <v>143</v>
      </c>
      <c r="B35" s="4" t="s">
        <v>134</v>
      </c>
      <c r="C35" s="4" t="s">
        <v>17</v>
      </c>
      <c r="D35" s="5">
        <v>900</v>
      </c>
      <c r="E35" s="5">
        <v>10</v>
      </c>
      <c r="F35" s="5">
        <v>0</v>
      </c>
      <c r="G35" s="5">
        <v>0</v>
      </c>
      <c r="H35" s="6">
        <v>44.3</v>
      </c>
      <c r="I35" s="6">
        <v>21.3</v>
      </c>
      <c r="J35" s="5">
        <v>44058</v>
      </c>
      <c r="K35" s="4" t="s">
        <v>144</v>
      </c>
      <c r="L35" s="4" t="s">
        <v>145</v>
      </c>
      <c r="M35" s="4" t="s">
        <v>146</v>
      </c>
      <c r="N35" s="7">
        <f>(35+40)/2</f>
      </c>
      <c r="O35" s="7">
        <f>(20+20+30)/3</f>
      </c>
    </row>
    <row x14ac:dyDescent="0.25" r="36" customHeight="1" ht="18.75">
      <c r="A36" s="4" t="s">
        <v>147</v>
      </c>
      <c r="B36" s="4" t="s">
        <v>27</v>
      </c>
      <c r="C36" s="4" t="s">
        <v>53</v>
      </c>
      <c r="D36" s="5">
        <v>886</v>
      </c>
      <c r="E36" s="5">
        <v>11</v>
      </c>
      <c r="F36" s="5">
        <v>1</v>
      </c>
      <c r="G36" s="5">
        <v>2</v>
      </c>
      <c r="H36" s="6">
        <v>107.1</v>
      </c>
      <c r="I36" s="6">
        <v>30.8</v>
      </c>
      <c r="J36" s="5">
        <v>34784</v>
      </c>
      <c r="K36" s="4" t="s">
        <v>148</v>
      </c>
      <c r="L36" s="4" t="s">
        <v>67</v>
      </c>
      <c r="M36" s="4" t="s">
        <v>149</v>
      </c>
      <c r="N36" s="7">
        <f>(3+2.5)/2</f>
      </c>
      <c r="O36" s="7">
        <f>(3.5+3+3)/3</f>
      </c>
    </row>
    <row x14ac:dyDescent="0.25" r="37" customHeight="1" ht="18.75">
      <c r="A37" s="4" t="s">
        <v>150</v>
      </c>
      <c r="B37" s="4" t="s">
        <v>139</v>
      </c>
      <c r="C37" s="4" t="s">
        <v>32</v>
      </c>
      <c r="D37" s="5">
        <v>882</v>
      </c>
      <c r="E37" s="5">
        <v>10</v>
      </c>
      <c r="F37" s="5">
        <v>2</v>
      </c>
      <c r="G37" s="5">
        <v>0</v>
      </c>
      <c r="H37" s="6">
        <v>100.7</v>
      </c>
      <c r="I37" s="6">
        <v>32.6</v>
      </c>
      <c r="J37" s="5">
        <v>176553</v>
      </c>
      <c r="K37" s="4" t="s">
        <v>151</v>
      </c>
      <c r="L37" s="4" t="s">
        <v>55</v>
      </c>
      <c r="M37" s="4" t="s">
        <v>152</v>
      </c>
      <c r="N37" s="7">
        <f>(75+75)/2</f>
      </c>
      <c r="O37" s="7">
        <f>(25+50+50+60)/4</f>
      </c>
    </row>
    <row x14ac:dyDescent="0.25" r="38" customHeight="1" ht="18.75">
      <c r="A38" s="4" t="s">
        <v>153</v>
      </c>
      <c r="B38" s="4" t="s">
        <v>139</v>
      </c>
      <c r="C38" s="4" t="s">
        <v>53</v>
      </c>
      <c r="D38" s="5">
        <v>871</v>
      </c>
      <c r="E38" s="5">
        <v>10</v>
      </c>
      <c r="F38" s="5">
        <v>5</v>
      </c>
      <c r="G38" s="5">
        <v>2</v>
      </c>
      <c r="H38" s="6">
        <v>99.5</v>
      </c>
      <c r="I38" s="6">
        <v>31.7</v>
      </c>
      <c r="J38" s="5">
        <v>134425</v>
      </c>
      <c r="K38" s="4" t="s">
        <v>154</v>
      </c>
      <c r="L38" s="4" t="s">
        <v>63</v>
      </c>
      <c r="M38" s="4" t="s">
        <v>155</v>
      </c>
      <c r="N38" s="7">
        <f>(140+160)/2</f>
      </c>
      <c r="O38" s="7">
        <f>(80+90+120)/3</f>
      </c>
    </row>
    <row x14ac:dyDescent="0.25" r="39" customHeight="1" ht="18.75">
      <c r="A39" s="4" t="s">
        <v>156</v>
      </c>
      <c r="B39" s="4" t="s">
        <v>52</v>
      </c>
      <c r="C39" s="4" t="s">
        <v>22</v>
      </c>
      <c r="D39" s="5">
        <v>860</v>
      </c>
      <c r="E39" s="5">
        <v>12</v>
      </c>
      <c r="F39" s="5">
        <v>3</v>
      </c>
      <c r="G39" s="5">
        <v>2</v>
      </c>
      <c r="H39" s="6">
        <v>99.8</v>
      </c>
      <c r="I39" s="5">
        <v>31</v>
      </c>
      <c r="J39" s="5">
        <v>80444</v>
      </c>
      <c r="K39" s="4" t="s">
        <v>157</v>
      </c>
      <c r="L39" s="4" t="s">
        <v>55</v>
      </c>
      <c r="M39" s="4" t="s">
        <v>158</v>
      </c>
      <c r="N39" s="7">
        <f>(100+90+70)/3</f>
      </c>
      <c r="O39" s="7">
        <f>(90+100+100+120+150+140)/6</f>
      </c>
    </row>
    <row x14ac:dyDescent="0.25" r="40" customHeight="1" ht="18.75">
      <c r="A40" s="4" t="s">
        <v>159</v>
      </c>
      <c r="B40" s="4" t="s">
        <v>27</v>
      </c>
      <c r="C40" s="4" t="s">
        <v>22</v>
      </c>
      <c r="D40" s="5">
        <v>852</v>
      </c>
      <c r="E40" s="5">
        <v>11</v>
      </c>
      <c r="F40" s="5">
        <v>2</v>
      </c>
      <c r="G40" s="5">
        <v>2</v>
      </c>
      <c r="H40" s="6">
        <v>97.1</v>
      </c>
      <c r="I40" s="6">
        <v>32.6</v>
      </c>
      <c r="J40" s="5">
        <v>469822</v>
      </c>
      <c r="K40" s="4" t="s">
        <v>160</v>
      </c>
      <c r="L40" s="4" t="s">
        <v>19</v>
      </c>
      <c r="M40" s="4" t="s">
        <v>161</v>
      </c>
      <c r="N40" s="7">
        <f>(32+45+45)/3</f>
      </c>
      <c r="O40" s="7">
        <f>(15+20+25+25)/4</f>
      </c>
    </row>
    <row x14ac:dyDescent="0.25" r="41" customHeight="1" ht="18.75">
      <c r="A41" s="4" t="s">
        <v>162</v>
      </c>
      <c r="B41" s="4" t="s">
        <v>40</v>
      </c>
      <c r="C41" s="4" t="s">
        <v>32</v>
      </c>
      <c r="D41" s="5">
        <v>849</v>
      </c>
      <c r="E41" s="5">
        <v>10</v>
      </c>
      <c r="F41" s="5">
        <v>1</v>
      </c>
      <c r="G41" s="5">
        <v>1</v>
      </c>
      <c r="H41" s="6">
        <v>92.3</v>
      </c>
      <c r="I41" s="5">
        <v>32</v>
      </c>
      <c r="J41" s="5">
        <v>43250</v>
      </c>
      <c r="K41" s="4" t="s">
        <v>163</v>
      </c>
      <c r="L41" s="4" t="s">
        <v>42</v>
      </c>
      <c r="M41" s="4" t="s">
        <v>164</v>
      </c>
      <c r="N41" s="7">
        <f>(28+22+18)/3</f>
      </c>
      <c r="O41" s="7">
        <f>(28+32+32+30)/4</f>
      </c>
    </row>
    <row x14ac:dyDescent="0.25" r="42" customHeight="1" ht="18.75">
      <c r="A42" s="4" t="s">
        <v>165</v>
      </c>
      <c r="B42" s="4" t="s">
        <v>103</v>
      </c>
      <c r="C42" s="4" t="s">
        <v>22</v>
      </c>
      <c r="D42" s="5">
        <v>840</v>
      </c>
      <c r="E42" s="5">
        <v>9</v>
      </c>
      <c r="F42" s="5">
        <v>6</v>
      </c>
      <c r="G42" s="5">
        <v>2</v>
      </c>
      <c r="H42" s="5">
        <v>95</v>
      </c>
      <c r="I42" s="5">
        <v>32</v>
      </c>
      <c r="J42" s="5">
        <v>283130</v>
      </c>
      <c r="K42" s="4" t="s">
        <v>166</v>
      </c>
      <c r="L42" s="4" t="s">
        <v>167</v>
      </c>
      <c r="M42" s="4" t="s">
        <v>168</v>
      </c>
      <c r="N42" s="7">
        <f>(26+30+30+24)/4</f>
      </c>
      <c r="O42" s="7">
        <f>(12+19+25)/3</f>
      </c>
    </row>
    <row x14ac:dyDescent="0.25" r="43" customHeight="1" ht="18.75">
      <c r="A43" s="4" t="s">
        <v>169</v>
      </c>
      <c r="B43" s="4" t="s">
        <v>52</v>
      </c>
      <c r="C43" s="4" t="s">
        <v>22</v>
      </c>
      <c r="D43" s="5">
        <v>837</v>
      </c>
      <c r="E43" s="5">
        <v>10</v>
      </c>
      <c r="F43" s="5">
        <v>12</v>
      </c>
      <c r="G43" s="5">
        <v>3</v>
      </c>
      <c r="H43" s="6">
        <v>74.9</v>
      </c>
      <c r="I43" s="6">
        <v>30.6</v>
      </c>
      <c r="J43" s="5">
        <v>28003</v>
      </c>
      <c r="K43" s="4" t="s">
        <v>170</v>
      </c>
      <c r="L43" s="4" t="s">
        <v>55</v>
      </c>
      <c r="M43" s="4" t="s">
        <v>171</v>
      </c>
      <c r="N43" s="7">
        <f>(150+140)/2</f>
      </c>
      <c r="O43" s="7">
        <f>(180+180+160)/3</f>
      </c>
    </row>
    <row x14ac:dyDescent="0.25" r="44" customHeight="1" ht="18.75">
      <c r="A44" s="4" t="s">
        <v>172</v>
      </c>
      <c r="B44" s="4" t="s">
        <v>103</v>
      </c>
      <c r="C44" s="4" t="s">
        <v>53</v>
      </c>
      <c r="D44" s="5">
        <v>834</v>
      </c>
      <c r="E44" s="5">
        <v>9</v>
      </c>
      <c r="F44" s="5">
        <v>2</v>
      </c>
      <c r="G44" s="5">
        <v>1</v>
      </c>
      <c r="H44" s="6">
        <v>106.1</v>
      </c>
      <c r="I44" s="6">
        <v>28.6</v>
      </c>
      <c r="J44" s="5">
        <v>99343</v>
      </c>
      <c r="K44" s="4" t="s">
        <v>173</v>
      </c>
      <c r="L44" s="4" t="s">
        <v>55</v>
      </c>
      <c r="M44" s="4" t="s">
        <v>174</v>
      </c>
      <c r="N44" s="7">
        <f>(25+20)/2</f>
      </c>
      <c r="O44" s="7">
        <f>(30+30+28)/3</f>
      </c>
    </row>
    <row x14ac:dyDescent="0.25" r="45" customHeight="1" ht="18.75">
      <c r="A45" s="4" t="s">
        <v>175</v>
      </c>
      <c r="B45" s="4" t="s">
        <v>27</v>
      </c>
      <c r="C45" s="4" t="s">
        <v>32</v>
      </c>
      <c r="D45" s="5">
        <v>827</v>
      </c>
      <c r="E45" s="5">
        <v>11</v>
      </c>
      <c r="F45" s="5">
        <v>2</v>
      </c>
      <c r="G45" s="5">
        <v>0</v>
      </c>
      <c r="H45" s="6">
        <v>93.5</v>
      </c>
      <c r="I45" s="6">
        <v>30.4</v>
      </c>
      <c r="J45" s="5">
        <v>340456</v>
      </c>
      <c r="K45" s="4" t="s">
        <v>176</v>
      </c>
      <c r="L45" s="4" t="s">
        <v>94</v>
      </c>
      <c r="M45" s="4" t="s">
        <v>177</v>
      </c>
      <c r="N45" s="7">
        <f>(18+15+15)/3</f>
      </c>
      <c r="O45" s="7">
        <f>(0.6+1.5+6+12)/4</f>
      </c>
    </row>
    <row x14ac:dyDescent="0.25" r="46" customHeight="1" ht="18.75">
      <c r="A46" s="4" t="s">
        <v>178</v>
      </c>
      <c r="B46" s="4" t="s">
        <v>103</v>
      </c>
      <c r="C46" s="4" t="s">
        <v>32</v>
      </c>
      <c r="D46" s="5">
        <v>823</v>
      </c>
      <c r="E46" s="5">
        <v>9</v>
      </c>
      <c r="F46" s="5">
        <v>2</v>
      </c>
      <c r="G46" s="5">
        <v>0</v>
      </c>
      <c r="H46" s="6">
        <v>87.6</v>
      </c>
      <c r="I46" s="6">
        <v>33.3</v>
      </c>
      <c r="J46" s="5">
        <v>401530</v>
      </c>
      <c r="K46" s="4" t="s">
        <v>179</v>
      </c>
      <c r="L46" s="4" t="s">
        <v>19</v>
      </c>
      <c r="M46" s="4" t="s">
        <v>180</v>
      </c>
      <c r="N46" s="7">
        <f>(35+50+50+45)/4</f>
      </c>
      <c r="O46" s="7">
        <f>(8+20)/2</f>
      </c>
    </row>
    <row x14ac:dyDescent="0.25" r="47" customHeight="1" ht="18.75">
      <c r="A47" s="4" t="s">
        <v>181</v>
      </c>
      <c r="B47" s="4" t="s">
        <v>134</v>
      </c>
      <c r="C47" s="4" t="s">
        <v>53</v>
      </c>
      <c r="D47" s="5">
        <v>813</v>
      </c>
      <c r="E47" s="5">
        <v>10</v>
      </c>
      <c r="F47" s="5">
        <v>2</v>
      </c>
      <c r="G47" s="5">
        <v>1</v>
      </c>
      <c r="H47" s="6">
        <v>108.4</v>
      </c>
      <c r="I47" s="6">
        <v>28.8</v>
      </c>
      <c r="J47" s="5">
        <v>44162</v>
      </c>
      <c r="K47" s="4" t="s">
        <v>182</v>
      </c>
      <c r="L47" s="4" t="s">
        <v>183</v>
      </c>
      <c r="M47" s="4" t="s">
        <v>184</v>
      </c>
      <c r="N47" s="7">
        <f>(70+70)/2</f>
      </c>
      <c r="O47" s="7">
        <f>(65+65+70+70)/4</f>
      </c>
    </row>
    <row x14ac:dyDescent="0.25" r="48" customHeight="1" ht="18.75">
      <c r="A48" s="4" t="s">
        <v>185</v>
      </c>
      <c r="B48" s="4" t="s">
        <v>186</v>
      </c>
      <c r="C48" s="4" t="s">
        <v>17</v>
      </c>
      <c r="D48" s="5">
        <v>810</v>
      </c>
      <c r="E48" s="5">
        <v>9</v>
      </c>
      <c r="F48" s="5">
        <v>0</v>
      </c>
      <c r="G48" s="5">
        <v>0</v>
      </c>
      <c r="H48" s="6">
        <v>30.4</v>
      </c>
      <c r="I48" s="6">
        <v>18.3</v>
      </c>
      <c r="J48" s="5">
        <v>59377</v>
      </c>
      <c r="K48" s="4" t="s">
        <v>187</v>
      </c>
      <c r="L48" s="4" t="s">
        <v>55</v>
      </c>
      <c r="M48" s="4" t="s">
        <v>188</v>
      </c>
      <c r="N48" s="7">
        <f>(65+60)/2</f>
      </c>
      <c r="O48" s="7">
        <f>(50+60+70+70)/4</f>
      </c>
    </row>
    <row x14ac:dyDescent="0.25" r="49" customHeight="1" ht="18.75">
      <c r="A49" s="4" t="s">
        <v>189</v>
      </c>
      <c r="B49" s="4" t="s">
        <v>16</v>
      </c>
      <c r="C49" s="4" t="s">
        <v>53</v>
      </c>
      <c r="D49" s="5">
        <v>799</v>
      </c>
      <c r="E49" s="5">
        <v>11</v>
      </c>
      <c r="F49" s="5">
        <v>0</v>
      </c>
      <c r="G49" s="5">
        <v>2</v>
      </c>
      <c r="H49" s="6">
        <v>101.8</v>
      </c>
      <c r="I49" s="6">
        <v>30.6</v>
      </c>
      <c r="J49" s="5">
        <v>61651</v>
      </c>
      <c r="K49" s="4" t="s">
        <v>190</v>
      </c>
      <c r="L49" s="4" t="s">
        <v>63</v>
      </c>
      <c r="M49" s="4" t="s">
        <v>191</v>
      </c>
      <c r="N49" s="7">
        <f>(35+35)/2</f>
      </c>
      <c r="O49" s="7">
        <f>(25+25+28+28)/4</f>
      </c>
    </row>
    <row x14ac:dyDescent="0.25" r="50" customHeight="1" ht="18.75">
      <c r="A50" s="4" t="s">
        <v>192</v>
      </c>
      <c r="B50" s="4" t="s">
        <v>40</v>
      </c>
      <c r="C50" s="4" t="s">
        <v>22</v>
      </c>
      <c r="D50" s="5">
        <v>778</v>
      </c>
      <c r="E50" s="5">
        <v>9</v>
      </c>
      <c r="F50" s="5">
        <v>5</v>
      </c>
      <c r="G50" s="5">
        <v>1</v>
      </c>
      <c r="H50" s="6">
        <v>88.3</v>
      </c>
      <c r="I50" s="5">
        <v>29</v>
      </c>
      <c r="J50" s="5">
        <v>132098</v>
      </c>
      <c r="K50" s="4" t="s">
        <v>193</v>
      </c>
      <c r="L50" s="4" t="s">
        <v>63</v>
      </c>
      <c r="M50" s="4" t="s">
        <v>194</v>
      </c>
      <c r="N50" s="7">
        <f>(150+150)/2</f>
      </c>
      <c r="O50" s="7">
        <f>(120+150+150)/3</f>
      </c>
    </row>
    <row x14ac:dyDescent="0.25" r="51" customHeight="1" ht="18.75">
      <c r="A51" s="4" t="s">
        <v>195</v>
      </c>
      <c r="B51" s="4" t="s">
        <v>16</v>
      </c>
      <c r="C51" s="4" t="s">
        <v>22</v>
      </c>
      <c r="D51" s="5">
        <v>749</v>
      </c>
      <c r="E51" s="5">
        <v>12</v>
      </c>
      <c r="F51" s="5">
        <v>4</v>
      </c>
      <c r="G51" s="5">
        <v>1</v>
      </c>
      <c r="H51" s="6">
        <v>95.6</v>
      </c>
      <c r="I51" s="6">
        <v>31.7</v>
      </c>
      <c r="J51" s="5">
        <v>131789</v>
      </c>
      <c r="K51" s="4" t="s">
        <v>196</v>
      </c>
      <c r="L51" s="4" t="s">
        <v>19</v>
      </c>
      <c r="M51" s="4" t="s">
        <v>197</v>
      </c>
      <c r="N51" s="7">
        <f>(80+90)/2</f>
      </c>
      <c r="O51" s="7">
        <f>(50+80+80)/3</f>
      </c>
    </row>
    <row x14ac:dyDescent="0.25" r="52" customHeight="1" ht="18.75">
      <c r="A52" s="4" t="s">
        <v>198</v>
      </c>
      <c r="B52" s="4" t="s">
        <v>134</v>
      </c>
      <c r="C52" s="4" t="s">
        <v>22</v>
      </c>
      <c r="D52" s="5">
        <v>749</v>
      </c>
      <c r="E52" s="5">
        <v>9</v>
      </c>
      <c r="F52" s="5">
        <v>6</v>
      </c>
      <c r="G52" s="5">
        <v>2</v>
      </c>
      <c r="H52" s="6">
        <v>78.1</v>
      </c>
      <c r="I52" s="6">
        <v>30.6</v>
      </c>
      <c r="J52" s="5">
        <v>8198</v>
      </c>
      <c r="K52" s="4" t="s">
        <v>199</v>
      </c>
      <c r="L52" s="4" t="s">
        <v>141</v>
      </c>
      <c r="M52" s="4" t="s">
        <v>200</v>
      </c>
      <c r="N52" s="7">
        <f>(90+75)/2</f>
      </c>
      <c r="O52" s="7">
        <f>(120+100+100)/3</f>
      </c>
    </row>
    <row x14ac:dyDescent="0.25" r="53" customHeight="1" ht="18.75">
      <c r="A53" s="4" t="s">
        <v>201</v>
      </c>
      <c r="B53" s="4" t="s">
        <v>139</v>
      </c>
      <c r="C53" s="4" t="s">
        <v>32</v>
      </c>
      <c r="D53" s="5">
        <v>746</v>
      </c>
      <c r="E53" s="5">
        <v>10</v>
      </c>
      <c r="F53" s="5">
        <v>0</v>
      </c>
      <c r="G53" s="5">
        <v>0</v>
      </c>
      <c r="H53" s="6">
        <v>83.9</v>
      </c>
      <c r="I53" s="6">
        <v>34.2</v>
      </c>
      <c r="J53" s="5">
        <v>95424</v>
      </c>
      <c r="K53" s="4" t="s">
        <v>202</v>
      </c>
      <c r="L53" s="4" t="s">
        <v>63</v>
      </c>
      <c r="M53" s="4" t="s">
        <v>203</v>
      </c>
      <c r="N53" s="7">
        <f>(50+50)/2</f>
      </c>
      <c r="O53" s="7">
        <f>(40+50+50+50)/4</f>
      </c>
    </row>
    <row x14ac:dyDescent="0.25" r="54" customHeight="1" ht="18.75">
      <c r="A54" s="4" t="s">
        <v>204</v>
      </c>
      <c r="B54" s="4" t="s">
        <v>134</v>
      </c>
      <c r="C54" s="4" t="s">
        <v>32</v>
      </c>
      <c r="D54" s="5">
        <v>742</v>
      </c>
      <c r="E54" s="5">
        <v>9</v>
      </c>
      <c r="F54" s="5">
        <v>0</v>
      </c>
      <c r="G54" s="5">
        <v>0</v>
      </c>
      <c r="H54" s="5">
        <v>89</v>
      </c>
      <c r="I54" s="6">
        <v>31.3</v>
      </c>
      <c r="J54" s="5">
        <v>79960</v>
      </c>
      <c r="K54" s="4" t="s">
        <v>205</v>
      </c>
      <c r="L54" s="4" t="s">
        <v>19</v>
      </c>
      <c r="M54" s="4" t="s">
        <v>206</v>
      </c>
      <c r="N54" s="7">
        <f>(45+50)/2</f>
      </c>
      <c r="O54" s="7">
        <f>(50+45+50)/3</f>
      </c>
    </row>
    <row x14ac:dyDescent="0.25" r="55" customHeight="1" ht="18.75">
      <c r="A55" s="4" t="s">
        <v>207</v>
      </c>
      <c r="B55" s="4" t="s">
        <v>40</v>
      </c>
      <c r="C55" s="4" t="s">
        <v>53</v>
      </c>
      <c r="D55" s="5">
        <v>730</v>
      </c>
      <c r="E55" s="5">
        <v>10</v>
      </c>
      <c r="F55" s="5">
        <v>0</v>
      </c>
      <c r="G55" s="5">
        <v>1</v>
      </c>
      <c r="H55" s="6">
        <v>85.7</v>
      </c>
      <c r="I55" s="6">
        <v>31.5</v>
      </c>
      <c r="J55" s="5">
        <v>6119</v>
      </c>
      <c r="K55" s="4" t="s">
        <v>208</v>
      </c>
      <c r="L55" s="4" t="s">
        <v>71</v>
      </c>
      <c r="M55" s="4" t="s">
        <v>209</v>
      </c>
      <c r="N55" s="7">
        <f>0.3</f>
      </c>
      <c r="O55" s="7">
        <f>0.4</f>
      </c>
    </row>
    <row x14ac:dyDescent="0.25" r="56" customHeight="1" ht="18.75">
      <c r="A56" s="4" t="s">
        <v>210</v>
      </c>
      <c r="B56" s="4" t="s">
        <v>186</v>
      </c>
      <c r="C56" s="4" t="s">
        <v>53</v>
      </c>
      <c r="D56" s="5">
        <v>729</v>
      </c>
      <c r="E56" s="5">
        <v>9</v>
      </c>
      <c r="F56" s="5">
        <v>2</v>
      </c>
      <c r="G56" s="5">
        <v>1</v>
      </c>
      <c r="H56" s="6">
        <v>85.1</v>
      </c>
      <c r="I56" s="6">
        <v>31.7</v>
      </c>
      <c r="J56" s="5">
        <v>122153</v>
      </c>
      <c r="K56" s="4" t="s">
        <v>211</v>
      </c>
      <c r="L56" s="4" t="s">
        <v>71</v>
      </c>
      <c r="M56" s="4" t="s">
        <v>212</v>
      </c>
      <c r="N56" s="7">
        <f>(90+100+100)/3</f>
      </c>
      <c r="O56" s="7">
        <f>(90+90+80)/3</f>
      </c>
    </row>
    <row x14ac:dyDescent="0.25" r="57" customHeight="1" ht="18.75">
      <c r="A57" s="4" t="s">
        <v>213</v>
      </c>
      <c r="B57" s="4" t="s">
        <v>16</v>
      </c>
      <c r="C57" s="4" t="s">
        <v>53</v>
      </c>
      <c r="D57" s="5">
        <v>727</v>
      </c>
      <c r="E57" s="5">
        <v>11</v>
      </c>
      <c r="F57" s="5">
        <v>0</v>
      </c>
      <c r="G57" s="5">
        <v>0</v>
      </c>
      <c r="H57" s="5">
        <v>89</v>
      </c>
      <c r="I57" s="6">
        <v>29.9</v>
      </c>
      <c r="J57" s="5">
        <v>225693</v>
      </c>
      <c r="K57" s="4" t="s">
        <v>214</v>
      </c>
      <c r="L57" s="4" t="s">
        <v>19</v>
      </c>
      <c r="M57" s="4" t="s">
        <v>215</v>
      </c>
      <c r="N57" s="7">
        <f>(45+50+70)/3</f>
      </c>
      <c r="O57" s="7">
        <f>(40+45+40)/3</f>
      </c>
    </row>
    <row x14ac:dyDescent="0.25" r="58" customHeight="1" ht="18.75">
      <c r="A58" s="4" t="s">
        <v>216</v>
      </c>
      <c r="B58" s="4" t="s">
        <v>40</v>
      </c>
      <c r="C58" s="4" t="s">
        <v>22</v>
      </c>
      <c r="D58" s="5">
        <v>725</v>
      </c>
      <c r="E58" s="5">
        <v>12</v>
      </c>
      <c r="F58" s="5">
        <v>5</v>
      </c>
      <c r="G58" s="5">
        <v>0</v>
      </c>
      <c r="H58" s="6">
        <v>84.5</v>
      </c>
      <c r="I58" s="6">
        <v>32.8</v>
      </c>
      <c r="J58" s="5">
        <v>520624</v>
      </c>
      <c r="K58" s="4" t="s">
        <v>217</v>
      </c>
      <c r="L58" s="4" t="s">
        <v>55</v>
      </c>
      <c r="M58" s="4" t="s">
        <v>218</v>
      </c>
      <c r="N58" s="7">
        <f>(2+5+20)/3</f>
      </c>
      <c r="O58" s="7">
        <f>0.4</f>
      </c>
    </row>
    <row x14ac:dyDescent="0.25" r="59" customHeight="1" ht="18.75">
      <c r="A59" s="4" t="s">
        <v>219</v>
      </c>
      <c r="B59" s="4" t="s">
        <v>186</v>
      </c>
      <c r="C59" s="4" t="s">
        <v>22</v>
      </c>
      <c r="D59" s="5">
        <v>724</v>
      </c>
      <c r="E59" s="5">
        <v>10</v>
      </c>
      <c r="F59" s="5">
        <v>2</v>
      </c>
      <c r="G59" s="5">
        <v>1</v>
      </c>
      <c r="H59" s="6">
        <v>81.9</v>
      </c>
      <c r="I59" s="6">
        <v>32.8</v>
      </c>
      <c r="J59" s="5">
        <v>258923</v>
      </c>
      <c r="K59" s="4" t="s">
        <v>220</v>
      </c>
      <c r="L59" s="4" t="s">
        <v>63</v>
      </c>
      <c r="M59" s="4" t="s">
        <v>221</v>
      </c>
      <c r="N59" s="7">
        <f>(80+80+80)/3</f>
      </c>
      <c r="O59" s="7">
        <f>(50+65+65)/3</f>
      </c>
    </row>
    <row x14ac:dyDescent="0.25" r="60" customHeight="1" ht="18.75">
      <c r="A60" s="4" t="s">
        <v>222</v>
      </c>
      <c r="B60" s="4" t="s">
        <v>223</v>
      </c>
      <c r="C60" s="4" t="s">
        <v>22</v>
      </c>
      <c r="D60" s="5">
        <v>720</v>
      </c>
      <c r="E60" s="5">
        <v>8</v>
      </c>
      <c r="F60" s="5">
        <v>4</v>
      </c>
      <c r="G60" s="5">
        <v>2</v>
      </c>
      <c r="H60" s="6">
        <v>84.5</v>
      </c>
      <c r="I60" s="6">
        <v>29.5</v>
      </c>
      <c r="J60" s="5">
        <v>125781</v>
      </c>
      <c r="K60" s="4" t="s">
        <v>224</v>
      </c>
      <c r="L60" s="4" t="s">
        <v>71</v>
      </c>
      <c r="M60" s="4" t="s">
        <v>225</v>
      </c>
      <c r="N60" s="7">
        <f>(130+120)/2</f>
      </c>
      <c r="O60" s="7">
        <f>(100+100+120+150+150)/5</f>
      </c>
    </row>
    <row x14ac:dyDescent="0.25" r="61" customHeight="1" ht="18.75">
      <c r="A61" s="4" t="s">
        <v>226</v>
      </c>
      <c r="B61" s="4" t="s">
        <v>16</v>
      </c>
      <c r="C61" s="4" t="s">
        <v>32</v>
      </c>
      <c r="D61" s="5">
        <v>720</v>
      </c>
      <c r="E61" s="5">
        <v>8</v>
      </c>
      <c r="F61" s="5">
        <v>0</v>
      </c>
      <c r="G61" s="5">
        <v>1</v>
      </c>
      <c r="H61" s="6">
        <v>75.5</v>
      </c>
      <c r="I61" s="6">
        <v>30.8</v>
      </c>
      <c r="J61" s="5">
        <v>82105</v>
      </c>
      <c r="K61" s="4" t="s">
        <v>227</v>
      </c>
      <c r="L61" s="4" t="s">
        <v>84</v>
      </c>
      <c r="M61" s="4" t="s">
        <v>228</v>
      </c>
      <c r="N61" s="7">
        <f>(30+35+40)/3</f>
      </c>
      <c r="O61" s="7">
        <f>(25+25+22+20)/4</f>
      </c>
    </row>
    <row x14ac:dyDescent="0.25" r="62" customHeight="1" ht="18.75">
      <c r="A62" s="4" t="s">
        <v>229</v>
      </c>
      <c r="B62" s="4" t="s">
        <v>230</v>
      </c>
      <c r="C62" s="4" t="s">
        <v>32</v>
      </c>
      <c r="D62" s="5">
        <v>720</v>
      </c>
      <c r="E62" s="5">
        <v>8</v>
      </c>
      <c r="F62" s="5">
        <v>0</v>
      </c>
      <c r="G62" s="5">
        <v>0</v>
      </c>
      <c r="H62" s="6">
        <v>81.2</v>
      </c>
      <c r="I62" s="6">
        <v>29.5</v>
      </c>
      <c r="J62" s="5">
        <v>44501</v>
      </c>
      <c r="K62" s="4" t="s">
        <v>231</v>
      </c>
      <c r="L62" s="4" t="s">
        <v>55</v>
      </c>
      <c r="M62" s="4" t="s">
        <v>232</v>
      </c>
      <c r="N62" s="7">
        <f>(35+25+20)/3</f>
      </c>
      <c r="O62" s="7">
        <f>(40+60+60+70+70)/5</f>
      </c>
    </row>
    <row x14ac:dyDescent="0.25" r="63" customHeight="1" ht="18.75">
      <c r="A63" s="4" t="s">
        <v>233</v>
      </c>
      <c r="B63" s="4" t="s">
        <v>186</v>
      </c>
      <c r="C63" s="4" t="s">
        <v>32</v>
      </c>
      <c r="D63" s="5">
        <v>720</v>
      </c>
      <c r="E63" s="5">
        <v>8</v>
      </c>
      <c r="F63" s="5">
        <v>0</v>
      </c>
      <c r="G63" s="5">
        <v>0</v>
      </c>
      <c r="H63" s="6">
        <v>80.3</v>
      </c>
      <c r="I63" s="6">
        <v>32.8</v>
      </c>
      <c r="J63" s="5">
        <v>183288</v>
      </c>
      <c r="K63" s="4" t="s">
        <v>234</v>
      </c>
      <c r="L63" s="4" t="s">
        <v>63</v>
      </c>
      <c r="M63" s="4" t="s">
        <v>235</v>
      </c>
      <c r="N63" s="7">
        <f>(25+30+22)/3</f>
      </c>
      <c r="O63" s="7">
        <f>(15+15+18+18)/4</f>
      </c>
    </row>
    <row x14ac:dyDescent="0.25" r="64" customHeight="1" ht="18.75">
      <c r="A64" s="4" t="s">
        <v>236</v>
      </c>
      <c r="B64" s="4" t="s">
        <v>230</v>
      </c>
      <c r="C64" s="4" t="s">
        <v>32</v>
      </c>
      <c r="D64" s="5">
        <v>720</v>
      </c>
      <c r="E64" s="5">
        <v>8</v>
      </c>
      <c r="F64" s="5">
        <v>0</v>
      </c>
      <c r="G64" s="5">
        <v>0</v>
      </c>
      <c r="H64" s="6">
        <v>78.8</v>
      </c>
      <c r="I64" s="6">
        <v>31.3</v>
      </c>
      <c r="J64" s="5">
        <v>277114</v>
      </c>
      <c r="K64" s="4" t="s">
        <v>237</v>
      </c>
      <c r="L64" s="4" t="s">
        <v>42</v>
      </c>
      <c r="M64" s="4" t="s">
        <v>238</v>
      </c>
      <c r="N64" s="7">
        <f>(12.5+12.5+15+15)/4</f>
      </c>
      <c r="O64" s="7">
        <f>(3+3+6+8+8)/5</f>
      </c>
    </row>
    <row x14ac:dyDescent="0.25" r="65" customHeight="1" ht="18.75">
      <c r="A65" s="4" t="s">
        <v>239</v>
      </c>
      <c r="B65" s="4" t="s">
        <v>186</v>
      </c>
      <c r="C65" s="4" t="s">
        <v>32</v>
      </c>
      <c r="D65" s="5">
        <v>720</v>
      </c>
      <c r="E65" s="5">
        <v>8</v>
      </c>
      <c r="F65" s="5">
        <v>0</v>
      </c>
      <c r="G65" s="5">
        <v>0</v>
      </c>
      <c r="H65" s="6">
        <v>73.2</v>
      </c>
      <c r="I65" s="6">
        <v>30.4</v>
      </c>
      <c r="J65" s="5">
        <v>103427</v>
      </c>
      <c r="K65" s="4" t="s">
        <v>240</v>
      </c>
      <c r="L65" s="4" t="s">
        <v>63</v>
      </c>
      <c r="M65" s="4" t="s">
        <v>241</v>
      </c>
      <c r="N65" s="7">
        <f>(20+20)/2</f>
      </c>
      <c r="O65" s="7">
        <f>(18+18+18)/3</f>
      </c>
    </row>
    <row x14ac:dyDescent="0.25" r="66" customHeight="1" ht="18.75">
      <c r="A66" s="4" t="s">
        <v>242</v>
      </c>
      <c r="B66" s="4" t="s">
        <v>243</v>
      </c>
      <c r="C66" s="4" t="s">
        <v>17</v>
      </c>
      <c r="D66" s="5">
        <v>720</v>
      </c>
      <c r="E66" s="5">
        <v>8</v>
      </c>
      <c r="F66" s="5">
        <v>0</v>
      </c>
      <c r="G66" s="5">
        <v>0</v>
      </c>
      <c r="H66" s="5">
        <v>41</v>
      </c>
      <c r="I66" s="6">
        <v>28.1</v>
      </c>
      <c r="J66" s="5">
        <v>17259</v>
      </c>
      <c r="K66" s="4" t="s">
        <v>244</v>
      </c>
      <c r="L66" s="4" t="s">
        <v>84</v>
      </c>
      <c r="M66" s="4" t="s">
        <v>245</v>
      </c>
      <c r="N66" s="7">
        <f>(18+18)/2</f>
      </c>
      <c r="O66" s="7">
        <f>(35+30+22)/3</f>
      </c>
    </row>
    <row x14ac:dyDescent="0.25" r="67" customHeight="1" ht="18.75">
      <c r="A67" s="4" t="s">
        <v>246</v>
      </c>
      <c r="B67" s="4" t="s">
        <v>223</v>
      </c>
      <c r="C67" s="4" t="s">
        <v>17</v>
      </c>
      <c r="D67" s="5">
        <v>720</v>
      </c>
      <c r="E67" s="5">
        <v>8</v>
      </c>
      <c r="F67" s="5">
        <v>0</v>
      </c>
      <c r="G67" s="5">
        <v>0</v>
      </c>
      <c r="H67" s="6">
        <v>32.7</v>
      </c>
      <c r="I67" s="6">
        <v>19.8</v>
      </c>
      <c r="J67" s="5">
        <v>121483</v>
      </c>
      <c r="K67" s="4" t="s">
        <v>247</v>
      </c>
      <c r="L67" s="4" t="s">
        <v>248</v>
      </c>
      <c r="M67" s="4" t="s">
        <v>249</v>
      </c>
      <c r="N67" s="7">
        <f>(100+100)/2</f>
      </c>
      <c r="O67" s="7">
        <f>(50+70+70+80+80)/5</f>
      </c>
    </row>
    <row x14ac:dyDescent="0.25" r="68" customHeight="1" ht="18.75">
      <c r="A68" s="4" t="s">
        <v>250</v>
      </c>
      <c r="B68" s="4" t="s">
        <v>139</v>
      </c>
      <c r="C68" s="4" t="s">
        <v>53</v>
      </c>
      <c r="D68" s="5">
        <v>719</v>
      </c>
      <c r="E68" s="5">
        <v>9</v>
      </c>
      <c r="F68" s="5">
        <v>3</v>
      </c>
      <c r="G68" s="5">
        <v>1</v>
      </c>
      <c r="H68" s="6">
        <v>88.4</v>
      </c>
      <c r="I68" s="6">
        <v>27.9</v>
      </c>
      <c r="J68" s="5">
        <v>35518</v>
      </c>
      <c r="K68" s="4" t="s">
        <v>251</v>
      </c>
      <c r="L68" s="4" t="s">
        <v>55</v>
      </c>
      <c r="M68" s="4" t="s">
        <v>252</v>
      </c>
      <c r="N68" s="7">
        <f>(20+15)/2</f>
      </c>
      <c r="O68" s="7">
        <f>(30+30+25)/3</f>
      </c>
    </row>
    <row x14ac:dyDescent="0.25" r="69" customHeight="1" ht="18.75">
      <c r="A69" s="4" t="s">
        <v>253</v>
      </c>
      <c r="B69" s="4" t="s">
        <v>243</v>
      </c>
      <c r="C69" s="4" t="s">
        <v>22</v>
      </c>
      <c r="D69" s="5">
        <v>714</v>
      </c>
      <c r="E69" s="5">
        <v>8</v>
      </c>
      <c r="F69" s="5">
        <v>8</v>
      </c>
      <c r="G69" s="5">
        <v>0</v>
      </c>
      <c r="H69" s="6">
        <v>80.9</v>
      </c>
      <c r="I69" s="6">
        <v>30.8</v>
      </c>
      <c r="J69" s="5">
        <v>38253</v>
      </c>
      <c r="K69" s="4" t="s">
        <v>254</v>
      </c>
      <c r="L69" s="4" t="s">
        <v>145</v>
      </c>
      <c r="M69" s="4" t="s">
        <v>255</v>
      </c>
      <c r="N69" s="7">
        <f>(65+70)/2</f>
      </c>
      <c r="O69" s="7">
        <f>(90+90+85+80+70)/5</f>
      </c>
    </row>
    <row x14ac:dyDescent="0.25" r="70" customHeight="1" ht="18.75">
      <c r="A70" s="4" t="s">
        <v>256</v>
      </c>
      <c r="B70" s="4" t="s">
        <v>52</v>
      </c>
      <c r="C70" s="4" t="s">
        <v>53</v>
      </c>
      <c r="D70" s="5">
        <v>709</v>
      </c>
      <c r="E70" s="5">
        <v>9</v>
      </c>
      <c r="F70" s="5">
        <v>0</v>
      </c>
      <c r="G70" s="5">
        <v>0</v>
      </c>
      <c r="H70" s="6">
        <v>87.5</v>
      </c>
      <c r="I70" s="6">
        <v>32.4</v>
      </c>
      <c r="J70" s="5">
        <v>85370</v>
      </c>
      <c r="K70" s="4" t="s">
        <v>257</v>
      </c>
      <c r="L70" s="4" t="s">
        <v>55</v>
      </c>
      <c r="M70" s="4" t="s">
        <v>258</v>
      </c>
      <c r="N70" s="7">
        <f>(50+50)/2</f>
      </c>
      <c r="O70" s="7">
        <f>(40+60+55+55)/4</f>
      </c>
    </row>
    <row x14ac:dyDescent="0.25" r="71" customHeight="1" ht="18.75">
      <c r="A71" s="4" t="s">
        <v>259</v>
      </c>
      <c r="B71" s="4" t="s">
        <v>40</v>
      </c>
      <c r="C71" s="4" t="s">
        <v>53</v>
      </c>
      <c r="D71" s="5">
        <v>708</v>
      </c>
      <c r="E71" s="5">
        <v>8</v>
      </c>
      <c r="F71" s="5">
        <v>0</v>
      </c>
      <c r="G71" s="5">
        <v>3</v>
      </c>
      <c r="H71" s="6">
        <v>93.5</v>
      </c>
      <c r="I71" s="5">
        <v>32</v>
      </c>
      <c r="J71" s="5">
        <v>534033</v>
      </c>
      <c r="K71" s="4" t="s">
        <v>260</v>
      </c>
      <c r="L71" s="4" t="s">
        <v>127</v>
      </c>
      <c r="M71" s="4" t="s">
        <v>261</v>
      </c>
      <c r="N71" s="7">
        <f>(10+12.5)/2</f>
      </c>
      <c r="O71" s="7">
        <f>(4+5)/2</f>
      </c>
    </row>
    <row x14ac:dyDescent="0.25" r="72" customHeight="1" ht="18.75">
      <c r="A72" s="4" t="s">
        <v>262</v>
      </c>
      <c r="B72" s="4" t="s">
        <v>230</v>
      </c>
      <c r="C72" s="4" t="s">
        <v>32</v>
      </c>
      <c r="D72" s="5">
        <v>707</v>
      </c>
      <c r="E72" s="5">
        <v>8</v>
      </c>
      <c r="F72" s="5">
        <v>0</v>
      </c>
      <c r="G72" s="5">
        <v>1</v>
      </c>
      <c r="H72" s="6">
        <v>78.8</v>
      </c>
      <c r="I72" s="6">
        <v>33.1</v>
      </c>
      <c r="J72" s="5">
        <v>157495</v>
      </c>
      <c r="K72" s="4" t="s">
        <v>263</v>
      </c>
      <c r="L72" s="4" t="s">
        <v>71</v>
      </c>
      <c r="M72" s="4" t="s">
        <v>264</v>
      </c>
      <c r="N72" s="7">
        <f>(40+35+35)/3</f>
      </c>
      <c r="O72" s="7">
        <f>(40+40+45+45)/4</f>
      </c>
    </row>
    <row x14ac:dyDescent="0.25" r="73" customHeight="1" ht="18.75">
      <c r="A73" s="4" t="s">
        <v>265</v>
      </c>
      <c r="B73" s="4" t="s">
        <v>266</v>
      </c>
      <c r="C73" s="4" t="s">
        <v>22</v>
      </c>
      <c r="D73" s="5">
        <v>701</v>
      </c>
      <c r="E73" s="5">
        <v>8</v>
      </c>
      <c r="F73" s="5">
        <v>4</v>
      </c>
      <c r="G73" s="5">
        <v>4</v>
      </c>
      <c r="H73" s="5">
        <v>70</v>
      </c>
      <c r="I73" s="6">
        <v>32.6</v>
      </c>
      <c r="J73" s="5">
        <v>342229</v>
      </c>
      <c r="K73" s="4" t="s">
        <v>267</v>
      </c>
      <c r="L73" s="4" t="s">
        <v>71</v>
      </c>
      <c r="M73" s="4" t="s">
        <v>268</v>
      </c>
      <c r="N73" s="7">
        <f>(200+200)/2</f>
      </c>
      <c r="O73" s="7">
        <f>(120+120+150+180+200)/5</f>
      </c>
    </row>
    <row x14ac:dyDescent="0.25" r="74" customHeight="1" ht="18.75">
      <c r="A74" s="4" t="s">
        <v>269</v>
      </c>
      <c r="B74" s="4" t="s">
        <v>134</v>
      </c>
      <c r="C74" s="4" t="s">
        <v>53</v>
      </c>
      <c r="D74" s="5">
        <v>683</v>
      </c>
      <c r="E74" s="5">
        <v>9</v>
      </c>
      <c r="F74" s="5">
        <v>0</v>
      </c>
      <c r="G74" s="5">
        <v>1</v>
      </c>
      <c r="H74" s="5">
        <v>84</v>
      </c>
      <c r="I74" s="6">
        <v>30.4</v>
      </c>
      <c r="J74" s="5">
        <v>33923</v>
      </c>
      <c r="K74" s="4" t="s">
        <v>270</v>
      </c>
      <c r="L74" s="4" t="s">
        <v>71</v>
      </c>
      <c r="M74" s="4" t="s">
        <v>271</v>
      </c>
      <c r="N74" s="7">
        <f>(22+18)/2</f>
      </c>
      <c r="O74" s="7">
        <f>(30+30)/2</f>
      </c>
    </row>
    <row x14ac:dyDescent="0.25" r="75" customHeight="1" ht="18.75">
      <c r="A75" s="4" t="s">
        <v>272</v>
      </c>
      <c r="B75" s="4" t="s">
        <v>40</v>
      </c>
      <c r="C75" s="4" t="s">
        <v>53</v>
      </c>
      <c r="D75" s="5">
        <v>676</v>
      </c>
      <c r="E75" s="5">
        <v>10</v>
      </c>
      <c r="F75" s="5">
        <v>0</v>
      </c>
      <c r="G75" s="5">
        <v>0</v>
      </c>
      <c r="H75" s="5">
        <v>84</v>
      </c>
      <c r="I75" s="6">
        <v>29.9</v>
      </c>
      <c r="J75" s="5">
        <v>249126</v>
      </c>
      <c r="K75" s="4" t="s">
        <v>273</v>
      </c>
      <c r="L75" s="4" t="s">
        <v>63</v>
      </c>
      <c r="M75" s="4" t="s">
        <v>274</v>
      </c>
      <c r="N75" s="7">
        <f>(20+25+40+40)/4</f>
      </c>
      <c r="O75" s="7">
        <f>(15+15+15)/3</f>
      </c>
    </row>
    <row x14ac:dyDescent="0.25" r="76" customHeight="1" ht="18.75">
      <c r="A76" s="4" t="s">
        <v>275</v>
      </c>
      <c r="B76" s="4" t="s">
        <v>266</v>
      </c>
      <c r="C76" s="4" t="s">
        <v>32</v>
      </c>
      <c r="D76" s="5">
        <v>675</v>
      </c>
      <c r="E76" s="5">
        <v>8</v>
      </c>
      <c r="F76" s="5">
        <v>3</v>
      </c>
      <c r="G76" s="5">
        <v>0</v>
      </c>
      <c r="H76" s="6">
        <v>79.2</v>
      </c>
      <c r="I76" s="6">
        <v>31.3</v>
      </c>
      <c r="J76" s="5">
        <v>126719</v>
      </c>
      <c r="K76" s="4" t="s">
        <v>276</v>
      </c>
      <c r="L76" s="4" t="s">
        <v>55</v>
      </c>
      <c r="M76" s="4" t="s">
        <v>277</v>
      </c>
      <c r="N76" s="7">
        <f>(15+15+20)/3</f>
      </c>
      <c r="O76" s="7">
        <f>(12+10+12)/3</f>
      </c>
    </row>
    <row x14ac:dyDescent="0.25" r="77" customHeight="1" ht="18.75">
      <c r="A77" s="4" t="s">
        <v>278</v>
      </c>
      <c r="B77" s="4" t="s">
        <v>230</v>
      </c>
      <c r="C77" s="4" t="s">
        <v>17</v>
      </c>
      <c r="D77" s="5">
        <v>664</v>
      </c>
      <c r="E77" s="5">
        <v>8</v>
      </c>
      <c r="F77" s="5">
        <v>0</v>
      </c>
      <c r="G77" s="5">
        <v>0</v>
      </c>
      <c r="H77" s="6">
        <v>37.6</v>
      </c>
      <c r="I77" s="6">
        <v>22.5</v>
      </c>
      <c r="J77" s="5">
        <v>872171</v>
      </c>
      <c r="K77" s="4" t="s">
        <v>279</v>
      </c>
      <c r="L77" s="4" t="s">
        <v>19</v>
      </c>
      <c r="M77" s="4" t="s">
        <v>280</v>
      </c>
      <c r="N77" s="4"/>
      <c r="O77" s="4"/>
    </row>
    <row x14ac:dyDescent="0.25" r="78" customHeight="1" ht="18.75">
      <c r="A78" s="4" t="s">
        <v>281</v>
      </c>
      <c r="B78" s="4" t="s">
        <v>266</v>
      </c>
      <c r="C78" s="4" t="s">
        <v>22</v>
      </c>
      <c r="D78" s="5">
        <v>661</v>
      </c>
      <c r="E78" s="5">
        <v>8</v>
      </c>
      <c r="F78" s="5">
        <v>2</v>
      </c>
      <c r="G78" s="5">
        <v>3</v>
      </c>
      <c r="H78" s="6">
        <v>77.1</v>
      </c>
      <c r="I78" s="6">
        <v>30.4</v>
      </c>
      <c r="J78" s="5">
        <v>45320</v>
      </c>
      <c r="K78" s="4" t="s">
        <v>282</v>
      </c>
      <c r="L78" s="4" t="s">
        <v>136</v>
      </c>
      <c r="M78" s="4" t="s">
        <v>283</v>
      </c>
      <c r="N78" s="7">
        <f>(40+40)/2</f>
      </c>
      <c r="O78" s="7">
        <f>(40+40+45+45)/4</f>
      </c>
    </row>
    <row x14ac:dyDescent="0.25" r="79" customHeight="1" ht="18.75">
      <c r="A79" s="4" t="s">
        <v>284</v>
      </c>
      <c r="B79" s="4" t="s">
        <v>285</v>
      </c>
      <c r="C79" s="4" t="s">
        <v>32</v>
      </c>
      <c r="D79" s="5">
        <v>661</v>
      </c>
      <c r="E79" s="5">
        <v>8</v>
      </c>
      <c r="F79" s="5">
        <v>0</v>
      </c>
      <c r="G79" s="5">
        <v>1</v>
      </c>
      <c r="H79" s="5">
        <v>79</v>
      </c>
      <c r="I79" s="6">
        <v>30.8</v>
      </c>
      <c r="J79" s="5">
        <v>46156</v>
      </c>
      <c r="K79" s="4" t="s">
        <v>286</v>
      </c>
      <c r="L79" s="4" t="s">
        <v>29</v>
      </c>
      <c r="M79" s="4" t="s">
        <v>287</v>
      </c>
      <c r="N79" s="7">
        <f>(8+8)/2</f>
      </c>
      <c r="O79" s="7">
        <f>(12+12)/2</f>
      </c>
    </row>
    <row x14ac:dyDescent="0.25" r="80" customHeight="1" ht="18.75">
      <c r="A80" s="4" t="s">
        <v>288</v>
      </c>
      <c r="B80" s="4" t="s">
        <v>285</v>
      </c>
      <c r="C80" s="4" t="s">
        <v>32</v>
      </c>
      <c r="D80" s="5">
        <v>660</v>
      </c>
      <c r="E80" s="5">
        <v>7</v>
      </c>
      <c r="F80" s="5">
        <v>1</v>
      </c>
      <c r="G80" s="5">
        <v>0</v>
      </c>
      <c r="H80" s="5">
        <v>67</v>
      </c>
      <c r="I80" s="6">
        <v>32.8</v>
      </c>
      <c r="J80" s="5">
        <v>104752</v>
      </c>
      <c r="K80" s="4" t="s">
        <v>289</v>
      </c>
      <c r="L80" s="4" t="s">
        <v>290</v>
      </c>
      <c r="M80" s="4" t="s">
        <v>291</v>
      </c>
      <c r="N80" s="7">
        <f>(45+40)/2</f>
      </c>
      <c r="O80" s="7">
        <f>(40+45)/2</f>
      </c>
    </row>
    <row x14ac:dyDescent="0.25" r="81" customHeight="1" ht="18.75">
      <c r="A81" s="4" t="s">
        <v>292</v>
      </c>
      <c r="B81" s="4" t="s">
        <v>266</v>
      </c>
      <c r="C81" s="4" t="s">
        <v>32</v>
      </c>
      <c r="D81" s="5">
        <v>647</v>
      </c>
      <c r="E81" s="5">
        <v>8</v>
      </c>
      <c r="F81" s="5">
        <v>1</v>
      </c>
      <c r="G81" s="5">
        <v>0</v>
      </c>
      <c r="H81" s="6">
        <v>64.3</v>
      </c>
      <c r="I81" s="6">
        <v>31.3</v>
      </c>
      <c r="J81" s="5">
        <v>282041</v>
      </c>
      <c r="K81" s="4" t="s">
        <v>293</v>
      </c>
      <c r="L81" s="4" t="s">
        <v>71</v>
      </c>
      <c r="M81" s="4" t="s">
        <v>294</v>
      </c>
      <c r="N81" s="7">
        <f>(30+35)/2</f>
      </c>
      <c r="O81" s="7">
        <f>(18+30+30)/3</f>
      </c>
    </row>
    <row x14ac:dyDescent="0.25" r="82" customHeight="1" ht="18.75">
      <c r="A82" s="4" t="s">
        <v>295</v>
      </c>
      <c r="B82" s="4" t="s">
        <v>296</v>
      </c>
      <c r="C82" s="4" t="s">
        <v>53</v>
      </c>
      <c r="D82" s="5">
        <v>645</v>
      </c>
      <c r="E82" s="5">
        <v>8</v>
      </c>
      <c r="F82" s="5">
        <v>1</v>
      </c>
      <c r="G82" s="5">
        <v>1</v>
      </c>
      <c r="H82" s="6">
        <v>81.4</v>
      </c>
      <c r="I82" s="6">
        <v>28.4</v>
      </c>
      <c r="J82" s="5">
        <v>31909</v>
      </c>
      <c r="K82" s="4" t="s">
        <v>297</v>
      </c>
      <c r="L82" s="4" t="s">
        <v>84</v>
      </c>
      <c r="M82" s="4" t="s">
        <v>298</v>
      </c>
      <c r="N82" s="7">
        <f>(60+60)/2</f>
      </c>
      <c r="O82" s="7">
        <f>(80+80+80)/3</f>
      </c>
    </row>
    <row x14ac:dyDescent="0.25" r="83" customHeight="1" ht="18.75">
      <c r="A83" s="4" t="s">
        <v>299</v>
      </c>
      <c r="B83" s="4" t="s">
        <v>139</v>
      </c>
      <c r="C83" s="4" t="s">
        <v>53</v>
      </c>
      <c r="D83" s="5">
        <v>643</v>
      </c>
      <c r="E83" s="5">
        <v>8</v>
      </c>
      <c r="F83" s="5">
        <v>0</v>
      </c>
      <c r="G83" s="5">
        <v>0</v>
      </c>
      <c r="H83" s="5">
        <v>76</v>
      </c>
      <c r="I83" s="6">
        <v>31.5</v>
      </c>
      <c r="J83" s="5">
        <v>26267</v>
      </c>
      <c r="K83" s="4" t="s">
        <v>300</v>
      </c>
      <c r="L83" s="4" t="s">
        <v>19</v>
      </c>
      <c r="M83" s="4" t="s">
        <v>301</v>
      </c>
      <c r="N83" s="7">
        <f>(12+10)/2</f>
      </c>
      <c r="O83" s="7">
        <f>(15+15+15)/3</f>
      </c>
    </row>
    <row x14ac:dyDescent="0.25" r="84" customHeight="1" ht="18.75">
      <c r="A84" s="4" t="s">
        <v>302</v>
      </c>
      <c r="B84" s="4" t="s">
        <v>230</v>
      </c>
      <c r="C84" s="4" t="s">
        <v>53</v>
      </c>
      <c r="D84" s="5">
        <v>637</v>
      </c>
      <c r="E84" s="5">
        <v>8</v>
      </c>
      <c r="F84" s="5">
        <v>2</v>
      </c>
      <c r="G84" s="5">
        <v>0</v>
      </c>
      <c r="H84" s="6">
        <v>71.8</v>
      </c>
      <c r="I84" s="6">
        <v>28.6</v>
      </c>
      <c r="J84" s="5">
        <v>450936</v>
      </c>
      <c r="K84" s="4" t="s">
        <v>303</v>
      </c>
      <c r="L84" s="4" t="s">
        <v>71</v>
      </c>
      <c r="M84" s="4" t="s">
        <v>304</v>
      </c>
      <c r="N84" s="7">
        <f>(50+65+65)/3</f>
      </c>
      <c r="O84" s="7">
        <f>(15+25+35+45)/4</f>
      </c>
    </row>
    <row x14ac:dyDescent="0.25" r="85" customHeight="1" ht="18.75">
      <c r="A85" s="4" t="s">
        <v>305</v>
      </c>
      <c r="B85" s="4" t="s">
        <v>103</v>
      </c>
      <c r="C85" s="4" t="s">
        <v>32</v>
      </c>
      <c r="D85" s="5">
        <v>634</v>
      </c>
      <c r="E85" s="5">
        <v>8</v>
      </c>
      <c r="F85" s="5">
        <v>0</v>
      </c>
      <c r="G85" s="5">
        <v>0</v>
      </c>
      <c r="H85" s="6">
        <v>71.8</v>
      </c>
      <c r="I85" s="6">
        <v>28.6</v>
      </c>
      <c r="J85" s="5">
        <v>57834</v>
      </c>
      <c r="K85" s="4" t="s">
        <v>306</v>
      </c>
      <c r="L85" s="4" t="s">
        <v>131</v>
      </c>
      <c r="M85" s="4" t="s">
        <v>307</v>
      </c>
      <c r="N85" s="7">
        <f>(1+0.5)/2</f>
      </c>
      <c r="O85" s="7">
        <f>(1.5+1)/2</f>
      </c>
    </row>
    <row x14ac:dyDescent="0.25" r="86" customHeight="1" ht="18.75">
      <c r="A86" s="4" t="s">
        <v>308</v>
      </c>
      <c r="B86" s="4" t="s">
        <v>223</v>
      </c>
      <c r="C86" s="4" t="s">
        <v>53</v>
      </c>
      <c r="D86" s="5">
        <v>631</v>
      </c>
      <c r="E86" s="5">
        <v>8</v>
      </c>
      <c r="F86" s="5">
        <v>1</v>
      </c>
      <c r="G86" s="5">
        <v>0</v>
      </c>
      <c r="H86" s="6">
        <v>78.9</v>
      </c>
      <c r="I86" s="6">
        <v>31.7</v>
      </c>
      <c r="J86" s="5">
        <v>148928</v>
      </c>
      <c r="K86" s="4" t="s">
        <v>309</v>
      </c>
      <c r="L86" s="4" t="s">
        <v>55</v>
      </c>
      <c r="M86" s="4" t="s">
        <v>310</v>
      </c>
      <c r="N86" s="7">
        <f>(90+90)/2</f>
      </c>
      <c r="O86" s="7">
        <f>(70+70+90+90)/4</f>
      </c>
    </row>
    <row x14ac:dyDescent="0.25" r="87" customHeight="1" ht="18.75">
      <c r="A87" s="4" t="s">
        <v>311</v>
      </c>
      <c r="B87" s="4" t="s">
        <v>40</v>
      </c>
      <c r="C87" s="4" t="s">
        <v>32</v>
      </c>
      <c r="D87" s="5">
        <v>631</v>
      </c>
      <c r="E87" s="5">
        <v>8</v>
      </c>
      <c r="F87" s="5">
        <v>0</v>
      </c>
      <c r="G87" s="5">
        <v>0</v>
      </c>
      <c r="H87" s="5">
        <v>73</v>
      </c>
      <c r="I87" s="6">
        <v>31.7</v>
      </c>
      <c r="J87" s="5">
        <v>40433</v>
      </c>
      <c r="K87" s="4" t="s">
        <v>312</v>
      </c>
      <c r="L87" s="4" t="s">
        <v>313</v>
      </c>
      <c r="M87" s="4" t="s">
        <v>314</v>
      </c>
      <c r="N87" s="7">
        <f>(35+25)/2</f>
      </c>
      <c r="O87" s="7">
        <f>(70+70+55+45)/4</f>
      </c>
    </row>
    <row x14ac:dyDescent="0.25" r="88" customHeight="1" ht="18.75">
      <c r="A88" s="4" t="s">
        <v>315</v>
      </c>
      <c r="B88" s="4" t="s">
        <v>316</v>
      </c>
      <c r="C88" s="4" t="s">
        <v>53</v>
      </c>
      <c r="D88" s="5">
        <v>630</v>
      </c>
      <c r="E88" s="5">
        <v>7</v>
      </c>
      <c r="F88" s="5">
        <v>1</v>
      </c>
      <c r="G88" s="5">
        <v>0</v>
      </c>
      <c r="H88" s="6">
        <v>76.5</v>
      </c>
      <c r="I88" s="6">
        <v>29.5</v>
      </c>
      <c r="J88" s="5">
        <v>35047</v>
      </c>
      <c r="K88" s="4" t="s">
        <v>317</v>
      </c>
      <c r="L88" s="4" t="s">
        <v>42</v>
      </c>
      <c r="M88" s="4" t="s">
        <v>318</v>
      </c>
      <c r="N88" s="7">
        <f>(32+27)/2</f>
      </c>
      <c r="O88" s="7">
        <f>(18+20+25+30+40)/5</f>
      </c>
    </row>
    <row x14ac:dyDescent="0.25" r="89" customHeight="1" ht="18.75">
      <c r="A89" s="4" t="s">
        <v>319</v>
      </c>
      <c r="B89" s="4" t="s">
        <v>266</v>
      </c>
      <c r="C89" s="4" t="s">
        <v>32</v>
      </c>
      <c r="D89" s="5">
        <v>630</v>
      </c>
      <c r="E89" s="5">
        <v>7</v>
      </c>
      <c r="F89" s="5">
        <v>1</v>
      </c>
      <c r="G89" s="5">
        <v>0</v>
      </c>
      <c r="H89" s="6">
        <v>74.5</v>
      </c>
      <c r="I89" s="6">
        <v>31.3</v>
      </c>
      <c r="J89" s="5">
        <v>181767</v>
      </c>
      <c r="K89" s="4" t="s">
        <v>320</v>
      </c>
      <c r="L89" s="4" t="s">
        <v>141</v>
      </c>
      <c r="M89" s="4" t="s">
        <v>321</v>
      </c>
      <c r="N89" s="7">
        <f>(65+65)/2</f>
      </c>
      <c r="O89" s="7">
        <f>(40+55+55+60)/4</f>
      </c>
    </row>
    <row x14ac:dyDescent="0.25" r="90" customHeight="1" ht="18.75">
      <c r="A90" s="4" t="s">
        <v>322</v>
      </c>
      <c r="B90" s="4" t="s">
        <v>243</v>
      </c>
      <c r="C90" s="4" t="s">
        <v>53</v>
      </c>
      <c r="D90" s="5">
        <v>630</v>
      </c>
      <c r="E90" s="5">
        <v>7</v>
      </c>
      <c r="F90" s="5">
        <v>0</v>
      </c>
      <c r="G90" s="5">
        <v>2</v>
      </c>
      <c r="H90" s="6">
        <v>81.6</v>
      </c>
      <c r="I90" s="6">
        <v>29.7</v>
      </c>
      <c r="J90" s="5">
        <v>161056</v>
      </c>
      <c r="K90" s="4" t="s">
        <v>323</v>
      </c>
      <c r="L90" s="4" t="s">
        <v>84</v>
      </c>
      <c r="M90" s="4" t="s">
        <v>324</v>
      </c>
      <c r="N90" s="7">
        <f>(70+80)/2</f>
      </c>
      <c r="O90" s="7">
        <f>(55+55+60)/3</f>
      </c>
    </row>
    <row x14ac:dyDescent="0.25" r="91" customHeight="1" ht="18.75">
      <c r="A91" s="4" t="s">
        <v>325</v>
      </c>
      <c r="B91" s="4" t="s">
        <v>243</v>
      </c>
      <c r="C91" s="4" t="s">
        <v>32</v>
      </c>
      <c r="D91" s="5">
        <v>630</v>
      </c>
      <c r="E91" s="5">
        <v>7</v>
      </c>
      <c r="F91" s="5">
        <v>0</v>
      </c>
      <c r="G91" s="5">
        <v>2</v>
      </c>
      <c r="H91" s="5">
        <v>72</v>
      </c>
      <c r="I91" s="6">
        <v>31.3</v>
      </c>
      <c r="J91" s="5">
        <v>59016</v>
      </c>
      <c r="K91" s="4" t="s">
        <v>326</v>
      </c>
      <c r="L91" s="4" t="s">
        <v>327</v>
      </c>
      <c r="M91" s="4" t="s">
        <v>328</v>
      </c>
      <c r="N91" s="7">
        <f>(55+65)/2</f>
      </c>
      <c r="O91" s="7">
        <f>(50+50+55)/3</f>
      </c>
    </row>
    <row x14ac:dyDescent="0.25" r="92" customHeight="1" ht="18.75">
      <c r="A92" s="4" t="s">
        <v>329</v>
      </c>
      <c r="B92" s="4" t="s">
        <v>230</v>
      </c>
      <c r="C92" s="4" t="s">
        <v>53</v>
      </c>
      <c r="D92" s="5">
        <v>630</v>
      </c>
      <c r="E92" s="5">
        <v>7</v>
      </c>
      <c r="F92" s="5">
        <v>0</v>
      </c>
      <c r="G92" s="5">
        <v>1</v>
      </c>
      <c r="H92" s="6">
        <v>78.1</v>
      </c>
      <c r="I92" s="6">
        <v>31.5</v>
      </c>
      <c r="J92" s="5">
        <v>395693</v>
      </c>
      <c r="K92" s="4" t="s">
        <v>330</v>
      </c>
      <c r="L92" s="4" t="s">
        <v>71</v>
      </c>
      <c r="M92" s="4" t="s">
        <v>331</v>
      </c>
      <c r="N92" s="7">
        <f>(45+50)/2</f>
      </c>
      <c r="O92" s="7">
        <f>(25+35+40)/3</f>
      </c>
    </row>
    <row x14ac:dyDescent="0.25" r="93" customHeight="1" ht="18.75">
      <c r="A93" s="4" t="s">
        <v>332</v>
      </c>
      <c r="B93" s="4" t="s">
        <v>186</v>
      </c>
      <c r="C93" s="4" t="s">
        <v>32</v>
      </c>
      <c r="D93" s="5">
        <v>630</v>
      </c>
      <c r="E93" s="5">
        <v>7</v>
      </c>
      <c r="F93" s="5">
        <v>0</v>
      </c>
      <c r="G93" s="5">
        <v>0</v>
      </c>
      <c r="H93" s="6">
        <v>63.9</v>
      </c>
      <c r="I93" s="6">
        <v>30.8</v>
      </c>
      <c r="J93" s="5">
        <v>184573</v>
      </c>
      <c r="K93" s="4" t="s">
        <v>333</v>
      </c>
      <c r="L93" s="4" t="s">
        <v>334</v>
      </c>
      <c r="M93" s="4" t="s">
        <v>264</v>
      </c>
      <c r="N93" s="7">
        <f>(35+35+35)/3</f>
      </c>
      <c r="O93" s="7">
        <f>(25+25+25)/3</f>
      </c>
    </row>
    <row x14ac:dyDescent="0.25" r="94" customHeight="1" ht="18.75">
      <c r="A94" s="4" t="s">
        <v>335</v>
      </c>
      <c r="B94" s="4" t="s">
        <v>316</v>
      </c>
      <c r="C94" s="4" t="s">
        <v>17</v>
      </c>
      <c r="D94" s="5">
        <v>630</v>
      </c>
      <c r="E94" s="5">
        <v>7</v>
      </c>
      <c r="F94" s="5">
        <v>0</v>
      </c>
      <c r="G94" s="5">
        <v>0</v>
      </c>
      <c r="H94" s="6">
        <v>33.5</v>
      </c>
      <c r="I94" s="5">
        <v>21</v>
      </c>
      <c r="J94" s="5">
        <v>59027</v>
      </c>
      <c r="K94" s="4" t="s">
        <v>336</v>
      </c>
      <c r="L94" s="4" t="s">
        <v>59</v>
      </c>
      <c r="M94" s="4" t="s">
        <v>337</v>
      </c>
      <c r="N94" s="7">
        <f>(14+14+14)/3</f>
      </c>
      <c r="O94" s="7">
        <f>(7+8.5+10)/3</f>
      </c>
    </row>
    <row x14ac:dyDescent="0.25" r="95" customHeight="1" ht="18.75">
      <c r="A95" s="4" t="s">
        <v>338</v>
      </c>
      <c r="B95" s="4" t="s">
        <v>40</v>
      </c>
      <c r="C95" s="4" t="s">
        <v>32</v>
      </c>
      <c r="D95" s="5">
        <v>626</v>
      </c>
      <c r="E95" s="5">
        <v>8</v>
      </c>
      <c r="F95" s="5">
        <v>0</v>
      </c>
      <c r="G95" s="5">
        <v>2</v>
      </c>
      <c r="H95" s="5">
        <v>76</v>
      </c>
      <c r="I95" s="6">
        <v>32.2</v>
      </c>
      <c r="J95" s="5">
        <v>95810</v>
      </c>
      <c r="K95" s="4" t="s">
        <v>339</v>
      </c>
      <c r="L95" s="4" t="s">
        <v>63</v>
      </c>
      <c r="M95" s="4" t="s">
        <v>340</v>
      </c>
      <c r="N95" s="7">
        <f>(35+35)/2</f>
      </c>
      <c r="O95" s="7">
        <f>(15+20+30+35+35)/5</f>
      </c>
    </row>
    <row x14ac:dyDescent="0.25" r="96" customHeight="1" ht="18.75">
      <c r="A96" s="4" t="s">
        <v>341</v>
      </c>
      <c r="B96" s="4" t="s">
        <v>103</v>
      </c>
      <c r="C96" s="4" t="s">
        <v>53</v>
      </c>
      <c r="D96" s="5">
        <v>624</v>
      </c>
      <c r="E96" s="5">
        <v>9</v>
      </c>
      <c r="F96" s="5">
        <v>0</v>
      </c>
      <c r="G96" s="5">
        <v>2</v>
      </c>
      <c r="H96" s="6">
        <v>72.1</v>
      </c>
      <c r="I96" s="6">
        <v>30.4</v>
      </c>
      <c r="J96" s="5">
        <v>60517</v>
      </c>
      <c r="K96" s="4" t="s">
        <v>342</v>
      </c>
      <c r="L96" s="4" t="s">
        <v>71</v>
      </c>
      <c r="M96" s="4" t="s">
        <v>343</v>
      </c>
      <c r="N96" s="7">
        <f>(26+21)/2</f>
      </c>
      <c r="O96" s="7">
        <f>(25+26)/2</f>
      </c>
    </row>
    <row x14ac:dyDescent="0.25" r="97" customHeight="1" ht="18.75">
      <c r="A97" s="4" t="s">
        <v>344</v>
      </c>
      <c r="B97" s="4" t="s">
        <v>316</v>
      </c>
      <c r="C97" s="4" t="s">
        <v>32</v>
      </c>
      <c r="D97" s="5">
        <v>620</v>
      </c>
      <c r="E97" s="5">
        <v>7</v>
      </c>
      <c r="F97" s="5">
        <v>0</v>
      </c>
      <c r="G97" s="5">
        <v>0</v>
      </c>
      <c r="H97" s="6">
        <v>69.3</v>
      </c>
      <c r="I97" s="6">
        <v>32.2</v>
      </c>
      <c r="J97" s="5">
        <v>536835</v>
      </c>
      <c r="K97" s="4" t="s">
        <v>345</v>
      </c>
      <c r="L97" s="4" t="s">
        <v>346</v>
      </c>
      <c r="M97" s="4" t="s">
        <v>347</v>
      </c>
      <c r="N97" s="4"/>
      <c r="O97" s="4"/>
    </row>
    <row x14ac:dyDescent="0.25" r="98" customHeight="1" ht="18.75">
      <c r="A98" s="4" t="s">
        <v>348</v>
      </c>
      <c r="B98" s="4" t="s">
        <v>230</v>
      </c>
      <c r="C98" s="4" t="s">
        <v>22</v>
      </c>
      <c r="D98" s="5">
        <v>618</v>
      </c>
      <c r="E98" s="5">
        <v>8</v>
      </c>
      <c r="F98" s="5">
        <v>1</v>
      </c>
      <c r="G98" s="5">
        <v>3</v>
      </c>
      <c r="H98" s="5">
        <v>70</v>
      </c>
      <c r="I98" s="6">
        <v>29.7</v>
      </c>
      <c r="J98" s="5">
        <v>167850</v>
      </c>
      <c r="K98" s="4" t="s">
        <v>349</v>
      </c>
      <c r="L98" s="4" t="s">
        <v>350</v>
      </c>
      <c r="M98" s="4" t="s">
        <v>351</v>
      </c>
      <c r="N98" s="7">
        <f>(45+55)/2</f>
      </c>
      <c r="O98" s="7">
        <f>(28+45+50)/3</f>
      </c>
    </row>
    <row x14ac:dyDescent="0.25" r="99" customHeight="1" ht="18.75">
      <c r="A99" s="4" t="s">
        <v>352</v>
      </c>
      <c r="B99" s="4" t="s">
        <v>285</v>
      </c>
      <c r="C99" s="4" t="s">
        <v>32</v>
      </c>
      <c r="D99" s="5">
        <v>618</v>
      </c>
      <c r="E99" s="5">
        <v>8</v>
      </c>
      <c r="F99" s="5">
        <v>0</v>
      </c>
      <c r="G99" s="5">
        <v>1</v>
      </c>
      <c r="H99" s="6">
        <v>72.2</v>
      </c>
      <c r="I99" s="6">
        <v>31.5</v>
      </c>
      <c r="J99" s="5">
        <v>130365</v>
      </c>
      <c r="K99" s="4" t="s">
        <v>353</v>
      </c>
      <c r="L99" s="4" t="s">
        <v>136</v>
      </c>
      <c r="M99" s="4" t="s">
        <v>354</v>
      </c>
      <c r="N99" s="7">
        <f>(25+20)/2</f>
      </c>
      <c r="O99" s="7">
        <f>(30+30)/2</f>
      </c>
    </row>
    <row x14ac:dyDescent="0.25" r="100" customHeight="1" ht="18.75">
      <c r="A100" s="4" t="s">
        <v>355</v>
      </c>
      <c r="B100" s="4" t="s">
        <v>266</v>
      </c>
      <c r="C100" s="4" t="s">
        <v>32</v>
      </c>
      <c r="D100" s="5">
        <v>616</v>
      </c>
      <c r="E100" s="5">
        <v>7</v>
      </c>
      <c r="F100" s="5">
        <v>0</v>
      </c>
      <c r="G100" s="5">
        <v>0</v>
      </c>
      <c r="H100" s="6">
        <v>57.7</v>
      </c>
      <c r="I100" s="6">
        <v>30.2</v>
      </c>
      <c r="J100" s="5">
        <v>29241</v>
      </c>
      <c r="K100" s="4" t="s">
        <v>356</v>
      </c>
      <c r="L100" s="4" t="s">
        <v>71</v>
      </c>
      <c r="M100" s="4" t="s">
        <v>357</v>
      </c>
      <c r="N100" s="7">
        <f>(10+6+6)/3</f>
      </c>
      <c r="O100" s="7">
        <f>(10+10+10)/3</f>
      </c>
    </row>
    <row x14ac:dyDescent="0.25" r="101" customHeight="1" ht="18.75">
      <c r="A101" s="4" t="s">
        <v>358</v>
      </c>
      <c r="B101" s="4" t="s">
        <v>285</v>
      </c>
      <c r="C101" s="4" t="s">
        <v>53</v>
      </c>
      <c r="D101" s="5">
        <v>610</v>
      </c>
      <c r="E101" s="5">
        <v>8</v>
      </c>
      <c r="F101" s="5">
        <v>0</v>
      </c>
      <c r="G101" s="5">
        <v>0</v>
      </c>
      <c r="H101" s="6">
        <v>76.3</v>
      </c>
      <c r="I101" s="6">
        <v>30.8</v>
      </c>
      <c r="J101" s="5">
        <v>73734</v>
      </c>
      <c r="K101" s="4" t="s">
        <v>359</v>
      </c>
      <c r="L101" s="4" t="s">
        <v>71</v>
      </c>
      <c r="M101" s="4" t="s">
        <v>360</v>
      </c>
      <c r="N101" s="7">
        <f>(23+19)/2</f>
      </c>
      <c r="O101" s="7">
        <f>(30+30+28)/3</f>
      </c>
    </row>
    <row x14ac:dyDescent="0.25" r="102" customHeight="1" ht="18.75">
      <c r="A102" s="4" t="s">
        <v>361</v>
      </c>
      <c r="B102" s="4" t="s">
        <v>223</v>
      </c>
      <c r="C102" s="4" t="s">
        <v>53</v>
      </c>
      <c r="D102" s="5">
        <v>606</v>
      </c>
      <c r="E102" s="5">
        <v>8</v>
      </c>
      <c r="F102" s="5">
        <v>0</v>
      </c>
      <c r="G102" s="5">
        <v>0</v>
      </c>
      <c r="H102" s="6">
        <v>77.5</v>
      </c>
      <c r="I102" s="5">
        <v>29</v>
      </c>
      <c r="J102" s="5">
        <v>357565</v>
      </c>
      <c r="K102" s="4" t="s">
        <v>362</v>
      </c>
      <c r="L102" s="4" t="s">
        <v>55</v>
      </c>
      <c r="M102" s="4" t="s">
        <v>363</v>
      </c>
      <c r="N102" s="7">
        <f>(60+80+80)/3</f>
      </c>
      <c r="O102" s="7">
        <f>(20+25+40+50)/4</f>
      </c>
    </row>
    <row x14ac:dyDescent="0.25" r="103" customHeight="1" ht="18.75">
      <c r="A103" s="4" t="s">
        <v>364</v>
      </c>
      <c r="B103" s="4" t="s">
        <v>266</v>
      </c>
      <c r="C103" s="4" t="s">
        <v>53</v>
      </c>
      <c r="D103" s="5">
        <v>601</v>
      </c>
      <c r="E103" s="5">
        <v>7</v>
      </c>
      <c r="F103" s="5">
        <v>0</v>
      </c>
      <c r="G103" s="5">
        <v>0</v>
      </c>
      <c r="H103" s="6">
        <v>73.6</v>
      </c>
      <c r="I103" s="6">
        <v>30.2</v>
      </c>
      <c r="J103" s="5">
        <v>102558</v>
      </c>
      <c r="K103" s="4" t="s">
        <v>365</v>
      </c>
      <c r="L103" s="4" t="s">
        <v>136</v>
      </c>
      <c r="M103" s="4" t="s">
        <v>366</v>
      </c>
      <c r="N103" s="7">
        <f>(75+75+75)/3</f>
      </c>
      <c r="O103" s="7">
        <f>(70+70+70)/3</f>
      </c>
    </row>
    <row x14ac:dyDescent="0.25" r="104" customHeight="1" ht="18.75">
      <c r="A104" s="4" t="s">
        <v>367</v>
      </c>
      <c r="B104" s="4" t="s">
        <v>139</v>
      </c>
      <c r="C104" s="4" t="s">
        <v>53</v>
      </c>
      <c r="D104" s="5">
        <v>590</v>
      </c>
      <c r="E104" s="5">
        <v>8</v>
      </c>
      <c r="F104" s="5">
        <v>0</v>
      </c>
      <c r="G104" s="5">
        <v>1</v>
      </c>
      <c r="H104" s="6">
        <v>71.6</v>
      </c>
      <c r="I104" s="6">
        <v>29.7</v>
      </c>
      <c r="J104" s="5">
        <v>53622</v>
      </c>
      <c r="K104" s="4" t="s">
        <v>368</v>
      </c>
      <c r="L104" s="4" t="s">
        <v>84</v>
      </c>
      <c r="M104" s="4" t="s">
        <v>369</v>
      </c>
      <c r="N104" s="7">
        <f>(50+50)/2</f>
      </c>
      <c r="O104" s="7">
        <f>(30+40+40)/3</f>
      </c>
    </row>
    <row x14ac:dyDescent="0.25" r="105" customHeight="1" ht="18.75">
      <c r="A105" s="4" t="s">
        <v>370</v>
      </c>
      <c r="B105" s="4" t="s">
        <v>296</v>
      </c>
      <c r="C105" s="4" t="s">
        <v>22</v>
      </c>
      <c r="D105" s="5">
        <v>587</v>
      </c>
      <c r="E105" s="5">
        <v>8</v>
      </c>
      <c r="F105" s="5">
        <v>4</v>
      </c>
      <c r="G105" s="5">
        <v>2</v>
      </c>
      <c r="H105" s="6">
        <v>62.1</v>
      </c>
      <c r="I105" s="6">
        <v>30.4</v>
      </c>
      <c r="J105" s="5">
        <v>18922</v>
      </c>
      <c r="K105" s="4" t="s">
        <v>371</v>
      </c>
      <c r="L105" s="4" t="s">
        <v>71</v>
      </c>
      <c r="M105" s="4" t="s">
        <v>372</v>
      </c>
      <c r="N105" s="7">
        <f>(40+40)/2</f>
      </c>
      <c r="O105" s="7">
        <f>(50+40+40)/3</f>
      </c>
    </row>
    <row x14ac:dyDescent="0.25" r="106" customHeight="1" ht="18.75">
      <c r="A106" s="4" t="s">
        <v>373</v>
      </c>
      <c r="B106" s="4" t="s">
        <v>186</v>
      </c>
      <c r="C106" s="4" t="s">
        <v>32</v>
      </c>
      <c r="D106" s="5">
        <v>582</v>
      </c>
      <c r="E106" s="5">
        <v>7</v>
      </c>
      <c r="F106" s="5">
        <v>0</v>
      </c>
      <c r="G106" s="5">
        <v>1</v>
      </c>
      <c r="H106" s="6">
        <v>63.5</v>
      </c>
      <c r="I106" s="6">
        <v>32.2</v>
      </c>
      <c r="J106" s="5">
        <v>14086</v>
      </c>
      <c r="K106" s="4" t="s">
        <v>374</v>
      </c>
      <c r="L106" s="4" t="s">
        <v>63</v>
      </c>
      <c r="M106" s="4" t="s">
        <v>375</v>
      </c>
      <c r="N106" s="7">
        <f>(5+4)/2</f>
      </c>
      <c r="O106" s="7">
        <f>(5+7+7)/3</f>
      </c>
    </row>
    <row x14ac:dyDescent="0.25" r="107" customHeight="1" ht="18.75">
      <c r="A107" s="4" t="s">
        <v>376</v>
      </c>
      <c r="B107" s="4" t="s">
        <v>134</v>
      </c>
      <c r="C107" s="4" t="s">
        <v>22</v>
      </c>
      <c r="D107" s="5">
        <v>579</v>
      </c>
      <c r="E107" s="5">
        <v>8</v>
      </c>
      <c r="F107" s="5">
        <v>1</v>
      </c>
      <c r="G107" s="5">
        <v>0</v>
      </c>
      <c r="H107" s="6">
        <v>62.2</v>
      </c>
      <c r="I107" s="6">
        <v>31.5</v>
      </c>
      <c r="J107" s="5">
        <v>34572</v>
      </c>
      <c r="K107" s="4" t="s">
        <v>377</v>
      </c>
      <c r="L107" s="4" t="s">
        <v>378</v>
      </c>
      <c r="M107" s="4" t="s">
        <v>379</v>
      </c>
      <c r="N107" s="7">
        <f>(18+10+10)/3</f>
      </c>
      <c r="O107" s="7">
        <f>(18+20+25)/3</f>
      </c>
    </row>
    <row x14ac:dyDescent="0.25" r="108" customHeight="1" ht="18.75">
      <c r="A108" s="4" t="s">
        <v>380</v>
      </c>
      <c r="B108" s="4" t="s">
        <v>139</v>
      </c>
      <c r="C108" s="4" t="s">
        <v>53</v>
      </c>
      <c r="D108" s="5">
        <v>578</v>
      </c>
      <c r="E108" s="5">
        <v>8</v>
      </c>
      <c r="F108" s="5">
        <v>4</v>
      </c>
      <c r="G108" s="5">
        <v>1</v>
      </c>
      <c r="H108" s="5">
        <v>74</v>
      </c>
      <c r="I108" s="6">
        <v>31.7</v>
      </c>
      <c r="J108" s="5">
        <v>241641</v>
      </c>
      <c r="K108" s="4" t="s">
        <v>381</v>
      </c>
      <c r="L108" s="4" t="s">
        <v>141</v>
      </c>
      <c r="M108" s="4" t="s">
        <v>382</v>
      </c>
      <c r="N108" s="7">
        <f>(80+100+100)/3</f>
      </c>
      <c r="O108" s="7">
        <f>(40+50+60+65)/4</f>
      </c>
    </row>
    <row x14ac:dyDescent="0.25" r="109" customHeight="1" ht="18.75">
      <c r="A109" s="4" t="s">
        <v>383</v>
      </c>
      <c r="B109" s="4" t="s">
        <v>285</v>
      </c>
      <c r="C109" s="4" t="s">
        <v>22</v>
      </c>
      <c r="D109" s="5">
        <v>570</v>
      </c>
      <c r="E109" s="5">
        <v>6</v>
      </c>
      <c r="F109" s="5">
        <v>5</v>
      </c>
      <c r="G109" s="5">
        <v>4</v>
      </c>
      <c r="H109" s="6">
        <v>57.3</v>
      </c>
      <c r="I109" s="6">
        <v>31.7</v>
      </c>
      <c r="J109" s="5">
        <v>28396</v>
      </c>
      <c r="K109" s="4" t="s">
        <v>384</v>
      </c>
      <c r="L109" s="4" t="s">
        <v>385</v>
      </c>
      <c r="M109" s="4" t="s">
        <v>386</v>
      </c>
      <c r="N109" s="7">
        <f>(14+14)/2</f>
      </c>
      <c r="O109" s="7">
        <f>(25+23)/2</f>
      </c>
    </row>
    <row x14ac:dyDescent="0.25" r="110" customHeight="1" ht="18.75">
      <c r="A110" s="4" t="s">
        <v>387</v>
      </c>
      <c r="B110" s="4" t="s">
        <v>285</v>
      </c>
      <c r="C110" s="4" t="s">
        <v>17</v>
      </c>
      <c r="D110" s="5">
        <v>570</v>
      </c>
      <c r="E110" s="5">
        <v>6</v>
      </c>
      <c r="F110" s="5">
        <v>0</v>
      </c>
      <c r="G110" s="5">
        <v>0</v>
      </c>
      <c r="H110" s="6">
        <v>28.2</v>
      </c>
      <c r="I110" s="6">
        <v>25.7</v>
      </c>
      <c r="J110" s="5">
        <v>101299</v>
      </c>
      <c r="K110" s="4"/>
      <c r="L110" s="4" t="s">
        <v>67</v>
      </c>
      <c r="M110" s="4" t="s">
        <v>388</v>
      </c>
      <c r="N110" s="4"/>
      <c r="O110" s="4"/>
    </row>
    <row x14ac:dyDescent="0.25" r="111" customHeight="1" ht="18.75">
      <c r="A111" s="4" t="s">
        <v>389</v>
      </c>
      <c r="B111" s="4" t="s">
        <v>40</v>
      </c>
      <c r="C111" s="4" t="s">
        <v>32</v>
      </c>
      <c r="D111" s="5">
        <v>567</v>
      </c>
      <c r="E111" s="5">
        <v>9</v>
      </c>
      <c r="F111" s="5">
        <v>0</v>
      </c>
      <c r="G111" s="5">
        <v>1</v>
      </c>
      <c r="H111" s="6">
        <v>70.5</v>
      </c>
      <c r="I111" s="6">
        <v>32.4</v>
      </c>
      <c r="J111" s="5">
        <v>424204</v>
      </c>
      <c r="K111" s="4" t="s">
        <v>390</v>
      </c>
      <c r="L111" s="4" t="s">
        <v>391</v>
      </c>
      <c r="M111" s="4" t="s">
        <v>392</v>
      </c>
      <c r="N111" s="7">
        <f>(10+15+25)/3</f>
      </c>
      <c r="O111" s="7">
        <f>(0.8+10+10)/3</f>
      </c>
    </row>
    <row x14ac:dyDescent="0.25" r="112" customHeight="1" ht="18.75">
      <c r="A112" s="4" t="s">
        <v>393</v>
      </c>
      <c r="B112" s="4" t="s">
        <v>52</v>
      </c>
      <c r="C112" s="4" t="s">
        <v>53</v>
      </c>
      <c r="D112" s="5">
        <v>566</v>
      </c>
      <c r="E112" s="5">
        <v>9</v>
      </c>
      <c r="F112" s="5">
        <v>0</v>
      </c>
      <c r="G112" s="5">
        <v>0</v>
      </c>
      <c r="H112" s="5">
        <v>69</v>
      </c>
      <c r="I112" s="6">
        <v>31.3</v>
      </c>
      <c r="J112" s="5">
        <v>362842</v>
      </c>
      <c r="K112" s="4" t="s">
        <v>394</v>
      </c>
      <c r="L112" s="4" t="s">
        <v>19</v>
      </c>
      <c r="M112" s="4" t="s">
        <v>395</v>
      </c>
      <c r="N112" s="7">
        <f>(60+70+70)/3</f>
      </c>
      <c r="O112" s="7">
        <f>(30+50+50)/3</f>
      </c>
    </row>
    <row x14ac:dyDescent="0.25" r="113" customHeight="1" ht="18.75">
      <c r="A113" s="4" t="s">
        <v>396</v>
      </c>
      <c r="B113" s="4" t="s">
        <v>223</v>
      </c>
      <c r="C113" s="4" t="s">
        <v>53</v>
      </c>
      <c r="D113" s="5">
        <v>562</v>
      </c>
      <c r="E113" s="5">
        <v>7</v>
      </c>
      <c r="F113" s="5">
        <v>2</v>
      </c>
      <c r="G113" s="5">
        <v>1</v>
      </c>
      <c r="H113" s="6">
        <v>74.8</v>
      </c>
      <c r="I113" s="6">
        <v>27.7</v>
      </c>
      <c r="J113" s="5">
        <v>74229</v>
      </c>
      <c r="K113" s="4" t="s">
        <v>397</v>
      </c>
      <c r="L113" s="4" t="s">
        <v>55</v>
      </c>
      <c r="M113" s="4" t="s">
        <v>398</v>
      </c>
      <c r="N113" s="7">
        <f>(70+60)/2</f>
      </c>
      <c r="O113" s="7">
        <f>(70+70+70)/3</f>
      </c>
    </row>
    <row x14ac:dyDescent="0.25" r="114" customHeight="1" ht="18.75">
      <c r="A114" s="4" t="s">
        <v>399</v>
      </c>
      <c r="B114" s="4" t="s">
        <v>103</v>
      </c>
      <c r="C114" s="4" t="s">
        <v>22</v>
      </c>
      <c r="D114" s="5">
        <v>561</v>
      </c>
      <c r="E114" s="5">
        <v>8</v>
      </c>
      <c r="F114" s="5">
        <v>3</v>
      </c>
      <c r="G114" s="5">
        <v>2</v>
      </c>
      <c r="H114" s="6">
        <v>68.5</v>
      </c>
      <c r="I114" s="6">
        <v>30.8</v>
      </c>
      <c r="J114" s="5">
        <v>125165</v>
      </c>
      <c r="K114" s="4" t="s">
        <v>400</v>
      </c>
      <c r="L114" s="4" t="s">
        <v>401</v>
      </c>
      <c r="M114" s="4" t="s">
        <v>402</v>
      </c>
      <c r="N114" s="7">
        <f>(16+20+22+25)/4</f>
      </c>
      <c r="O114" s="7">
        <f>(12+12)/2</f>
      </c>
    </row>
    <row x14ac:dyDescent="0.25" r="115" customHeight="1" ht="18.75">
      <c r="A115" s="4" t="s">
        <v>403</v>
      </c>
      <c r="B115" s="4" t="s">
        <v>52</v>
      </c>
      <c r="C115" s="4" t="s">
        <v>32</v>
      </c>
      <c r="D115" s="5">
        <v>554</v>
      </c>
      <c r="E115" s="5">
        <v>10</v>
      </c>
      <c r="F115" s="5">
        <v>0</v>
      </c>
      <c r="G115" s="5">
        <v>0</v>
      </c>
      <c r="H115" s="6">
        <v>60.9</v>
      </c>
      <c r="I115" s="6">
        <v>31.7</v>
      </c>
      <c r="J115" s="5">
        <v>231572</v>
      </c>
      <c r="K115" s="4" t="s">
        <v>404</v>
      </c>
      <c r="L115" s="4" t="s">
        <v>141</v>
      </c>
      <c r="M115" s="4" t="s">
        <v>405</v>
      </c>
      <c r="N115" s="7">
        <f>(40+40+40)/3</f>
      </c>
      <c r="O115" s="7">
        <f>(30+30+35)/3</f>
      </c>
    </row>
    <row x14ac:dyDescent="0.25" r="116" customHeight="1" ht="18.75">
      <c r="A116" s="4" t="s">
        <v>406</v>
      </c>
      <c r="B116" s="4" t="s">
        <v>134</v>
      </c>
      <c r="C116" s="4" t="s">
        <v>53</v>
      </c>
      <c r="D116" s="5">
        <v>552</v>
      </c>
      <c r="E116" s="5">
        <v>8</v>
      </c>
      <c r="F116" s="5">
        <v>0</v>
      </c>
      <c r="G116" s="5">
        <v>1</v>
      </c>
      <c r="H116" s="6">
        <v>70.3</v>
      </c>
      <c r="I116" s="6">
        <v>30.6</v>
      </c>
      <c r="J116" s="5">
        <v>197300</v>
      </c>
      <c r="K116" s="4" t="s">
        <v>407</v>
      </c>
      <c r="L116" s="4" t="s">
        <v>136</v>
      </c>
      <c r="M116" s="4" t="s">
        <v>408</v>
      </c>
      <c r="N116" s="7">
        <f>(45+40)/2</f>
      </c>
      <c r="O116" s="7">
        <f>(40+40+45+45)/4</f>
      </c>
    </row>
    <row x14ac:dyDescent="0.25" r="117" customHeight="1" ht="18.75">
      <c r="A117" s="4" t="s">
        <v>409</v>
      </c>
      <c r="B117" s="4" t="s">
        <v>134</v>
      </c>
      <c r="C117" s="4" t="s">
        <v>53</v>
      </c>
      <c r="D117" s="5">
        <v>550</v>
      </c>
      <c r="E117" s="5">
        <v>7</v>
      </c>
      <c r="F117" s="5">
        <v>0</v>
      </c>
      <c r="G117" s="5">
        <v>0</v>
      </c>
      <c r="H117" s="6">
        <v>71.2</v>
      </c>
      <c r="I117" s="6">
        <v>29.5</v>
      </c>
      <c r="J117" s="5">
        <v>354362</v>
      </c>
      <c r="K117" s="4" t="s">
        <v>410</v>
      </c>
      <c r="L117" s="4" t="s">
        <v>131</v>
      </c>
      <c r="M117" s="4" t="s">
        <v>411</v>
      </c>
      <c r="N117" s="7">
        <f>(35+40)/2</f>
      </c>
      <c r="O117" s="7">
        <f>(15+20+35)/3</f>
      </c>
    </row>
    <row x14ac:dyDescent="0.25" r="118" customHeight="1" ht="18.75">
      <c r="A118" s="4" t="s">
        <v>412</v>
      </c>
      <c r="B118" s="4" t="s">
        <v>186</v>
      </c>
      <c r="C118" s="4" t="s">
        <v>22</v>
      </c>
      <c r="D118" s="5">
        <v>546</v>
      </c>
      <c r="E118" s="5">
        <v>9</v>
      </c>
      <c r="F118" s="5">
        <v>2</v>
      </c>
      <c r="G118" s="5">
        <v>1</v>
      </c>
      <c r="H118" s="6">
        <v>56.8</v>
      </c>
      <c r="I118" s="6">
        <v>33.3</v>
      </c>
      <c r="J118" s="5">
        <v>96341</v>
      </c>
      <c r="K118" s="4" t="s">
        <v>413</v>
      </c>
      <c r="L118" s="4" t="s">
        <v>42</v>
      </c>
      <c r="M118" s="4" t="s">
        <v>414</v>
      </c>
      <c r="N118" s="7">
        <f>(75+75)/2</f>
      </c>
      <c r="O118" s="7">
        <f>(85+90+100+85)/4</f>
      </c>
    </row>
    <row x14ac:dyDescent="0.25" r="119" customHeight="1" ht="18.75">
      <c r="A119" s="4" t="s">
        <v>415</v>
      </c>
      <c r="B119" s="4" t="s">
        <v>416</v>
      </c>
      <c r="C119" s="4" t="s">
        <v>22</v>
      </c>
      <c r="D119" s="5">
        <v>540</v>
      </c>
      <c r="E119" s="5">
        <v>6</v>
      </c>
      <c r="F119" s="5">
        <v>4</v>
      </c>
      <c r="G119" s="5">
        <v>0</v>
      </c>
      <c r="H119" s="6">
        <v>57.8</v>
      </c>
      <c r="I119" s="6">
        <v>29.7</v>
      </c>
      <c r="J119" s="5">
        <v>68863</v>
      </c>
      <c r="K119" s="4" t="s">
        <v>417</v>
      </c>
      <c r="L119" s="4" t="s">
        <v>136</v>
      </c>
      <c r="M119" s="4" t="s">
        <v>418</v>
      </c>
      <c r="N119" s="7">
        <f>(90+80+75+75)/4</f>
      </c>
      <c r="O119" s="7">
        <f>(95+100)/2</f>
      </c>
    </row>
    <row x14ac:dyDescent="0.25" r="120" customHeight="1" ht="18.75">
      <c r="A120" s="4" t="s">
        <v>419</v>
      </c>
      <c r="B120" s="4" t="s">
        <v>420</v>
      </c>
      <c r="C120" s="4" t="s">
        <v>53</v>
      </c>
      <c r="D120" s="5">
        <v>540</v>
      </c>
      <c r="E120" s="5">
        <v>6</v>
      </c>
      <c r="F120" s="5">
        <v>3</v>
      </c>
      <c r="G120" s="5">
        <v>2</v>
      </c>
      <c r="H120" s="6">
        <v>64.5</v>
      </c>
      <c r="I120" s="5">
        <v>32</v>
      </c>
      <c r="J120" s="5">
        <v>293200</v>
      </c>
      <c r="K120" s="4" t="s">
        <v>421</v>
      </c>
      <c r="L120" s="4" t="s">
        <v>378</v>
      </c>
      <c r="M120" s="4" t="s">
        <v>422</v>
      </c>
      <c r="N120" s="7">
        <f>(20+22)/2</f>
      </c>
      <c r="O120" s="7">
        <f>(8+8+10+18)/4</f>
      </c>
    </row>
    <row x14ac:dyDescent="0.25" r="121" customHeight="1" ht="18.75">
      <c r="A121" s="4" t="s">
        <v>423</v>
      </c>
      <c r="B121" s="4" t="s">
        <v>424</v>
      </c>
      <c r="C121" s="4" t="s">
        <v>32</v>
      </c>
      <c r="D121" s="5">
        <v>540</v>
      </c>
      <c r="E121" s="5">
        <v>6</v>
      </c>
      <c r="F121" s="5">
        <v>2</v>
      </c>
      <c r="G121" s="5">
        <v>3</v>
      </c>
      <c r="H121" s="5">
        <v>64</v>
      </c>
      <c r="I121" s="6">
        <v>32.6</v>
      </c>
      <c r="J121" s="5">
        <v>124028</v>
      </c>
      <c r="K121" s="4" t="s">
        <v>425</v>
      </c>
      <c r="L121" s="4" t="s">
        <v>19</v>
      </c>
      <c r="M121" s="4" t="s">
        <v>426</v>
      </c>
      <c r="N121" s="7">
        <f>19</f>
      </c>
      <c r="O121" s="7">
        <f>(5.5+6.5+11+18)/4</f>
      </c>
    </row>
    <row x14ac:dyDescent="0.25" r="122" customHeight="1" ht="18.75">
      <c r="A122" s="4" t="s">
        <v>427</v>
      </c>
      <c r="B122" s="4" t="s">
        <v>428</v>
      </c>
      <c r="C122" s="4" t="s">
        <v>53</v>
      </c>
      <c r="D122" s="5">
        <v>540</v>
      </c>
      <c r="E122" s="5">
        <v>6</v>
      </c>
      <c r="F122" s="5">
        <v>2</v>
      </c>
      <c r="G122" s="5">
        <v>1</v>
      </c>
      <c r="H122" s="6">
        <v>68.5</v>
      </c>
      <c r="I122" s="6">
        <v>30.4</v>
      </c>
      <c r="J122" s="5">
        <v>137576</v>
      </c>
      <c r="K122" s="4" t="s">
        <v>429</v>
      </c>
      <c r="L122" s="4" t="s">
        <v>42</v>
      </c>
      <c r="M122" s="4" t="s">
        <v>430</v>
      </c>
      <c r="N122" s="7">
        <f>(11.5+14+15)/3</f>
      </c>
      <c r="O122" s="7">
        <f>(6+7+7.5+8.5+10)/5</f>
      </c>
    </row>
    <row x14ac:dyDescent="0.25" r="123" customHeight="1" ht="18.75">
      <c r="A123" s="4" t="s">
        <v>431</v>
      </c>
      <c r="B123" s="4" t="s">
        <v>432</v>
      </c>
      <c r="C123" s="4" t="s">
        <v>22</v>
      </c>
      <c r="D123" s="5">
        <v>540</v>
      </c>
      <c r="E123" s="5">
        <v>6</v>
      </c>
      <c r="F123" s="5">
        <v>2</v>
      </c>
      <c r="G123" s="5">
        <v>1</v>
      </c>
      <c r="H123" s="6">
        <v>55.4</v>
      </c>
      <c r="I123" s="6">
        <v>32.4</v>
      </c>
      <c r="J123" s="5">
        <v>316889</v>
      </c>
      <c r="K123" s="4" t="s">
        <v>433</v>
      </c>
      <c r="L123" s="4" t="s">
        <v>401</v>
      </c>
      <c r="M123" s="4" t="s">
        <v>434</v>
      </c>
      <c r="N123" s="7">
        <f>(40+40)/2</f>
      </c>
      <c r="O123" s="7">
        <f>(22+25+30+40+40)/5</f>
      </c>
    </row>
    <row x14ac:dyDescent="0.25" r="124" customHeight="1" ht="18.75">
      <c r="A124" s="4" t="s">
        <v>435</v>
      </c>
      <c r="B124" s="4" t="s">
        <v>436</v>
      </c>
      <c r="C124" s="4" t="s">
        <v>32</v>
      </c>
      <c r="D124" s="5">
        <v>540</v>
      </c>
      <c r="E124" s="5">
        <v>6</v>
      </c>
      <c r="F124" s="5">
        <v>2</v>
      </c>
      <c r="G124" s="5">
        <v>0</v>
      </c>
      <c r="H124" s="6">
        <v>62.4</v>
      </c>
      <c r="I124" s="6">
        <v>30.8</v>
      </c>
      <c r="J124" s="5">
        <v>193082</v>
      </c>
      <c r="K124" s="4" t="s">
        <v>437</v>
      </c>
      <c r="L124" s="4" t="s">
        <v>55</v>
      </c>
      <c r="M124" s="4" t="s">
        <v>438</v>
      </c>
      <c r="N124" s="7">
        <f>(28+32+35)/3</f>
      </c>
      <c r="O124" s="7">
        <f>(13+20+25)/3</f>
      </c>
    </row>
    <row x14ac:dyDescent="0.25" r="125" customHeight="1" ht="18.75">
      <c r="A125" s="4" t="s">
        <v>439</v>
      </c>
      <c r="B125" s="4" t="s">
        <v>440</v>
      </c>
      <c r="C125" s="4" t="s">
        <v>53</v>
      </c>
      <c r="D125" s="5">
        <v>540</v>
      </c>
      <c r="E125" s="5">
        <v>6</v>
      </c>
      <c r="F125" s="5">
        <v>1</v>
      </c>
      <c r="G125" s="5">
        <v>1</v>
      </c>
      <c r="H125" s="6">
        <v>66.9</v>
      </c>
      <c r="I125" s="6">
        <v>30.6</v>
      </c>
      <c r="J125" s="5">
        <v>217879</v>
      </c>
      <c r="K125" s="4" t="s">
        <v>441</v>
      </c>
      <c r="L125" s="4" t="s">
        <v>442</v>
      </c>
      <c r="M125" s="4" t="s">
        <v>443</v>
      </c>
      <c r="N125" s="7">
        <f>(6.5+6)/2</f>
      </c>
      <c r="O125" s="7">
        <f>(4+4.25+5)/3</f>
      </c>
    </row>
    <row x14ac:dyDescent="0.25" r="126" customHeight="1" ht="18.75">
      <c r="A126" s="4" t="s">
        <v>444</v>
      </c>
      <c r="B126" s="4" t="s">
        <v>428</v>
      </c>
      <c r="C126" s="4" t="s">
        <v>53</v>
      </c>
      <c r="D126" s="5">
        <v>540</v>
      </c>
      <c r="E126" s="5">
        <v>6</v>
      </c>
      <c r="F126" s="5">
        <v>1</v>
      </c>
      <c r="G126" s="5">
        <v>0</v>
      </c>
      <c r="H126" s="6">
        <v>69.8</v>
      </c>
      <c r="I126" s="6">
        <v>28.8</v>
      </c>
      <c r="J126" s="5">
        <v>45864</v>
      </c>
      <c r="K126" s="4" t="s">
        <v>445</v>
      </c>
      <c r="L126" s="4" t="s">
        <v>34</v>
      </c>
      <c r="M126" s="4" t="s">
        <v>446</v>
      </c>
      <c r="N126" s="7">
        <f>(6+6)/2</f>
      </c>
      <c r="O126" s="7">
        <f>(7+7.5+7)/3</f>
      </c>
    </row>
    <row x14ac:dyDescent="0.25" r="127" customHeight="1" ht="18.75">
      <c r="A127" s="4" t="s">
        <v>447</v>
      </c>
      <c r="B127" s="4" t="s">
        <v>448</v>
      </c>
      <c r="C127" s="4" t="s">
        <v>32</v>
      </c>
      <c r="D127" s="5">
        <v>540</v>
      </c>
      <c r="E127" s="5">
        <v>6</v>
      </c>
      <c r="F127" s="5">
        <v>1</v>
      </c>
      <c r="G127" s="5">
        <v>0</v>
      </c>
      <c r="H127" s="6">
        <v>68.7</v>
      </c>
      <c r="I127" s="6">
        <v>30.8</v>
      </c>
      <c r="J127" s="5">
        <v>143798</v>
      </c>
      <c r="K127" s="4" t="s">
        <v>449</v>
      </c>
      <c r="L127" s="4" t="s">
        <v>450</v>
      </c>
      <c r="M127" s="4" t="s">
        <v>451</v>
      </c>
      <c r="N127" s="7">
        <f>(20+20)/2</f>
      </c>
      <c r="O127" s="7">
        <f>(8.5+11+18)/3</f>
      </c>
    </row>
    <row x14ac:dyDescent="0.25" r="128" customHeight="1" ht="18.75">
      <c r="A128" s="4" t="s">
        <v>452</v>
      </c>
      <c r="B128" s="4" t="s">
        <v>243</v>
      </c>
      <c r="C128" s="4" t="s">
        <v>32</v>
      </c>
      <c r="D128" s="5">
        <v>540</v>
      </c>
      <c r="E128" s="5">
        <v>6</v>
      </c>
      <c r="F128" s="5">
        <v>1</v>
      </c>
      <c r="G128" s="5">
        <v>0</v>
      </c>
      <c r="H128" s="6">
        <v>58.3</v>
      </c>
      <c r="I128" s="6">
        <v>29.5</v>
      </c>
      <c r="J128" s="5">
        <v>39728</v>
      </c>
      <c r="K128" s="4" t="s">
        <v>453</v>
      </c>
      <c r="L128" s="4" t="s">
        <v>84</v>
      </c>
      <c r="M128" s="4" t="s">
        <v>454</v>
      </c>
      <c r="N128" s="7">
        <f>(35+30)/2</f>
      </c>
      <c r="O128" s="7">
        <f>(60+60+55+40)/4</f>
      </c>
    </row>
    <row x14ac:dyDescent="0.25" r="129" customHeight="1" ht="18.75">
      <c r="A129" s="4" t="s">
        <v>455</v>
      </c>
      <c r="B129" s="4" t="s">
        <v>223</v>
      </c>
      <c r="C129" s="4" t="s">
        <v>32</v>
      </c>
      <c r="D129" s="5">
        <v>540</v>
      </c>
      <c r="E129" s="5">
        <v>6</v>
      </c>
      <c r="F129" s="5">
        <v>1</v>
      </c>
      <c r="G129" s="5">
        <v>0</v>
      </c>
      <c r="H129" s="6">
        <v>55.5</v>
      </c>
      <c r="I129" s="6">
        <v>29.7</v>
      </c>
      <c r="J129" s="5">
        <v>54928</v>
      </c>
      <c r="K129" s="4" t="s">
        <v>456</v>
      </c>
      <c r="L129" s="4" t="s">
        <v>131</v>
      </c>
      <c r="M129" s="4" t="s">
        <v>457</v>
      </c>
      <c r="N129" s="7">
        <f>(20+15)/2</f>
      </c>
      <c r="O129" s="7">
        <f>(35+35+30+25)/4</f>
      </c>
    </row>
    <row x14ac:dyDescent="0.25" r="130" customHeight="1" ht="18.75">
      <c r="A130" s="4" t="s">
        <v>458</v>
      </c>
      <c r="B130" s="4" t="s">
        <v>459</v>
      </c>
      <c r="C130" s="4" t="s">
        <v>32</v>
      </c>
      <c r="D130" s="5">
        <v>540</v>
      </c>
      <c r="E130" s="5">
        <v>6</v>
      </c>
      <c r="F130" s="5">
        <v>0</v>
      </c>
      <c r="G130" s="5">
        <v>1</v>
      </c>
      <c r="H130" s="6">
        <v>63.4</v>
      </c>
      <c r="I130" s="5">
        <v>31</v>
      </c>
      <c r="J130" s="5">
        <v>649397</v>
      </c>
      <c r="K130" s="4" t="s">
        <v>460</v>
      </c>
      <c r="L130" s="4" t="s">
        <v>461</v>
      </c>
      <c r="M130" s="4" t="s">
        <v>462</v>
      </c>
      <c r="N130" s="4"/>
      <c r="O130" s="4"/>
    </row>
    <row x14ac:dyDescent="0.25" r="131" customHeight="1" ht="18.75">
      <c r="A131" s="4" t="s">
        <v>463</v>
      </c>
      <c r="B131" s="4" t="s">
        <v>464</v>
      </c>
      <c r="C131" s="4" t="s">
        <v>53</v>
      </c>
      <c r="D131" s="5">
        <v>540</v>
      </c>
      <c r="E131" s="5">
        <v>6</v>
      </c>
      <c r="F131" s="5">
        <v>0</v>
      </c>
      <c r="G131" s="5">
        <v>1</v>
      </c>
      <c r="H131" s="6">
        <v>63.1</v>
      </c>
      <c r="I131" s="6">
        <v>31.5</v>
      </c>
      <c r="J131" s="5">
        <v>45184</v>
      </c>
      <c r="K131" s="4" t="s">
        <v>465</v>
      </c>
      <c r="L131" s="4" t="s">
        <v>145</v>
      </c>
      <c r="M131" s="4" t="s">
        <v>466</v>
      </c>
      <c r="N131" s="7">
        <f>(18+20)/2</f>
      </c>
      <c r="O131" s="7">
        <f>(20+18+18)/3</f>
      </c>
    </row>
    <row x14ac:dyDescent="0.25" r="132" customHeight="1" ht="18.75">
      <c r="A132" s="4" t="s">
        <v>467</v>
      </c>
      <c r="B132" s="4" t="s">
        <v>432</v>
      </c>
      <c r="C132" s="4" t="s">
        <v>32</v>
      </c>
      <c r="D132" s="5">
        <v>540</v>
      </c>
      <c r="E132" s="5">
        <v>6</v>
      </c>
      <c r="F132" s="5">
        <v>0</v>
      </c>
      <c r="G132" s="5">
        <v>1</v>
      </c>
      <c r="H132" s="6">
        <v>60.6</v>
      </c>
      <c r="I132" s="6">
        <v>31.5</v>
      </c>
      <c r="J132" s="5">
        <v>277179</v>
      </c>
      <c r="K132" s="4" t="s">
        <v>468</v>
      </c>
      <c r="L132" s="4" t="s">
        <v>55</v>
      </c>
      <c r="M132" s="4" t="s">
        <v>469</v>
      </c>
      <c r="N132" s="7">
        <f>(16+16)/2</f>
      </c>
      <c r="O132" s="7">
        <f>(0.8+1.25+3+7+12)/5</f>
      </c>
    </row>
    <row x14ac:dyDescent="0.25" r="133" customHeight="1" ht="18.75">
      <c r="A133" s="4" t="s">
        <v>470</v>
      </c>
      <c r="B133" s="4" t="s">
        <v>471</v>
      </c>
      <c r="C133" s="4" t="s">
        <v>53</v>
      </c>
      <c r="D133" s="5">
        <v>540</v>
      </c>
      <c r="E133" s="5">
        <v>6</v>
      </c>
      <c r="F133" s="5">
        <v>0</v>
      </c>
      <c r="G133" s="5">
        <v>0</v>
      </c>
      <c r="H133" s="6">
        <v>68.8</v>
      </c>
      <c r="I133" s="6">
        <v>28.1</v>
      </c>
      <c r="J133" s="5">
        <v>249565</v>
      </c>
      <c r="K133" s="4" t="s">
        <v>472</v>
      </c>
      <c r="L133" s="4" t="s">
        <v>42</v>
      </c>
      <c r="M133" s="4" t="s">
        <v>473</v>
      </c>
      <c r="N133" s="7">
        <f>(22+38+45+55)/4</f>
      </c>
      <c r="O133" s="7">
        <f>(25+20+18)/3</f>
      </c>
    </row>
    <row x14ac:dyDescent="0.25" r="134" customHeight="1" ht="18.75">
      <c r="A134" s="4" t="s">
        <v>474</v>
      </c>
      <c r="B134" s="4" t="s">
        <v>186</v>
      </c>
      <c r="C134" s="4" t="s">
        <v>53</v>
      </c>
      <c r="D134" s="5">
        <v>540</v>
      </c>
      <c r="E134" s="5">
        <v>6</v>
      </c>
      <c r="F134" s="5">
        <v>0</v>
      </c>
      <c r="G134" s="5">
        <v>0</v>
      </c>
      <c r="H134" s="6">
        <v>68.5</v>
      </c>
      <c r="I134" s="6">
        <v>30.2</v>
      </c>
      <c r="J134" s="5">
        <v>74683</v>
      </c>
      <c r="K134" s="4" t="s">
        <v>475</v>
      </c>
      <c r="L134" s="4" t="s">
        <v>29</v>
      </c>
      <c r="M134" s="4" t="s">
        <v>476</v>
      </c>
      <c r="N134" s="7">
        <f>(30+25+20)/3</f>
      </c>
      <c r="O134" s="7">
        <f>(40+40+35)/3</f>
      </c>
    </row>
    <row x14ac:dyDescent="0.25" r="135" customHeight="1" ht="18.75">
      <c r="A135" s="4" t="s">
        <v>477</v>
      </c>
      <c r="B135" s="4" t="s">
        <v>478</v>
      </c>
      <c r="C135" s="4" t="s">
        <v>32</v>
      </c>
      <c r="D135" s="5">
        <v>540</v>
      </c>
      <c r="E135" s="5">
        <v>6</v>
      </c>
      <c r="F135" s="5">
        <v>0</v>
      </c>
      <c r="G135" s="5">
        <v>0</v>
      </c>
      <c r="H135" s="6">
        <v>65.6</v>
      </c>
      <c r="I135" s="6">
        <v>33.3</v>
      </c>
      <c r="J135" s="5">
        <v>112930</v>
      </c>
      <c r="K135" s="4" t="s">
        <v>479</v>
      </c>
      <c r="L135" s="4" t="s">
        <v>42</v>
      </c>
      <c r="M135" s="4" t="s">
        <v>480</v>
      </c>
      <c r="N135" s="7">
        <f>(4.5+12+10+10)/4</f>
      </c>
      <c r="O135" s="7">
        <f>(2+2.5+3)/3</f>
      </c>
    </row>
    <row x14ac:dyDescent="0.25" r="136" customHeight="1" ht="18.75">
      <c r="A136" s="4" t="s">
        <v>481</v>
      </c>
      <c r="B136" s="4" t="s">
        <v>432</v>
      </c>
      <c r="C136" s="4" t="s">
        <v>32</v>
      </c>
      <c r="D136" s="5">
        <v>540</v>
      </c>
      <c r="E136" s="5">
        <v>6</v>
      </c>
      <c r="F136" s="5">
        <v>0</v>
      </c>
      <c r="G136" s="5">
        <v>0</v>
      </c>
      <c r="H136" s="6">
        <v>63.5</v>
      </c>
      <c r="I136" s="6">
        <v>32.8</v>
      </c>
      <c r="J136" s="5">
        <v>321528</v>
      </c>
      <c r="K136" s="4" t="s">
        <v>482</v>
      </c>
      <c r="L136" s="4" t="s">
        <v>34</v>
      </c>
      <c r="M136" s="4" t="s">
        <v>483</v>
      </c>
      <c r="N136" s="7">
        <f>(15+13.5)/2</f>
      </c>
      <c r="O136" s="7">
        <f>(2.5+4+6+12)/4</f>
      </c>
    </row>
    <row x14ac:dyDescent="0.25" r="137" customHeight="1" ht="18.75">
      <c r="A137" s="4" t="s">
        <v>484</v>
      </c>
      <c r="B137" s="4" t="s">
        <v>428</v>
      </c>
      <c r="C137" s="4" t="s">
        <v>32</v>
      </c>
      <c r="D137" s="5">
        <v>540</v>
      </c>
      <c r="E137" s="5">
        <v>6</v>
      </c>
      <c r="F137" s="5">
        <v>0</v>
      </c>
      <c r="G137" s="5">
        <v>0</v>
      </c>
      <c r="H137" s="6">
        <v>63.2</v>
      </c>
      <c r="I137" s="5">
        <v>29</v>
      </c>
      <c r="J137" s="5">
        <v>80188</v>
      </c>
      <c r="K137" s="4" t="s">
        <v>485</v>
      </c>
      <c r="L137" s="4" t="s">
        <v>71</v>
      </c>
      <c r="M137" s="4" t="s">
        <v>486</v>
      </c>
      <c r="N137" s="7">
        <f>(2+1.6)/2</f>
      </c>
      <c r="O137" s="7">
        <f>(2.5+2.5+2.5)/3</f>
      </c>
    </row>
    <row x14ac:dyDescent="0.25" r="138" customHeight="1" ht="18.75">
      <c r="A138" s="4" t="s">
        <v>487</v>
      </c>
      <c r="B138" s="4" t="s">
        <v>436</v>
      </c>
      <c r="C138" s="4" t="s">
        <v>32</v>
      </c>
      <c r="D138" s="5">
        <v>540</v>
      </c>
      <c r="E138" s="5">
        <v>6</v>
      </c>
      <c r="F138" s="5">
        <v>0</v>
      </c>
      <c r="G138" s="5">
        <v>0</v>
      </c>
      <c r="H138" s="6">
        <v>62.7</v>
      </c>
      <c r="I138" s="6">
        <v>30.8</v>
      </c>
      <c r="J138" s="5">
        <v>375382</v>
      </c>
      <c r="K138" s="4" t="s">
        <v>488</v>
      </c>
      <c r="L138" s="4" t="s">
        <v>141</v>
      </c>
      <c r="M138" s="4" t="s">
        <v>489</v>
      </c>
      <c r="N138" s="7">
        <f>(0.3+0.3+0.8)/3</f>
      </c>
      <c r="O138" s="7">
        <f>(0.075+0.1)/2</f>
      </c>
    </row>
    <row x14ac:dyDescent="0.25" r="139" customHeight="1" ht="18.75">
      <c r="A139" s="4" t="s">
        <v>490</v>
      </c>
      <c r="B139" s="4" t="s">
        <v>420</v>
      </c>
      <c r="C139" s="4" t="s">
        <v>32</v>
      </c>
      <c r="D139" s="5">
        <v>540</v>
      </c>
      <c r="E139" s="5">
        <v>6</v>
      </c>
      <c r="F139" s="5">
        <v>0</v>
      </c>
      <c r="G139" s="5">
        <v>0</v>
      </c>
      <c r="H139" s="6">
        <v>61.7</v>
      </c>
      <c r="I139" s="6">
        <v>30.4</v>
      </c>
      <c r="J139" s="5">
        <v>38805</v>
      </c>
      <c r="K139" s="4" t="s">
        <v>491</v>
      </c>
      <c r="L139" s="4" t="s">
        <v>492</v>
      </c>
      <c r="M139" s="4" t="s">
        <v>493</v>
      </c>
      <c r="N139" s="7">
        <f>(1+0.7)/2</f>
      </c>
      <c r="O139" s="7">
        <f>(0.8+1.2)/2</f>
      </c>
    </row>
    <row x14ac:dyDescent="0.25" r="140" customHeight="1" ht="18.75">
      <c r="A140" s="4" t="s">
        <v>494</v>
      </c>
      <c r="B140" s="4" t="s">
        <v>134</v>
      </c>
      <c r="C140" s="4" t="s">
        <v>32</v>
      </c>
      <c r="D140" s="5">
        <v>540</v>
      </c>
      <c r="E140" s="5">
        <v>6</v>
      </c>
      <c r="F140" s="5">
        <v>0</v>
      </c>
      <c r="G140" s="5">
        <v>0</v>
      </c>
      <c r="H140" s="6">
        <v>61.2</v>
      </c>
      <c r="I140" s="6">
        <v>28.6</v>
      </c>
      <c r="J140" s="5">
        <v>29260</v>
      </c>
      <c r="K140" s="4" t="s">
        <v>495</v>
      </c>
      <c r="L140" s="4" t="s">
        <v>136</v>
      </c>
      <c r="M140" s="4" t="s">
        <v>496</v>
      </c>
      <c r="N140" s="7">
        <f>(7.5+5)/2</f>
      </c>
      <c r="O140" s="7">
        <f>(10+10)/2</f>
      </c>
    </row>
    <row x14ac:dyDescent="0.25" r="141" customHeight="1" ht="18.75">
      <c r="A141" s="4" t="s">
        <v>497</v>
      </c>
      <c r="B141" s="4" t="s">
        <v>285</v>
      </c>
      <c r="C141" s="4" t="s">
        <v>32</v>
      </c>
      <c r="D141" s="5">
        <v>540</v>
      </c>
      <c r="E141" s="5">
        <v>6</v>
      </c>
      <c r="F141" s="5">
        <v>0</v>
      </c>
      <c r="G141" s="5">
        <v>0</v>
      </c>
      <c r="H141" s="6">
        <v>60.8</v>
      </c>
      <c r="I141" s="6">
        <v>31.3</v>
      </c>
      <c r="J141" s="5">
        <v>45314</v>
      </c>
      <c r="K141" s="4" t="s">
        <v>498</v>
      </c>
      <c r="L141" s="4" t="s">
        <v>127</v>
      </c>
      <c r="M141" s="4" t="s">
        <v>499</v>
      </c>
      <c r="N141" s="7">
        <f>(6+4)/2</f>
      </c>
      <c r="O141" s="7">
        <f>(13+10)/2</f>
      </c>
    </row>
    <row x14ac:dyDescent="0.25" r="142" customHeight="1" ht="18.75">
      <c r="A142" s="4" t="s">
        <v>500</v>
      </c>
      <c r="B142" s="4" t="s">
        <v>428</v>
      </c>
      <c r="C142" s="4" t="s">
        <v>32</v>
      </c>
      <c r="D142" s="5">
        <v>540</v>
      </c>
      <c r="E142" s="5">
        <v>6</v>
      </c>
      <c r="F142" s="5">
        <v>0</v>
      </c>
      <c r="G142" s="5">
        <v>0</v>
      </c>
      <c r="H142" s="6">
        <v>60.8</v>
      </c>
      <c r="I142" s="6">
        <v>29.5</v>
      </c>
      <c r="J142" s="5">
        <v>182923</v>
      </c>
      <c r="K142" s="4" t="s">
        <v>501</v>
      </c>
      <c r="L142" s="4" t="s">
        <v>34</v>
      </c>
      <c r="M142" s="4" t="s">
        <v>502</v>
      </c>
      <c r="N142" s="7">
        <f>(6+6)/2</f>
      </c>
      <c r="O142" s="7">
        <f>(5+5+5)/3</f>
      </c>
    </row>
    <row x14ac:dyDescent="0.25" r="143" customHeight="1" ht="18.75">
      <c r="A143" s="4" t="s">
        <v>503</v>
      </c>
      <c r="B143" s="4" t="s">
        <v>504</v>
      </c>
      <c r="C143" s="4" t="s">
        <v>32</v>
      </c>
      <c r="D143" s="5">
        <v>540</v>
      </c>
      <c r="E143" s="5">
        <v>6</v>
      </c>
      <c r="F143" s="5">
        <v>0</v>
      </c>
      <c r="G143" s="5">
        <v>0</v>
      </c>
      <c r="H143" s="6">
        <v>60.1</v>
      </c>
      <c r="I143" s="6">
        <v>31.7</v>
      </c>
      <c r="J143" s="5">
        <v>187353</v>
      </c>
      <c r="K143" s="4" t="s">
        <v>505</v>
      </c>
      <c r="L143" s="4" t="s">
        <v>506</v>
      </c>
      <c r="M143" s="4" t="s">
        <v>507</v>
      </c>
      <c r="N143" s="7">
        <f>(3.25+3.25+4)/3</f>
      </c>
      <c r="O143" s="7">
        <f>0.8</f>
      </c>
    </row>
    <row x14ac:dyDescent="0.25" r="144" customHeight="1" ht="18.75">
      <c r="A144" s="4" t="s">
        <v>508</v>
      </c>
      <c r="B144" s="4" t="s">
        <v>416</v>
      </c>
      <c r="C144" s="4" t="s">
        <v>32</v>
      </c>
      <c r="D144" s="5">
        <v>540</v>
      </c>
      <c r="E144" s="5">
        <v>6</v>
      </c>
      <c r="F144" s="5">
        <v>0</v>
      </c>
      <c r="G144" s="5">
        <v>0</v>
      </c>
      <c r="H144" s="6">
        <v>57.3</v>
      </c>
      <c r="I144" s="6">
        <v>31.5</v>
      </c>
      <c r="J144" s="5">
        <v>204069</v>
      </c>
      <c r="K144" s="4" t="s">
        <v>509</v>
      </c>
      <c r="L144" s="4" t="s">
        <v>442</v>
      </c>
      <c r="M144" s="4" t="s">
        <v>510</v>
      </c>
      <c r="N144" s="7">
        <f>(60+60)/2</f>
      </c>
      <c r="O144" s="7">
        <f>(40+45+50+60)/4</f>
      </c>
    </row>
    <row x14ac:dyDescent="0.25" r="145" customHeight="1" ht="18.75">
      <c r="A145" s="4" t="s">
        <v>511</v>
      </c>
      <c r="B145" s="4" t="s">
        <v>512</v>
      </c>
      <c r="C145" s="4" t="s">
        <v>32</v>
      </c>
      <c r="D145" s="5">
        <v>540</v>
      </c>
      <c r="E145" s="5">
        <v>6</v>
      </c>
      <c r="F145" s="5">
        <v>0</v>
      </c>
      <c r="G145" s="5">
        <v>0</v>
      </c>
      <c r="H145" s="6">
        <v>57.3</v>
      </c>
      <c r="I145" s="5">
        <v>32</v>
      </c>
      <c r="J145" s="5">
        <v>93128</v>
      </c>
      <c r="K145" s="4" t="s">
        <v>513</v>
      </c>
      <c r="L145" s="4" t="s">
        <v>71</v>
      </c>
      <c r="M145" s="4" t="s">
        <v>514</v>
      </c>
      <c r="N145" s="7">
        <f>(75+75)/2</f>
      </c>
      <c r="O145" s="7">
        <f>(50+60+70)/3</f>
      </c>
    </row>
    <row x14ac:dyDescent="0.25" r="146" customHeight="1" ht="18.75">
      <c r="A146" s="4" t="s">
        <v>515</v>
      </c>
      <c r="B146" s="4" t="s">
        <v>440</v>
      </c>
      <c r="C146" s="4" t="s">
        <v>32</v>
      </c>
      <c r="D146" s="5">
        <v>540</v>
      </c>
      <c r="E146" s="5">
        <v>6</v>
      </c>
      <c r="F146" s="5">
        <v>0</v>
      </c>
      <c r="G146" s="5">
        <v>0</v>
      </c>
      <c r="H146" s="6">
        <v>56.3</v>
      </c>
      <c r="I146" s="6">
        <v>30.4</v>
      </c>
      <c r="J146" s="5">
        <v>24667</v>
      </c>
      <c r="K146" s="4" t="s">
        <v>516</v>
      </c>
      <c r="L146" s="4" t="s">
        <v>450</v>
      </c>
      <c r="M146" s="4" t="s">
        <v>517</v>
      </c>
      <c r="N146" s="7">
        <f>(0.5+0.4)/2</f>
      </c>
      <c r="O146" s="7">
        <f>(0.5+0.5)/2</f>
      </c>
    </row>
    <row x14ac:dyDescent="0.25" r="147" customHeight="1" ht="18.75">
      <c r="A147" s="4" t="s">
        <v>518</v>
      </c>
      <c r="B147" s="4" t="s">
        <v>420</v>
      </c>
      <c r="C147" s="4" t="s">
        <v>32</v>
      </c>
      <c r="D147" s="5">
        <v>540</v>
      </c>
      <c r="E147" s="5">
        <v>6</v>
      </c>
      <c r="F147" s="5">
        <v>0</v>
      </c>
      <c r="G147" s="5">
        <v>0</v>
      </c>
      <c r="H147" s="6">
        <v>56.1</v>
      </c>
      <c r="I147" s="6">
        <v>29.7</v>
      </c>
      <c r="J147" s="5">
        <v>410158</v>
      </c>
      <c r="K147" s="4" t="s">
        <v>519</v>
      </c>
      <c r="L147" s="4" t="s">
        <v>19</v>
      </c>
      <c r="M147" s="4" t="s">
        <v>520</v>
      </c>
      <c r="N147" s="7">
        <f>(7+7)/2</f>
      </c>
      <c r="O147" s="7">
        <f>(0.4+1+2.5+6.5)/4</f>
      </c>
    </row>
    <row x14ac:dyDescent="0.25" r="148" customHeight="1" ht="18.75">
      <c r="A148" s="4" t="s">
        <v>521</v>
      </c>
      <c r="B148" s="4" t="s">
        <v>522</v>
      </c>
      <c r="C148" s="4" t="s">
        <v>32</v>
      </c>
      <c r="D148" s="5">
        <v>540</v>
      </c>
      <c r="E148" s="5">
        <v>6</v>
      </c>
      <c r="F148" s="5">
        <v>0</v>
      </c>
      <c r="G148" s="5">
        <v>0</v>
      </c>
      <c r="H148" s="6">
        <v>55.8</v>
      </c>
      <c r="I148" s="6">
        <v>29.9</v>
      </c>
      <c r="J148" s="5">
        <v>143559</v>
      </c>
      <c r="K148" s="4" t="s">
        <v>523</v>
      </c>
      <c r="L148" s="4" t="s">
        <v>29</v>
      </c>
      <c r="M148" s="4" t="s">
        <v>524</v>
      </c>
      <c r="N148" s="7">
        <f>(18+16)/2</f>
      </c>
      <c r="O148" s="7">
        <f>(17+17+22+22)/4</f>
      </c>
    </row>
    <row x14ac:dyDescent="0.25" r="149" customHeight="1" ht="18.75">
      <c r="A149" s="4" t="s">
        <v>525</v>
      </c>
      <c r="B149" s="4" t="s">
        <v>522</v>
      </c>
      <c r="C149" s="4" t="s">
        <v>32</v>
      </c>
      <c r="D149" s="5">
        <v>540</v>
      </c>
      <c r="E149" s="5">
        <v>6</v>
      </c>
      <c r="F149" s="5">
        <v>0</v>
      </c>
      <c r="G149" s="5">
        <v>0</v>
      </c>
      <c r="H149" s="6">
        <v>54.5</v>
      </c>
      <c r="I149" s="6">
        <v>30.8</v>
      </c>
      <c r="J149" s="5">
        <v>192565</v>
      </c>
      <c r="K149" s="4" t="s">
        <v>526</v>
      </c>
      <c r="L149" s="4" t="s">
        <v>84</v>
      </c>
      <c r="M149" s="4" t="s">
        <v>527</v>
      </c>
      <c r="N149" s="7">
        <f>(100+100)/2</f>
      </c>
      <c r="O149" s="7">
        <f>(75+90+100)/3</f>
      </c>
    </row>
    <row x14ac:dyDescent="0.25" r="150" customHeight="1" ht="18.75">
      <c r="A150" s="4" t="s">
        <v>528</v>
      </c>
      <c r="B150" s="4" t="s">
        <v>448</v>
      </c>
      <c r="C150" s="4" t="s">
        <v>17</v>
      </c>
      <c r="D150" s="5">
        <v>540</v>
      </c>
      <c r="E150" s="5">
        <v>6</v>
      </c>
      <c r="F150" s="5">
        <v>0</v>
      </c>
      <c r="G150" s="5">
        <v>0</v>
      </c>
      <c r="H150" s="6">
        <v>33.2</v>
      </c>
      <c r="I150" s="6">
        <v>28.6</v>
      </c>
      <c r="J150" s="5">
        <v>55089</v>
      </c>
      <c r="K150" s="4" t="s">
        <v>529</v>
      </c>
      <c r="L150" s="4" t="s">
        <v>84</v>
      </c>
      <c r="M150" s="4" t="s">
        <v>530</v>
      </c>
      <c r="N150" s="7">
        <f>(8+7)/2</f>
      </c>
      <c r="O150" s="7">
        <f>(10+10)/2</f>
      </c>
    </row>
    <row x14ac:dyDescent="0.25" r="151" customHeight="1" ht="18.75">
      <c r="A151" s="4" t="s">
        <v>531</v>
      </c>
      <c r="B151" s="4" t="s">
        <v>436</v>
      </c>
      <c r="C151" s="4" t="s">
        <v>17</v>
      </c>
      <c r="D151" s="5">
        <v>540</v>
      </c>
      <c r="E151" s="5">
        <v>6</v>
      </c>
      <c r="F151" s="5">
        <v>0</v>
      </c>
      <c r="G151" s="5">
        <v>0</v>
      </c>
      <c r="H151" s="6">
        <v>30.4</v>
      </c>
      <c r="I151" s="6">
        <v>19.7</v>
      </c>
      <c r="J151" s="5">
        <v>124419</v>
      </c>
      <c r="K151" s="4" t="s">
        <v>532</v>
      </c>
      <c r="L151" s="4" t="s">
        <v>290</v>
      </c>
      <c r="M151" s="4" t="s">
        <v>533</v>
      </c>
      <c r="N151" s="7">
        <f>(10+10+15)/3</f>
      </c>
      <c r="O151" s="7">
        <f>(2.5+6)/2</f>
      </c>
    </row>
    <row x14ac:dyDescent="0.25" r="152" customHeight="1" ht="18.75">
      <c r="A152" s="4" t="s">
        <v>534</v>
      </c>
      <c r="B152" s="4" t="s">
        <v>522</v>
      </c>
      <c r="C152" s="4" t="s">
        <v>17</v>
      </c>
      <c r="D152" s="5">
        <v>540</v>
      </c>
      <c r="E152" s="5">
        <v>6</v>
      </c>
      <c r="F152" s="5">
        <v>0</v>
      </c>
      <c r="G152" s="5">
        <v>0</v>
      </c>
      <c r="H152" s="6">
        <v>30.2</v>
      </c>
      <c r="I152" s="6">
        <v>19.5</v>
      </c>
      <c r="J152" s="5">
        <v>39015</v>
      </c>
      <c r="K152" s="4" t="s">
        <v>535</v>
      </c>
      <c r="L152" s="4" t="s">
        <v>84</v>
      </c>
      <c r="M152" s="4" t="s">
        <v>536</v>
      </c>
      <c r="N152" s="7">
        <f>(6.5+5+4+3)/4</f>
      </c>
      <c r="O152" s="7">
        <f>(12+13+10)/3</f>
      </c>
    </row>
    <row x14ac:dyDescent="0.25" r="153" customHeight="1" ht="18.75">
      <c r="A153" s="4" t="s">
        <v>537</v>
      </c>
      <c r="B153" s="4" t="s">
        <v>432</v>
      </c>
      <c r="C153" s="4" t="s">
        <v>17</v>
      </c>
      <c r="D153" s="5">
        <v>540</v>
      </c>
      <c r="E153" s="5">
        <v>6</v>
      </c>
      <c r="F153" s="5">
        <v>0</v>
      </c>
      <c r="G153" s="5">
        <v>0</v>
      </c>
      <c r="H153" s="6">
        <v>27.2</v>
      </c>
      <c r="I153" s="6">
        <v>20.7</v>
      </c>
      <c r="J153" s="5">
        <v>79045</v>
      </c>
      <c r="K153" s="4" t="s">
        <v>538</v>
      </c>
      <c r="L153" s="4" t="s">
        <v>34</v>
      </c>
      <c r="M153" s="4" t="s">
        <v>539</v>
      </c>
      <c r="N153" s="7">
        <f>(12+8)/2</f>
      </c>
      <c r="O153" s="7">
        <f>(9.5+10+12.5)/3</f>
      </c>
    </row>
    <row x14ac:dyDescent="0.25" r="154" customHeight="1" ht="18.75">
      <c r="A154" s="4" t="s">
        <v>540</v>
      </c>
      <c r="B154" s="4" t="s">
        <v>424</v>
      </c>
      <c r="C154" s="4" t="s">
        <v>17</v>
      </c>
      <c r="D154" s="5">
        <v>540</v>
      </c>
      <c r="E154" s="5">
        <v>6</v>
      </c>
      <c r="F154" s="5">
        <v>0</v>
      </c>
      <c r="G154" s="5">
        <v>0</v>
      </c>
      <c r="H154" s="5">
        <v>26</v>
      </c>
      <c r="I154" s="6">
        <v>19.8</v>
      </c>
      <c r="J154" s="5">
        <v>39996</v>
      </c>
      <c r="K154" s="4" t="s">
        <v>541</v>
      </c>
      <c r="L154" s="4" t="s">
        <v>542</v>
      </c>
      <c r="M154" s="4" t="s">
        <v>543</v>
      </c>
      <c r="N154" s="7">
        <f>2.5</f>
      </c>
      <c r="O154" s="7">
        <f>(3+2.5+2.5)/3</f>
      </c>
    </row>
    <row x14ac:dyDescent="0.25" r="155" customHeight="1" ht="18.75">
      <c r="A155" s="4" t="s">
        <v>544</v>
      </c>
      <c r="B155" s="4" t="s">
        <v>464</v>
      </c>
      <c r="C155" s="4" t="s">
        <v>17</v>
      </c>
      <c r="D155" s="5">
        <v>540</v>
      </c>
      <c r="E155" s="5">
        <v>6</v>
      </c>
      <c r="F155" s="5">
        <v>0</v>
      </c>
      <c r="G155" s="5">
        <v>0</v>
      </c>
      <c r="H155" s="6">
        <v>25.5</v>
      </c>
      <c r="I155" s="6">
        <v>20.8</v>
      </c>
      <c r="J155" s="5">
        <v>725464</v>
      </c>
      <c r="K155" s="4"/>
      <c r="L155" s="4" t="s">
        <v>19</v>
      </c>
      <c r="M155" s="4" t="s">
        <v>545</v>
      </c>
      <c r="N155" s="4"/>
      <c r="O155" s="4"/>
    </row>
    <row x14ac:dyDescent="0.25" r="156" customHeight="1" ht="18.75">
      <c r="A156" s="4" t="s">
        <v>546</v>
      </c>
      <c r="B156" s="4" t="s">
        <v>504</v>
      </c>
      <c r="C156" s="4" t="s">
        <v>17</v>
      </c>
      <c r="D156" s="5">
        <v>540</v>
      </c>
      <c r="E156" s="5">
        <v>6</v>
      </c>
      <c r="F156" s="5">
        <v>0</v>
      </c>
      <c r="G156" s="5">
        <v>0</v>
      </c>
      <c r="H156" s="6">
        <v>24.8</v>
      </c>
      <c r="I156" s="5">
        <v>29</v>
      </c>
      <c r="J156" s="5">
        <v>67797</v>
      </c>
      <c r="K156" s="4" t="s">
        <v>547</v>
      </c>
      <c r="L156" s="4" t="s">
        <v>391</v>
      </c>
      <c r="M156" s="4" t="s">
        <v>548</v>
      </c>
      <c r="N156" s="7">
        <f>(3+3+3.5)/3</f>
      </c>
      <c r="O156" s="7">
        <f>(2+2.2)/2</f>
      </c>
    </row>
    <row x14ac:dyDescent="0.25" r="157" customHeight="1" ht="18.75">
      <c r="A157" s="4" t="s">
        <v>549</v>
      </c>
      <c r="B157" s="4" t="s">
        <v>459</v>
      </c>
      <c r="C157" s="4" t="s">
        <v>17</v>
      </c>
      <c r="D157" s="5">
        <v>540</v>
      </c>
      <c r="E157" s="5">
        <v>6</v>
      </c>
      <c r="F157" s="5">
        <v>0</v>
      </c>
      <c r="G157" s="5">
        <v>0</v>
      </c>
      <c r="H157" s="6">
        <v>23.7</v>
      </c>
      <c r="I157" s="6">
        <v>16.7</v>
      </c>
      <c r="J157" s="5">
        <v>248658</v>
      </c>
      <c r="K157" s="4" t="s">
        <v>550</v>
      </c>
      <c r="L157" s="4" t="s">
        <v>290</v>
      </c>
      <c r="M157" s="4" t="s">
        <v>551</v>
      </c>
      <c r="N157" s="7">
        <f>(2.5+3+3)/3</f>
      </c>
      <c r="O157" s="7">
        <f>(1+1.75)/2</f>
      </c>
    </row>
    <row x14ac:dyDescent="0.25" r="158" customHeight="1" ht="18.75">
      <c r="A158" s="4" t="s">
        <v>552</v>
      </c>
      <c r="B158" s="4" t="s">
        <v>553</v>
      </c>
      <c r="C158" s="4" t="s">
        <v>17</v>
      </c>
      <c r="D158" s="5">
        <v>540</v>
      </c>
      <c r="E158" s="5">
        <v>6</v>
      </c>
      <c r="F158" s="5">
        <v>0</v>
      </c>
      <c r="G158" s="5">
        <v>0</v>
      </c>
      <c r="H158" s="5">
        <v>22</v>
      </c>
      <c r="I158" s="6">
        <v>21.6</v>
      </c>
      <c r="J158" s="5">
        <v>58088</v>
      </c>
      <c r="K158" s="4" t="s">
        <v>554</v>
      </c>
      <c r="L158" s="4" t="s">
        <v>131</v>
      </c>
      <c r="M158" s="4" t="s">
        <v>555</v>
      </c>
      <c r="N158" s="7">
        <f>(5+4+5)/3</f>
      </c>
      <c r="O158" s="7">
        <f>(8+6)/2</f>
      </c>
    </row>
    <row x14ac:dyDescent="0.25" r="159" customHeight="1" ht="18.75">
      <c r="A159" s="4" t="s">
        <v>556</v>
      </c>
      <c r="B159" s="4" t="s">
        <v>512</v>
      </c>
      <c r="C159" s="4" t="s">
        <v>17</v>
      </c>
      <c r="D159" s="5">
        <v>540</v>
      </c>
      <c r="E159" s="5">
        <v>6</v>
      </c>
      <c r="F159" s="5">
        <v>0</v>
      </c>
      <c r="G159" s="5">
        <v>0</v>
      </c>
      <c r="H159" s="6">
        <v>21.8</v>
      </c>
      <c r="I159" s="6">
        <v>22.1</v>
      </c>
      <c r="J159" s="5">
        <v>754721</v>
      </c>
      <c r="K159" s="4"/>
      <c r="L159" s="4" t="s">
        <v>557</v>
      </c>
      <c r="M159" s="4" t="s">
        <v>558</v>
      </c>
      <c r="N159" s="4"/>
      <c r="O159" s="4"/>
    </row>
    <row x14ac:dyDescent="0.25" r="160" customHeight="1" ht="18.75">
      <c r="A160" s="4" t="s">
        <v>559</v>
      </c>
      <c r="B160" s="4" t="s">
        <v>416</v>
      </c>
      <c r="C160" s="4" t="s">
        <v>17</v>
      </c>
      <c r="D160" s="5">
        <v>540</v>
      </c>
      <c r="E160" s="5">
        <v>6</v>
      </c>
      <c r="F160" s="5">
        <v>0</v>
      </c>
      <c r="G160" s="5">
        <v>0</v>
      </c>
      <c r="H160" s="6">
        <v>20.5</v>
      </c>
      <c r="I160" s="6">
        <v>25.6</v>
      </c>
      <c r="J160" s="5">
        <v>28021</v>
      </c>
      <c r="K160" s="4" t="s">
        <v>560</v>
      </c>
      <c r="L160" s="4" t="s">
        <v>248</v>
      </c>
      <c r="M160" s="4" t="s">
        <v>561</v>
      </c>
      <c r="N160" s="7">
        <f>(6+6)/2</f>
      </c>
      <c r="O160" s="7">
        <f>(8.5+6+6)/3</f>
      </c>
    </row>
    <row x14ac:dyDescent="0.25" r="161" customHeight="1" ht="18.75">
      <c r="A161" s="4" t="s">
        <v>562</v>
      </c>
      <c r="B161" s="4" t="s">
        <v>416</v>
      </c>
      <c r="C161" s="4" t="s">
        <v>53</v>
      </c>
      <c r="D161" s="5">
        <v>535</v>
      </c>
      <c r="E161" s="5">
        <v>6</v>
      </c>
      <c r="F161" s="5">
        <v>0</v>
      </c>
      <c r="G161" s="5">
        <v>0</v>
      </c>
      <c r="H161" s="6">
        <v>73.5</v>
      </c>
      <c r="I161" s="5">
        <v>29</v>
      </c>
      <c r="J161" s="5">
        <v>156617</v>
      </c>
      <c r="K161" s="4" t="s">
        <v>563</v>
      </c>
      <c r="L161" s="4" t="s">
        <v>378</v>
      </c>
      <c r="M161" s="4" t="s">
        <v>564</v>
      </c>
      <c r="N161" s="7">
        <f>(50+60)/2</f>
      </c>
      <c r="O161" s="7">
        <f>(27+35+40+45)/4</f>
      </c>
    </row>
    <row x14ac:dyDescent="0.25" r="162" customHeight="1" ht="18.75">
      <c r="A162" s="4" t="s">
        <v>565</v>
      </c>
      <c r="B162" s="4" t="s">
        <v>266</v>
      </c>
      <c r="C162" s="4" t="s">
        <v>22</v>
      </c>
      <c r="D162" s="5">
        <v>532</v>
      </c>
      <c r="E162" s="5">
        <v>6</v>
      </c>
      <c r="F162" s="5">
        <v>5</v>
      </c>
      <c r="G162" s="5">
        <v>1</v>
      </c>
      <c r="H162" s="6">
        <v>59.2</v>
      </c>
      <c r="I162" s="6">
        <v>31.7</v>
      </c>
      <c r="J162" s="5">
        <v>68290</v>
      </c>
      <c r="K162" s="4" t="s">
        <v>566</v>
      </c>
      <c r="L162" s="4" t="s">
        <v>19</v>
      </c>
      <c r="M162" s="4" t="s">
        <v>567</v>
      </c>
      <c r="N162" s="7">
        <f>(180+160)/2</f>
      </c>
      <c r="O162" s="7">
        <f>(180+180+180)/3</f>
      </c>
    </row>
    <row x14ac:dyDescent="0.25" r="163" customHeight="1" ht="18.75">
      <c r="A163" s="4" t="s">
        <v>568</v>
      </c>
      <c r="B163" s="4" t="s">
        <v>432</v>
      </c>
      <c r="C163" s="4" t="s">
        <v>53</v>
      </c>
      <c r="D163" s="5">
        <v>532</v>
      </c>
      <c r="E163" s="5">
        <v>6</v>
      </c>
      <c r="F163" s="5">
        <v>1</v>
      </c>
      <c r="G163" s="5">
        <v>1</v>
      </c>
      <c r="H163" s="6">
        <v>65.1</v>
      </c>
      <c r="I163" s="6">
        <v>29.5</v>
      </c>
      <c r="J163" s="5">
        <v>935245</v>
      </c>
      <c r="K163" s="4" t="s">
        <v>569</v>
      </c>
      <c r="L163" s="4" t="s">
        <v>55</v>
      </c>
      <c r="M163" s="4" t="s">
        <v>570</v>
      </c>
      <c r="N163" s="4"/>
      <c r="O163" s="4"/>
    </row>
    <row x14ac:dyDescent="0.25" r="164" customHeight="1" ht="18.75">
      <c r="A164" s="4" t="s">
        <v>571</v>
      </c>
      <c r="B164" s="4" t="s">
        <v>432</v>
      </c>
      <c r="C164" s="4" t="s">
        <v>22</v>
      </c>
      <c r="D164" s="5">
        <v>531</v>
      </c>
      <c r="E164" s="5">
        <v>6</v>
      </c>
      <c r="F164" s="5">
        <v>3</v>
      </c>
      <c r="G164" s="5">
        <v>0</v>
      </c>
      <c r="H164" s="6">
        <v>64.9</v>
      </c>
      <c r="I164" s="6">
        <v>28.6</v>
      </c>
      <c r="J164" s="5">
        <v>72522</v>
      </c>
      <c r="K164" s="4" t="s">
        <v>572</v>
      </c>
      <c r="L164" s="4" t="s">
        <v>34</v>
      </c>
      <c r="M164" s="4" t="s">
        <v>573</v>
      </c>
      <c r="N164" s="7">
        <f>(12+12)/2</f>
      </c>
      <c r="O164" s="7">
        <f>(7+8+10)/3</f>
      </c>
    </row>
    <row x14ac:dyDescent="0.25" r="165" customHeight="1" ht="18.75">
      <c r="A165" s="4" t="s">
        <v>574</v>
      </c>
      <c r="B165" s="4" t="s">
        <v>40</v>
      </c>
      <c r="C165" s="4" t="s">
        <v>32</v>
      </c>
      <c r="D165" s="5">
        <v>529</v>
      </c>
      <c r="E165" s="5">
        <v>8</v>
      </c>
      <c r="F165" s="5">
        <v>0</v>
      </c>
      <c r="G165" s="5">
        <v>0</v>
      </c>
      <c r="H165" s="6">
        <v>59.6</v>
      </c>
      <c r="I165" s="6">
        <v>29.5</v>
      </c>
      <c r="J165" s="5">
        <v>17577</v>
      </c>
      <c r="K165" s="4"/>
      <c r="L165" s="4" t="s">
        <v>136</v>
      </c>
      <c r="M165" s="4" t="s">
        <v>575</v>
      </c>
      <c r="N165" s="4"/>
      <c r="O165" s="4"/>
    </row>
    <row x14ac:dyDescent="0.25" r="166" customHeight="1" ht="18.75">
      <c r="A166" s="4" t="s">
        <v>576</v>
      </c>
      <c r="B166" s="4" t="s">
        <v>424</v>
      </c>
      <c r="C166" s="4" t="s">
        <v>53</v>
      </c>
      <c r="D166" s="5">
        <v>527</v>
      </c>
      <c r="E166" s="5">
        <v>6</v>
      </c>
      <c r="F166" s="5">
        <v>0</v>
      </c>
      <c r="G166" s="5">
        <v>0</v>
      </c>
      <c r="H166" s="5">
        <v>68</v>
      </c>
      <c r="I166" s="6">
        <v>31.3</v>
      </c>
      <c r="J166" s="5">
        <v>59970</v>
      </c>
      <c r="K166" s="4" t="s">
        <v>577</v>
      </c>
      <c r="L166" s="4" t="s">
        <v>542</v>
      </c>
      <c r="M166" s="4" t="s">
        <v>578</v>
      </c>
      <c r="N166" s="7">
        <f>10</f>
      </c>
      <c r="O166" s="7">
        <f>(9+10+10)/3</f>
      </c>
    </row>
    <row x14ac:dyDescent="0.25" r="167" customHeight="1" ht="18.75">
      <c r="A167" s="4" t="s">
        <v>579</v>
      </c>
      <c r="B167" s="4" t="s">
        <v>16</v>
      </c>
      <c r="C167" s="4" t="s">
        <v>32</v>
      </c>
      <c r="D167" s="5">
        <v>525</v>
      </c>
      <c r="E167" s="5">
        <v>9</v>
      </c>
      <c r="F167" s="5">
        <v>0</v>
      </c>
      <c r="G167" s="5">
        <v>0</v>
      </c>
      <c r="H167" s="6">
        <v>58.9</v>
      </c>
      <c r="I167" s="6">
        <v>32.6</v>
      </c>
      <c r="J167" s="5">
        <v>48280</v>
      </c>
      <c r="K167" s="4" t="s">
        <v>580</v>
      </c>
      <c r="L167" s="4" t="s">
        <v>131</v>
      </c>
      <c r="M167" s="4" t="s">
        <v>581</v>
      </c>
      <c r="N167" s="7">
        <f>(50+40+25)/3</f>
      </c>
      <c r="O167" s="7">
        <f>(60+60+55)/3</f>
      </c>
    </row>
    <row x14ac:dyDescent="0.25" r="168" customHeight="1" ht="18.75">
      <c r="A168" s="4" t="s">
        <v>582</v>
      </c>
      <c r="B168" s="4" t="s">
        <v>316</v>
      </c>
      <c r="C168" s="4" t="s">
        <v>53</v>
      </c>
      <c r="D168" s="5">
        <v>524</v>
      </c>
      <c r="E168" s="5">
        <v>6</v>
      </c>
      <c r="F168" s="5">
        <v>1</v>
      </c>
      <c r="G168" s="5">
        <v>1</v>
      </c>
      <c r="H168" s="6">
        <v>65.5</v>
      </c>
      <c r="I168" s="6">
        <v>30.4</v>
      </c>
      <c r="J168" s="5">
        <v>7607</v>
      </c>
      <c r="K168" s="4" t="s">
        <v>583</v>
      </c>
      <c r="L168" s="4" t="s">
        <v>55</v>
      </c>
      <c r="M168" s="4" t="s">
        <v>584</v>
      </c>
      <c r="N168" s="7">
        <f>2</f>
      </c>
      <c r="O168" s="7">
        <f>2</f>
      </c>
    </row>
    <row x14ac:dyDescent="0.25" r="169" customHeight="1" ht="18.75">
      <c r="A169" s="4" t="s">
        <v>585</v>
      </c>
      <c r="B169" s="4" t="s">
        <v>428</v>
      </c>
      <c r="C169" s="4" t="s">
        <v>22</v>
      </c>
      <c r="D169" s="5">
        <v>522</v>
      </c>
      <c r="E169" s="5">
        <v>6</v>
      </c>
      <c r="F169" s="5">
        <v>2</v>
      </c>
      <c r="G169" s="5">
        <v>0</v>
      </c>
      <c r="H169" s="6">
        <v>55.1</v>
      </c>
      <c r="I169" s="6">
        <v>31.3</v>
      </c>
      <c r="J169" s="5">
        <v>475411</v>
      </c>
      <c r="K169" s="4" t="s">
        <v>586</v>
      </c>
      <c r="L169" s="4" t="s">
        <v>71</v>
      </c>
      <c r="M169" s="4" t="s">
        <v>587</v>
      </c>
      <c r="N169" s="7">
        <f>4</f>
      </c>
      <c r="O169" s="4"/>
    </row>
    <row x14ac:dyDescent="0.25" r="170" customHeight="1" ht="18.75">
      <c r="A170" s="4" t="s">
        <v>588</v>
      </c>
      <c r="B170" s="4" t="s">
        <v>432</v>
      </c>
      <c r="C170" s="4" t="s">
        <v>53</v>
      </c>
      <c r="D170" s="5">
        <v>521</v>
      </c>
      <c r="E170" s="5">
        <v>6</v>
      </c>
      <c r="F170" s="5">
        <v>0</v>
      </c>
      <c r="G170" s="5">
        <v>0</v>
      </c>
      <c r="H170" s="6">
        <v>66.8</v>
      </c>
      <c r="I170" s="6">
        <v>32.4</v>
      </c>
      <c r="J170" s="5">
        <v>205004</v>
      </c>
      <c r="K170" s="4" t="s">
        <v>589</v>
      </c>
      <c r="L170" s="4" t="s">
        <v>34</v>
      </c>
      <c r="M170" s="4" t="s">
        <v>590</v>
      </c>
      <c r="N170" s="7">
        <f>(7.5+6+6)/3</f>
      </c>
      <c r="O170" s="7">
        <f>(6+8+10+10)/4</f>
      </c>
    </row>
    <row x14ac:dyDescent="0.25" r="171" customHeight="1" ht="18.75">
      <c r="A171" s="4" t="s">
        <v>591</v>
      </c>
      <c r="B171" s="4" t="s">
        <v>243</v>
      </c>
      <c r="C171" s="4" t="s">
        <v>53</v>
      </c>
      <c r="D171" s="5">
        <v>520</v>
      </c>
      <c r="E171" s="5">
        <v>6</v>
      </c>
      <c r="F171" s="5">
        <v>1</v>
      </c>
      <c r="G171" s="5">
        <v>0</v>
      </c>
      <c r="H171" s="6">
        <v>60.6</v>
      </c>
      <c r="I171" s="6">
        <v>29.5</v>
      </c>
      <c r="J171" s="5">
        <v>44017</v>
      </c>
      <c r="K171" s="4" t="s">
        <v>592</v>
      </c>
      <c r="L171" s="4" t="s">
        <v>55</v>
      </c>
      <c r="M171" s="4" t="s">
        <v>593</v>
      </c>
      <c r="N171" s="7">
        <f>(27+20)/2</f>
      </c>
      <c r="O171" s="7">
        <f>(40+40+30)/3</f>
      </c>
    </row>
    <row x14ac:dyDescent="0.25" r="172" customHeight="1" ht="18.75">
      <c r="A172" s="4" t="s">
        <v>594</v>
      </c>
      <c r="B172" s="4" t="s">
        <v>459</v>
      </c>
      <c r="C172" s="4" t="s">
        <v>32</v>
      </c>
      <c r="D172" s="5">
        <v>520</v>
      </c>
      <c r="E172" s="5">
        <v>6</v>
      </c>
      <c r="F172" s="5">
        <v>0</v>
      </c>
      <c r="G172" s="5">
        <v>0</v>
      </c>
      <c r="H172" s="6">
        <v>61.5</v>
      </c>
      <c r="I172" s="6">
        <v>32.8</v>
      </c>
      <c r="J172" s="5">
        <v>130142</v>
      </c>
      <c r="K172" s="4" t="s">
        <v>595</v>
      </c>
      <c r="L172" s="4" t="s">
        <v>290</v>
      </c>
      <c r="M172" s="4" t="s">
        <v>596</v>
      </c>
      <c r="N172" s="7">
        <f>(1.5+1.25)/2</f>
      </c>
      <c r="O172" s="7">
        <f>(1.5+2)/2</f>
      </c>
    </row>
    <row x14ac:dyDescent="0.25" r="173" customHeight="1" ht="18.75">
      <c r="A173" s="4" t="s">
        <v>597</v>
      </c>
      <c r="B173" s="4" t="s">
        <v>512</v>
      </c>
      <c r="C173" s="4" t="s">
        <v>32</v>
      </c>
      <c r="D173" s="5">
        <v>520</v>
      </c>
      <c r="E173" s="5">
        <v>6</v>
      </c>
      <c r="F173" s="5">
        <v>0</v>
      </c>
      <c r="G173" s="5">
        <v>0</v>
      </c>
      <c r="H173" s="6">
        <v>59.4</v>
      </c>
      <c r="I173" s="6">
        <v>32.4</v>
      </c>
      <c r="J173" s="5">
        <v>87884</v>
      </c>
      <c r="K173" s="4" t="s">
        <v>598</v>
      </c>
      <c r="L173" s="4" t="s">
        <v>141</v>
      </c>
      <c r="M173" s="4" t="s">
        <v>599</v>
      </c>
      <c r="N173" s="7">
        <f>(12+15+15)/3</f>
      </c>
      <c r="O173" s="7">
        <f>(12+14+15)/3</f>
      </c>
    </row>
    <row x14ac:dyDescent="0.25" r="174" customHeight="1" ht="18.75">
      <c r="A174" s="4" t="s">
        <v>600</v>
      </c>
      <c r="B174" s="4" t="s">
        <v>464</v>
      </c>
      <c r="C174" s="4" t="s">
        <v>32</v>
      </c>
      <c r="D174" s="5">
        <v>519</v>
      </c>
      <c r="E174" s="5">
        <v>6</v>
      </c>
      <c r="F174" s="5">
        <v>1</v>
      </c>
      <c r="G174" s="5">
        <v>0</v>
      </c>
      <c r="H174" s="6">
        <v>62.1</v>
      </c>
      <c r="I174" s="6">
        <v>28.8</v>
      </c>
      <c r="J174" s="5">
        <v>318426</v>
      </c>
      <c r="K174" s="4" t="s">
        <v>601</v>
      </c>
      <c r="L174" s="4" t="s">
        <v>492</v>
      </c>
      <c r="M174" s="4" t="s">
        <v>602</v>
      </c>
      <c r="N174" s="7">
        <f>(6+7.5)/2</f>
      </c>
      <c r="O174" s="7">
        <f>(0.9+1.5+4)/3</f>
      </c>
    </row>
    <row x14ac:dyDescent="0.25" r="175" customHeight="1" ht="18.75">
      <c r="A175" s="4" t="s">
        <v>603</v>
      </c>
      <c r="B175" s="4" t="s">
        <v>416</v>
      </c>
      <c r="C175" s="4" t="s">
        <v>53</v>
      </c>
      <c r="D175" s="5">
        <v>519</v>
      </c>
      <c r="E175" s="5">
        <v>6</v>
      </c>
      <c r="F175" s="5">
        <v>0</v>
      </c>
      <c r="G175" s="5">
        <v>1</v>
      </c>
      <c r="H175" s="6">
        <v>56.9</v>
      </c>
      <c r="I175" s="6">
        <v>31.7</v>
      </c>
      <c r="J175" s="5">
        <v>63531</v>
      </c>
      <c r="K175" s="4" t="s">
        <v>604</v>
      </c>
      <c r="L175" s="4" t="s">
        <v>350</v>
      </c>
      <c r="M175" s="4" t="s">
        <v>605</v>
      </c>
      <c r="N175" s="7">
        <f>(13+12)/2</f>
      </c>
      <c r="O175" s="7">
        <f>(14+14)/2</f>
      </c>
    </row>
    <row x14ac:dyDescent="0.25" r="176" customHeight="1" ht="18.75">
      <c r="A176" s="4" t="s">
        <v>606</v>
      </c>
      <c r="B176" s="4" t="s">
        <v>134</v>
      </c>
      <c r="C176" s="4" t="s">
        <v>22</v>
      </c>
      <c r="D176" s="5">
        <v>518</v>
      </c>
      <c r="E176" s="5">
        <v>9</v>
      </c>
      <c r="F176" s="5">
        <v>5</v>
      </c>
      <c r="G176" s="5">
        <v>0</v>
      </c>
      <c r="H176" s="6">
        <v>63.9</v>
      </c>
      <c r="I176" s="6">
        <v>30.2</v>
      </c>
      <c r="J176" s="5">
        <v>206050</v>
      </c>
      <c r="K176" s="4" t="s">
        <v>607</v>
      </c>
      <c r="L176" s="4" t="s">
        <v>136</v>
      </c>
      <c r="M176" s="4" t="s">
        <v>608</v>
      </c>
      <c r="N176" s="7">
        <f>(100+85+75+85)/4</f>
      </c>
      <c r="O176" s="7">
        <f>(100+110+110)/3</f>
      </c>
    </row>
    <row x14ac:dyDescent="0.25" r="177" customHeight="1" ht="18.75">
      <c r="A177" s="4" t="s">
        <v>609</v>
      </c>
      <c r="B177" s="4" t="s">
        <v>512</v>
      </c>
      <c r="C177" s="4" t="s">
        <v>22</v>
      </c>
      <c r="D177" s="5">
        <v>517</v>
      </c>
      <c r="E177" s="5">
        <v>6</v>
      </c>
      <c r="F177" s="5">
        <v>0</v>
      </c>
      <c r="G177" s="5">
        <v>2</v>
      </c>
      <c r="H177" s="6">
        <v>59.6</v>
      </c>
      <c r="I177" s="6">
        <v>30.6</v>
      </c>
      <c r="J177" s="5">
        <v>61253</v>
      </c>
      <c r="K177" s="4" t="s">
        <v>610</v>
      </c>
      <c r="L177" s="4" t="s">
        <v>55</v>
      </c>
      <c r="M177" s="4" t="s">
        <v>611</v>
      </c>
      <c r="N177" s="7">
        <f>(20+18)/2</f>
      </c>
      <c r="O177" s="7">
        <f>(24+20)/2</f>
      </c>
    </row>
    <row x14ac:dyDescent="0.25" r="178" customHeight="1" ht="18.75">
      <c r="A178" s="4" t="s">
        <v>612</v>
      </c>
      <c r="B178" s="4" t="s">
        <v>103</v>
      </c>
      <c r="C178" s="4" t="s">
        <v>53</v>
      </c>
      <c r="D178" s="5">
        <v>516</v>
      </c>
      <c r="E178" s="5">
        <v>8</v>
      </c>
      <c r="F178" s="5">
        <v>2</v>
      </c>
      <c r="G178" s="5">
        <v>1</v>
      </c>
      <c r="H178" s="6">
        <v>60.9</v>
      </c>
      <c r="I178" s="6">
        <v>30.8</v>
      </c>
      <c r="J178" s="5">
        <v>231289</v>
      </c>
      <c r="K178" s="4" t="s">
        <v>613</v>
      </c>
      <c r="L178" s="4" t="s">
        <v>141</v>
      </c>
      <c r="M178" s="4" t="s">
        <v>614</v>
      </c>
      <c r="N178" s="7">
        <f>(13+17+17)/3</f>
      </c>
      <c r="O178" s="7">
        <f>(5+6+10)/3</f>
      </c>
    </row>
    <row x14ac:dyDescent="0.25" r="179" customHeight="1" ht="18.75">
      <c r="A179" s="4" t="s">
        <v>615</v>
      </c>
      <c r="B179" s="4" t="s">
        <v>464</v>
      </c>
      <c r="C179" s="4" t="s">
        <v>22</v>
      </c>
      <c r="D179" s="5">
        <v>516</v>
      </c>
      <c r="E179" s="5">
        <v>6</v>
      </c>
      <c r="F179" s="5">
        <v>0</v>
      </c>
      <c r="G179" s="5">
        <v>2</v>
      </c>
      <c r="H179" s="6">
        <v>60.4</v>
      </c>
      <c r="I179" s="5">
        <v>29</v>
      </c>
      <c r="J179" s="5">
        <v>255450</v>
      </c>
      <c r="K179" s="4" t="s">
        <v>616</v>
      </c>
      <c r="L179" s="4" t="s">
        <v>492</v>
      </c>
      <c r="M179" s="4" t="s">
        <v>617</v>
      </c>
      <c r="N179" s="7">
        <f>(15+16+18)/3</f>
      </c>
      <c r="O179" s="7">
        <f>(14+14)/2</f>
      </c>
    </row>
    <row x14ac:dyDescent="0.25" r="180" customHeight="1" ht="18.75">
      <c r="A180" s="4" t="s">
        <v>618</v>
      </c>
      <c r="B180" s="4" t="s">
        <v>432</v>
      </c>
      <c r="C180" s="4" t="s">
        <v>32</v>
      </c>
      <c r="D180" s="5">
        <v>516</v>
      </c>
      <c r="E180" s="5">
        <v>6</v>
      </c>
      <c r="F180" s="5">
        <v>0</v>
      </c>
      <c r="G180" s="5">
        <v>0</v>
      </c>
      <c r="H180" s="6">
        <v>55.4</v>
      </c>
      <c r="I180" s="6">
        <v>29.2</v>
      </c>
      <c r="J180" s="5">
        <v>93081</v>
      </c>
      <c r="K180" s="4" t="s">
        <v>619</v>
      </c>
      <c r="L180" s="4" t="s">
        <v>34</v>
      </c>
      <c r="M180" s="4" t="s">
        <v>620</v>
      </c>
      <c r="N180" s="7">
        <f>(4+4)/2</f>
      </c>
      <c r="O180" s="7">
        <f>(4+3+4)/3</f>
      </c>
    </row>
    <row x14ac:dyDescent="0.25" r="181" customHeight="1" ht="18.75">
      <c r="A181" s="4" t="s">
        <v>621</v>
      </c>
      <c r="B181" s="4" t="s">
        <v>285</v>
      </c>
      <c r="C181" s="4" t="s">
        <v>53</v>
      </c>
      <c r="D181" s="5">
        <v>515</v>
      </c>
      <c r="E181" s="5">
        <v>7</v>
      </c>
      <c r="F181" s="5">
        <v>0</v>
      </c>
      <c r="G181" s="5">
        <v>0</v>
      </c>
      <c r="H181" s="6">
        <v>70.5</v>
      </c>
      <c r="I181" s="6">
        <v>30.4</v>
      </c>
      <c r="J181" s="5">
        <v>199248</v>
      </c>
      <c r="K181" s="4" t="s">
        <v>622</v>
      </c>
      <c r="L181" s="4" t="s">
        <v>136</v>
      </c>
      <c r="M181" s="4" t="s">
        <v>623</v>
      </c>
      <c r="N181" s="7">
        <f>(25+25)/2</f>
      </c>
      <c r="O181" s="7">
        <f>(20+25+25)/3</f>
      </c>
    </row>
    <row x14ac:dyDescent="0.25" r="182" customHeight="1" ht="18.75">
      <c r="A182" s="4" t="s">
        <v>624</v>
      </c>
      <c r="B182" s="4" t="s">
        <v>553</v>
      </c>
      <c r="C182" s="4" t="s">
        <v>22</v>
      </c>
      <c r="D182" s="5">
        <v>513</v>
      </c>
      <c r="E182" s="5">
        <v>6</v>
      </c>
      <c r="F182" s="5">
        <v>1</v>
      </c>
      <c r="G182" s="5">
        <v>1</v>
      </c>
      <c r="H182" s="6">
        <v>56.3</v>
      </c>
      <c r="I182" s="6">
        <v>33.3</v>
      </c>
      <c r="J182" s="5">
        <v>102589</v>
      </c>
      <c r="K182" s="4"/>
      <c r="L182" s="4" t="s">
        <v>19</v>
      </c>
      <c r="M182" s="4" t="s">
        <v>625</v>
      </c>
      <c r="N182" s="4"/>
      <c r="O182" s="4"/>
    </row>
    <row x14ac:dyDescent="0.25" r="183" customHeight="1" ht="18.75">
      <c r="A183" s="4" t="s">
        <v>626</v>
      </c>
      <c r="B183" s="4" t="s">
        <v>504</v>
      </c>
      <c r="C183" s="4" t="s">
        <v>53</v>
      </c>
      <c r="D183" s="5">
        <v>513</v>
      </c>
      <c r="E183" s="5">
        <v>6</v>
      </c>
      <c r="F183" s="5">
        <v>1</v>
      </c>
      <c r="G183" s="5">
        <v>0</v>
      </c>
      <c r="H183" s="6">
        <v>65.6</v>
      </c>
      <c r="I183" s="6">
        <v>30.6</v>
      </c>
      <c r="J183" s="5">
        <v>69838</v>
      </c>
      <c r="K183" s="4" t="s">
        <v>627</v>
      </c>
      <c r="L183" s="4" t="s">
        <v>71</v>
      </c>
      <c r="M183" s="4" t="s">
        <v>628</v>
      </c>
      <c r="N183" s="7">
        <f>(3+4+3)/3</f>
      </c>
      <c r="O183" s="7">
        <f>1.75</f>
      </c>
    </row>
    <row x14ac:dyDescent="0.25" r="184" customHeight="1" ht="18.75">
      <c r="A184" s="4" t="s">
        <v>629</v>
      </c>
      <c r="B184" s="4" t="s">
        <v>522</v>
      </c>
      <c r="C184" s="4" t="s">
        <v>53</v>
      </c>
      <c r="D184" s="5">
        <v>512</v>
      </c>
      <c r="E184" s="5">
        <v>6</v>
      </c>
      <c r="F184" s="5">
        <v>0</v>
      </c>
      <c r="G184" s="5">
        <v>0</v>
      </c>
      <c r="H184" s="6">
        <v>56.8</v>
      </c>
      <c r="I184" s="5">
        <v>31</v>
      </c>
      <c r="J184" s="5">
        <v>38410</v>
      </c>
      <c r="K184" s="4" t="s">
        <v>630</v>
      </c>
      <c r="L184" s="4" t="s">
        <v>84</v>
      </c>
      <c r="M184" s="4" t="s">
        <v>631</v>
      </c>
      <c r="N184" s="7">
        <f>(6.5+5)/2</f>
      </c>
      <c r="O184" s="7">
        <f>(7.5+7.5)/2</f>
      </c>
    </row>
    <row x14ac:dyDescent="0.25" r="185" customHeight="1" ht="18.75">
      <c r="A185" s="4" t="s">
        <v>632</v>
      </c>
      <c r="B185" s="4" t="s">
        <v>512</v>
      </c>
      <c r="C185" s="4" t="s">
        <v>53</v>
      </c>
      <c r="D185" s="5">
        <v>511</v>
      </c>
      <c r="E185" s="5">
        <v>6</v>
      </c>
      <c r="F185" s="5">
        <v>0</v>
      </c>
      <c r="G185" s="5">
        <v>0</v>
      </c>
      <c r="H185" s="6">
        <v>62.7</v>
      </c>
      <c r="I185" s="5">
        <v>29</v>
      </c>
      <c r="J185" s="5">
        <v>418560</v>
      </c>
      <c r="K185" s="4" t="s">
        <v>633</v>
      </c>
      <c r="L185" s="4" t="s">
        <v>634</v>
      </c>
      <c r="M185" s="4" t="s">
        <v>635</v>
      </c>
      <c r="N185" s="7">
        <f>(5+12+30+45)/4</f>
      </c>
      <c r="O185" s="7">
        <f>(2+5)/2</f>
      </c>
    </row>
    <row x14ac:dyDescent="0.25" r="186" customHeight="1" ht="18.75">
      <c r="A186" s="4" t="s">
        <v>636</v>
      </c>
      <c r="B186" s="4" t="s">
        <v>139</v>
      </c>
      <c r="C186" s="4" t="s">
        <v>22</v>
      </c>
      <c r="D186" s="5">
        <v>510</v>
      </c>
      <c r="E186" s="5">
        <v>7</v>
      </c>
      <c r="F186" s="5">
        <v>6</v>
      </c>
      <c r="G186" s="5">
        <v>1</v>
      </c>
      <c r="H186" s="6">
        <v>54.9</v>
      </c>
      <c r="I186" s="6">
        <v>30.4</v>
      </c>
      <c r="J186" s="5">
        <v>26399</v>
      </c>
      <c r="K186" s="4" t="s">
        <v>637</v>
      </c>
      <c r="L186" s="4" t="s">
        <v>127</v>
      </c>
      <c r="M186" s="4" t="s">
        <v>638</v>
      </c>
      <c r="N186" s="7">
        <f>(65+65)/2</f>
      </c>
      <c r="O186" s="7">
        <f>(75+80+75)/3</f>
      </c>
    </row>
    <row x14ac:dyDescent="0.25" r="187" customHeight="1" ht="18.75">
      <c r="A187" s="4" t="s">
        <v>639</v>
      </c>
      <c r="B187" s="4" t="s">
        <v>478</v>
      </c>
      <c r="C187" s="4" t="s">
        <v>53</v>
      </c>
      <c r="D187" s="5">
        <v>509</v>
      </c>
      <c r="E187" s="5">
        <v>6</v>
      </c>
      <c r="F187" s="5">
        <v>0</v>
      </c>
      <c r="G187" s="5">
        <v>0</v>
      </c>
      <c r="H187" s="6">
        <v>69.1</v>
      </c>
      <c r="I187" s="6">
        <v>31.7</v>
      </c>
      <c r="J187" s="5">
        <v>212723</v>
      </c>
      <c r="K187" s="4" t="s">
        <v>640</v>
      </c>
      <c r="L187" s="4" t="s">
        <v>59</v>
      </c>
      <c r="M187" s="4" t="s">
        <v>641</v>
      </c>
      <c r="N187" s="7">
        <f>(9+9+9+12)/4</f>
      </c>
      <c r="O187" s="7">
        <f>(1.5+3+6.5)/3</f>
      </c>
    </row>
    <row x14ac:dyDescent="0.25" r="188" customHeight="1" ht="18.75">
      <c r="A188" s="4" t="s">
        <v>642</v>
      </c>
      <c r="B188" s="4" t="s">
        <v>186</v>
      </c>
      <c r="C188" s="4" t="s">
        <v>22</v>
      </c>
      <c r="D188" s="5">
        <v>506</v>
      </c>
      <c r="E188" s="5">
        <v>8</v>
      </c>
      <c r="F188" s="5">
        <v>1</v>
      </c>
      <c r="G188" s="5">
        <v>0</v>
      </c>
      <c r="H188" s="6">
        <v>50.1</v>
      </c>
      <c r="I188" s="6">
        <v>30.6</v>
      </c>
      <c r="J188" s="5">
        <v>182877</v>
      </c>
      <c r="K188" s="4" t="s">
        <v>643</v>
      </c>
      <c r="L188" s="4" t="s">
        <v>71</v>
      </c>
      <c r="M188" s="4" t="s">
        <v>644</v>
      </c>
      <c r="N188" s="7">
        <f>(60+60)/2</f>
      </c>
      <c r="O188" s="7">
        <f>(65+65+60+60)/4</f>
      </c>
    </row>
    <row x14ac:dyDescent="0.25" r="189" customHeight="1" ht="18.75">
      <c r="A189" s="4" t="s">
        <v>645</v>
      </c>
      <c r="B189" s="4" t="s">
        <v>230</v>
      </c>
      <c r="C189" s="4" t="s">
        <v>22</v>
      </c>
      <c r="D189" s="5">
        <v>506</v>
      </c>
      <c r="E189" s="5">
        <v>6</v>
      </c>
      <c r="F189" s="5">
        <v>3</v>
      </c>
      <c r="G189" s="5">
        <v>2</v>
      </c>
      <c r="H189" s="6">
        <v>60.6</v>
      </c>
      <c r="I189" s="6">
        <v>31.5</v>
      </c>
      <c r="J189" s="5">
        <v>203496</v>
      </c>
      <c r="K189" s="4" t="s">
        <v>646</v>
      </c>
      <c r="L189" s="4" t="s">
        <v>71</v>
      </c>
      <c r="M189" s="4" t="s">
        <v>647</v>
      </c>
      <c r="N189" s="7">
        <f>(60+40)/2</f>
      </c>
      <c r="O189" s="7">
        <f>(50+60+65+70)/4</f>
      </c>
    </row>
    <row x14ac:dyDescent="0.25" r="190" customHeight="1" ht="18.75">
      <c r="A190" s="4" t="s">
        <v>648</v>
      </c>
      <c r="B190" s="4" t="s">
        <v>424</v>
      </c>
      <c r="C190" s="4" t="s">
        <v>22</v>
      </c>
      <c r="D190" s="5">
        <v>506</v>
      </c>
      <c r="E190" s="5">
        <v>6</v>
      </c>
      <c r="F190" s="5">
        <v>3</v>
      </c>
      <c r="G190" s="5">
        <v>1</v>
      </c>
      <c r="H190" s="6">
        <v>56.3</v>
      </c>
      <c r="I190" s="6">
        <v>28.8</v>
      </c>
      <c r="J190" s="5">
        <v>52915</v>
      </c>
      <c r="K190" s="4" t="s">
        <v>649</v>
      </c>
      <c r="L190" s="4" t="s">
        <v>19</v>
      </c>
      <c r="M190" s="4" t="s">
        <v>650</v>
      </c>
      <c r="N190" s="7">
        <f>(4+5)/2</f>
      </c>
      <c r="O190" s="7">
        <f>(2.5+2.5+3)/3</f>
      </c>
    </row>
    <row x14ac:dyDescent="0.25" r="191" customHeight="1" ht="18.75">
      <c r="A191" s="4" t="s">
        <v>651</v>
      </c>
      <c r="B191" s="4" t="s">
        <v>296</v>
      </c>
      <c r="C191" s="4" t="s">
        <v>53</v>
      </c>
      <c r="D191" s="5">
        <v>505</v>
      </c>
      <c r="E191" s="5">
        <v>6</v>
      </c>
      <c r="F191" s="5">
        <v>1</v>
      </c>
      <c r="G191" s="5">
        <v>0</v>
      </c>
      <c r="H191" s="6">
        <v>58.9</v>
      </c>
      <c r="I191" s="6">
        <v>28.8</v>
      </c>
      <c r="J191" s="5">
        <v>16306</v>
      </c>
      <c r="K191" s="4" t="s">
        <v>652</v>
      </c>
      <c r="L191" s="4" t="s">
        <v>55</v>
      </c>
      <c r="M191" s="4" t="s">
        <v>653</v>
      </c>
      <c r="N191" s="7">
        <f>(60+70)/2</f>
      </c>
      <c r="O191" s="7">
        <f>(40+60+60+70+70)/5</f>
      </c>
    </row>
    <row x14ac:dyDescent="0.25" r="192" customHeight="1" ht="18.75">
      <c r="A192" s="4" t="s">
        <v>654</v>
      </c>
      <c r="B192" s="4" t="s">
        <v>522</v>
      </c>
      <c r="C192" s="4" t="s">
        <v>53</v>
      </c>
      <c r="D192" s="5">
        <v>503</v>
      </c>
      <c r="E192" s="5">
        <v>7</v>
      </c>
      <c r="F192" s="5">
        <v>0</v>
      </c>
      <c r="G192" s="5">
        <v>1</v>
      </c>
      <c r="H192" s="6">
        <v>58.7</v>
      </c>
      <c r="I192" s="6">
        <v>29.2</v>
      </c>
      <c r="J192" s="5">
        <v>180337</v>
      </c>
      <c r="K192" s="4" t="s">
        <v>655</v>
      </c>
      <c r="L192" s="4" t="s">
        <v>656</v>
      </c>
      <c r="M192" s="4" t="s">
        <v>657</v>
      </c>
      <c r="N192" s="7">
        <f>(11+13+17+18)/4</f>
      </c>
      <c r="O192" s="7">
        <f>(9+9.5)/2</f>
      </c>
    </row>
    <row x14ac:dyDescent="0.25" r="193" customHeight="1" ht="18.75">
      <c r="A193" s="4" t="s">
        <v>658</v>
      </c>
      <c r="B193" s="4" t="s">
        <v>420</v>
      </c>
      <c r="C193" s="4" t="s">
        <v>22</v>
      </c>
      <c r="D193" s="5">
        <v>503</v>
      </c>
      <c r="E193" s="5">
        <v>6</v>
      </c>
      <c r="F193" s="5">
        <v>2</v>
      </c>
      <c r="G193" s="5">
        <v>0</v>
      </c>
      <c r="H193" s="6">
        <v>60.8</v>
      </c>
      <c r="I193" s="6">
        <v>31.5</v>
      </c>
      <c r="J193" s="5">
        <v>287183</v>
      </c>
      <c r="K193" s="4" t="s">
        <v>659</v>
      </c>
      <c r="L193" s="4" t="s">
        <v>492</v>
      </c>
      <c r="M193" s="4" t="s">
        <v>660</v>
      </c>
      <c r="N193" s="7">
        <f>(16+16)/2</f>
      </c>
      <c r="O193" s="7">
        <f>(2+3+5+10)/4</f>
      </c>
    </row>
    <row x14ac:dyDescent="0.25" r="194" customHeight="1" ht="18.75">
      <c r="A194" s="4" t="s">
        <v>661</v>
      </c>
      <c r="B194" s="4" t="s">
        <v>416</v>
      </c>
      <c r="C194" s="4" t="s">
        <v>53</v>
      </c>
      <c r="D194" s="5">
        <v>501</v>
      </c>
      <c r="E194" s="5">
        <v>6</v>
      </c>
      <c r="F194" s="5">
        <v>0</v>
      </c>
      <c r="G194" s="5">
        <v>0</v>
      </c>
      <c r="H194" s="6">
        <v>61.6</v>
      </c>
      <c r="I194" s="6">
        <v>32.2</v>
      </c>
      <c r="J194" s="5">
        <v>42460</v>
      </c>
      <c r="K194" s="4" t="s">
        <v>662</v>
      </c>
      <c r="L194" s="4" t="s">
        <v>378</v>
      </c>
      <c r="M194" s="4" t="s">
        <v>663</v>
      </c>
      <c r="N194" s="7">
        <f>(35+30+24+22)/4</f>
      </c>
      <c r="O194" s="7">
        <f>(40+40+45+40)/4</f>
      </c>
    </row>
    <row x14ac:dyDescent="0.25" r="195" customHeight="1" ht="18.75">
      <c r="A195" s="4" t="s">
        <v>664</v>
      </c>
      <c r="B195" s="4" t="s">
        <v>440</v>
      </c>
      <c r="C195" s="4" t="s">
        <v>32</v>
      </c>
      <c r="D195" s="5">
        <v>495</v>
      </c>
      <c r="E195" s="5">
        <v>6</v>
      </c>
      <c r="F195" s="5">
        <v>0</v>
      </c>
      <c r="G195" s="5">
        <v>1</v>
      </c>
      <c r="H195" s="6">
        <v>53.5</v>
      </c>
      <c r="I195" s="5">
        <v>31</v>
      </c>
      <c r="J195" s="5">
        <v>16090</v>
      </c>
      <c r="K195" s="4" t="s">
        <v>665</v>
      </c>
      <c r="L195" s="4" t="s">
        <v>450</v>
      </c>
      <c r="M195" s="4" t="s">
        <v>666</v>
      </c>
      <c r="N195" s="7">
        <f>(0.6+0.6)/2</f>
      </c>
      <c r="O195" s="7">
        <f>(0.7+0.7)/2</f>
      </c>
    </row>
    <row x14ac:dyDescent="0.25" r="196" customHeight="1" ht="18.75">
      <c r="A196" s="4" t="s">
        <v>667</v>
      </c>
      <c r="B196" s="4" t="s">
        <v>512</v>
      </c>
      <c r="C196" s="4" t="s">
        <v>32</v>
      </c>
      <c r="D196" s="5">
        <v>495</v>
      </c>
      <c r="E196" s="5">
        <v>6</v>
      </c>
      <c r="F196" s="5">
        <v>0</v>
      </c>
      <c r="G196" s="5">
        <v>0</v>
      </c>
      <c r="H196" s="6">
        <v>54.7</v>
      </c>
      <c r="I196" s="5">
        <v>31</v>
      </c>
      <c r="J196" s="5">
        <v>15452</v>
      </c>
      <c r="K196" s="4" t="s">
        <v>668</v>
      </c>
      <c r="L196" s="4" t="s">
        <v>55</v>
      </c>
      <c r="M196" s="4" t="s">
        <v>669</v>
      </c>
      <c r="N196" s="7">
        <f>(5+4)/2</f>
      </c>
      <c r="O196" s="7">
        <f>(8+8)/2</f>
      </c>
    </row>
    <row x14ac:dyDescent="0.25" r="197" customHeight="1" ht="18.75">
      <c r="A197" s="4" t="s">
        <v>670</v>
      </c>
      <c r="B197" s="4" t="s">
        <v>459</v>
      </c>
      <c r="C197" s="4" t="s">
        <v>22</v>
      </c>
      <c r="D197" s="5">
        <v>492</v>
      </c>
      <c r="E197" s="5">
        <v>6</v>
      </c>
      <c r="F197" s="5">
        <v>0</v>
      </c>
      <c r="G197" s="5">
        <v>0</v>
      </c>
      <c r="H197" s="6">
        <v>52.9</v>
      </c>
      <c r="I197" s="6">
        <v>31.5</v>
      </c>
      <c r="J197" s="5">
        <v>296783</v>
      </c>
      <c r="K197" s="4" t="s">
        <v>671</v>
      </c>
      <c r="L197" s="4" t="s">
        <v>127</v>
      </c>
      <c r="M197" s="4" t="s">
        <v>672</v>
      </c>
      <c r="N197" s="7">
        <f>(3+4+4)/3</f>
      </c>
      <c r="O197" s="7">
        <f>(2.5+2.5+2.5)/3</f>
      </c>
    </row>
    <row x14ac:dyDescent="0.25" r="198" customHeight="1" ht="18.75">
      <c r="A198" s="4" t="s">
        <v>673</v>
      </c>
      <c r="B198" s="4" t="s">
        <v>512</v>
      </c>
      <c r="C198" s="4" t="s">
        <v>22</v>
      </c>
      <c r="D198" s="5">
        <v>490</v>
      </c>
      <c r="E198" s="5">
        <v>6</v>
      </c>
      <c r="F198" s="5">
        <v>3</v>
      </c>
      <c r="G198" s="5">
        <v>0</v>
      </c>
      <c r="H198" s="6">
        <v>63.4</v>
      </c>
      <c r="I198" s="6">
        <v>29.7</v>
      </c>
      <c r="J198" s="5">
        <v>133964</v>
      </c>
      <c r="K198" s="4" t="s">
        <v>674</v>
      </c>
      <c r="L198" s="4" t="s">
        <v>136</v>
      </c>
      <c r="M198" s="4" t="s">
        <v>675</v>
      </c>
      <c r="N198" s="7">
        <f>(65+60)/2</f>
      </c>
      <c r="O198" s="7">
        <f>(60+65+75)/3</f>
      </c>
    </row>
    <row x14ac:dyDescent="0.25" r="199" customHeight="1" ht="18.75">
      <c r="A199" s="4" t="s">
        <v>676</v>
      </c>
      <c r="B199" s="4" t="s">
        <v>459</v>
      </c>
      <c r="C199" s="4" t="s">
        <v>53</v>
      </c>
      <c r="D199" s="5">
        <v>490</v>
      </c>
      <c r="E199" s="5">
        <v>6</v>
      </c>
      <c r="F199" s="5">
        <v>0</v>
      </c>
      <c r="G199" s="5">
        <v>0</v>
      </c>
      <c r="H199" s="6">
        <v>61.2</v>
      </c>
      <c r="I199" s="6">
        <v>31.7</v>
      </c>
      <c r="J199" s="5">
        <v>370885</v>
      </c>
      <c r="K199" s="4" t="s">
        <v>677</v>
      </c>
      <c r="L199" s="4" t="s">
        <v>290</v>
      </c>
      <c r="M199" s="4" t="s">
        <v>678</v>
      </c>
      <c r="N199" s="7">
        <f>(3.5+3.5)/2</f>
      </c>
      <c r="O199" s="7">
        <f>(2.5+3.5)/2</f>
      </c>
    </row>
    <row x14ac:dyDescent="0.25" r="200" customHeight="1" ht="18.75">
      <c r="A200" s="4" t="s">
        <v>679</v>
      </c>
      <c r="B200" s="4" t="s">
        <v>296</v>
      </c>
      <c r="C200" s="4" t="s">
        <v>22</v>
      </c>
      <c r="D200" s="5">
        <v>489</v>
      </c>
      <c r="E200" s="5">
        <v>7</v>
      </c>
      <c r="F200" s="5">
        <v>3</v>
      </c>
      <c r="G200" s="5">
        <v>2</v>
      </c>
      <c r="H200" s="6">
        <v>54.1</v>
      </c>
      <c r="I200" s="6">
        <v>33.8</v>
      </c>
      <c r="J200" s="5">
        <v>39381</v>
      </c>
      <c r="K200" s="4" t="s">
        <v>680</v>
      </c>
      <c r="L200" s="4" t="s">
        <v>63</v>
      </c>
      <c r="M200" s="4" t="s">
        <v>681</v>
      </c>
      <c r="N200" s="7">
        <f>(70+60+40)/3</f>
      </c>
      <c r="O200" s="7">
        <f>(75+70+90+80)/4</f>
      </c>
    </row>
    <row x14ac:dyDescent="0.25" r="201" customHeight="1" ht="18.75">
      <c r="A201" s="4" t="s">
        <v>682</v>
      </c>
      <c r="B201" s="4" t="s">
        <v>266</v>
      </c>
      <c r="C201" s="4" t="s">
        <v>32</v>
      </c>
      <c r="D201" s="5">
        <v>489</v>
      </c>
      <c r="E201" s="5">
        <v>7</v>
      </c>
      <c r="F201" s="5">
        <v>0</v>
      </c>
      <c r="G201" s="5">
        <v>0</v>
      </c>
      <c r="H201" s="6">
        <v>52.5</v>
      </c>
      <c r="I201" s="6">
        <v>30.2</v>
      </c>
      <c r="J201" s="5">
        <v>228948</v>
      </c>
      <c r="K201" s="4" t="s">
        <v>683</v>
      </c>
      <c r="L201" s="4" t="s">
        <v>84</v>
      </c>
      <c r="M201" s="4" t="s">
        <v>684</v>
      </c>
      <c r="N201" s="7">
        <f>(35+35)/2</f>
      </c>
      <c r="O201" s="7">
        <f>(13+18+30+35)/4</f>
      </c>
    </row>
    <row x14ac:dyDescent="0.25" r="202" customHeight="1" ht="18.75">
      <c r="A202" s="4" t="s">
        <v>685</v>
      </c>
      <c r="B202" s="4" t="s">
        <v>420</v>
      </c>
      <c r="C202" s="4" t="s">
        <v>53</v>
      </c>
      <c r="D202" s="5">
        <v>488</v>
      </c>
      <c r="E202" s="5">
        <v>6</v>
      </c>
      <c r="F202" s="5">
        <v>0</v>
      </c>
      <c r="G202" s="5">
        <v>0</v>
      </c>
      <c r="H202" s="6">
        <v>62.9</v>
      </c>
      <c r="I202" s="6">
        <v>28.4</v>
      </c>
      <c r="J202" s="5">
        <v>419845</v>
      </c>
      <c r="K202" s="4" t="s">
        <v>686</v>
      </c>
      <c r="L202" s="4" t="s">
        <v>492</v>
      </c>
      <c r="M202" s="4" t="s">
        <v>687</v>
      </c>
      <c r="N202" s="7">
        <f>(7.5+8)/2</f>
      </c>
      <c r="O202" s="7">
        <f>(1.7+3+5)/3</f>
      </c>
    </row>
    <row x14ac:dyDescent="0.25" r="203" customHeight="1" ht="18.75">
      <c r="A203" s="4" t="s">
        <v>688</v>
      </c>
      <c r="B203" s="4" t="s">
        <v>230</v>
      </c>
      <c r="C203" s="4" t="s">
        <v>53</v>
      </c>
      <c r="D203" s="5">
        <v>482</v>
      </c>
      <c r="E203" s="5">
        <v>7</v>
      </c>
      <c r="F203" s="5">
        <v>1</v>
      </c>
      <c r="G203" s="5">
        <v>0</v>
      </c>
      <c r="H203" s="6">
        <v>66.1</v>
      </c>
      <c r="I203" s="6">
        <v>29.9</v>
      </c>
      <c r="J203" s="5">
        <v>353948</v>
      </c>
      <c r="K203" s="4" t="s">
        <v>689</v>
      </c>
      <c r="L203" s="4" t="s">
        <v>71</v>
      </c>
      <c r="M203" s="4" t="s">
        <v>690</v>
      </c>
      <c r="N203" s="7">
        <f>(20+20)/2</f>
      </c>
      <c r="O203" s="7">
        <f>(25+25+20)/3</f>
      </c>
    </row>
    <row x14ac:dyDescent="0.25" r="204" customHeight="1" ht="18.75">
      <c r="A204" s="4" t="s">
        <v>691</v>
      </c>
      <c r="B204" s="4" t="s">
        <v>448</v>
      </c>
      <c r="C204" s="4" t="s">
        <v>22</v>
      </c>
      <c r="D204" s="5">
        <v>481</v>
      </c>
      <c r="E204" s="5">
        <v>6</v>
      </c>
      <c r="F204" s="5">
        <v>5</v>
      </c>
      <c r="G204" s="5">
        <v>1</v>
      </c>
      <c r="H204" s="6">
        <v>62.4</v>
      </c>
      <c r="I204" s="6">
        <v>30.6</v>
      </c>
      <c r="J204" s="5">
        <v>46580</v>
      </c>
      <c r="K204" s="4" t="s">
        <v>692</v>
      </c>
      <c r="L204" s="4" t="s">
        <v>378</v>
      </c>
      <c r="M204" s="4" t="s">
        <v>693</v>
      </c>
      <c r="N204" s="7">
        <f>(38+38)/2</f>
      </c>
      <c r="O204" s="7">
        <f>(27+35+35)/3</f>
      </c>
    </row>
    <row x14ac:dyDescent="0.25" r="205" customHeight="1" ht="18.75">
      <c r="A205" s="4" t="s">
        <v>694</v>
      </c>
      <c r="B205" s="4" t="s">
        <v>134</v>
      </c>
      <c r="C205" s="4" t="s">
        <v>32</v>
      </c>
      <c r="D205" s="5">
        <v>479</v>
      </c>
      <c r="E205" s="5">
        <v>7</v>
      </c>
      <c r="F205" s="5">
        <v>0</v>
      </c>
      <c r="G205" s="5">
        <v>2</v>
      </c>
      <c r="H205" s="6">
        <v>56.7</v>
      </c>
      <c r="I205" s="6">
        <v>32.4</v>
      </c>
      <c r="J205" s="5">
        <v>182712</v>
      </c>
      <c r="K205" s="4" t="s">
        <v>695</v>
      </c>
      <c r="L205" s="4" t="s">
        <v>141</v>
      </c>
      <c r="M205" s="4" t="s">
        <v>152</v>
      </c>
      <c r="N205" s="7">
        <f>(55+50)/2</f>
      </c>
      <c r="O205" s="7">
        <f>(25+35+40+55)/4</f>
      </c>
    </row>
    <row x14ac:dyDescent="0.25" r="206" customHeight="1" ht="18.75">
      <c r="A206" s="4" t="s">
        <v>696</v>
      </c>
      <c r="B206" s="4" t="s">
        <v>553</v>
      </c>
      <c r="C206" s="4" t="s">
        <v>32</v>
      </c>
      <c r="D206" s="5">
        <v>473</v>
      </c>
      <c r="E206" s="5">
        <v>6</v>
      </c>
      <c r="F206" s="5">
        <v>0</v>
      </c>
      <c r="G206" s="5">
        <v>0</v>
      </c>
      <c r="H206" s="6">
        <v>49.8</v>
      </c>
      <c r="I206" s="5">
        <v>32</v>
      </c>
      <c r="J206" s="5">
        <v>168157</v>
      </c>
      <c r="K206" s="4" t="s">
        <v>697</v>
      </c>
      <c r="L206" s="4" t="s">
        <v>42</v>
      </c>
      <c r="M206" s="4" t="s">
        <v>698</v>
      </c>
      <c r="N206" s="7">
        <f>(18+25+28)/3</f>
      </c>
      <c r="O206" s="7">
        <f>(18+16.5+17+15)/4</f>
      </c>
    </row>
    <row x14ac:dyDescent="0.25" r="207" customHeight="1" ht="18.75">
      <c r="A207" s="4" t="s">
        <v>699</v>
      </c>
      <c r="B207" s="4" t="s">
        <v>512</v>
      </c>
      <c r="C207" s="4" t="s">
        <v>53</v>
      </c>
      <c r="D207" s="5">
        <v>471</v>
      </c>
      <c r="E207" s="5">
        <v>6</v>
      </c>
      <c r="F207" s="5">
        <v>0</v>
      </c>
      <c r="G207" s="5">
        <v>1</v>
      </c>
      <c r="H207" s="6">
        <v>61.2</v>
      </c>
      <c r="I207" s="6">
        <v>30.2</v>
      </c>
      <c r="J207" s="5">
        <v>350219</v>
      </c>
      <c r="K207" s="4" t="s">
        <v>700</v>
      </c>
      <c r="L207" s="4" t="s">
        <v>55</v>
      </c>
      <c r="M207" s="4" t="s">
        <v>701</v>
      </c>
      <c r="N207" s="7">
        <f>(40+50+60+60)/4</f>
      </c>
      <c r="O207" s="7">
        <f>(7.5+15+20+25+32)/5</f>
      </c>
    </row>
    <row x14ac:dyDescent="0.25" r="208" customHeight="1" ht="18.75">
      <c r="A208" s="4" t="s">
        <v>702</v>
      </c>
      <c r="B208" s="4" t="s">
        <v>464</v>
      </c>
      <c r="C208" s="4" t="s">
        <v>53</v>
      </c>
      <c r="D208" s="5">
        <v>468</v>
      </c>
      <c r="E208" s="5">
        <v>6</v>
      </c>
      <c r="F208" s="5">
        <v>0</v>
      </c>
      <c r="G208" s="5">
        <v>0</v>
      </c>
      <c r="H208" s="6">
        <v>58.7</v>
      </c>
      <c r="I208" s="6">
        <v>29.5</v>
      </c>
      <c r="J208" s="5">
        <v>15650</v>
      </c>
      <c r="K208" s="4" t="s">
        <v>703</v>
      </c>
      <c r="L208" s="4" t="s">
        <v>492</v>
      </c>
      <c r="M208" s="4" t="s">
        <v>704</v>
      </c>
      <c r="N208" s="7">
        <f>0.8</f>
      </c>
      <c r="O208" s="7">
        <f>(1.5+1.5)/2</f>
      </c>
    </row>
    <row x14ac:dyDescent="0.25" r="209" customHeight="1" ht="18.75">
      <c r="A209" s="4" t="s">
        <v>705</v>
      </c>
      <c r="B209" s="4" t="s">
        <v>296</v>
      </c>
      <c r="C209" s="4" t="s">
        <v>53</v>
      </c>
      <c r="D209" s="5">
        <v>467</v>
      </c>
      <c r="E209" s="5">
        <v>6</v>
      </c>
      <c r="F209" s="5">
        <v>0</v>
      </c>
      <c r="G209" s="5">
        <v>1</v>
      </c>
      <c r="H209" s="6">
        <v>51.3</v>
      </c>
      <c r="I209" s="6">
        <v>30.8</v>
      </c>
      <c r="J209" s="5">
        <v>27992</v>
      </c>
      <c r="K209" s="4" t="s">
        <v>706</v>
      </c>
      <c r="L209" s="4" t="s">
        <v>378</v>
      </c>
      <c r="M209" s="4" t="s">
        <v>707</v>
      </c>
      <c r="N209" s="7">
        <f>(20+15)/2</f>
      </c>
      <c r="O209" s="7">
        <f>(40+25+25)/3</f>
      </c>
    </row>
    <row x14ac:dyDescent="0.25" r="210" customHeight="1" ht="18.75">
      <c r="A210" s="4" t="s">
        <v>708</v>
      </c>
      <c r="B210" s="4" t="s">
        <v>436</v>
      </c>
      <c r="C210" s="4" t="s">
        <v>53</v>
      </c>
      <c r="D210" s="5">
        <v>465</v>
      </c>
      <c r="E210" s="5">
        <v>6</v>
      </c>
      <c r="F210" s="5">
        <v>1</v>
      </c>
      <c r="G210" s="5">
        <v>1</v>
      </c>
      <c r="H210" s="6">
        <v>60.4</v>
      </c>
      <c r="I210" s="6">
        <v>31.7</v>
      </c>
      <c r="J210" s="5">
        <v>240306</v>
      </c>
      <c r="K210" s="4" t="s">
        <v>709</v>
      </c>
      <c r="L210" s="4" t="s">
        <v>141</v>
      </c>
      <c r="M210" s="4" t="s">
        <v>710</v>
      </c>
      <c r="N210" s="7">
        <f>(30+35+55+60+60)/5</f>
      </c>
      <c r="O210" s="7">
        <f>(17+20+30+26)/4</f>
      </c>
    </row>
    <row x14ac:dyDescent="0.25" r="211" customHeight="1" ht="18.75">
      <c r="A211" s="4" t="s">
        <v>711</v>
      </c>
      <c r="B211" s="4" t="s">
        <v>522</v>
      </c>
      <c r="C211" s="4" t="s">
        <v>53</v>
      </c>
      <c r="D211" s="5">
        <v>462</v>
      </c>
      <c r="E211" s="5">
        <v>6</v>
      </c>
      <c r="F211" s="5">
        <v>0</v>
      </c>
      <c r="G211" s="5">
        <v>1</v>
      </c>
      <c r="H211" s="6">
        <v>55.8</v>
      </c>
      <c r="I211" s="6">
        <v>31.5</v>
      </c>
      <c r="J211" s="5">
        <v>58949</v>
      </c>
      <c r="K211" s="4" t="s">
        <v>712</v>
      </c>
      <c r="L211" s="4" t="s">
        <v>542</v>
      </c>
      <c r="M211" s="4" t="s">
        <v>713</v>
      </c>
      <c r="N211" s="7">
        <f>6.5</f>
      </c>
      <c r="O211" s="7">
        <f>(9+10+10)/3</f>
      </c>
    </row>
    <row x14ac:dyDescent="0.25" r="212" customHeight="1" ht="18.75">
      <c r="A212" s="4" t="s">
        <v>714</v>
      </c>
      <c r="B212" s="4" t="s">
        <v>420</v>
      </c>
      <c r="C212" s="4" t="s">
        <v>32</v>
      </c>
      <c r="D212" s="5">
        <v>462</v>
      </c>
      <c r="E212" s="5">
        <v>6</v>
      </c>
      <c r="F212" s="5">
        <v>0</v>
      </c>
      <c r="G212" s="5">
        <v>1</v>
      </c>
      <c r="H212" s="5">
        <v>54</v>
      </c>
      <c r="I212" s="6">
        <v>31.5</v>
      </c>
      <c r="J212" s="5">
        <v>102740</v>
      </c>
      <c r="K212" s="4" t="s">
        <v>715</v>
      </c>
      <c r="L212" s="4" t="s">
        <v>19</v>
      </c>
      <c r="M212" s="4" t="s">
        <v>340</v>
      </c>
      <c r="N212" s="7">
        <f>(30+30)/2</f>
      </c>
      <c r="O212" s="7">
        <f>(16+20+26)/3</f>
      </c>
    </row>
    <row x14ac:dyDescent="0.25" r="213" customHeight="1" ht="18.75">
      <c r="A213" s="4" t="s">
        <v>716</v>
      </c>
      <c r="B213" s="4" t="s">
        <v>186</v>
      </c>
      <c r="C213" s="4" t="s">
        <v>53</v>
      </c>
      <c r="D213" s="5">
        <v>461</v>
      </c>
      <c r="E213" s="5">
        <v>6</v>
      </c>
      <c r="F213" s="5">
        <v>0</v>
      </c>
      <c r="G213" s="5">
        <v>0</v>
      </c>
      <c r="H213" s="6">
        <v>60.6</v>
      </c>
      <c r="I213" s="5">
        <v>32</v>
      </c>
      <c r="J213" s="5">
        <v>274839</v>
      </c>
      <c r="K213" s="4" t="s">
        <v>717</v>
      </c>
      <c r="L213" s="4" t="s">
        <v>718</v>
      </c>
      <c r="M213" s="4" t="s">
        <v>719</v>
      </c>
      <c r="N213" s="7">
        <f>(35+45)/2</f>
      </c>
      <c r="O213" s="7">
        <f>(18+25+35+35)/4</f>
      </c>
    </row>
    <row x14ac:dyDescent="0.25" r="214" customHeight="1" ht="18.75">
      <c r="A214" s="4" t="s">
        <v>720</v>
      </c>
      <c r="B214" s="4" t="s">
        <v>512</v>
      </c>
      <c r="C214" s="4" t="s">
        <v>53</v>
      </c>
      <c r="D214" s="5">
        <v>456</v>
      </c>
      <c r="E214" s="5">
        <v>6</v>
      </c>
      <c r="F214" s="5">
        <v>1</v>
      </c>
      <c r="G214" s="5">
        <v>1</v>
      </c>
      <c r="H214" s="5">
        <v>62</v>
      </c>
      <c r="I214" s="6">
        <v>29.7</v>
      </c>
      <c r="J214" s="5">
        <v>38593</v>
      </c>
      <c r="K214" s="4" t="s">
        <v>721</v>
      </c>
      <c r="L214" s="4" t="s">
        <v>442</v>
      </c>
      <c r="M214" s="4" t="s">
        <v>722</v>
      </c>
      <c r="N214" s="7">
        <f>(22+18+8.5)/3</f>
      </c>
      <c r="O214" s="7">
        <f>(35+30+30)/3</f>
      </c>
    </row>
    <row x14ac:dyDescent="0.25" r="215" customHeight="1" ht="18.75">
      <c r="A215" s="4" t="s">
        <v>723</v>
      </c>
      <c r="B215" s="4" t="s">
        <v>316</v>
      </c>
      <c r="C215" s="4" t="s">
        <v>22</v>
      </c>
      <c r="D215" s="5">
        <v>454</v>
      </c>
      <c r="E215" s="5">
        <v>7</v>
      </c>
      <c r="F215" s="5">
        <v>1</v>
      </c>
      <c r="G215" s="5">
        <v>0</v>
      </c>
      <c r="H215" s="6">
        <v>59.6</v>
      </c>
      <c r="I215" s="6">
        <v>29.7</v>
      </c>
      <c r="J215" s="5">
        <v>315779</v>
      </c>
      <c r="K215" s="4" t="s">
        <v>724</v>
      </c>
      <c r="L215" s="4" t="s">
        <v>461</v>
      </c>
      <c r="M215" s="4" t="s">
        <v>725</v>
      </c>
      <c r="N215" s="7">
        <f>(60+60+60)/3</f>
      </c>
      <c r="O215" s="7">
        <f>(45+50)/2</f>
      </c>
    </row>
    <row x14ac:dyDescent="0.25" r="216" customHeight="1" ht="18.75">
      <c r="A216" s="4" t="s">
        <v>726</v>
      </c>
      <c r="B216" s="4" t="s">
        <v>416</v>
      </c>
      <c r="C216" s="4" t="s">
        <v>22</v>
      </c>
      <c r="D216" s="5">
        <v>454</v>
      </c>
      <c r="E216" s="5">
        <v>6</v>
      </c>
      <c r="F216" s="5">
        <v>0</v>
      </c>
      <c r="G216" s="5">
        <v>1</v>
      </c>
      <c r="H216" s="6">
        <v>55.1</v>
      </c>
      <c r="I216" s="6">
        <v>32.2</v>
      </c>
      <c r="J216" s="5">
        <v>165895</v>
      </c>
      <c r="K216" s="4" t="s">
        <v>727</v>
      </c>
      <c r="L216" s="4" t="s">
        <v>136</v>
      </c>
      <c r="M216" s="4" t="s">
        <v>728</v>
      </c>
      <c r="N216" s="7">
        <f>(30+28)/2</f>
      </c>
      <c r="O216" s="7">
        <f>(15+22+25+30)/4</f>
      </c>
    </row>
    <row x14ac:dyDescent="0.25" r="217" customHeight="1" ht="18.75">
      <c r="A217" s="4" t="s">
        <v>729</v>
      </c>
      <c r="B217" s="4" t="s">
        <v>424</v>
      </c>
      <c r="C217" s="4" t="s">
        <v>53</v>
      </c>
      <c r="D217" s="5">
        <v>451</v>
      </c>
      <c r="E217" s="5">
        <v>6</v>
      </c>
      <c r="F217" s="5">
        <v>1</v>
      </c>
      <c r="G217" s="5">
        <v>0</v>
      </c>
      <c r="H217" s="6">
        <v>60.8</v>
      </c>
      <c r="I217" s="6">
        <v>28.8</v>
      </c>
      <c r="J217" s="5">
        <v>421935</v>
      </c>
      <c r="K217" s="4" t="s">
        <v>730</v>
      </c>
      <c r="L217" s="4" t="s">
        <v>19</v>
      </c>
      <c r="M217" s="4" t="s">
        <v>731</v>
      </c>
      <c r="N217" s="7">
        <f>8</f>
      </c>
      <c r="O217" s="7">
        <f>(5+6.5+8)/3</f>
      </c>
    </row>
    <row x14ac:dyDescent="0.25" r="218" customHeight="1" ht="18.75">
      <c r="A218" s="4" t="s">
        <v>732</v>
      </c>
      <c r="B218" s="4" t="s">
        <v>440</v>
      </c>
      <c r="C218" s="4" t="s">
        <v>32</v>
      </c>
      <c r="D218" s="5">
        <v>451</v>
      </c>
      <c r="E218" s="5">
        <v>6</v>
      </c>
      <c r="F218" s="5">
        <v>1</v>
      </c>
      <c r="G218" s="5">
        <v>0</v>
      </c>
      <c r="H218" s="6">
        <v>49.1</v>
      </c>
      <c r="I218" s="6">
        <v>30.2</v>
      </c>
      <c r="J218" s="5">
        <v>96047</v>
      </c>
      <c r="K218" s="4" t="s">
        <v>733</v>
      </c>
      <c r="L218" s="4" t="s">
        <v>450</v>
      </c>
      <c r="M218" s="4" t="s">
        <v>734</v>
      </c>
      <c r="N218" s="7">
        <f>(1.75+1.75)/2</f>
      </c>
      <c r="O218" s="7">
        <f>(1.75+1.75)/2</f>
      </c>
    </row>
    <row x14ac:dyDescent="0.25" r="219" customHeight="1" ht="18.75">
      <c r="A219" s="4" t="s">
        <v>735</v>
      </c>
      <c r="B219" s="4" t="s">
        <v>243</v>
      </c>
      <c r="C219" s="4" t="s">
        <v>32</v>
      </c>
      <c r="D219" s="5">
        <v>451</v>
      </c>
      <c r="E219" s="5">
        <v>6</v>
      </c>
      <c r="F219" s="5">
        <v>0</v>
      </c>
      <c r="G219" s="5">
        <v>0</v>
      </c>
      <c r="H219" s="6">
        <v>49.8</v>
      </c>
      <c r="I219" s="6">
        <v>31.5</v>
      </c>
      <c r="J219" s="5">
        <v>166601</v>
      </c>
      <c r="K219" s="4" t="s">
        <v>736</v>
      </c>
      <c r="L219" s="4" t="s">
        <v>84</v>
      </c>
      <c r="M219" s="4" t="s">
        <v>737</v>
      </c>
      <c r="N219" s="7">
        <f>(60+60)/2</f>
      </c>
      <c r="O219" s="7">
        <f>(35+38+45+50+50)/5</f>
      </c>
    </row>
    <row x14ac:dyDescent="0.25" r="220" customHeight="1" ht="18.75">
      <c r="A220" s="4" t="s">
        <v>738</v>
      </c>
      <c r="B220" s="4" t="s">
        <v>416</v>
      </c>
      <c r="C220" s="4" t="s">
        <v>53</v>
      </c>
      <c r="D220" s="5">
        <v>450</v>
      </c>
      <c r="E220" s="5">
        <v>5</v>
      </c>
      <c r="F220" s="5">
        <v>1</v>
      </c>
      <c r="G220" s="5">
        <v>1</v>
      </c>
      <c r="H220" s="6">
        <v>61.7</v>
      </c>
      <c r="I220" s="6">
        <v>29.5</v>
      </c>
      <c r="J220" s="5">
        <v>143812</v>
      </c>
      <c r="K220" s="4" t="s">
        <v>739</v>
      </c>
      <c r="L220" s="4" t="s">
        <v>136</v>
      </c>
      <c r="M220" s="4" t="s">
        <v>740</v>
      </c>
      <c r="N220" s="7">
        <f>(23+23)/2</f>
      </c>
      <c r="O220" s="7">
        <f>(21+25+25)/3</f>
      </c>
    </row>
    <row x14ac:dyDescent="0.25" r="221" customHeight="1" ht="18.75">
      <c r="A221" s="4" t="s">
        <v>741</v>
      </c>
      <c r="B221" s="4" t="s">
        <v>424</v>
      </c>
      <c r="C221" s="4" t="s">
        <v>32</v>
      </c>
      <c r="D221" s="5">
        <v>450</v>
      </c>
      <c r="E221" s="5">
        <v>5</v>
      </c>
      <c r="F221" s="5">
        <v>0</v>
      </c>
      <c r="G221" s="5">
        <v>0</v>
      </c>
      <c r="H221" s="6">
        <v>58.2</v>
      </c>
      <c r="I221" s="5">
        <v>32</v>
      </c>
      <c r="J221" s="5">
        <v>74089</v>
      </c>
      <c r="K221" s="4" t="s">
        <v>742</v>
      </c>
      <c r="L221" s="4" t="s">
        <v>542</v>
      </c>
      <c r="M221" s="4" t="s">
        <v>743</v>
      </c>
      <c r="N221" s="7">
        <f>4</f>
      </c>
      <c r="O221" s="7">
        <f>(1.8+2+2.5)/3</f>
      </c>
    </row>
    <row x14ac:dyDescent="0.25" r="222" customHeight="1" ht="18.75">
      <c r="A222" s="4" t="s">
        <v>744</v>
      </c>
      <c r="B222" s="4" t="s">
        <v>424</v>
      </c>
      <c r="C222" s="4" t="s">
        <v>32</v>
      </c>
      <c r="D222" s="5">
        <v>450</v>
      </c>
      <c r="E222" s="5">
        <v>5</v>
      </c>
      <c r="F222" s="5">
        <v>0</v>
      </c>
      <c r="G222" s="5">
        <v>0</v>
      </c>
      <c r="H222" s="6">
        <v>57.8</v>
      </c>
      <c r="I222" s="6">
        <v>30.2</v>
      </c>
      <c r="J222" s="5">
        <v>289059</v>
      </c>
      <c r="K222" s="4" t="s">
        <v>745</v>
      </c>
      <c r="L222" s="4" t="s">
        <v>542</v>
      </c>
      <c r="M222" s="4" t="s">
        <v>746</v>
      </c>
      <c r="N222" s="7">
        <f>(3+3)/2</f>
      </c>
      <c r="O222" s="7">
        <f>(0.9+1.8+2.5)/3</f>
      </c>
    </row>
    <row x14ac:dyDescent="0.25" r="223" customHeight="1" ht="18.75">
      <c r="A223" s="4" t="s">
        <v>747</v>
      </c>
      <c r="B223" s="4" t="s">
        <v>748</v>
      </c>
      <c r="C223" s="4" t="s">
        <v>53</v>
      </c>
      <c r="D223" s="5">
        <v>450</v>
      </c>
      <c r="E223" s="5">
        <v>5</v>
      </c>
      <c r="F223" s="5">
        <v>0</v>
      </c>
      <c r="G223" s="5">
        <v>0</v>
      </c>
      <c r="H223" s="6">
        <v>57.3</v>
      </c>
      <c r="I223" s="6">
        <v>27.2</v>
      </c>
      <c r="J223" s="5">
        <v>59561</v>
      </c>
      <c r="K223" s="4" t="s">
        <v>749</v>
      </c>
      <c r="L223" s="4" t="s">
        <v>55</v>
      </c>
      <c r="M223" s="4" t="s">
        <v>750</v>
      </c>
      <c r="N223" s="7">
        <f>(30+35)/2</f>
      </c>
      <c r="O223" s="7">
        <f>(18+20+20+20)/4</f>
      </c>
    </row>
    <row x14ac:dyDescent="0.25" r="224" customHeight="1" ht="18.75">
      <c r="A224" s="4" t="s">
        <v>751</v>
      </c>
      <c r="B224" s="4" t="s">
        <v>316</v>
      </c>
      <c r="C224" s="4" t="s">
        <v>32</v>
      </c>
      <c r="D224" s="5">
        <v>450</v>
      </c>
      <c r="E224" s="5">
        <v>5</v>
      </c>
      <c r="F224" s="5">
        <v>0</v>
      </c>
      <c r="G224" s="5">
        <v>0</v>
      </c>
      <c r="H224" s="5">
        <v>54</v>
      </c>
      <c r="I224" s="6">
        <v>30.2</v>
      </c>
      <c r="J224" s="5">
        <v>25727</v>
      </c>
      <c r="K224" s="4" t="s">
        <v>752</v>
      </c>
      <c r="L224" s="4" t="s">
        <v>145</v>
      </c>
      <c r="M224" s="4" t="s">
        <v>753</v>
      </c>
      <c r="N224" s="7">
        <f>(3+2.5)/2</f>
      </c>
      <c r="O224" s="7">
        <f>(4+4)/2</f>
      </c>
    </row>
    <row x14ac:dyDescent="0.25" r="225" customHeight="1" ht="18.75">
      <c r="A225" s="4" t="s">
        <v>754</v>
      </c>
      <c r="B225" s="4" t="s">
        <v>478</v>
      </c>
      <c r="C225" s="4" t="s">
        <v>32</v>
      </c>
      <c r="D225" s="5">
        <v>450</v>
      </c>
      <c r="E225" s="5">
        <v>5</v>
      </c>
      <c r="F225" s="5">
        <v>0</v>
      </c>
      <c r="G225" s="5">
        <v>0</v>
      </c>
      <c r="H225" s="6">
        <v>52.8</v>
      </c>
      <c r="I225" s="6">
        <v>32.2</v>
      </c>
      <c r="J225" s="5">
        <v>183321</v>
      </c>
      <c r="K225" s="4" t="s">
        <v>755</v>
      </c>
      <c r="L225" s="4" t="s">
        <v>59</v>
      </c>
      <c r="M225" s="4" t="s">
        <v>756</v>
      </c>
      <c r="N225" s="7">
        <f>(10+10+10+8)/4</f>
      </c>
      <c r="O225" s="7">
        <f>(3.5+7+9.5)/3</f>
      </c>
    </row>
    <row x14ac:dyDescent="0.25" r="226" customHeight="1" ht="18.75">
      <c r="A226" s="4" t="s">
        <v>757</v>
      </c>
      <c r="B226" s="4" t="s">
        <v>748</v>
      </c>
      <c r="C226" s="4" t="s">
        <v>32</v>
      </c>
      <c r="D226" s="5">
        <v>450</v>
      </c>
      <c r="E226" s="5">
        <v>5</v>
      </c>
      <c r="F226" s="5">
        <v>0</v>
      </c>
      <c r="G226" s="5">
        <v>0</v>
      </c>
      <c r="H226" s="6">
        <v>51.7</v>
      </c>
      <c r="I226" s="6">
        <v>31.7</v>
      </c>
      <c r="J226" s="5">
        <v>221322</v>
      </c>
      <c r="K226" s="4" t="s">
        <v>758</v>
      </c>
      <c r="L226" s="4" t="s">
        <v>55</v>
      </c>
      <c r="M226" s="4" t="s">
        <v>759</v>
      </c>
      <c r="N226" s="7">
        <f>(50+50)/2</f>
      </c>
      <c r="O226" s="7">
        <f>(25+30+35+40)/4</f>
      </c>
    </row>
    <row x14ac:dyDescent="0.25" r="227" customHeight="1" ht="18.75">
      <c r="A227" s="4" t="s">
        <v>760</v>
      </c>
      <c r="B227" s="4" t="s">
        <v>504</v>
      </c>
      <c r="C227" s="4" t="s">
        <v>32</v>
      </c>
      <c r="D227" s="5">
        <v>450</v>
      </c>
      <c r="E227" s="5">
        <v>5</v>
      </c>
      <c r="F227" s="5">
        <v>0</v>
      </c>
      <c r="G227" s="5">
        <v>0</v>
      </c>
      <c r="H227" s="6">
        <v>51.6</v>
      </c>
      <c r="I227" s="6">
        <v>30.4</v>
      </c>
      <c r="J227" s="5">
        <v>68978</v>
      </c>
      <c r="K227" s="4" t="s">
        <v>761</v>
      </c>
      <c r="L227" s="4" t="s">
        <v>29</v>
      </c>
      <c r="M227" s="4" t="s">
        <v>762</v>
      </c>
      <c r="N227" s="7">
        <f>(2.75+3+3.5)/3</f>
      </c>
      <c r="O227" s="7">
        <f>(1.2+2.25)/2</f>
      </c>
    </row>
    <row x14ac:dyDescent="0.25" r="228" customHeight="1" ht="18.75">
      <c r="A228" s="4" t="s">
        <v>763</v>
      </c>
      <c r="B228" s="4" t="s">
        <v>440</v>
      </c>
      <c r="C228" s="4" t="s">
        <v>32</v>
      </c>
      <c r="D228" s="5">
        <v>450</v>
      </c>
      <c r="E228" s="5">
        <v>5</v>
      </c>
      <c r="F228" s="5">
        <v>0</v>
      </c>
      <c r="G228" s="5">
        <v>0</v>
      </c>
      <c r="H228" s="5">
        <v>51</v>
      </c>
      <c r="I228" s="6">
        <v>31.7</v>
      </c>
      <c r="J228" s="5">
        <v>62794</v>
      </c>
      <c r="K228" s="4" t="s">
        <v>764</v>
      </c>
      <c r="L228" s="4" t="s">
        <v>450</v>
      </c>
      <c r="M228" s="4" t="s">
        <v>765</v>
      </c>
      <c r="N228" s="7">
        <f>(1.5+1.5)/2</f>
      </c>
      <c r="O228" s="7">
        <f>(1.4+1.4)/2</f>
      </c>
    </row>
    <row x14ac:dyDescent="0.25" r="229" customHeight="1" ht="18.75">
      <c r="A229" s="4" t="s">
        <v>766</v>
      </c>
      <c r="B229" s="4" t="s">
        <v>432</v>
      </c>
      <c r="C229" s="4" t="s">
        <v>32</v>
      </c>
      <c r="D229" s="5">
        <v>450</v>
      </c>
      <c r="E229" s="5">
        <v>5</v>
      </c>
      <c r="F229" s="5">
        <v>0</v>
      </c>
      <c r="G229" s="5">
        <v>0</v>
      </c>
      <c r="H229" s="6">
        <v>50.2</v>
      </c>
      <c r="I229" s="6">
        <v>31.5</v>
      </c>
      <c r="J229" s="5">
        <v>38434</v>
      </c>
      <c r="K229" s="4" t="s">
        <v>767</v>
      </c>
      <c r="L229" s="4" t="s">
        <v>84</v>
      </c>
      <c r="M229" s="4" t="s">
        <v>768</v>
      </c>
      <c r="N229" s="7">
        <f>(3.5+3.5)/2</f>
      </c>
      <c r="O229" s="7">
        <f>(3+3.5+4)/3</f>
      </c>
    </row>
    <row x14ac:dyDescent="0.25" r="230" customHeight="1" ht="18.75">
      <c r="A230" s="4" t="s">
        <v>769</v>
      </c>
      <c r="B230" s="4" t="s">
        <v>223</v>
      </c>
      <c r="C230" s="4" t="s">
        <v>32</v>
      </c>
      <c r="D230" s="5">
        <v>450</v>
      </c>
      <c r="E230" s="5">
        <v>5</v>
      </c>
      <c r="F230" s="5">
        <v>0</v>
      </c>
      <c r="G230" s="5">
        <v>0</v>
      </c>
      <c r="H230" s="5">
        <v>50</v>
      </c>
      <c r="I230" s="6">
        <v>28.6</v>
      </c>
      <c r="J230" s="5">
        <v>16635</v>
      </c>
      <c r="K230" s="4" t="s">
        <v>770</v>
      </c>
      <c r="L230" s="4" t="s">
        <v>55</v>
      </c>
      <c r="M230" s="4" t="s">
        <v>771</v>
      </c>
      <c r="N230" s="7">
        <f>(3+2.5)/2</f>
      </c>
      <c r="O230" s="7">
        <f>(8+5+3.5)/3</f>
      </c>
    </row>
    <row x14ac:dyDescent="0.25" r="231" customHeight="1" ht="18.75">
      <c r="A231" s="4" t="s">
        <v>772</v>
      </c>
      <c r="B231" s="4" t="s">
        <v>428</v>
      </c>
      <c r="C231" s="4" t="s">
        <v>32</v>
      </c>
      <c r="D231" s="5">
        <v>450</v>
      </c>
      <c r="E231" s="5">
        <v>5</v>
      </c>
      <c r="F231" s="5">
        <v>0</v>
      </c>
      <c r="G231" s="5">
        <v>0</v>
      </c>
      <c r="H231" s="5">
        <v>50</v>
      </c>
      <c r="I231" s="6">
        <v>28.8</v>
      </c>
      <c r="J231" s="5">
        <v>236168</v>
      </c>
      <c r="K231" s="4" t="s">
        <v>773</v>
      </c>
      <c r="L231" s="4" t="s">
        <v>42</v>
      </c>
      <c r="M231" s="4" t="s">
        <v>774</v>
      </c>
      <c r="N231" s="7">
        <f>(6+6)/2</f>
      </c>
      <c r="O231" s="7">
        <f>(2.2+3+4.5+6)/4</f>
      </c>
    </row>
    <row x14ac:dyDescent="0.25" r="232" customHeight="1" ht="18.75">
      <c r="A232" s="4" t="s">
        <v>775</v>
      </c>
      <c r="B232" s="4" t="s">
        <v>459</v>
      </c>
      <c r="C232" s="4" t="s">
        <v>32</v>
      </c>
      <c r="D232" s="5">
        <v>450</v>
      </c>
      <c r="E232" s="5">
        <v>5</v>
      </c>
      <c r="F232" s="5">
        <v>0</v>
      </c>
      <c r="G232" s="5">
        <v>0</v>
      </c>
      <c r="H232" s="6">
        <v>49.6</v>
      </c>
      <c r="I232" s="6">
        <v>28.8</v>
      </c>
      <c r="J232" s="5">
        <v>25732</v>
      </c>
      <c r="K232" s="4" t="s">
        <v>776</v>
      </c>
      <c r="L232" s="4" t="s">
        <v>542</v>
      </c>
      <c r="M232" s="4" t="s">
        <v>777</v>
      </c>
      <c r="N232" s="7">
        <f>(0.9+0.75)/2</f>
      </c>
      <c r="O232" s="7">
        <f>(1.25+1.25)/2</f>
      </c>
    </row>
    <row x14ac:dyDescent="0.25" r="233" customHeight="1" ht="18.75">
      <c r="A233" s="4" t="s">
        <v>778</v>
      </c>
      <c r="B233" s="4" t="s">
        <v>296</v>
      </c>
      <c r="C233" s="4" t="s">
        <v>32</v>
      </c>
      <c r="D233" s="5">
        <v>450</v>
      </c>
      <c r="E233" s="5">
        <v>5</v>
      </c>
      <c r="F233" s="5">
        <v>0</v>
      </c>
      <c r="G233" s="5">
        <v>0</v>
      </c>
      <c r="H233" s="6">
        <v>48.6</v>
      </c>
      <c r="I233" s="6">
        <v>30.6</v>
      </c>
      <c r="J233" s="5">
        <v>58884</v>
      </c>
      <c r="K233" s="4" t="s">
        <v>779</v>
      </c>
      <c r="L233" s="4" t="s">
        <v>55</v>
      </c>
      <c r="M233" s="4" t="s">
        <v>780</v>
      </c>
      <c r="N233" s="7">
        <f>(25+20+15)/3</f>
      </c>
      <c r="O233" s="7">
        <f>(20+30+35+30)/4</f>
      </c>
    </row>
    <row x14ac:dyDescent="0.25" r="234" customHeight="1" ht="18.75">
      <c r="A234" s="4" t="s">
        <v>781</v>
      </c>
      <c r="B234" s="4" t="s">
        <v>243</v>
      </c>
      <c r="C234" s="4" t="s">
        <v>32</v>
      </c>
      <c r="D234" s="5">
        <v>450</v>
      </c>
      <c r="E234" s="5">
        <v>5</v>
      </c>
      <c r="F234" s="5">
        <v>0</v>
      </c>
      <c r="G234" s="5">
        <v>0</v>
      </c>
      <c r="H234" s="6">
        <v>48.6</v>
      </c>
      <c r="I234" s="6">
        <v>30.6</v>
      </c>
      <c r="J234" s="5">
        <v>26485</v>
      </c>
      <c r="K234" s="4" t="s">
        <v>782</v>
      </c>
      <c r="L234" s="4" t="s">
        <v>84</v>
      </c>
      <c r="M234" s="4" t="s">
        <v>783</v>
      </c>
      <c r="N234" s="7">
        <f>(20+15+15)/3</f>
      </c>
      <c r="O234" s="7">
        <f>(45+45+40+30)/4</f>
      </c>
    </row>
    <row x14ac:dyDescent="0.25" r="235" customHeight="1" ht="18.75">
      <c r="A235" s="4" t="s">
        <v>784</v>
      </c>
      <c r="B235" s="4" t="s">
        <v>316</v>
      </c>
      <c r="C235" s="4" t="s">
        <v>32</v>
      </c>
      <c r="D235" s="5">
        <v>450</v>
      </c>
      <c r="E235" s="5">
        <v>5</v>
      </c>
      <c r="F235" s="5">
        <v>0</v>
      </c>
      <c r="G235" s="5">
        <v>0</v>
      </c>
      <c r="H235" s="6">
        <v>47.7</v>
      </c>
      <c r="I235" s="6">
        <v>31.7</v>
      </c>
      <c r="J235" s="5">
        <v>284730</v>
      </c>
      <c r="K235" s="4" t="s">
        <v>785</v>
      </c>
      <c r="L235" s="4" t="s">
        <v>59</v>
      </c>
      <c r="M235" s="4" t="s">
        <v>786</v>
      </c>
      <c r="N235" s="7">
        <f>(40+35)/2</f>
      </c>
      <c r="O235" s="7">
        <f>(5+20+22+28+33+40)/6</f>
      </c>
    </row>
    <row x14ac:dyDescent="0.25" r="236" customHeight="1" ht="18.75">
      <c r="A236" s="4" t="s">
        <v>787</v>
      </c>
      <c r="B236" s="4" t="s">
        <v>748</v>
      </c>
      <c r="C236" s="4" t="s">
        <v>32</v>
      </c>
      <c r="D236" s="5">
        <v>450</v>
      </c>
      <c r="E236" s="5">
        <v>5</v>
      </c>
      <c r="F236" s="5">
        <v>0</v>
      </c>
      <c r="G236" s="5">
        <v>0</v>
      </c>
      <c r="H236" s="6">
        <v>47.1</v>
      </c>
      <c r="I236" s="6">
        <v>33.3</v>
      </c>
      <c r="J236" s="5">
        <v>655488</v>
      </c>
      <c r="K236" s="4" t="s">
        <v>788</v>
      </c>
      <c r="L236" s="4" t="s">
        <v>19</v>
      </c>
      <c r="M236" s="4" t="s">
        <v>789</v>
      </c>
      <c r="N236" s="7">
        <f>(5+8+18)/3</f>
      </c>
      <c r="O236" s="4"/>
    </row>
    <row x14ac:dyDescent="0.25" r="237" customHeight="1" ht="18.75">
      <c r="A237" s="4" t="s">
        <v>790</v>
      </c>
      <c r="B237" s="4" t="s">
        <v>464</v>
      </c>
      <c r="C237" s="4" t="s">
        <v>32</v>
      </c>
      <c r="D237" s="5">
        <v>450</v>
      </c>
      <c r="E237" s="5">
        <v>5</v>
      </c>
      <c r="F237" s="5">
        <v>0</v>
      </c>
      <c r="G237" s="5">
        <v>0</v>
      </c>
      <c r="H237" s="6">
        <v>46.9</v>
      </c>
      <c r="I237" s="6">
        <v>29.2</v>
      </c>
      <c r="J237" s="5">
        <v>39020</v>
      </c>
      <c r="K237" s="4" t="s">
        <v>791</v>
      </c>
      <c r="L237" s="4" t="s">
        <v>84</v>
      </c>
      <c r="M237" s="4" t="s">
        <v>792</v>
      </c>
      <c r="N237" s="7">
        <f>(5+4.5)/2</f>
      </c>
      <c r="O237" s="7">
        <f>(12+9+6.5)/3</f>
      </c>
    </row>
    <row x14ac:dyDescent="0.25" r="238" customHeight="1" ht="18.75">
      <c r="A238" s="4" t="s">
        <v>793</v>
      </c>
      <c r="B238" s="4" t="s">
        <v>471</v>
      </c>
      <c r="C238" s="4" t="s">
        <v>32</v>
      </c>
      <c r="D238" s="5">
        <v>450</v>
      </c>
      <c r="E238" s="5">
        <v>5</v>
      </c>
      <c r="F238" s="5">
        <v>0</v>
      </c>
      <c r="G238" s="5">
        <v>0</v>
      </c>
      <c r="H238" s="6">
        <v>46.4</v>
      </c>
      <c r="I238" s="6">
        <v>32.2</v>
      </c>
      <c r="J238" s="5">
        <v>258254</v>
      </c>
      <c r="K238" s="4" t="s">
        <v>794</v>
      </c>
      <c r="L238" s="4" t="s">
        <v>19</v>
      </c>
      <c r="M238" s="4" t="s">
        <v>430</v>
      </c>
      <c r="N238" s="7">
        <f>(10+10+6+6)/4</f>
      </c>
      <c r="O238" s="7">
        <f>(18+18+18)/3</f>
      </c>
    </row>
    <row x14ac:dyDescent="0.25" r="239" customHeight="1" ht="18.75">
      <c r="A239" s="4" t="s">
        <v>795</v>
      </c>
      <c r="B239" s="4" t="s">
        <v>223</v>
      </c>
      <c r="C239" s="4" t="s">
        <v>32</v>
      </c>
      <c r="D239" s="5">
        <v>450</v>
      </c>
      <c r="E239" s="5">
        <v>5</v>
      </c>
      <c r="F239" s="5">
        <v>0</v>
      </c>
      <c r="G239" s="5">
        <v>0</v>
      </c>
      <c r="H239" s="6">
        <v>45.1</v>
      </c>
      <c r="I239" s="6">
        <v>29.5</v>
      </c>
      <c r="J239" s="5">
        <v>281963</v>
      </c>
      <c r="K239" s="4" t="s">
        <v>796</v>
      </c>
      <c r="L239" s="4" t="s">
        <v>55</v>
      </c>
      <c r="M239" s="4" t="s">
        <v>797</v>
      </c>
      <c r="N239" s="7">
        <f>(70+70+70)/3</f>
      </c>
      <c r="O239" s="7">
        <f>(20+30+35+40+50+60)/6</f>
      </c>
    </row>
    <row x14ac:dyDescent="0.25" r="240" customHeight="1" ht="18.75">
      <c r="A240" s="4" t="s">
        <v>798</v>
      </c>
      <c r="B240" s="4" t="s">
        <v>266</v>
      </c>
      <c r="C240" s="4" t="s">
        <v>17</v>
      </c>
      <c r="D240" s="5">
        <v>450</v>
      </c>
      <c r="E240" s="5">
        <v>5</v>
      </c>
      <c r="F240" s="5">
        <v>0</v>
      </c>
      <c r="G240" s="5">
        <v>0</v>
      </c>
      <c r="H240" s="6">
        <v>21.7</v>
      </c>
      <c r="I240" s="5">
        <v>20</v>
      </c>
      <c r="J240" s="5">
        <v>5023</v>
      </c>
      <c r="K240" s="4" t="s">
        <v>799</v>
      </c>
      <c r="L240" s="4" t="s">
        <v>136</v>
      </c>
      <c r="M240" s="4" t="s">
        <v>800</v>
      </c>
      <c r="N240" s="7">
        <f>(1+1)/2</f>
      </c>
      <c r="O240" s="7">
        <f>(2+1+1)/3</f>
      </c>
    </row>
    <row x14ac:dyDescent="0.25" r="241" customHeight="1" ht="18.75">
      <c r="A241" s="4" t="s">
        <v>801</v>
      </c>
      <c r="B241" s="4" t="s">
        <v>296</v>
      </c>
      <c r="C241" s="4" t="s">
        <v>17</v>
      </c>
      <c r="D241" s="5">
        <v>450</v>
      </c>
      <c r="E241" s="5">
        <v>5</v>
      </c>
      <c r="F241" s="5">
        <v>0</v>
      </c>
      <c r="G241" s="5">
        <v>0</v>
      </c>
      <c r="H241" s="6">
        <v>20.8</v>
      </c>
      <c r="I241" s="6">
        <v>24.7</v>
      </c>
      <c r="J241" s="5">
        <v>108390</v>
      </c>
      <c r="K241" s="4" t="s">
        <v>802</v>
      </c>
      <c r="L241" s="4" t="s">
        <v>42</v>
      </c>
      <c r="M241" s="4" t="s">
        <v>803</v>
      </c>
      <c r="N241" s="7">
        <f>(55+55)/2</f>
      </c>
      <c r="O241" s="7">
        <f>(50+60+60+65+65)/5</f>
      </c>
    </row>
    <row x14ac:dyDescent="0.25" r="242" customHeight="1" ht="18.75">
      <c r="A242" s="4" t="s">
        <v>804</v>
      </c>
      <c r="B242" s="4" t="s">
        <v>420</v>
      </c>
      <c r="C242" s="4" t="s">
        <v>17</v>
      </c>
      <c r="D242" s="5">
        <v>450</v>
      </c>
      <c r="E242" s="5">
        <v>5</v>
      </c>
      <c r="F242" s="5">
        <v>0</v>
      </c>
      <c r="G242" s="5">
        <v>0</v>
      </c>
      <c r="H242" s="6">
        <v>17.7</v>
      </c>
      <c r="I242" s="6">
        <v>16.6</v>
      </c>
      <c r="J242" s="5">
        <v>15570</v>
      </c>
      <c r="K242" s="4" t="s">
        <v>805</v>
      </c>
      <c r="L242" s="4" t="s">
        <v>492</v>
      </c>
      <c r="M242" s="4" t="s">
        <v>806</v>
      </c>
      <c r="N242" s="7">
        <f>(10+8)/2</f>
      </c>
      <c r="O242" s="7">
        <f>(10+12+12)/3</f>
      </c>
    </row>
    <row x14ac:dyDescent="0.25" r="243" customHeight="1" ht="18.75">
      <c r="A243" s="4" t="s">
        <v>807</v>
      </c>
      <c r="B243" s="4" t="s">
        <v>748</v>
      </c>
      <c r="C243" s="4" t="s">
        <v>17</v>
      </c>
      <c r="D243" s="5">
        <v>450</v>
      </c>
      <c r="E243" s="5">
        <v>5</v>
      </c>
      <c r="F243" s="5">
        <v>0</v>
      </c>
      <c r="G243" s="5">
        <v>0</v>
      </c>
      <c r="H243" s="6">
        <v>13.3</v>
      </c>
      <c r="I243" s="6">
        <v>26.1</v>
      </c>
      <c r="J243" s="5">
        <v>487465</v>
      </c>
      <c r="K243" s="4" t="s">
        <v>808</v>
      </c>
      <c r="L243" s="4" t="s">
        <v>141</v>
      </c>
      <c r="M243" s="4" t="s">
        <v>809</v>
      </c>
      <c r="N243" s="7">
        <f>(2.5+7+7)/3</f>
      </c>
      <c r="O243" s="7">
        <f>(3+2.5)/2</f>
      </c>
    </row>
    <row x14ac:dyDescent="0.25" r="244" customHeight="1" ht="18.75">
      <c r="A244" s="4" t="s">
        <v>810</v>
      </c>
      <c r="B244" s="4" t="s">
        <v>243</v>
      </c>
      <c r="C244" s="4" t="s">
        <v>22</v>
      </c>
      <c r="D244" s="5">
        <v>447</v>
      </c>
      <c r="E244" s="5">
        <v>7</v>
      </c>
      <c r="F244" s="5">
        <v>0</v>
      </c>
      <c r="G244" s="5">
        <v>2</v>
      </c>
      <c r="H244" s="5">
        <v>54</v>
      </c>
      <c r="I244" s="6">
        <v>31.5</v>
      </c>
      <c r="J244" s="5">
        <v>159471</v>
      </c>
      <c r="K244" s="4" t="s">
        <v>811</v>
      </c>
      <c r="L244" s="4" t="s">
        <v>84</v>
      </c>
      <c r="M244" s="4" t="s">
        <v>812</v>
      </c>
      <c r="N244" s="7">
        <f>(45+60+80)/3</f>
      </c>
      <c r="O244" s="7">
        <f>(18+20+30+40)/4</f>
      </c>
    </row>
    <row x14ac:dyDescent="0.25" r="245" customHeight="1" ht="18.75">
      <c r="A245" s="4" t="s">
        <v>813</v>
      </c>
      <c r="B245" s="4" t="s">
        <v>448</v>
      </c>
      <c r="C245" s="4" t="s">
        <v>32</v>
      </c>
      <c r="D245" s="5">
        <v>445</v>
      </c>
      <c r="E245" s="5">
        <v>5</v>
      </c>
      <c r="F245" s="5">
        <v>0</v>
      </c>
      <c r="G245" s="5">
        <v>1</v>
      </c>
      <c r="H245" s="6">
        <v>54.5</v>
      </c>
      <c r="I245" s="6">
        <v>33.1</v>
      </c>
      <c r="J245" s="5">
        <v>85867</v>
      </c>
      <c r="K245" s="4" t="s">
        <v>814</v>
      </c>
      <c r="L245" s="4" t="s">
        <v>84</v>
      </c>
      <c r="M245" s="4" t="s">
        <v>815</v>
      </c>
      <c r="N245" s="7">
        <f>(25+20)/2</f>
      </c>
      <c r="O245" s="7">
        <f>(4+7+10+15+20)/5</f>
      </c>
    </row>
    <row x14ac:dyDescent="0.25" r="246" customHeight="1" ht="18.75">
      <c r="A246" s="4" t="s">
        <v>816</v>
      </c>
      <c r="B246" s="4" t="s">
        <v>416</v>
      </c>
      <c r="C246" s="4" t="s">
        <v>32</v>
      </c>
      <c r="D246" s="5">
        <v>442</v>
      </c>
      <c r="E246" s="5">
        <v>5</v>
      </c>
      <c r="F246" s="5">
        <v>0</v>
      </c>
      <c r="G246" s="5">
        <v>1</v>
      </c>
      <c r="H246" s="6">
        <v>47.2</v>
      </c>
      <c r="I246" s="6">
        <v>30.8</v>
      </c>
      <c r="J246" s="5">
        <v>111196</v>
      </c>
      <c r="K246" s="4" t="s">
        <v>817</v>
      </c>
      <c r="L246" s="4" t="s">
        <v>34</v>
      </c>
      <c r="M246" s="4" t="s">
        <v>567</v>
      </c>
      <c r="N246" s="7">
        <f>(50+60)/2</f>
      </c>
      <c r="O246" s="7">
        <f>(40+40+45)/3</f>
      </c>
    </row>
    <row x14ac:dyDescent="0.25" r="247" customHeight="1" ht="18.75">
      <c r="A247" s="4" t="s">
        <v>818</v>
      </c>
      <c r="B247" s="4" t="s">
        <v>553</v>
      </c>
      <c r="C247" s="4" t="s">
        <v>32</v>
      </c>
      <c r="D247" s="5">
        <v>442</v>
      </c>
      <c r="E247" s="5">
        <v>5</v>
      </c>
      <c r="F247" s="5">
        <v>0</v>
      </c>
      <c r="G247" s="5">
        <v>0</v>
      </c>
      <c r="H247" s="6">
        <v>51.6</v>
      </c>
      <c r="I247" s="6">
        <v>31.3</v>
      </c>
      <c r="J247" s="5">
        <v>79522</v>
      </c>
      <c r="K247" s="4" t="s">
        <v>819</v>
      </c>
      <c r="L247" s="4" t="s">
        <v>820</v>
      </c>
      <c r="M247" s="4" t="s">
        <v>821</v>
      </c>
      <c r="N247" s="7">
        <f>(2.75+2)/2</f>
      </c>
      <c r="O247" s="7">
        <f>3.5</f>
      </c>
    </row>
    <row x14ac:dyDescent="0.25" r="248" customHeight="1" ht="18.75">
      <c r="A248" s="4" t="s">
        <v>822</v>
      </c>
      <c r="B248" s="4" t="s">
        <v>243</v>
      </c>
      <c r="C248" s="4" t="s">
        <v>53</v>
      </c>
      <c r="D248" s="5">
        <v>439</v>
      </c>
      <c r="E248" s="5">
        <v>7</v>
      </c>
      <c r="F248" s="5">
        <v>1</v>
      </c>
      <c r="G248" s="5">
        <v>0</v>
      </c>
      <c r="H248" s="6">
        <v>52.5</v>
      </c>
      <c r="I248" s="6">
        <v>31.3</v>
      </c>
      <c r="J248" s="5">
        <v>22068</v>
      </c>
      <c r="K248" s="4" t="s">
        <v>823</v>
      </c>
      <c r="L248" s="4" t="s">
        <v>71</v>
      </c>
      <c r="M248" s="4" t="s">
        <v>824</v>
      </c>
      <c r="N248" s="7">
        <f>(4+4)/2</f>
      </c>
      <c r="O248" s="7">
        <f>(4+4)/2</f>
      </c>
    </row>
    <row x14ac:dyDescent="0.25" r="249" customHeight="1" ht="18.75">
      <c r="A249" s="4" t="s">
        <v>825</v>
      </c>
      <c r="B249" s="4" t="s">
        <v>316</v>
      </c>
      <c r="C249" s="4" t="s">
        <v>53</v>
      </c>
      <c r="D249" s="5">
        <v>438</v>
      </c>
      <c r="E249" s="5">
        <v>7</v>
      </c>
      <c r="F249" s="5">
        <v>1</v>
      </c>
      <c r="G249" s="5">
        <v>1</v>
      </c>
      <c r="H249" s="6">
        <v>52.5</v>
      </c>
      <c r="I249" s="6">
        <v>32.2</v>
      </c>
      <c r="J249" s="5">
        <v>401173</v>
      </c>
      <c r="K249" s="4" t="s">
        <v>826</v>
      </c>
      <c r="L249" s="4" t="s">
        <v>63</v>
      </c>
      <c r="M249" s="4" t="s">
        <v>827</v>
      </c>
      <c r="N249" s="7">
        <f>(80+100+120)/3</f>
      </c>
      <c r="O249" s="7">
        <f>(8+15+20+45+70)/5</f>
      </c>
    </row>
    <row x14ac:dyDescent="0.25" r="250" customHeight="1" ht="18.75">
      <c r="A250" s="4" t="s">
        <v>828</v>
      </c>
      <c r="B250" s="4" t="s">
        <v>285</v>
      </c>
      <c r="C250" s="4" t="s">
        <v>22</v>
      </c>
      <c r="D250" s="5">
        <v>437</v>
      </c>
      <c r="E250" s="5">
        <v>6</v>
      </c>
      <c r="F250" s="5">
        <v>3</v>
      </c>
      <c r="G250" s="5">
        <v>2</v>
      </c>
      <c r="H250" s="6">
        <v>48.9</v>
      </c>
      <c r="I250" s="5">
        <v>32</v>
      </c>
      <c r="J250" s="5">
        <v>341647</v>
      </c>
      <c r="K250" s="4" t="s">
        <v>829</v>
      </c>
      <c r="L250" s="4" t="s">
        <v>830</v>
      </c>
      <c r="M250" s="4" t="s">
        <v>831</v>
      </c>
      <c r="N250" s="7">
        <f>(35+35)/2</f>
      </c>
      <c r="O250" s="7">
        <f>(20+27+35)/3</f>
      </c>
    </row>
    <row x14ac:dyDescent="0.25" r="251" customHeight="1" ht="18.75">
      <c r="A251" s="4" t="s">
        <v>832</v>
      </c>
      <c r="B251" s="4" t="s">
        <v>316</v>
      </c>
      <c r="C251" s="4" t="s">
        <v>53</v>
      </c>
      <c r="D251" s="5">
        <v>437</v>
      </c>
      <c r="E251" s="5">
        <v>6</v>
      </c>
      <c r="F251" s="5">
        <v>0</v>
      </c>
      <c r="G251" s="5">
        <v>0</v>
      </c>
      <c r="H251" s="6">
        <v>57.3</v>
      </c>
      <c r="I251" s="6">
        <v>28.6</v>
      </c>
      <c r="J251" s="5">
        <v>74842</v>
      </c>
      <c r="K251" s="4" t="s">
        <v>833</v>
      </c>
      <c r="L251" s="4" t="s">
        <v>84</v>
      </c>
      <c r="M251" s="4" t="s">
        <v>834</v>
      </c>
      <c r="N251" s="7">
        <f>(25+22+18)/3</f>
      </c>
      <c r="O251" s="7">
        <f>(18+18)/2</f>
      </c>
    </row>
    <row x14ac:dyDescent="0.25" r="252" customHeight="1" ht="18.75">
      <c r="A252" s="4" t="s">
        <v>835</v>
      </c>
      <c r="B252" s="4" t="s">
        <v>424</v>
      </c>
      <c r="C252" s="4" t="s">
        <v>53</v>
      </c>
      <c r="D252" s="5">
        <v>437</v>
      </c>
      <c r="E252" s="5">
        <v>5</v>
      </c>
      <c r="F252" s="5">
        <v>2</v>
      </c>
      <c r="G252" s="5">
        <v>1</v>
      </c>
      <c r="H252" s="6">
        <v>48.8</v>
      </c>
      <c r="I252" s="6">
        <v>33.3</v>
      </c>
      <c r="J252" s="5">
        <v>76028</v>
      </c>
      <c r="K252" s="4" t="s">
        <v>836</v>
      </c>
      <c r="L252" s="4" t="s">
        <v>19</v>
      </c>
      <c r="M252" s="4" t="s">
        <v>837</v>
      </c>
      <c r="N252" s="7">
        <f>12</f>
      </c>
      <c r="O252" s="7">
        <f>(11+11+13)/3</f>
      </c>
    </row>
    <row x14ac:dyDescent="0.25" r="253" customHeight="1" ht="18.75">
      <c r="A253" s="4" t="s">
        <v>838</v>
      </c>
      <c r="B253" s="4" t="s">
        <v>512</v>
      </c>
      <c r="C253" s="4" t="s">
        <v>32</v>
      </c>
      <c r="D253" s="5">
        <v>436</v>
      </c>
      <c r="E253" s="5">
        <v>5</v>
      </c>
      <c r="F253" s="5">
        <v>0</v>
      </c>
      <c r="G253" s="5">
        <v>1</v>
      </c>
      <c r="H253" s="6">
        <v>49.3</v>
      </c>
      <c r="I253" s="5">
        <v>29</v>
      </c>
      <c r="J253" s="5">
        <v>124715</v>
      </c>
      <c r="K253" s="4" t="s">
        <v>839</v>
      </c>
      <c r="L253" s="4" t="s">
        <v>29</v>
      </c>
      <c r="M253" s="4" t="s">
        <v>840</v>
      </c>
      <c r="N253" s="7">
        <f>(17+17+17)/3</f>
      </c>
      <c r="O253" s="7">
        <f>(8+12)/2</f>
      </c>
    </row>
    <row x14ac:dyDescent="0.25" r="254" customHeight="1" ht="18.75">
      <c r="A254" s="4" t="s">
        <v>841</v>
      </c>
      <c r="B254" s="4" t="s">
        <v>436</v>
      </c>
      <c r="C254" s="4" t="s">
        <v>53</v>
      </c>
      <c r="D254" s="5">
        <v>436</v>
      </c>
      <c r="E254" s="5">
        <v>5</v>
      </c>
      <c r="F254" s="5">
        <v>0</v>
      </c>
      <c r="G254" s="5">
        <v>0</v>
      </c>
      <c r="H254" s="6">
        <v>53.1</v>
      </c>
      <c r="I254" s="6">
        <v>28.6</v>
      </c>
      <c r="J254" s="5">
        <v>46110</v>
      </c>
      <c r="K254" s="4" t="s">
        <v>842</v>
      </c>
      <c r="L254" s="4" t="s">
        <v>29</v>
      </c>
      <c r="M254" s="4" t="s">
        <v>843</v>
      </c>
      <c r="N254" s="7">
        <f>(15+8+3.5)/3</f>
      </c>
      <c r="O254" s="7">
        <f>(14+15)/2</f>
      </c>
    </row>
    <row x14ac:dyDescent="0.25" r="255" customHeight="1" ht="18.75">
      <c r="A255" s="4" t="s">
        <v>844</v>
      </c>
      <c r="B255" s="4" t="s">
        <v>471</v>
      </c>
      <c r="C255" s="4" t="s">
        <v>32</v>
      </c>
      <c r="D255" s="5">
        <v>436</v>
      </c>
      <c r="E255" s="5">
        <v>5</v>
      </c>
      <c r="F255" s="5">
        <v>0</v>
      </c>
      <c r="G255" s="5">
        <v>0</v>
      </c>
      <c r="H255" s="5">
        <v>46</v>
      </c>
      <c r="I255" s="6">
        <v>29.2</v>
      </c>
      <c r="J255" s="5">
        <v>46552</v>
      </c>
      <c r="K255" s="4" t="s">
        <v>845</v>
      </c>
      <c r="L255" s="4" t="s">
        <v>145</v>
      </c>
      <c r="M255" s="4" t="s">
        <v>846</v>
      </c>
      <c r="N255" s="7">
        <f>(8+6)/2</f>
      </c>
      <c r="O255" s="7">
        <f>(20+18+15+10)/4</f>
      </c>
    </row>
    <row x14ac:dyDescent="0.25" r="256" customHeight="1" ht="18.75">
      <c r="A256" s="4" t="s">
        <v>847</v>
      </c>
      <c r="B256" s="4" t="s">
        <v>464</v>
      </c>
      <c r="C256" s="4" t="s">
        <v>32</v>
      </c>
      <c r="D256" s="5">
        <v>436</v>
      </c>
      <c r="E256" s="5">
        <v>5</v>
      </c>
      <c r="F256" s="5">
        <v>0</v>
      </c>
      <c r="G256" s="5">
        <v>0</v>
      </c>
      <c r="H256" s="6">
        <v>43.6</v>
      </c>
      <c r="I256" s="6">
        <v>31.5</v>
      </c>
      <c r="J256" s="5">
        <v>157391</v>
      </c>
      <c r="K256" s="4" t="s">
        <v>848</v>
      </c>
      <c r="L256" s="4" t="s">
        <v>849</v>
      </c>
      <c r="M256" s="4" t="s">
        <v>850</v>
      </c>
      <c r="N256" s="7">
        <f>(10+8)/2</f>
      </c>
      <c r="O256" s="7">
        <f>(8+8)/2</f>
      </c>
    </row>
    <row x14ac:dyDescent="0.25" r="257" customHeight="1" ht="18.75">
      <c r="A257" s="4" t="s">
        <v>851</v>
      </c>
      <c r="B257" s="4" t="s">
        <v>459</v>
      </c>
      <c r="C257" s="4" t="s">
        <v>53</v>
      </c>
      <c r="D257" s="5">
        <v>435</v>
      </c>
      <c r="E257" s="5">
        <v>6</v>
      </c>
      <c r="F257" s="5">
        <v>0</v>
      </c>
      <c r="G257" s="5">
        <v>0</v>
      </c>
      <c r="H257" s="6">
        <v>49.1</v>
      </c>
      <c r="I257" s="5">
        <v>29</v>
      </c>
      <c r="J257" s="5">
        <v>128011</v>
      </c>
      <c r="K257" s="4" t="s">
        <v>852</v>
      </c>
      <c r="L257" s="4" t="s">
        <v>290</v>
      </c>
      <c r="M257" s="4" t="s">
        <v>853</v>
      </c>
      <c r="N257" s="7">
        <f>(4+3.5+3.5)/3</f>
      </c>
      <c r="O257" s="7">
        <f>(3.5+4)/2</f>
      </c>
    </row>
    <row x14ac:dyDescent="0.25" r="258" customHeight="1" ht="18.75">
      <c r="A258" s="4" t="s">
        <v>854</v>
      </c>
      <c r="B258" s="4" t="s">
        <v>40</v>
      </c>
      <c r="C258" s="4" t="s">
        <v>32</v>
      </c>
      <c r="D258" s="5">
        <v>435</v>
      </c>
      <c r="E258" s="5">
        <v>5</v>
      </c>
      <c r="F258" s="5">
        <v>0</v>
      </c>
      <c r="G258" s="5">
        <v>1</v>
      </c>
      <c r="H258" s="6">
        <v>50.5</v>
      </c>
      <c r="I258" s="6">
        <v>31.3</v>
      </c>
      <c r="J258" s="5">
        <v>127032</v>
      </c>
      <c r="K258" s="4" t="s">
        <v>855</v>
      </c>
      <c r="L258" s="4" t="s">
        <v>71</v>
      </c>
      <c r="M258" s="4" t="s">
        <v>856</v>
      </c>
      <c r="N258" s="7">
        <f>(18+15+20)/3</f>
      </c>
      <c r="O258" s="7">
        <f>(20+20+20)/3</f>
      </c>
    </row>
    <row x14ac:dyDescent="0.25" r="259" customHeight="1" ht="18.75">
      <c r="A259" s="4" t="s">
        <v>857</v>
      </c>
      <c r="B259" s="4" t="s">
        <v>504</v>
      </c>
      <c r="C259" s="4" t="s">
        <v>53</v>
      </c>
      <c r="D259" s="5">
        <v>433</v>
      </c>
      <c r="E259" s="5">
        <v>5</v>
      </c>
      <c r="F259" s="5">
        <v>0</v>
      </c>
      <c r="G259" s="5">
        <v>0</v>
      </c>
      <c r="H259" s="6">
        <v>52.6</v>
      </c>
      <c r="I259" s="6">
        <v>31.3</v>
      </c>
      <c r="J259" s="5">
        <v>56790</v>
      </c>
      <c r="K259" s="4" t="s">
        <v>858</v>
      </c>
      <c r="L259" s="4" t="s">
        <v>29</v>
      </c>
      <c r="M259" s="4" t="s">
        <v>859</v>
      </c>
      <c r="N259" s="7">
        <f>(3.25+2.5+2+1.75)/4</f>
      </c>
      <c r="O259" s="7">
        <f>(1.75+2.5)/2</f>
      </c>
    </row>
    <row x14ac:dyDescent="0.25" r="260" customHeight="1" ht="18.75">
      <c r="A260" s="4" t="s">
        <v>860</v>
      </c>
      <c r="B260" s="4" t="s">
        <v>522</v>
      </c>
      <c r="C260" s="4" t="s">
        <v>53</v>
      </c>
      <c r="D260" s="5">
        <v>431</v>
      </c>
      <c r="E260" s="5">
        <v>5</v>
      </c>
      <c r="F260" s="5">
        <v>0</v>
      </c>
      <c r="G260" s="5">
        <v>0</v>
      </c>
      <c r="H260" s="6">
        <v>43.3</v>
      </c>
      <c r="I260" s="6">
        <v>29.2</v>
      </c>
      <c r="J260" s="5">
        <v>127160</v>
      </c>
      <c r="K260" s="4" t="s">
        <v>861</v>
      </c>
      <c r="L260" s="4" t="s">
        <v>71</v>
      </c>
      <c r="M260" s="4" t="s">
        <v>862</v>
      </c>
      <c r="N260" s="7">
        <f>(10+12)/2</f>
      </c>
      <c r="O260" s="7">
        <f>(9+11)/2</f>
      </c>
    </row>
    <row x14ac:dyDescent="0.25" r="261" customHeight="1" ht="18.75">
      <c r="A261" s="4" t="s">
        <v>863</v>
      </c>
      <c r="B261" s="4" t="s">
        <v>748</v>
      </c>
      <c r="C261" s="4" t="s">
        <v>22</v>
      </c>
      <c r="D261" s="5">
        <v>427</v>
      </c>
      <c r="E261" s="5">
        <v>6</v>
      </c>
      <c r="F261" s="5">
        <v>0</v>
      </c>
      <c r="G261" s="5">
        <v>0</v>
      </c>
      <c r="H261" s="6">
        <v>50.7</v>
      </c>
      <c r="I261" s="6">
        <v>31.7</v>
      </c>
      <c r="J261" s="5">
        <v>357565</v>
      </c>
      <c r="K261" s="4" t="s">
        <v>362</v>
      </c>
      <c r="L261" s="4" t="s">
        <v>55</v>
      </c>
      <c r="M261" s="4" t="s">
        <v>363</v>
      </c>
      <c r="N261" s="7">
        <f>(60+80+80)/3</f>
      </c>
      <c r="O261" s="7">
        <f>(20+25+40+50)/4</f>
      </c>
    </row>
    <row x14ac:dyDescent="0.25" r="262" customHeight="1" ht="18.75">
      <c r="A262" s="4" t="s">
        <v>864</v>
      </c>
      <c r="B262" s="4" t="s">
        <v>436</v>
      </c>
      <c r="C262" s="4" t="s">
        <v>22</v>
      </c>
      <c r="D262" s="5">
        <v>426</v>
      </c>
      <c r="E262" s="5">
        <v>6</v>
      </c>
      <c r="F262" s="5">
        <v>1</v>
      </c>
      <c r="G262" s="5">
        <v>0</v>
      </c>
      <c r="H262" s="6">
        <v>51.6</v>
      </c>
      <c r="I262" s="6">
        <v>31.3</v>
      </c>
      <c r="J262" s="5">
        <v>109256</v>
      </c>
      <c r="K262" s="4" t="s">
        <v>865</v>
      </c>
      <c r="L262" s="4" t="s">
        <v>59</v>
      </c>
      <c r="M262" s="4" t="s">
        <v>866</v>
      </c>
      <c r="N262" s="7">
        <f>(9+14+18+15)/4</f>
      </c>
      <c r="O262" s="7">
        <f>(4+4+6)/3</f>
      </c>
    </row>
    <row x14ac:dyDescent="0.25" r="263" customHeight="1" ht="18.75">
      <c r="A263" s="4" t="s">
        <v>867</v>
      </c>
      <c r="B263" s="4" t="s">
        <v>440</v>
      </c>
      <c r="C263" s="4" t="s">
        <v>53</v>
      </c>
      <c r="D263" s="5">
        <v>425</v>
      </c>
      <c r="E263" s="5">
        <v>5</v>
      </c>
      <c r="F263" s="5">
        <v>1</v>
      </c>
      <c r="G263" s="5">
        <v>0</v>
      </c>
      <c r="H263" s="6">
        <v>53.3</v>
      </c>
      <c r="I263" s="6">
        <v>30.8</v>
      </c>
      <c r="J263" s="5">
        <v>80690</v>
      </c>
      <c r="K263" s="4" t="s">
        <v>868</v>
      </c>
      <c r="L263" s="4" t="s">
        <v>442</v>
      </c>
      <c r="M263" s="4" t="s">
        <v>869</v>
      </c>
      <c r="N263" s="7">
        <f>(1.75+1.75)/2</f>
      </c>
      <c r="O263" s="7">
        <f>(1.5+1.75)/2</f>
      </c>
    </row>
    <row x14ac:dyDescent="0.25" r="264" customHeight="1" ht="18.75">
      <c r="A264" s="4" t="s">
        <v>870</v>
      </c>
      <c r="B264" s="4" t="s">
        <v>553</v>
      </c>
      <c r="C264" s="4" t="s">
        <v>53</v>
      </c>
      <c r="D264" s="5">
        <v>425</v>
      </c>
      <c r="E264" s="5">
        <v>5</v>
      </c>
      <c r="F264" s="5">
        <v>0</v>
      </c>
      <c r="G264" s="5">
        <v>0</v>
      </c>
      <c r="H264" s="6">
        <v>44.6</v>
      </c>
      <c r="I264" s="6">
        <v>30.2</v>
      </c>
      <c r="J264" s="5">
        <v>623570</v>
      </c>
      <c r="K264" s="4" t="s">
        <v>871</v>
      </c>
      <c r="L264" s="4" t="s">
        <v>71</v>
      </c>
      <c r="M264" s="4" t="s">
        <v>872</v>
      </c>
      <c r="N264" s="4"/>
      <c r="O264" s="4"/>
    </row>
    <row x14ac:dyDescent="0.25" r="265" customHeight="1" ht="18.75">
      <c r="A265" s="4" t="s">
        <v>873</v>
      </c>
      <c r="B265" s="4" t="s">
        <v>522</v>
      </c>
      <c r="C265" s="4" t="s">
        <v>53</v>
      </c>
      <c r="D265" s="5">
        <v>422</v>
      </c>
      <c r="E265" s="5">
        <v>6</v>
      </c>
      <c r="F265" s="5">
        <v>3</v>
      </c>
      <c r="G265" s="5">
        <v>0</v>
      </c>
      <c r="H265" s="6">
        <v>50.9</v>
      </c>
      <c r="I265" s="6">
        <v>27.7</v>
      </c>
      <c r="J265" s="5">
        <v>245537</v>
      </c>
      <c r="K265" s="4" t="s">
        <v>874</v>
      </c>
      <c r="L265" s="4" t="s">
        <v>71</v>
      </c>
      <c r="M265" s="4" t="s">
        <v>875</v>
      </c>
      <c r="N265" s="7">
        <f>(13+10+5)/3</f>
      </c>
      <c r="O265" s="7">
        <f>(16+18+20)/3</f>
      </c>
    </row>
    <row x14ac:dyDescent="0.25" r="266" customHeight="1" ht="18.75">
      <c r="A266" s="4" t="s">
        <v>876</v>
      </c>
      <c r="B266" s="4" t="s">
        <v>139</v>
      </c>
      <c r="C266" s="4" t="s">
        <v>32</v>
      </c>
      <c r="D266" s="5">
        <v>421</v>
      </c>
      <c r="E266" s="5">
        <v>6</v>
      </c>
      <c r="F266" s="5">
        <v>0</v>
      </c>
      <c r="G266" s="5">
        <v>0</v>
      </c>
      <c r="H266" s="6">
        <v>49.6</v>
      </c>
      <c r="I266" s="6">
        <v>32.8</v>
      </c>
      <c r="J266" s="5">
        <v>186590</v>
      </c>
      <c r="K266" s="4" t="s">
        <v>877</v>
      </c>
      <c r="L266" s="4" t="s">
        <v>63</v>
      </c>
      <c r="M266" s="4" t="s">
        <v>878</v>
      </c>
      <c r="N266" s="7">
        <f>(60+60)/2</f>
      </c>
      <c r="O266" s="7">
        <f>(40+50+50+55+60)/5</f>
      </c>
    </row>
    <row x14ac:dyDescent="0.25" r="267" customHeight="1" ht="18.75">
      <c r="A267" s="4" t="s">
        <v>879</v>
      </c>
      <c r="B267" s="4" t="s">
        <v>296</v>
      </c>
      <c r="C267" s="4" t="s">
        <v>32</v>
      </c>
      <c r="D267" s="5">
        <v>419</v>
      </c>
      <c r="E267" s="5">
        <v>6</v>
      </c>
      <c r="F267" s="5">
        <v>0</v>
      </c>
      <c r="G267" s="5">
        <v>1</v>
      </c>
      <c r="H267" s="6">
        <v>49.1</v>
      </c>
      <c r="I267" s="6">
        <v>31.3</v>
      </c>
      <c r="J267" s="5">
        <v>138927</v>
      </c>
      <c r="K267" s="4" t="s">
        <v>880</v>
      </c>
      <c r="L267" s="4" t="s">
        <v>55</v>
      </c>
      <c r="M267" s="4" t="s">
        <v>881</v>
      </c>
      <c r="N267" s="7">
        <f>(50+50)/2</f>
      </c>
      <c r="O267" s="7">
        <f>(45+60+60+60)/4</f>
      </c>
    </row>
    <row x14ac:dyDescent="0.25" r="268" customHeight="1" ht="18.75">
      <c r="A268" s="4" t="s">
        <v>882</v>
      </c>
      <c r="B268" s="4" t="s">
        <v>504</v>
      </c>
      <c r="C268" s="4" t="s">
        <v>32</v>
      </c>
      <c r="D268" s="5">
        <v>419</v>
      </c>
      <c r="E268" s="5">
        <v>5</v>
      </c>
      <c r="F268" s="5">
        <v>0</v>
      </c>
      <c r="G268" s="5">
        <v>0</v>
      </c>
      <c r="H268" s="6">
        <v>48.4</v>
      </c>
      <c r="I268" s="6">
        <v>31.7</v>
      </c>
      <c r="J268" s="5">
        <v>102704</v>
      </c>
      <c r="K268" s="4"/>
      <c r="L268" s="4" t="s">
        <v>29</v>
      </c>
      <c r="M268" s="4" t="s">
        <v>883</v>
      </c>
      <c r="N268" s="4"/>
      <c r="O268" s="4"/>
    </row>
    <row x14ac:dyDescent="0.25" r="269" customHeight="1" ht="18.75">
      <c r="A269" s="4" t="s">
        <v>884</v>
      </c>
      <c r="B269" s="4" t="s">
        <v>296</v>
      </c>
      <c r="C269" s="4" t="s">
        <v>32</v>
      </c>
      <c r="D269" s="5">
        <v>419</v>
      </c>
      <c r="E269" s="5">
        <v>5</v>
      </c>
      <c r="F269" s="5">
        <v>0</v>
      </c>
      <c r="G269" s="5">
        <v>0</v>
      </c>
      <c r="H269" s="6">
        <v>46.4</v>
      </c>
      <c r="I269" s="6">
        <v>28.6</v>
      </c>
      <c r="J269" s="5">
        <v>25557</v>
      </c>
      <c r="K269" s="4" t="s">
        <v>885</v>
      </c>
      <c r="L269" s="4" t="s">
        <v>55</v>
      </c>
      <c r="M269" s="4" t="s">
        <v>886</v>
      </c>
      <c r="N269" s="7">
        <f>(25+18)/2</f>
      </c>
      <c r="O269" s="7">
        <f>(40+50+45+40+30)/5</f>
      </c>
    </row>
    <row x14ac:dyDescent="0.25" r="270" customHeight="1" ht="18.75">
      <c r="A270" s="4" t="s">
        <v>887</v>
      </c>
      <c r="B270" s="4" t="s">
        <v>223</v>
      </c>
      <c r="C270" s="4" t="s">
        <v>53</v>
      </c>
      <c r="D270" s="5">
        <v>418</v>
      </c>
      <c r="E270" s="5">
        <v>6</v>
      </c>
      <c r="F270" s="5">
        <v>0</v>
      </c>
      <c r="G270" s="5">
        <v>1</v>
      </c>
      <c r="H270" s="6">
        <v>49.1</v>
      </c>
      <c r="I270" s="6">
        <v>31.3</v>
      </c>
      <c r="J270" s="5">
        <v>230784</v>
      </c>
      <c r="K270" s="4" t="s">
        <v>888</v>
      </c>
      <c r="L270" s="4" t="s">
        <v>350</v>
      </c>
      <c r="M270" s="4" t="s">
        <v>889</v>
      </c>
      <c r="N270" s="7">
        <f>(50+50+50)/3</f>
      </c>
      <c r="O270" s="7">
        <f>(8+15+25+35+40)/5</f>
      </c>
    </row>
    <row x14ac:dyDescent="0.25" r="271" customHeight="1" ht="18.75">
      <c r="A271" s="4" t="s">
        <v>890</v>
      </c>
      <c r="B271" s="4" t="s">
        <v>52</v>
      </c>
      <c r="C271" s="4" t="s">
        <v>22</v>
      </c>
      <c r="D271" s="5">
        <v>417</v>
      </c>
      <c r="E271" s="5">
        <v>8</v>
      </c>
      <c r="F271" s="5">
        <v>3</v>
      </c>
      <c r="G271" s="5">
        <v>1</v>
      </c>
      <c r="H271" s="6">
        <v>46.6</v>
      </c>
      <c r="I271" s="6">
        <v>32.2</v>
      </c>
      <c r="J271" s="5">
        <v>288230</v>
      </c>
      <c r="K271" s="4" t="s">
        <v>891</v>
      </c>
      <c r="L271" s="4" t="s">
        <v>71</v>
      </c>
      <c r="M271" s="4" t="s">
        <v>892</v>
      </c>
      <c r="N271" s="7">
        <f>(120+100+75)/3</f>
      </c>
      <c r="O271" s="7">
        <f>(80+80+80)/3</f>
      </c>
    </row>
    <row x14ac:dyDescent="0.25" r="272" customHeight="1" ht="18.75">
      <c r="A272" s="4" t="s">
        <v>893</v>
      </c>
      <c r="B272" s="4" t="s">
        <v>504</v>
      </c>
      <c r="C272" s="4" t="s">
        <v>53</v>
      </c>
      <c r="D272" s="5">
        <v>417</v>
      </c>
      <c r="E272" s="5">
        <v>5</v>
      </c>
      <c r="F272" s="5">
        <v>1</v>
      </c>
      <c r="G272" s="5">
        <v>2</v>
      </c>
      <c r="H272" s="6">
        <v>50.1</v>
      </c>
      <c r="I272" s="6">
        <v>30.4</v>
      </c>
      <c r="J272" s="5">
        <v>46741</v>
      </c>
      <c r="K272" s="4" t="s">
        <v>894</v>
      </c>
      <c r="L272" s="4" t="s">
        <v>19</v>
      </c>
      <c r="M272" s="4" t="s">
        <v>895</v>
      </c>
      <c r="N272" s="7">
        <f>(20+15)/2</f>
      </c>
      <c r="O272" s="7">
        <f>(28+25+25)/3</f>
      </c>
    </row>
    <row x14ac:dyDescent="0.25" r="273" customHeight="1" ht="18.75">
      <c r="A273" s="4" t="s">
        <v>896</v>
      </c>
      <c r="B273" s="4" t="s">
        <v>266</v>
      </c>
      <c r="C273" s="4" t="s">
        <v>22</v>
      </c>
      <c r="D273" s="5">
        <v>415</v>
      </c>
      <c r="E273" s="5">
        <v>7</v>
      </c>
      <c r="F273" s="5">
        <v>2</v>
      </c>
      <c r="G273" s="5">
        <v>2</v>
      </c>
      <c r="H273" s="6">
        <v>47.4</v>
      </c>
      <c r="I273" s="6">
        <v>31.5</v>
      </c>
      <c r="J273" s="5">
        <v>48280</v>
      </c>
      <c r="K273" s="4" t="s">
        <v>897</v>
      </c>
      <c r="L273" s="4" t="s">
        <v>131</v>
      </c>
      <c r="M273" s="4" t="s">
        <v>581</v>
      </c>
      <c r="N273" s="7">
        <f>(50+40+25)/3</f>
      </c>
      <c r="O273" s="7">
        <f>(60+60+55)/3</f>
      </c>
    </row>
    <row x14ac:dyDescent="0.25" r="274" customHeight="1" ht="18.75">
      <c r="A274" s="4" t="s">
        <v>898</v>
      </c>
      <c r="B274" s="4" t="s">
        <v>448</v>
      </c>
      <c r="C274" s="4" t="s">
        <v>53</v>
      </c>
      <c r="D274" s="5">
        <v>415</v>
      </c>
      <c r="E274" s="5">
        <v>6</v>
      </c>
      <c r="F274" s="5">
        <v>1</v>
      </c>
      <c r="G274" s="5">
        <v>0</v>
      </c>
      <c r="H274" s="6">
        <v>53.9</v>
      </c>
      <c r="I274" s="6">
        <v>32.8</v>
      </c>
      <c r="J274" s="5">
        <v>195736</v>
      </c>
      <c r="K274" s="4" t="s">
        <v>899</v>
      </c>
      <c r="L274" s="4" t="s">
        <v>327</v>
      </c>
      <c r="M274" s="4" t="s">
        <v>900</v>
      </c>
      <c r="N274" s="7">
        <f>(22+22)/2</f>
      </c>
      <c r="O274" s="7">
        <f>(7.5+10+15+20+20)/5</f>
      </c>
    </row>
    <row x14ac:dyDescent="0.25" r="275" customHeight="1" ht="18.75">
      <c r="A275" s="4" t="s">
        <v>901</v>
      </c>
      <c r="B275" s="4" t="s">
        <v>223</v>
      </c>
      <c r="C275" s="4" t="s">
        <v>53</v>
      </c>
      <c r="D275" s="5">
        <v>410</v>
      </c>
      <c r="E275" s="5">
        <v>7</v>
      </c>
      <c r="F275" s="5">
        <v>0</v>
      </c>
      <c r="G275" s="5">
        <v>1</v>
      </c>
      <c r="H275" s="6">
        <v>53.5</v>
      </c>
      <c r="I275" s="5">
        <v>31</v>
      </c>
      <c r="J275" s="5">
        <v>205562</v>
      </c>
      <c r="K275" s="4" t="s">
        <v>902</v>
      </c>
      <c r="L275" s="4" t="s">
        <v>71</v>
      </c>
      <c r="M275" s="4" t="s">
        <v>903</v>
      </c>
      <c r="N275" s="7">
        <f>(50+40+30)/3</f>
      </c>
      <c r="O275" s="7">
        <f>(65+65+70+60)/4</f>
      </c>
    </row>
    <row x14ac:dyDescent="0.25" r="276" customHeight="1" ht="18.75">
      <c r="A276" s="4" t="s">
        <v>904</v>
      </c>
      <c r="B276" s="4" t="s">
        <v>478</v>
      </c>
      <c r="C276" s="4" t="s">
        <v>22</v>
      </c>
      <c r="D276" s="5">
        <v>409</v>
      </c>
      <c r="E276" s="5">
        <v>5</v>
      </c>
      <c r="F276" s="5">
        <v>3</v>
      </c>
      <c r="G276" s="5">
        <v>0</v>
      </c>
      <c r="H276" s="6">
        <v>43.8</v>
      </c>
      <c r="I276" s="6">
        <v>29.7</v>
      </c>
      <c r="J276" s="5">
        <v>23934</v>
      </c>
      <c r="K276" s="4" t="s">
        <v>905</v>
      </c>
      <c r="L276" s="4" t="s">
        <v>71</v>
      </c>
      <c r="M276" s="4" t="s">
        <v>906</v>
      </c>
      <c r="N276" s="7">
        <f>(1.5+1.5+1.5)/3</f>
      </c>
      <c r="O276" s="7">
        <f>(1.5+1.5+1.5)/3</f>
      </c>
    </row>
    <row x14ac:dyDescent="0.25" r="277" customHeight="1" ht="18.75">
      <c r="A277" s="4" t="s">
        <v>907</v>
      </c>
      <c r="B277" s="4" t="s">
        <v>748</v>
      </c>
      <c r="C277" s="4" t="s">
        <v>53</v>
      </c>
      <c r="D277" s="5">
        <v>409</v>
      </c>
      <c r="E277" s="5">
        <v>5</v>
      </c>
      <c r="F277" s="5">
        <v>0</v>
      </c>
      <c r="G277" s="5">
        <v>0</v>
      </c>
      <c r="H277" s="6">
        <v>47.5</v>
      </c>
      <c r="I277" s="6">
        <v>28.6</v>
      </c>
      <c r="J277" s="5">
        <v>127189</v>
      </c>
      <c r="K277" s="4" t="s">
        <v>908</v>
      </c>
      <c r="L277" s="4" t="s">
        <v>71</v>
      </c>
      <c r="M277" s="4" t="s">
        <v>909</v>
      </c>
      <c r="N277" s="7">
        <f>(30+28)/2</f>
      </c>
      <c r="O277" s="7">
        <f>(25+30+25)/3</f>
      </c>
    </row>
    <row x14ac:dyDescent="0.25" r="278" customHeight="1" ht="18.75">
      <c r="A278" s="4" t="s">
        <v>910</v>
      </c>
      <c r="B278" s="4" t="s">
        <v>223</v>
      </c>
      <c r="C278" s="4" t="s">
        <v>32</v>
      </c>
      <c r="D278" s="5">
        <v>405</v>
      </c>
      <c r="E278" s="5">
        <v>5</v>
      </c>
      <c r="F278" s="5">
        <v>0</v>
      </c>
      <c r="G278" s="5">
        <v>1</v>
      </c>
      <c r="H278" s="6">
        <v>46.4</v>
      </c>
      <c r="I278" s="6">
        <v>28.8</v>
      </c>
      <c r="J278" s="5">
        <v>21725</v>
      </c>
      <c r="K278" s="4" t="s">
        <v>911</v>
      </c>
      <c r="L278" s="4" t="s">
        <v>19</v>
      </c>
      <c r="M278" s="4" t="s">
        <v>912</v>
      </c>
      <c r="N278" s="7">
        <f>(3+2.5)/2</f>
      </c>
      <c r="O278" s="7">
        <f>(18+10+8+5)/4</f>
      </c>
    </row>
    <row x14ac:dyDescent="0.25" r="279" customHeight="1" ht="18.75">
      <c r="A279" s="4" t="s">
        <v>913</v>
      </c>
      <c r="B279" s="4" t="s">
        <v>436</v>
      </c>
      <c r="C279" s="4" t="s">
        <v>32</v>
      </c>
      <c r="D279" s="5">
        <v>405</v>
      </c>
      <c r="E279" s="5">
        <v>5</v>
      </c>
      <c r="F279" s="5">
        <v>0</v>
      </c>
      <c r="G279" s="5">
        <v>0</v>
      </c>
      <c r="H279" s="6">
        <v>46.2</v>
      </c>
      <c r="I279" s="6">
        <v>30.8</v>
      </c>
      <c r="J279" s="5">
        <v>258004</v>
      </c>
      <c r="K279" s="4" t="s">
        <v>914</v>
      </c>
      <c r="L279" s="4" t="s">
        <v>141</v>
      </c>
      <c r="M279" s="4" t="s">
        <v>915</v>
      </c>
      <c r="N279" s="7">
        <f>(28+32+38)/3</f>
      </c>
      <c r="O279" s="7">
        <f>(7+14+22+28)/4</f>
      </c>
    </row>
    <row x14ac:dyDescent="0.25" r="280" customHeight="1" ht="18.75">
      <c r="A280" s="4" t="s">
        <v>916</v>
      </c>
      <c r="B280" s="4" t="s">
        <v>478</v>
      </c>
      <c r="C280" s="4" t="s">
        <v>53</v>
      </c>
      <c r="D280" s="5">
        <v>405</v>
      </c>
      <c r="E280" s="5">
        <v>5</v>
      </c>
      <c r="F280" s="5">
        <v>0</v>
      </c>
      <c r="G280" s="5">
        <v>0</v>
      </c>
      <c r="H280" s="6">
        <v>43.3</v>
      </c>
      <c r="I280" s="6">
        <v>30.6</v>
      </c>
      <c r="J280" s="5">
        <v>254965</v>
      </c>
      <c r="K280" s="4" t="s">
        <v>917</v>
      </c>
      <c r="L280" s="4" t="s">
        <v>59</v>
      </c>
      <c r="M280" s="4" t="s">
        <v>918</v>
      </c>
      <c r="N280" s="7">
        <f>(3+3+3)/3</f>
      </c>
      <c r="O280" s="7">
        <f>(0.8+0.8+1.5)/3</f>
      </c>
    </row>
    <row x14ac:dyDescent="0.25" r="281" customHeight="1" ht="18.75">
      <c r="A281" s="4" t="s">
        <v>919</v>
      </c>
      <c r="B281" s="4" t="s">
        <v>478</v>
      </c>
      <c r="C281" s="4" t="s">
        <v>32</v>
      </c>
      <c r="D281" s="5">
        <v>405</v>
      </c>
      <c r="E281" s="5">
        <v>5</v>
      </c>
      <c r="F281" s="5">
        <v>0</v>
      </c>
      <c r="G281" s="5">
        <v>0</v>
      </c>
      <c r="H281" s="6">
        <v>37.9</v>
      </c>
      <c r="I281" s="6">
        <v>28.4</v>
      </c>
      <c r="J281" s="5">
        <v>4793</v>
      </c>
      <c r="K281" s="4" t="s">
        <v>920</v>
      </c>
      <c r="L281" s="4" t="s">
        <v>59</v>
      </c>
      <c r="M281" s="4" t="s">
        <v>921</v>
      </c>
      <c r="N281" s="7">
        <f>(1+1+1)/3</f>
      </c>
      <c r="O281" s="7">
        <f>(0.8+0.8+1)/3</f>
      </c>
    </row>
    <row x14ac:dyDescent="0.25" r="282" customHeight="1" ht="18.75">
      <c r="A282" s="4" t="s">
        <v>922</v>
      </c>
      <c r="B282" s="4" t="s">
        <v>471</v>
      </c>
      <c r="C282" s="4" t="s">
        <v>17</v>
      </c>
      <c r="D282" s="5">
        <v>405</v>
      </c>
      <c r="E282" s="5">
        <v>5</v>
      </c>
      <c r="F282" s="5">
        <v>0</v>
      </c>
      <c r="G282" s="5">
        <v>0</v>
      </c>
      <c r="H282" s="6">
        <v>22.8</v>
      </c>
      <c r="I282" s="6">
        <v>20.4</v>
      </c>
      <c r="J282" s="5">
        <v>1667</v>
      </c>
      <c r="K282" s="4" t="s">
        <v>923</v>
      </c>
      <c r="L282" s="4" t="s">
        <v>59</v>
      </c>
      <c r="M282" s="4" t="s">
        <v>924</v>
      </c>
      <c r="N282" s="7">
        <f>(0.5+0.25)/2</f>
      </c>
      <c r="O282" s="7">
        <f>(1+1+1)/3</f>
      </c>
    </row>
    <row x14ac:dyDescent="0.25" r="283" customHeight="1" ht="18.75">
      <c r="A283" s="4" t="s">
        <v>925</v>
      </c>
      <c r="B283" s="4" t="s">
        <v>432</v>
      </c>
      <c r="C283" s="4" t="s">
        <v>22</v>
      </c>
      <c r="D283" s="5">
        <v>404</v>
      </c>
      <c r="E283" s="5">
        <v>5</v>
      </c>
      <c r="F283" s="5">
        <v>0</v>
      </c>
      <c r="G283" s="5">
        <v>1</v>
      </c>
      <c r="H283" s="6">
        <v>46.3</v>
      </c>
      <c r="I283" s="5">
        <v>32</v>
      </c>
      <c r="J283" s="5">
        <v>284165</v>
      </c>
      <c r="K283" s="4" t="s">
        <v>926</v>
      </c>
      <c r="L283" s="4" t="s">
        <v>34</v>
      </c>
      <c r="M283" s="4" t="s">
        <v>927</v>
      </c>
      <c r="N283" s="7">
        <f>(35+35)/2</f>
      </c>
      <c r="O283" s="7">
        <f>(5+8+12+20+30)/5</f>
      </c>
    </row>
    <row x14ac:dyDescent="0.25" r="284" customHeight="1" ht="18.75">
      <c r="A284" s="4" t="s">
        <v>928</v>
      </c>
      <c r="B284" s="4" t="s">
        <v>553</v>
      </c>
      <c r="C284" s="4" t="s">
        <v>32</v>
      </c>
      <c r="D284" s="5">
        <v>403</v>
      </c>
      <c r="E284" s="5">
        <v>5</v>
      </c>
      <c r="F284" s="5">
        <v>0</v>
      </c>
      <c r="G284" s="5">
        <v>0</v>
      </c>
      <c r="H284" s="6">
        <v>44.3</v>
      </c>
      <c r="I284" s="6">
        <v>30.6</v>
      </c>
      <c r="J284" s="5">
        <v>137582</v>
      </c>
      <c r="K284" s="4" t="s">
        <v>929</v>
      </c>
      <c r="L284" s="4" t="s">
        <v>634</v>
      </c>
      <c r="M284" s="4" t="s">
        <v>930</v>
      </c>
      <c r="N284" s="7">
        <f>(2.25+2.5+2)/3</f>
      </c>
      <c r="O284" s="7">
        <f>(1.5+1.75)/2</f>
      </c>
    </row>
    <row x14ac:dyDescent="0.25" r="285" customHeight="1" ht="18.75">
      <c r="A285" s="4" t="s">
        <v>931</v>
      </c>
      <c r="B285" s="4" t="s">
        <v>139</v>
      </c>
      <c r="C285" s="4" t="s">
        <v>32</v>
      </c>
      <c r="D285" s="5">
        <v>402</v>
      </c>
      <c r="E285" s="5">
        <v>5</v>
      </c>
      <c r="F285" s="5">
        <v>0</v>
      </c>
      <c r="G285" s="5">
        <v>0</v>
      </c>
      <c r="H285" s="6">
        <v>44.3</v>
      </c>
      <c r="I285" s="6">
        <v>28.8</v>
      </c>
      <c r="J285" s="5">
        <v>54781</v>
      </c>
      <c r="K285" s="4" t="s">
        <v>932</v>
      </c>
      <c r="L285" s="4" t="s">
        <v>127</v>
      </c>
      <c r="M285" s="4" t="s">
        <v>933</v>
      </c>
      <c r="N285" s="7">
        <f>(30+25+18)/3</f>
      </c>
      <c r="O285" s="7">
        <f>(35+35+35)/3</f>
      </c>
    </row>
    <row x14ac:dyDescent="0.25" r="286" customHeight="1" ht="18.75">
      <c r="A286" s="4" t="s">
        <v>934</v>
      </c>
      <c r="B286" s="4" t="s">
        <v>522</v>
      </c>
      <c r="C286" s="4" t="s">
        <v>22</v>
      </c>
      <c r="D286" s="5">
        <v>396</v>
      </c>
      <c r="E286" s="5">
        <v>5</v>
      </c>
      <c r="F286" s="5">
        <v>1</v>
      </c>
      <c r="G286" s="5">
        <v>0</v>
      </c>
      <c r="H286" s="5">
        <v>46</v>
      </c>
      <c r="I286" s="6">
        <v>28.8</v>
      </c>
      <c r="J286" s="5">
        <v>80444</v>
      </c>
      <c r="K286" s="4" t="s">
        <v>935</v>
      </c>
      <c r="L286" s="4" t="s">
        <v>55</v>
      </c>
      <c r="M286" s="4" t="s">
        <v>158</v>
      </c>
      <c r="N286" s="7">
        <f>(100+90+70)/3</f>
      </c>
      <c r="O286" s="7">
        <f>(90+100+100+120+150+140)/6</f>
      </c>
    </row>
    <row x14ac:dyDescent="0.25" r="287" customHeight="1" ht="18.75">
      <c r="A287" s="4" t="s">
        <v>525</v>
      </c>
      <c r="B287" s="4" t="s">
        <v>139</v>
      </c>
      <c r="C287" s="4" t="s">
        <v>53</v>
      </c>
      <c r="D287" s="5">
        <v>395</v>
      </c>
      <c r="E287" s="5">
        <v>8</v>
      </c>
      <c r="F287" s="5">
        <v>4</v>
      </c>
      <c r="G287" s="5">
        <v>5</v>
      </c>
      <c r="H287" s="6">
        <v>44.8</v>
      </c>
      <c r="I287" s="6">
        <v>34.4</v>
      </c>
      <c r="J287" s="5">
        <v>192565</v>
      </c>
      <c r="K287" s="4" t="s">
        <v>936</v>
      </c>
      <c r="L287" s="4" t="s">
        <v>84</v>
      </c>
      <c r="M287" s="4" t="s">
        <v>527</v>
      </c>
      <c r="N287" s="7">
        <f>(100+100)/2</f>
      </c>
      <c r="O287" s="7">
        <f>(75+90+100)/3</f>
      </c>
    </row>
    <row x14ac:dyDescent="0.25" r="288" customHeight="1" ht="18.75">
      <c r="A288" s="4" t="s">
        <v>937</v>
      </c>
      <c r="B288" s="4" t="s">
        <v>428</v>
      </c>
      <c r="C288" s="4" t="s">
        <v>53</v>
      </c>
      <c r="D288" s="5">
        <v>394</v>
      </c>
      <c r="E288" s="5">
        <v>5</v>
      </c>
      <c r="F288" s="5">
        <v>0</v>
      </c>
      <c r="G288" s="5">
        <v>0</v>
      </c>
      <c r="H288" s="5">
        <v>49</v>
      </c>
      <c r="I288" s="6">
        <v>27.2</v>
      </c>
      <c r="J288" s="5">
        <v>324882</v>
      </c>
      <c r="K288" s="4" t="s">
        <v>938</v>
      </c>
      <c r="L288" s="4" t="s">
        <v>939</v>
      </c>
      <c r="M288" s="4" t="s">
        <v>940</v>
      </c>
      <c r="N288" s="7">
        <f>(6.5+8+10)/3</f>
      </c>
      <c r="O288" s="7">
        <f>(6.5+8+9)/3</f>
      </c>
    </row>
    <row x14ac:dyDescent="0.25" r="289" customHeight="1" ht="18.75">
      <c r="A289" s="4" t="s">
        <v>941</v>
      </c>
      <c r="B289" s="4" t="s">
        <v>432</v>
      </c>
      <c r="C289" s="4" t="s">
        <v>53</v>
      </c>
      <c r="D289" s="5">
        <v>393</v>
      </c>
      <c r="E289" s="5">
        <v>6</v>
      </c>
      <c r="F289" s="5">
        <v>0</v>
      </c>
      <c r="G289" s="5">
        <v>1</v>
      </c>
      <c r="H289" s="6">
        <v>47.8</v>
      </c>
      <c r="I289" s="6">
        <v>26.5</v>
      </c>
      <c r="J289" s="5">
        <v>264116</v>
      </c>
      <c r="K289" s="4" t="s">
        <v>942</v>
      </c>
      <c r="L289" s="4" t="s">
        <v>131</v>
      </c>
      <c r="M289" s="4" t="s">
        <v>943</v>
      </c>
      <c r="N289" s="7">
        <f>(12+10)/2</f>
      </c>
      <c r="O289" s="7">
        <f>(10+8+10+15+14)/5</f>
      </c>
    </row>
    <row x14ac:dyDescent="0.25" r="290" customHeight="1" ht="18.75">
      <c r="A290" s="4" t="s">
        <v>944</v>
      </c>
      <c r="B290" s="4" t="s">
        <v>464</v>
      </c>
      <c r="C290" s="4" t="s">
        <v>53</v>
      </c>
      <c r="D290" s="5">
        <v>391</v>
      </c>
      <c r="E290" s="5">
        <v>6</v>
      </c>
      <c r="F290" s="5">
        <v>1</v>
      </c>
      <c r="G290" s="5">
        <v>0</v>
      </c>
      <c r="H290" s="6">
        <v>45.6</v>
      </c>
      <c r="I290" s="5">
        <v>31</v>
      </c>
      <c r="J290" s="5">
        <v>255451</v>
      </c>
      <c r="K290" s="4" t="s">
        <v>945</v>
      </c>
      <c r="L290" s="4" t="s">
        <v>492</v>
      </c>
      <c r="M290" s="4" t="s">
        <v>617</v>
      </c>
      <c r="N290" s="7">
        <f>(12.5+16+16)/3</f>
      </c>
      <c r="O290" s="7">
        <f>(8+10)/2</f>
      </c>
    </row>
    <row x14ac:dyDescent="0.25" r="291" customHeight="1" ht="18.75">
      <c r="A291" s="4" t="s">
        <v>946</v>
      </c>
      <c r="B291" s="4" t="s">
        <v>748</v>
      </c>
      <c r="C291" s="4" t="s">
        <v>53</v>
      </c>
      <c r="D291" s="5">
        <v>390</v>
      </c>
      <c r="E291" s="5">
        <v>6</v>
      </c>
      <c r="F291" s="5">
        <v>2</v>
      </c>
      <c r="G291" s="5">
        <v>4</v>
      </c>
      <c r="H291" s="6">
        <v>49.9</v>
      </c>
      <c r="I291" s="6">
        <v>31.3</v>
      </c>
      <c r="J291" s="5">
        <v>8806</v>
      </c>
      <c r="K291" s="4" t="s">
        <v>947</v>
      </c>
      <c r="L291" s="4" t="s">
        <v>55</v>
      </c>
      <c r="M291" s="4" t="s">
        <v>948</v>
      </c>
      <c r="N291" s="7">
        <f>(20+15+12+10)/4</f>
      </c>
      <c r="O291" s="7">
        <f>(35+30+25+25)/4</f>
      </c>
    </row>
    <row x14ac:dyDescent="0.25" r="292" customHeight="1" ht="18.75">
      <c r="A292" s="4" t="s">
        <v>949</v>
      </c>
      <c r="B292" s="4" t="s">
        <v>285</v>
      </c>
      <c r="C292" s="4" t="s">
        <v>53</v>
      </c>
      <c r="D292" s="5">
        <v>390</v>
      </c>
      <c r="E292" s="5">
        <v>6</v>
      </c>
      <c r="F292" s="5">
        <v>1</v>
      </c>
      <c r="G292" s="5">
        <v>3</v>
      </c>
      <c r="H292" s="6">
        <v>50.5</v>
      </c>
      <c r="I292" s="6">
        <v>30.6</v>
      </c>
      <c r="J292" s="5">
        <v>286297</v>
      </c>
      <c r="K292" s="4" t="s">
        <v>950</v>
      </c>
      <c r="L292" s="4" t="s">
        <v>136</v>
      </c>
      <c r="M292" s="4" t="s">
        <v>951</v>
      </c>
      <c r="N292" s="7">
        <f>(35+40+40)/3</f>
      </c>
      <c r="O292" s="7">
        <f>(23+28+35)/3</f>
      </c>
    </row>
    <row x14ac:dyDescent="0.25" r="293" customHeight="1" ht="18.75">
      <c r="A293" s="4" t="s">
        <v>952</v>
      </c>
      <c r="B293" s="4" t="s">
        <v>448</v>
      </c>
      <c r="C293" s="4" t="s">
        <v>22</v>
      </c>
      <c r="D293" s="5">
        <v>390</v>
      </c>
      <c r="E293" s="5">
        <v>5</v>
      </c>
      <c r="F293" s="5">
        <v>1</v>
      </c>
      <c r="G293" s="5">
        <v>1</v>
      </c>
      <c r="H293" s="6">
        <v>46.1</v>
      </c>
      <c r="I293" s="6">
        <v>31.5</v>
      </c>
      <c r="J293" s="5">
        <v>333241</v>
      </c>
      <c r="K293" s="4" t="s">
        <v>953</v>
      </c>
      <c r="L293" s="4" t="s">
        <v>19</v>
      </c>
      <c r="M293" s="4" t="s">
        <v>954</v>
      </c>
      <c r="N293" s="7">
        <f>(35+35+30)/3</f>
      </c>
      <c r="O293" s="7">
        <f>(1.25+1.25+2.5+7+15)/5</f>
      </c>
    </row>
    <row x14ac:dyDescent="0.25" r="294" customHeight="1" ht="18.75">
      <c r="A294" s="4" t="s">
        <v>955</v>
      </c>
      <c r="B294" s="4" t="s">
        <v>139</v>
      </c>
      <c r="C294" s="4" t="s">
        <v>53</v>
      </c>
      <c r="D294" s="5">
        <v>388</v>
      </c>
      <c r="E294" s="5">
        <v>6</v>
      </c>
      <c r="F294" s="5">
        <v>1</v>
      </c>
      <c r="G294" s="5">
        <v>4</v>
      </c>
      <c r="H294" s="6">
        <v>48.3</v>
      </c>
      <c r="I294" s="6">
        <v>30.6</v>
      </c>
      <c r="J294" s="5">
        <v>171424</v>
      </c>
      <c r="K294" s="4" t="s">
        <v>956</v>
      </c>
      <c r="L294" s="4" t="s">
        <v>71</v>
      </c>
      <c r="M294" s="4" t="s">
        <v>957</v>
      </c>
      <c r="N294" s="7">
        <f>(60+60)/2</f>
      </c>
      <c r="O294" s="7">
        <f>(30+50+50+60+60)/5</f>
      </c>
    </row>
    <row x14ac:dyDescent="0.25" r="295" customHeight="1" ht="18.75">
      <c r="A295" s="4" t="s">
        <v>958</v>
      </c>
      <c r="B295" s="4" t="s">
        <v>243</v>
      </c>
      <c r="C295" s="4" t="s">
        <v>53</v>
      </c>
      <c r="D295" s="5">
        <v>388</v>
      </c>
      <c r="E295" s="5">
        <v>5</v>
      </c>
      <c r="F295" s="5">
        <v>0</v>
      </c>
      <c r="G295" s="5">
        <v>1</v>
      </c>
      <c r="H295" s="6">
        <v>48.7</v>
      </c>
      <c r="I295" s="6">
        <v>27.2</v>
      </c>
      <c r="J295" s="5">
        <v>60444</v>
      </c>
      <c r="K295" s="4" t="s">
        <v>959</v>
      </c>
      <c r="L295" s="4" t="s">
        <v>55</v>
      </c>
      <c r="M295" s="4" t="s">
        <v>960</v>
      </c>
      <c r="N295" s="7">
        <f>(70+70+60)/3</f>
      </c>
      <c r="O295" s="7">
        <f>(60+60+60)/3</f>
      </c>
    </row>
    <row x14ac:dyDescent="0.25" r="296" customHeight="1" ht="18.75">
      <c r="A296" s="4" t="s">
        <v>961</v>
      </c>
      <c r="B296" s="4" t="s">
        <v>296</v>
      </c>
      <c r="C296" s="4" t="s">
        <v>53</v>
      </c>
      <c r="D296" s="5">
        <v>386</v>
      </c>
      <c r="E296" s="5">
        <v>6</v>
      </c>
      <c r="F296" s="5">
        <v>1</v>
      </c>
      <c r="G296" s="5">
        <v>1</v>
      </c>
      <c r="H296" s="6">
        <v>52.4</v>
      </c>
      <c r="I296" s="6">
        <v>31.3</v>
      </c>
      <c r="J296" s="5">
        <v>221316</v>
      </c>
      <c r="K296" s="4" t="s">
        <v>962</v>
      </c>
      <c r="L296" s="4" t="s">
        <v>55</v>
      </c>
      <c r="M296" s="4" t="s">
        <v>963</v>
      </c>
      <c r="N296" s="7">
        <f>(25+20)/2</f>
      </c>
      <c r="O296" s="7">
        <f>(15+25+25+25)/4</f>
      </c>
    </row>
    <row x14ac:dyDescent="0.25" r="297" customHeight="1" ht="18.75">
      <c r="A297" s="4" t="s">
        <v>964</v>
      </c>
      <c r="B297" s="4" t="s">
        <v>285</v>
      </c>
      <c r="C297" s="4" t="s">
        <v>22</v>
      </c>
      <c r="D297" s="5">
        <v>385</v>
      </c>
      <c r="E297" s="5">
        <v>7</v>
      </c>
      <c r="F297" s="5">
        <v>2</v>
      </c>
      <c r="G297" s="5">
        <v>0</v>
      </c>
      <c r="H297" s="5">
        <v>49</v>
      </c>
      <c r="I297" s="6">
        <v>31.3</v>
      </c>
      <c r="J297" s="5">
        <v>392085</v>
      </c>
      <c r="K297" s="4" t="s">
        <v>965</v>
      </c>
      <c r="L297" s="4" t="s">
        <v>136</v>
      </c>
      <c r="M297" s="4" t="s">
        <v>966</v>
      </c>
      <c r="N297" s="7">
        <f>(40+40+50)/3</f>
      </c>
      <c r="O297" s="7">
        <f>(1+3.5+10)/3</f>
      </c>
    </row>
    <row x14ac:dyDescent="0.25" r="298" customHeight="1" ht="18.75">
      <c r="A298" s="4" t="s">
        <v>967</v>
      </c>
      <c r="B298" s="4" t="s">
        <v>478</v>
      </c>
      <c r="C298" s="4" t="s">
        <v>53</v>
      </c>
      <c r="D298" s="5">
        <v>385</v>
      </c>
      <c r="E298" s="5">
        <v>6</v>
      </c>
      <c r="F298" s="5">
        <v>0</v>
      </c>
      <c r="G298" s="5">
        <v>1</v>
      </c>
      <c r="H298" s="6">
        <v>49.1</v>
      </c>
      <c r="I298" s="6">
        <v>33.3</v>
      </c>
      <c r="J298" s="5">
        <v>250490</v>
      </c>
      <c r="K298" s="4" t="s">
        <v>968</v>
      </c>
      <c r="L298" s="4" t="s">
        <v>59</v>
      </c>
      <c r="M298" s="4" t="s">
        <v>969</v>
      </c>
      <c r="N298" s="7">
        <f>(5+5+5)/3</f>
      </c>
      <c r="O298" s="7">
        <f>(2.25+2.5+4+5)/4</f>
      </c>
    </row>
    <row x14ac:dyDescent="0.25" r="299" customHeight="1" ht="18.75">
      <c r="A299" s="4" t="s">
        <v>970</v>
      </c>
      <c r="B299" s="4" t="s">
        <v>522</v>
      </c>
      <c r="C299" s="4" t="s">
        <v>22</v>
      </c>
      <c r="D299" s="5">
        <v>385</v>
      </c>
      <c r="E299" s="5">
        <v>5</v>
      </c>
      <c r="F299" s="5">
        <v>1</v>
      </c>
      <c r="G299" s="5">
        <v>0</v>
      </c>
      <c r="H299" s="6">
        <v>40.2</v>
      </c>
      <c r="I299" s="6">
        <v>33.5</v>
      </c>
      <c r="J299" s="5">
        <v>237662</v>
      </c>
      <c r="K299" s="4" t="s">
        <v>971</v>
      </c>
      <c r="L299" s="4" t="s">
        <v>59</v>
      </c>
      <c r="M299" s="4" t="s">
        <v>972</v>
      </c>
      <c r="N299" s="7">
        <f>(12+14+16)/3</f>
      </c>
      <c r="O299" s="7">
        <f>(18+15)/2</f>
      </c>
    </row>
    <row x14ac:dyDescent="0.25" r="300" customHeight="1" ht="18.75">
      <c r="A300" s="4" t="s">
        <v>973</v>
      </c>
      <c r="B300" s="4" t="s">
        <v>478</v>
      </c>
      <c r="C300" s="4" t="s">
        <v>22</v>
      </c>
      <c r="D300" s="5">
        <v>380</v>
      </c>
      <c r="E300" s="5">
        <v>5</v>
      </c>
      <c r="F300" s="5">
        <v>1</v>
      </c>
      <c r="G300" s="5">
        <v>0</v>
      </c>
      <c r="H300" s="5">
        <v>47</v>
      </c>
      <c r="I300" s="6">
        <v>31.5</v>
      </c>
      <c r="J300" s="5">
        <v>263183</v>
      </c>
      <c r="K300" s="4" t="s">
        <v>974</v>
      </c>
      <c r="L300" s="4" t="s">
        <v>346</v>
      </c>
      <c r="M300" s="4" t="s">
        <v>975</v>
      </c>
      <c r="N300" s="7">
        <f>(7.5+6+7.5)/3</f>
      </c>
      <c r="O300" s="7">
        <f>(2+5.5+7.5)/3</f>
      </c>
    </row>
    <row x14ac:dyDescent="0.25" r="301" customHeight="1" ht="18.75">
      <c r="A301" s="4" t="s">
        <v>976</v>
      </c>
      <c r="B301" s="4" t="s">
        <v>139</v>
      </c>
      <c r="C301" s="4" t="s">
        <v>22</v>
      </c>
      <c r="D301" s="5">
        <v>375</v>
      </c>
      <c r="E301" s="5">
        <v>6</v>
      </c>
      <c r="F301" s="5">
        <v>4</v>
      </c>
      <c r="G301" s="5">
        <v>0</v>
      </c>
      <c r="H301" s="6">
        <v>42.1</v>
      </c>
      <c r="I301" s="6">
        <v>31.7</v>
      </c>
      <c r="J301" s="5">
        <v>15956</v>
      </c>
      <c r="K301" s="4" t="s">
        <v>977</v>
      </c>
      <c r="L301" s="4" t="s">
        <v>55</v>
      </c>
      <c r="M301" s="4" t="s">
        <v>978</v>
      </c>
      <c r="N301" s="7">
        <f>(4+4)/2</f>
      </c>
      <c r="O301" s="7">
        <f>(6+5+4)/3</f>
      </c>
    </row>
    <row x14ac:dyDescent="0.25" r="302" customHeight="1" ht="18.75">
      <c r="A302" s="4" t="s">
        <v>979</v>
      </c>
      <c r="B302" s="4" t="s">
        <v>512</v>
      </c>
      <c r="C302" s="4" t="s">
        <v>22</v>
      </c>
      <c r="D302" s="5">
        <v>375</v>
      </c>
      <c r="E302" s="5">
        <v>6</v>
      </c>
      <c r="F302" s="5">
        <v>3</v>
      </c>
      <c r="G302" s="5">
        <v>0</v>
      </c>
      <c r="H302" s="5">
        <v>43</v>
      </c>
      <c r="I302" s="5">
        <v>31</v>
      </c>
      <c r="J302" s="5">
        <v>56416</v>
      </c>
      <c r="K302" s="4" t="s">
        <v>980</v>
      </c>
      <c r="L302" s="4" t="s">
        <v>42</v>
      </c>
      <c r="M302" s="4" t="s">
        <v>981</v>
      </c>
      <c r="N302" s="7">
        <f>(25+25)/2</f>
      </c>
      <c r="O302" s="7">
        <f>(30+30)/2</f>
      </c>
    </row>
    <row x14ac:dyDescent="0.25" r="303" customHeight="1" ht="18.75">
      <c r="A303" s="4" t="s">
        <v>982</v>
      </c>
      <c r="B303" s="4" t="s">
        <v>522</v>
      </c>
      <c r="C303" s="4" t="s">
        <v>53</v>
      </c>
      <c r="D303" s="5">
        <v>373</v>
      </c>
      <c r="E303" s="5">
        <v>6</v>
      </c>
      <c r="F303" s="5">
        <v>1</v>
      </c>
      <c r="G303" s="5">
        <v>1</v>
      </c>
      <c r="H303" s="6">
        <v>46.4</v>
      </c>
      <c r="I303" s="6">
        <v>30.2</v>
      </c>
      <c r="J303" s="5">
        <v>332697</v>
      </c>
      <c r="K303" s="4" t="s">
        <v>983</v>
      </c>
      <c r="L303" s="4" t="s">
        <v>461</v>
      </c>
      <c r="M303" s="4" t="s">
        <v>984</v>
      </c>
      <c r="N303" s="7">
        <f>(20+20+22)/3</f>
      </c>
      <c r="O303" s="7">
        <f>(6.5+12+15)/3</f>
      </c>
    </row>
    <row x14ac:dyDescent="0.25" r="304" customHeight="1" ht="18.75">
      <c r="A304" s="4" t="s">
        <v>985</v>
      </c>
      <c r="B304" s="4" t="s">
        <v>316</v>
      </c>
      <c r="C304" s="4" t="s">
        <v>32</v>
      </c>
      <c r="D304" s="5">
        <v>370</v>
      </c>
      <c r="E304" s="5">
        <v>5</v>
      </c>
      <c r="F304" s="5">
        <v>0</v>
      </c>
      <c r="G304" s="5">
        <v>3</v>
      </c>
      <c r="H304" s="5">
        <v>41</v>
      </c>
      <c r="I304" s="6">
        <v>32.4</v>
      </c>
      <c r="J304" s="5">
        <v>398073</v>
      </c>
      <c r="K304" s="4" t="s">
        <v>986</v>
      </c>
      <c r="L304" s="4" t="s">
        <v>55</v>
      </c>
      <c r="M304" s="4" t="s">
        <v>987</v>
      </c>
      <c r="N304" s="7">
        <f>(30+30+45)/3</f>
      </c>
      <c r="O304" s="7">
        <f>(5+5+7.5+11+25)/5</f>
      </c>
    </row>
    <row x14ac:dyDescent="0.25" r="305" customHeight="1" ht="18.75">
      <c r="A305" s="4" t="s">
        <v>988</v>
      </c>
      <c r="B305" s="4" t="s">
        <v>448</v>
      </c>
      <c r="C305" s="4" t="s">
        <v>53</v>
      </c>
      <c r="D305" s="5">
        <v>370</v>
      </c>
      <c r="E305" s="5">
        <v>5</v>
      </c>
      <c r="F305" s="5">
        <v>0</v>
      </c>
      <c r="G305" s="5">
        <v>2</v>
      </c>
      <c r="H305" s="5">
        <v>47</v>
      </c>
      <c r="I305" s="6">
        <v>28.4</v>
      </c>
      <c r="J305" s="5">
        <v>125858</v>
      </c>
      <c r="K305" s="4" t="s">
        <v>989</v>
      </c>
      <c r="L305" s="4" t="s">
        <v>830</v>
      </c>
      <c r="M305" s="4" t="s">
        <v>990</v>
      </c>
      <c r="N305" s="7">
        <f>(25+32+30)/3</f>
      </c>
      <c r="O305" s="7">
        <f>(12+20)/2</f>
      </c>
    </row>
    <row x14ac:dyDescent="0.25" r="306" customHeight="1" ht="18.75">
      <c r="A306" s="4" t="s">
        <v>991</v>
      </c>
      <c r="B306" s="4" t="s">
        <v>436</v>
      </c>
      <c r="C306" s="4" t="s">
        <v>22</v>
      </c>
      <c r="D306" s="5">
        <v>369</v>
      </c>
      <c r="E306" s="5">
        <v>6</v>
      </c>
      <c r="F306" s="5">
        <v>0</v>
      </c>
      <c r="G306" s="5">
        <v>0</v>
      </c>
      <c r="H306" s="6">
        <v>42.5</v>
      </c>
      <c r="I306" s="6">
        <v>33.5</v>
      </c>
      <c r="J306" s="5">
        <v>238055</v>
      </c>
      <c r="K306" s="4" t="s">
        <v>992</v>
      </c>
      <c r="L306" s="4" t="s">
        <v>141</v>
      </c>
      <c r="M306" s="4" t="s">
        <v>993</v>
      </c>
      <c r="N306" s="7">
        <f>(20+22+28+30)/4</f>
      </c>
      <c r="O306" s="7">
        <f>(8+12+15)/3</f>
      </c>
    </row>
    <row x14ac:dyDescent="0.25" r="307" customHeight="1" ht="18.75">
      <c r="A307" s="4" t="s">
        <v>994</v>
      </c>
      <c r="B307" s="4" t="s">
        <v>424</v>
      </c>
      <c r="C307" s="4" t="s">
        <v>53</v>
      </c>
      <c r="D307" s="5">
        <v>368</v>
      </c>
      <c r="E307" s="5">
        <v>6</v>
      </c>
      <c r="F307" s="5">
        <v>0</v>
      </c>
      <c r="G307" s="5">
        <v>0</v>
      </c>
      <c r="H307" s="6">
        <v>47.8</v>
      </c>
      <c r="I307" s="6">
        <v>28.6</v>
      </c>
      <c r="J307" s="5">
        <v>203842</v>
      </c>
      <c r="K307" s="4" t="s">
        <v>995</v>
      </c>
      <c r="L307" s="4" t="s">
        <v>542</v>
      </c>
      <c r="M307" s="4" t="s">
        <v>797</v>
      </c>
      <c r="N307" s="7">
        <f>(4.5+6)/2</f>
      </c>
      <c r="O307" s="7">
        <f>(5+4.5)/2</f>
      </c>
    </row>
    <row x14ac:dyDescent="0.25" r="308" customHeight="1" ht="18.75">
      <c r="A308" s="4" t="s">
        <v>996</v>
      </c>
      <c r="B308" s="4" t="s">
        <v>243</v>
      </c>
      <c r="C308" s="4" t="s">
        <v>32</v>
      </c>
      <c r="D308" s="5">
        <v>367</v>
      </c>
      <c r="E308" s="5">
        <v>6</v>
      </c>
      <c r="F308" s="5">
        <v>0</v>
      </c>
      <c r="G308" s="5">
        <v>1</v>
      </c>
      <c r="H308" s="6">
        <v>43.1</v>
      </c>
      <c r="I308" s="6">
        <v>31.7</v>
      </c>
      <c r="J308" s="5">
        <v>129473</v>
      </c>
      <c r="K308" s="4" t="s">
        <v>997</v>
      </c>
      <c r="L308" s="4" t="s">
        <v>55</v>
      </c>
      <c r="M308" s="4" t="s">
        <v>998</v>
      </c>
      <c r="N308" s="7">
        <f>(15+15+12)/3</f>
      </c>
      <c r="O308" s="7">
        <f>(15+28+18)/3</f>
      </c>
    </row>
    <row x14ac:dyDescent="0.25" r="309" customHeight="1" ht="18.75">
      <c r="A309" s="4" t="s">
        <v>999</v>
      </c>
      <c r="B309" s="4" t="s">
        <v>522</v>
      </c>
      <c r="C309" s="4" t="s">
        <v>32</v>
      </c>
      <c r="D309" s="5">
        <v>367</v>
      </c>
      <c r="E309" s="5">
        <v>6</v>
      </c>
      <c r="F309" s="5">
        <v>0</v>
      </c>
      <c r="G309" s="5">
        <v>0</v>
      </c>
      <c r="H309" s="5">
        <v>41</v>
      </c>
      <c r="I309" s="6">
        <v>30.8</v>
      </c>
      <c r="J309" s="5">
        <v>447221</v>
      </c>
      <c r="K309" s="4" t="s">
        <v>1000</v>
      </c>
      <c r="L309" s="4" t="s">
        <v>346</v>
      </c>
      <c r="M309" s="4" t="s">
        <v>1001</v>
      </c>
      <c r="N309" s="7">
        <f>(4+3.5)/2</f>
      </c>
      <c r="O309" s="7">
        <f>(0.6+0.6+6+7)/4</f>
      </c>
    </row>
    <row x14ac:dyDescent="0.25" r="310" customHeight="1" ht="18.75">
      <c r="A310" s="4" t="s">
        <v>1002</v>
      </c>
      <c r="B310" s="4" t="s">
        <v>266</v>
      </c>
      <c r="C310" s="4" t="s">
        <v>32</v>
      </c>
      <c r="D310" s="5">
        <v>363</v>
      </c>
      <c r="E310" s="5">
        <v>5</v>
      </c>
      <c r="F310" s="5">
        <v>1</v>
      </c>
      <c r="G310" s="5">
        <v>2</v>
      </c>
      <c r="H310" s="6">
        <v>47.8</v>
      </c>
      <c r="I310" s="6">
        <v>33.1</v>
      </c>
      <c r="J310" s="5">
        <v>100986</v>
      </c>
      <c r="K310" s="4" t="s">
        <v>1003</v>
      </c>
      <c r="L310" s="4" t="s">
        <v>42</v>
      </c>
      <c r="M310" s="4" t="s">
        <v>1004</v>
      </c>
      <c r="N310" s="7">
        <f>(30+30)/2</f>
      </c>
      <c r="O310" s="7">
        <f>(15+15+25+35)/4</f>
      </c>
    </row>
    <row x14ac:dyDescent="0.25" r="311" customHeight="1" ht="18.75">
      <c r="A311" s="4" t="s">
        <v>1005</v>
      </c>
      <c r="B311" s="4" t="s">
        <v>223</v>
      </c>
      <c r="C311" s="4" t="s">
        <v>32</v>
      </c>
      <c r="D311" s="5">
        <v>360</v>
      </c>
      <c r="E311" s="5">
        <v>5</v>
      </c>
      <c r="F311" s="5">
        <v>2</v>
      </c>
      <c r="G311" s="5">
        <v>0</v>
      </c>
      <c r="H311" s="6">
        <v>35.3</v>
      </c>
      <c r="I311" s="6">
        <v>28.1</v>
      </c>
      <c r="J311" s="5">
        <v>250845</v>
      </c>
      <c r="K311" s="4" t="s">
        <v>1006</v>
      </c>
      <c r="L311" s="4" t="s">
        <v>131</v>
      </c>
      <c r="M311" s="4" t="s">
        <v>1007</v>
      </c>
      <c r="N311" s="7">
        <f>(70+70+70)/3</f>
      </c>
      <c r="O311" s="7">
        <f>(35+45+50+50)/4</f>
      </c>
    </row>
    <row x14ac:dyDescent="0.25" r="312" customHeight="1" ht="18.75">
      <c r="A312" s="4" t="s">
        <v>1008</v>
      </c>
      <c r="B312" s="4" t="s">
        <v>440</v>
      </c>
      <c r="C312" s="4" t="s">
        <v>53</v>
      </c>
      <c r="D312" s="5">
        <v>360</v>
      </c>
      <c r="E312" s="5">
        <v>4</v>
      </c>
      <c r="F312" s="5">
        <v>1</v>
      </c>
      <c r="G312" s="5">
        <v>1</v>
      </c>
      <c r="H312" s="6">
        <v>42.9</v>
      </c>
      <c r="I312" s="6">
        <v>30.2</v>
      </c>
      <c r="J312" s="5">
        <v>81800</v>
      </c>
      <c r="K312" s="4" t="s">
        <v>1009</v>
      </c>
      <c r="L312" s="4" t="s">
        <v>450</v>
      </c>
      <c r="M312" s="4" t="s">
        <v>1010</v>
      </c>
      <c r="N312" s="7">
        <f>(1+1)/2</f>
      </c>
      <c r="O312" s="7">
        <f>(0.75+0.9)/2</f>
      </c>
    </row>
    <row x14ac:dyDescent="0.25" r="313" customHeight="1" ht="18.75">
      <c r="A313" s="4" t="s">
        <v>1011</v>
      </c>
      <c r="B313" s="4" t="s">
        <v>296</v>
      </c>
      <c r="C313" s="4" t="s">
        <v>32</v>
      </c>
      <c r="D313" s="5">
        <v>360</v>
      </c>
      <c r="E313" s="5">
        <v>4</v>
      </c>
      <c r="F313" s="5">
        <v>0</v>
      </c>
      <c r="G313" s="5">
        <v>1</v>
      </c>
      <c r="H313" s="6">
        <v>43.2</v>
      </c>
      <c r="I313" s="6">
        <v>31.3</v>
      </c>
      <c r="J313" s="5">
        <v>282429</v>
      </c>
      <c r="K313" s="4" t="s">
        <v>1012</v>
      </c>
      <c r="L313" s="4" t="s">
        <v>55</v>
      </c>
      <c r="M313" s="4" t="s">
        <v>719</v>
      </c>
      <c r="N313" s="7">
        <f>(15+15+22+22)/4</f>
      </c>
      <c r="O313" s="7">
        <f>(0.3+0.3+1+5+7.5)/5</f>
      </c>
    </row>
    <row x14ac:dyDescent="0.25" r="314" customHeight="1" ht="18.75">
      <c r="A314" s="4" t="s">
        <v>1013</v>
      </c>
      <c r="B314" s="4" t="s">
        <v>416</v>
      </c>
      <c r="C314" s="4" t="s">
        <v>32</v>
      </c>
      <c r="D314" s="5">
        <v>360</v>
      </c>
      <c r="E314" s="5">
        <v>4</v>
      </c>
      <c r="F314" s="5">
        <v>0</v>
      </c>
      <c r="G314" s="5">
        <v>0</v>
      </c>
      <c r="H314" s="6">
        <v>42.5</v>
      </c>
      <c r="I314" s="6">
        <v>28.4</v>
      </c>
      <c r="J314" s="5">
        <v>55769</v>
      </c>
      <c r="K314" s="4" t="s">
        <v>1014</v>
      </c>
      <c r="L314" s="4" t="s">
        <v>136</v>
      </c>
      <c r="M314" s="4" t="s">
        <v>1015</v>
      </c>
      <c r="N314" s="7">
        <f>(13+13)/2</f>
      </c>
      <c r="O314" s="7">
        <f>(12+12)/2</f>
      </c>
    </row>
    <row x14ac:dyDescent="0.25" r="315" customHeight="1" ht="18.75">
      <c r="A315" s="4" t="s">
        <v>1016</v>
      </c>
      <c r="B315" s="4" t="s">
        <v>471</v>
      </c>
      <c r="C315" s="4" t="s">
        <v>32</v>
      </c>
      <c r="D315" s="5">
        <v>360</v>
      </c>
      <c r="E315" s="5">
        <v>4</v>
      </c>
      <c r="F315" s="5">
        <v>0</v>
      </c>
      <c r="G315" s="5">
        <v>0</v>
      </c>
      <c r="H315" s="6">
        <v>41.5</v>
      </c>
      <c r="I315" s="6">
        <v>31.5</v>
      </c>
      <c r="J315" s="5">
        <v>133964</v>
      </c>
      <c r="K315" s="4" t="s">
        <v>674</v>
      </c>
      <c r="L315" s="4" t="s">
        <v>136</v>
      </c>
      <c r="M315" s="4" t="s">
        <v>675</v>
      </c>
      <c r="N315" s="7">
        <f>(65+60)/2</f>
      </c>
      <c r="O315" s="7">
        <f>(60+65+75)/3</f>
      </c>
    </row>
    <row x14ac:dyDescent="0.25" r="316" customHeight="1" ht="18.75">
      <c r="A316" s="4" t="s">
        <v>1017</v>
      </c>
      <c r="B316" s="4" t="s">
        <v>448</v>
      </c>
      <c r="C316" s="4" t="s">
        <v>53</v>
      </c>
      <c r="D316" s="5">
        <v>360</v>
      </c>
      <c r="E316" s="5">
        <v>4</v>
      </c>
      <c r="F316" s="5">
        <v>0</v>
      </c>
      <c r="G316" s="5">
        <v>0</v>
      </c>
      <c r="H316" s="6">
        <v>40.9</v>
      </c>
      <c r="I316" s="6">
        <v>31.3</v>
      </c>
      <c r="J316" s="5">
        <v>72839</v>
      </c>
      <c r="K316" s="4"/>
      <c r="L316" s="4" t="s">
        <v>84</v>
      </c>
      <c r="M316" s="4" t="s">
        <v>1018</v>
      </c>
      <c r="N316" s="4"/>
      <c r="O316" s="4"/>
    </row>
    <row x14ac:dyDescent="0.25" r="317" customHeight="1" ht="18.75">
      <c r="A317" s="4" t="s">
        <v>1019</v>
      </c>
      <c r="B317" s="4" t="s">
        <v>424</v>
      </c>
      <c r="C317" s="4" t="s">
        <v>32</v>
      </c>
      <c r="D317" s="5">
        <v>360</v>
      </c>
      <c r="E317" s="5">
        <v>4</v>
      </c>
      <c r="F317" s="5">
        <v>0</v>
      </c>
      <c r="G317" s="5">
        <v>0</v>
      </c>
      <c r="H317" s="6">
        <v>40.2</v>
      </c>
      <c r="I317" s="6">
        <v>29.5</v>
      </c>
      <c r="J317" s="5">
        <v>89222</v>
      </c>
      <c r="K317" s="4" t="s">
        <v>1020</v>
      </c>
      <c r="L317" s="4" t="s">
        <v>542</v>
      </c>
      <c r="M317" s="4" t="s">
        <v>620</v>
      </c>
      <c r="N317" s="7">
        <f>(8+10+10)/3</f>
      </c>
      <c r="O317" s="7">
        <f>(8.5+8.5+7.5)/3</f>
      </c>
    </row>
    <row x14ac:dyDescent="0.25" r="318" customHeight="1" ht="18.75">
      <c r="A318" s="4" t="s">
        <v>1021</v>
      </c>
      <c r="B318" s="4" t="s">
        <v>296</v>
      </c>
      <c r="C318" s="4" t="s">
        <v>32</v>
      </c>
      <c r="D318" s="5">
        <v>360</v>
      </c>
      <c r="E318" s="5">
        <v>4</v>
      </c>
      <c r="F318" s="5">
        <v>0</v>
      </c>
      <c r="G318" s="5">
        <v>0</v>
      </c>
      <c r="H318" s="6">
        <v>40.1</v>
      </c>
      <c r="I318" s="6">
        <v>32.2</v>
      </c>
      <c r="J318" s="5">
        <v>164770</v>
      </c>
      <c r="K318" s="4" t="s">
        <v>1022</v>
      </c>
      <c r="L318" s="4" t="s">
        <v>71</v>
      </c>
      <c r="M318" s="4" t="s">
        <v>1023</v>
      </c>
      <c r="N318" s="7">
        <f>(70+80)/2</f>
      </c>
      <c r="O318" s="7">
        <f>(40+60+70+80+80)/5</f>
      </c>
    </row>
    <row x14ac:dyDescent="0.25" r="319" customHeight="1" ht="18.75">
      <c r="A319" s="4" t="s">
        <v>1024</v>
      </c>
      <c r="B319" s="4" t="s">
        <v>436</v>
      </c>
      <c r="C319" s="4" t="s">
        <v>32</v>
      </c>
      <c r="D319" s="5">
        <v>360</v>
      </c>
      <c r="E319" s="5">
        <v>4</v>
      </c>
      <c r="F319" s="5">
        <v>0</v>
      </c>
      <c r="G319" s="5">
        <v>0</v>
      </c>
      <c r="H319" s="6">
        <v>38.7</v>
      </c>
      <c r="I319" s="6">
        <v>30.8</v>
      </c>
      <c r="J319" s="5">
        <v>3625</v>
      </c>
      <c r="K319" s="4" t="s">
        <v>1025</v>
      </c>
      <c r="L319" s="4" t="s">
        <v>19</v>
      </c>
      <c r="M319" s="4" t="s">
        <v>1026</v>
      </c>
      <c r="N319" s="4"/>
      <c r="O319" s="4"/>
    </row>
    <row x14ac:dyDescent="0.25" r="320" customHeight="1" ht="18.75">
      <c r="A320" s="4" t="s">
        <v>1027</v>
      </c>
      <c r="B320" s="4" t="s">
        <v>553</v>
      </c>
      <c r="C320" s="4" t="s">
        <v>32</v>
      </c>
      <c r="D320" s="5">
        <v>360</v>
      </c>
      <c r="E320" s="5">
        <v>4</v>
      </c>
      <c r="F320" s="5">
        <v>0</v>
      </c>
      <c r="G320" s="5">
        <v>0</v>
      </c>
      <c r="H320" s="6">
        <v>36.8</v>
      </c>
      <c r="I320" s="5">
        <v>32</v>
      </c>
      <c r="J320" s="5">
        <v>361260</v>
      </c>
      <c r="K320" s="4" t="s">
        <v>1028</v>
      </c>
      <c r="L320" s="4" t="s">
        <v>830</v>
      </c>
      <c r="M320" s="4" t="s">
        <v>827</v>
      </c>
      <c r="N320" s="7">
        <f>(6.5+10+15+22)/4</f>
      </c>
      <c r="O320" s="7">
        <f>(0.15+0.5)/2</f>
      </c>
    </row>
    <row x14ac:dyDescent="0.25" r="321" customHeight="1" ht="18.75">
      <c r="A321" s="4" t="s">
        <v>1029</v>
      </c>
      <c r="B321" s="4" t="s">
        <v>553</v>
      </c>
      <c r="C321" s="4" t="s">
        <v>32</v>
      </c>
      <c r="D321" s="5">
        <v>360</v>
      </c>
      <c r="E321" s="5">
        <v>4</v>
      </c>
      <c r="F321" s="5">
        <v>0</v>
      </c>
      <c r="G321" s="5">
        <v>0</v>
      </c>
      <c r="H321" s="6">
        <v>36.6</v>
      </c>
      <c r="I321" s="6">
        <v>31.3</v>
      </c>
      <c r="J321" s="5">
        <v>44996</v>
      </c>
      <c r="K321" s="4" t="s">
        <v>1030</v>
      </c>
      <c r="L321" s="4" t="s">
        <v>830</v>
      </c>
      <c r="M321" s="4" t="s">
        <v>1031</v>
      </c>
      <c r="N321" s="7">
        <f>(3.5+2.5+2)/3</f>
      </c>
      <c r="O321" s="7">
        <f>(3+3.5)/2</f>
      </c>
    </row>
    <row x14ac:dyDescent="0.25" r="322" customHeight="1" ht="18.75">
      <c r="A322" s="4" t="s">
        <v>1032</v>
      </c>
      <c r="B322" s="4" t="s">
        <v>522</v>
      </c>
      <c r="C322" s="4" t="s">
        <v>32</v>
      </c>
      <c r="D322" s="5">
        <v>360</v>
      </c>
      <c r="E322" s="5">
        <v>4</v>
      </c>
      <c r="F322" s="5">
        <v>0</v>
      </c>
      <c r="G322" s="5">
        <v>0</v>
      </c>
      <c r="H322" s="6">
        <v>33.8</v>
      </c>
      <c r="I322" s="6">
        <v>28.1</v>
      </c>
      <c r="J322" s="5">
        <v>8198</v>
      </c>
      <c r="K322" s="4" t="s">
        <v>1033</v>
      </c>
      <c r="L322" s="4" t="s">
        <v>141</v>
      </c>
      <c r="M322" s="4" t="s">
        <v>200</v>
      </c>
      <c r="N322" s="7">
        <f>(90+75)/2</f>
      </c>
      <c r="O322" s="7">
        <f>(120+100+100)/3</f>
      </c>
    </row>
    <row x14ac:dyDescent="0.25" r="323" customHeight="1" ht="18.75">
      <c r="A323" s="4" t="s">
        <v>1034</v>
      </c>
      <c r="B323" s="4" t="s">
        <v>478</v>
      </c>
      <c r="C323" s="4" t="s">
        <v>17</v>
      </c>
      <c r="D323" s="5">
        <v>360</v>
      </c>
      <c r="E323" s="5">
        <v>4</v>
      </c>
      <c r="F323" s="5">
        <v>0</v>
      </c>
      <c r="G323" s="5">
        <v>0</v>
      </c>
      <c r="H323" s="6">
        <v>19.5</v>
      </c>
      <c r="I323" s="6">
        <v>19.4</v>
      </c>
      <c r="J323" s="5">
        <v>203124</v>
      </c>
      <c r="K323" s="4" t="s">
        <v>1035</v>
      </c>
      <c r="L323" s="4" t="s">
        <v>59</v>
      </c>
      <c r="M323" s="4" t="s">
        <v>1036</v>
      </c>
      <c r="N323" s="7">
        <f>(2.5+2.5+2.5+3.5)/4</f>
      </c>
      <c r="O323" s="7">
        <f>(1+1.5+1.5)/3</f>
      </c>
    </row>
    <row x14ac:dyDescent="0.25" r="324" customHeight="1" ht="18.75">
      <c r="A324" s="4" t="s">
        <v>1037</v>
      </c>
      <c r="B324" s="4" t="s">
        <v>440</v>
      </c>
      <c r="C324" s="4" t="s">
        <v>17</v>
      </c>
      <c r="D324" s="5">
        <v>360</v>
      </c>
      <c r="E324" s="5">
        <v>4</v>
      </c>
      <c r="F324" s="5">
        <v>0</v>
      </c>
      <c r="G324" s="5">
        <v>0</v>
      </c>
      <c r="H324" s="6">
        <v>18.5</v>
      </c>
      <c r="I324" s="5">
        <v>20</v>
      </c>
      <c r="J324" s="5">
        <v>63897</v>
      </c>
      <c r="K324" s="4" t="s">
        <v>1038</v>
      </c>
      <c r="L324" s="4" t="s">
        <v>450</v>
      </c>
      <c r="M324" s="4" t="s">
        <v>1039</v>
      </c>
      <c r="N324" s="7">
        <f>(0.85+0.85)/2</f>
      </c>
      <c r="O324" s="7">
        <f>(0.5+0.75+0.85)/3</f>
      </c>
    </row>
    <row x14ac:dyDescent="0.25" r="325" customHeight="1" ht="18.75">
      <c r="A325" s="4" t="s">
        <v>1040</v>
      </c>
      <c r="B325" s="4" t="s">
        <v>52</v>
      </c>
      <c r="C325" s="4" t="s">
        <v>53</v>
      </c>
      <c r="D325" s="5">
        <v>356</v>
      </c>
      <c r="E325" s="5">
        <v>11</v>
      </c>
      <c r="F325" s="5">
        <v>0</v>
      </c>
      <c r="G325" s="5">
        <v>0</v>
      </c>
      <c r="H325" s="6">
        <v>47.7</v>
      </c>
      <c r="I325" s="6">
        <v>28.8</v>
      </c>
      <c r="J325" s="5">
        <v>37666</v>
      </c>
      <c r="K325" s="4" t="s">
        <v>1041</v>
      </c>
      <c r="L325" s="4" t="s">
        <v>313</v>
      </c>
      <c r="M325" s="4" t="s">
        <v>1042</v>
      </c>
      <c r="N325" s="7">
        <f>(18+15+14)/3</f>
      </c>
      <c r="O325" s="7">
        <f>(35+25+20)/3</f>
      </c>
    </row>
    <row x14ac:dyDescent="0.25" r="326" customHeight="1" ht="18.75">
      <c r="A326" s="4" t="s">
        <v>1043</v>
      </c>
      <c r="B326" s="4" t="s">
        <v>316</v>
      </c>
      <c r="C326" s="4" t="s">
        <v>22</v>
      </c>
      <c r="D326" s="5">
        <v>356</v>
      </c>
      <c r="E326" s="5">
        <v>5</v>
      </c>
      <c r="F326" s="5">
        <v>1</v>
      </c>
      <c r="G326" s="5">
        <v>1</v>
      </c>
      <c r="H326" s="6">
        <v>38.6</v>
      </c>
      <c r="I326" s="6">
        <v>31.5</v>
      </c>
      <c r="J326" s="5">
        <v>126716</v>
      </c>
      <c r="K326" s="4" t="s">
        <v>1044</v>
      </c>
      <c r="L326" s="4" t="s">
        <v>55</v>
      </c>
      <c r="M326" s="4" t="s">
        <v>1045</v>
      </c>
      <c r="N326" s="7">
        <f>(37+50+42)/3</f>
      </c>
      <c r="O326" s="7">
        <f>(18+15+15+30+40)/5</f>
      </c>
    </row>
    <row x14ac:dyDescent="0.25" r="327" customHeight="1" ht="18.75">
      <c r="A327" s="4" t="s">
        <v>1046</v>
      </c>
      <c r="B327" s="4" t="s">
        <v>420</v>
      </c>
      <c r="C327" s="4" t="s">
        <v>53</v>
      </c>
      <c r="D327" s="5">
        <v>355</v>
      </c>
      <c r="E327" s="5">
        <v>6</v>
      </c>
      <c r="F327" s="5">
        <v>2</v>
      </c>
      <c r="G327" s="5">
        <v>1</v>
      </c>
      <c r="H327" s="6">
        <v>46.4</v>
      </c>
      <c r="I327" s="6">
        <v>30.6</v>
      </c>
      <c r="J327" s="5">
        <v>90466</v>
      </c>
      <c r="K327" s="4" t="s">
        <v>1047</v>
      </c>
      <c r="L327" s="4" t="s">
        <v>1048</v>
      </c>
      <c r="M327" s="4" t="s">
        <v>1049</v>
      </c>
      <c r="N327" s="7">
        <f>(35+28)/2</f>
      </c>
      <c r="O327" s="7">
        <f>(30+30+30)/3</f>
      </c>
    </row>
    <row x14ac:dyDescent="0.25" r="328" customHeight="1" ht="18.75">
      <c r="A328" s="4" t="s">
        <v>1050</v>
      </c>
      <c r="B328" s="4" t="s">
        <v>223</v>
      </c>
      <c r="C328" s="4" t="s">
        <v>22</v>
      </c>
      <c r="D328" s="5">
        <v>353</v>
      </c>
      <c r="E328" s="5">
        <v>8</v>
      </c>
      <c r="F328" s="5">
        <v>0</v>
      </c>
      <c r="G328" s="5">
        <v>1</v>
      </c>
      <c r="H328" s="6">
        <v>39.5</v>
      </c>
      <c r="I328" s="6">
        <v>30.8</v>
      </c>
      <c r="J328" s="5">
        <v>181767</v>
      </c>
      <c r="K328" s="4" t="s">
        <v>320</v>
      </c>
      <c r="L328" s="4" t="s">
        <v>141</v>
      </c>
      <c r="M328" s="4" t="s">
        <v>321</v>
      </c>
      <c r="N328" s="7">
        <f>(65+65)/2</f>
      </c>
      <c r="O328" s="7">
        <f>(40+55+55+60)/4</f>
      </c>
    </row>
    <row x14ac:dyDescent="0.25" r="329" customHeight="1" ht="18.75">
      <c r="A329" s="4" t="s">
        <v>1051</v>
      </c>
      <c r="B329" s="4" t="s">
        <v>243</v>
      </c>
      <c r="C329" s="4" t="s">
        <v>22</v>
      </c>
      <c r="D329" s="5">
        <v>353</v>
      </c>
      <c r="E329" s="5">
        <v>6</v>
      </c>
      <c r="F329" s="5">
        <v>0</v>
      </c>
      <c r="G329" s="5">
        <v>0</v>
      </c>
      <c r="H329" s="5">
        <v>47</v>
      </c>
      <c r="I329" s="5">
        <v>29</v>
      </c>
      <c r="J329" s="5">
        <v>58358</v>
      </c>
      <c r="K329" s="4" t="s">
        <v>1052</v>
      </c>
      <c r="L329" s="4" t="s">
        <v>84</v>
      </c>
      <c r="M329" s="4" t="s">
        <v>1053</v>
      </c>
      <c r="N329" s="7">
        <f>(35+32)/2</f>
      </c>
      <c r="O329" s="7">
        <f>(55+60+55+50+40)/5</f>
      </c>
    </row>
    <row x14ac:dyDescent="0.25" r="330" customHeight="1" ht="18.75">
      <c r="A330" s="4" t="s">
        <v>1054</v>
      </c>
      <c r="B330" s="4" t="s">
        <v>420</v>
      </c>
      <c r="C330" s="4" t="s">
        <v>32</v>
      </c>
      <c r="D330" s="5">
        <v>353</v>
      </c>
      <c r="E330" s="5">
        <v>5</v>
      </c>
      <c r="F330" s="5">
        <v>0</v>
      </c>
      <c r="G330" s="5">
        <v>0</v>
      </c>
      <c r="H330" s="5">
        <v>41</v>
      </c>
      <c r="I330" s="5">
        <v>27</v>
      </c>
      <c r="J330" s="5">
        <v>187024</v>
      </c>
      <c r="K330" s="4" t="s">
        <v>1055</v>
      </c>
      <c r="L330" s="4" t="s">
        <v>492</v>
      </c>
      <c r="M330" s="4" t="s">
        <v>1056</v>
      </c>
      <c r="N330" s="7">
        <f>(2+2.8)/2</f>
      </c>
      <c r="O330" s="7">
        <f>(1+1.2)/2</f>
      </c>
    </row>
    <row x14ac:dyDescent="0.25" r="331" customHeight="1" ht="18.75">
      <c r="A331" s="4" t="s">
        <v>1057</v>
      </c>
      <c r="B331" s="4" t="s">
        <v>103</v>
      </c>
      <c r="C331" s="4" t="s">
        <v>53</v>
      </c>
      <c r="D331" s="5">
        <v>351</v>
      </c>
      <c r="E331" s="5">
        <v>5</v>
      </c>
      <c r="F331" s="5">
        <v>0</v>
      </c>
      <c r="G331" s="5">
        <v>2</v>
      </c>
      <c r="H331" s="6">
        <v>45.3</v>
      </c>
      <c r="I331" s="6">
        <v>28.6</v>
      </c>
      <c r="J331" s="5">
        <v>214775</v>
      </c>
      <c r="K331" s="4" t="s">
        <v>1058</v>
      </c>
      <c r="L331" s="4" t="s">
        <v>55</v>
      </c>
      <c r="M331" s="4" t="s">
        <v>1059</v>
      </c>
      <c r="N331" s="7">
        <f>(14+17+17+17)/4</f>
      </c>
      <c r="O331" s="7">
        <f>(12+12)/2</f>
      </c>
    </row>
    <row x14ac:dyDescent="0.25" r="332" customHeight="1" ht="18.75">
      <c r="A332" s="4" t="s">
        <v>1060</v>
      </c>
      <c r="B332" s="4" t="s">
        <v>440</v>
      </c>
      <c r="C332" s="4" t="s">
        <v>53</v>
      </c>
      <c r="D332" s="5">
        <v>349</v>
      </c>
      <c r="E332" s="5">
        <v>5</v>
      </c>
      <c r="F332" s="5">
        <v>0</v>
      </c>
      <c r="G332" s="5">
        <v>1</v>
      </c>
      <c r="H332" s="5">
        <v>45</v>
      </c>
      <c r="I332" s="6">
        <v>28.4</v>
      </c>
      <c r="J332" s="5">
        <v>147540</v>
      </c>
      <c r="K332" s="4" t="s">
        <v>1061</v>
      </c>
      <c r="L332" s="4" t="s">
        <v>450</v>
      </c>
      <c r="M332" s="4" t="s">
        <v>1062</v>
      </c>
      <c r="N332" s="7">
        <f>(1.25+1.25)/2</f>
      </c>
      <c r="O332" s="7">
        <f>(1.4+1.5)/2</f>
      </c>
    </row>
    <row x14ac:dyDescent="0.25" r="333" customHeight="1" ht="18.75">
      <c r="A333" s="4" t="s">
        <v>1063</v>
      </c>
      <c r="B333" s="4" t="s">
        <v>459</v>
      </c>
      <c r="C333" s="4" t="s">
        <v>53</v>
      </c>
      <c r="D333" s="5">
        <v>349</v>
      </c>
      <c r="E333" s="5">
        <v>4</v>
      </c>
      <c r="F333" s="5">
        <v>0</v>
      </c>
      <c r="G333" s="5">
        <v>0</v>
      </c>
      <c r="H333" s="5">
        <v>44</v>
      </c>
      <c r="I333" s="5">
        <v>29</v>
      </c>
      <c r="J333" s="5">
        <v>131574</v>
      </c>
      <c r="K333" s="4" t="s">
        <v>1064</v>
      </c>
      <c r="L333" s="4" t="s">
        <v>141</v>
      </c>
      <c r="M333" s="4" t="s">
        <v>1065</v>
      </c>
      <c r="N333" s="7">
        <f>(2.5+2+1.5+1.5)/4</f>
      </c>
      <c r="O333" s="7">
        <f>(4+3.5)/2</f>
      </c>
    </row>
    <row x14ac:dyDescent="0.25" r="334" customHeight="1" ht="18.75">
      <c r="A334" s="4" t="s">
        <v>1066</v>
      </c>
      <c r="B334" s="4" t="s">
        <v>478</v>
      </c>
      <c r="C334" s="4" t="s">
        <v>32</v>
      </c>
      <c r="D334" s="5">
        <v>348</v>
      </c>
      <c r="E334" s="5">
        <v>4</v>
      </c>
      <c r="F334" s="5">
        <v>0</v>
      </c>
      <c r="G334" s="5">
        <v>0</v>
      </c>
      <c r="H334" s="6">
        <v>37.7</v>
      </c>
      <c r="I334" s="6">
        <v>30.6</v>
      </c>
      <c r="J334" s="5">
        <v>543382</v>
      </c>
      <c r="K334" s="4" t="s">
        <v>1067</v>
      </c>
      <c r="L334" s="4" t="s">
        <v>167</v>
      </c>
      <c r="M334" s="4" t="s">
        <v>1068</v>
      </c>
      <c r="N334" s="7">
        <f>(0.6+1.5)/2</f>
      </c>
      <c r="O334" s="7">
        <f>(0.2+0.4+0.4)/3</f>
      </c>
    </row>
    <row x14ac:dyDescent="0.25" r="335" customHeight="1" ht="18.75">
      <c r="A335" s="4" t="s">
        <v>1069</v>
      </c>
      <c r="B335" s="4" t="s">
        <v>448</v>
      </c>
      <c r="C335" s="4" t="s">
        <v>22</v>
      </c>
      <c r="D335" s="5">
        <v>347</v>
      </c>
      <c r="E335" s="5">
        <v>5</v>
      </c>
      <c r="F335" s="5">
        <v>1</v>
      </c>
      <c r="G335" s="5">
        <v>1</v>
      </c>
      <c r="H335" s="6">
        <v>39.9</v>
      </c>
      <c r="I335" s="6">
        <v>32.6</v>
      </c>
      <c r="J335" s="5">
        <v>111039</v>
      </c>
      <c r="K335" s="4" t="s">
        <v>1070</v>
      </c>
      <c r="L335" s="4" t="s">
        <v>71</v>
      </c>
      <c r="M335" s="4" t="s">
        <v>1071</v>
      </c>
      <c r="N335" s="7">
        <f>(15+15)/2</f>
      </c>
      <c r="O335" s="7">
        <f>(5.5+7)/2</f>
      </c>
    </row>
    <row x14ac:dyDescent="0.25" r="336" customHeight="1" ht="18.75">
      <c r="A336" s="4" t="s">
        <v>1072</v>
      </c>
      <c r="B336" s="4" t="s">
        <v>223</v>
      </c>
      <c r="C336" s="4" t="s">
        <v>32</v>
      </c>
      <c r="D336" s="5">
        <v>347</v>
      </c>
      <c r="E336" s="5">
        <v>4</v>
      </c>
      <c r="F336" s="5">
        <v>0</v>
      </c>
      <c r="G336" s="5">
        <v>0</v>
      </c>
      <c r="H336" s="6">
        <v>39.8</v>
      </c>
      <c r="I336" s="6">
        <v>31.5</v>
      </c>
      <c r="J336" s="5">
        <v>588989</v>
      </c>
      <c r="K336" s="4" t="s">
        <v>1073</v>
      </c>
      <c r="L336" s="4" t="s">
        <v>557</v>
      </c>
      <c r="M336" s="4" t="s">
        <v>1074</v>
      </c>
      <c r="N336" s="7">
        <f>0.65</f>
      </c>
      <c r="O336" s="4"/>
    </row>
    <row x14ac:dyDescent="0.25" r="337" customHeight="1" ht="18.75">
      <c r="A337" s="4" t="s">
        <v>1075</v>
      </c>
      <c r="B337" s="4" t="s">
        <v>316</v>
      </c>
      <c r="C337" s="4" t="s">
        <v>32</v>
      </c>
      <c r="D337" s="5">
        <v>347</v>
      </c>
      <c r="E337" s="5">
        <v>4</v>
      </c>
      <c r="F337" s="5">
        <v>0</v>
      </c>
      <c r="G337" s="5">
        <v>0</v>
      </c>
      <c r="H337" s="6">
        <v>39.4</v>
      </c>
      <c r="I337" s="6">
        <v>29.2</v>
      </c>
      <c r="J337" s="5">
        <v>344598</v>
      </c>
      <c r="K337" s="4" t="s">
        <v>1076</v>
      </c>
      <c r="L337" s="4" t="s">
        <v>71</v>
      </c>
      <c r="M337" s="4" t="s">
        <v>1077</v>
      </c>
      <c r="N337" s="7">
        <f>(30+28+28)/3</f>
      </c>
      <c r="O337" s="7">
        <f>(5+8+20)/3</f>
      </c>
    </row>
    <row x14ac:dyDescent="0.25" r="338" customHeight="1" ht="18.75">
      <c r="A338" s="4" t="s">
        <v>1078</v>
      </c>
      <c r="B338" s="4" t="s">
        <v>748</v>
      </c>
      <c r="C338" s="4" t="s">
        <v>22</v>
      </c>
      <c r="D338" s="5">
        <v>346</v>
      </c>
      <c r="E338" s="5">
        <v>5</v>
      </c>
      <c r="F338" s="5">
        <v>1</v>
      </c>
      <c r="G338" s="5">
        <v>0</v>
      </c>
      <c r="H338" s="6">
        <v>38.5</v>
      </c>
      <c r="I338" s="6">
        <v>30.6</v>
      </c>
      <c r="J338" s="5">
        <v>179184</v>
      </c>
      <c r="K338" s="4" t="s">
        <v>1079</v>
      </c>
      <c r="L338" s="4" t="s">
        <v>42</v>
      </c>
      <c r="M338" s="4" t="s">
        <v>1080</v>
      </c>
      <c r="N338" s="7">
        <f>(30+25+22)/3</f>
      </c>
      <c r="O338" s="7">
        <f>(25+40+40+30)/4</f>
      </c>
    </row>
    <row x14ac:dyDescent="0.25" r="339" customHeight="1" ht="18.75">
      <c r="A339" s="4" t="s">
        <v>1081</v>
      </c>
      <c r="B339" s="4" t="s">
        <v>478</v>
      </c>
      <c r="C339" s="4" t="s">
        <v>53</v>
      </c>
      <c r="D339" s="5">
        <v>345</v>
      </c>
      <c r="E339" s="5">
        <v>5</v>
      </c>
      <c r="F339" s="5">
        <v>0</v>
      </c>
      <c r="G339" s="5">
        <v>0</v>
      </c>
      <c r="H339" s="6">
        <v>38.3</v>
      </c>
      <c r="I339" s="6">
        <v>30.4</v>
      </c>
      <c r="J339" s="5">
        <v>36080</v>
      </c>
      <c r="K339" s="4" t="s">
        <v>1082</v>
      </c>
      <c r="L339" s="4" t="s">
        <v>29</v>
      </c>
      <c r="M339" s="4" t="s">
        <v>1083</v>
      </c>
      <c r="N339" s="7">
        <f>(4.5+4.5+4.5)/3</f>
      </c>
      <c r="O339" s="7">
        <f>(2.25+3+4.5)/3</f>
      </c>
    </row>
    <row x14ac:dyDescent="0.25" r="340" customHeight="1" ht="18.75">
      <c r="A340" s="4" t="s">
        <v>1084</v>
      </c>
      <c r="B340" s="4" t="s">
        <v>471</v>
      </c>
      <c r="C340" s="4" t="s">
        <v>22</v>
      </c>
      <c r="D340" s="5">
        <v>344</v>
      </c>
      <c r="E340" s="5">
        <v>6</v>
      </c>
      <c r="F340" s="5">
        <v>1</v>
      </c>
      <c r="G340" s="5">
        <v>0</v>
      </c>
      <c r="H340" s="6">
        <v>41.8</v>
      </c>
      <c r="I340" s="6">
        <v>31.7</v>
      </c>
      <c r="J340" s="5">
        <v>962555</v>
      </c>
      <c r="K340" s="4" t="s">
        <v>1085</v>
      </c>
      <c r="L340" s="4" t="s">
        <v>346</v>
      </c>
      <c r="M340" s="4" t="s">
        <v>1086</v>
      </c>
      <c r="N340" s="4"/>
      <c r="O340" s="4"/>
    </row>
    <row x14ac:dyDescent="0.25" r="341" customHeight="1" ht="18.75">
      <c r="A341" s="4" t="s">
        <v>229</v>
      </c>
      <c r="B341" s="4" t="s">
        <v>296</v>
      </c>
      <c r="C341" s="4" t="s">
        <v>32</v>
      </c>
      <c r="D341" s="5">
        <v>344</v>
      </c>
      <c r="E341" s="5">
        <v>4</v>
      </c>
      <c r="F341" s="5">
        <v>1</v>
      </c>
      <c r="G341" s="5">
        <v>1</v>
      </c>
      <c r="H341" s="6">
        <v>34.8</v>
      </c>
      <c r="I341" s="6">
        <v>28.8</v>
      </c>
      <c r="J341" s="5">
        <v>44501</v>
      </c>
      <c r="K341" s="4" t="s">
        <v>231</v>
      </c>
      <c r="L341" s="4" t="s">
        <v>55</v>
      </c>
      <c r="M341" s="4" t="s">
        <v>232</v>
      </c>
      <c r="N341" s="7">
        <f>(35+25+20)/3</f>
      </c>
      <c r="O341" s="7">
        <f>(40+60+60+70+70)/5</f>
      </c>
    </row>
    <row x14ac:dyDescent="0.25" r="342" customHeight="1" ht="18.75">
      <c r="A342" s="4" t="s">
        <v>1087</v>
      </c>
      <c r="B342" s="4" t="s">
        <v>471</v>
      </c>
      <c r="C342" s="4" t="s">
        <v>22</v>
      </c>
      <c r="D342" s="5">
        <v>340</v>
      </c>
      <c r="E342" s="5">
        <v>5</v>
      </c>
      <c r="F342" s="5">
        <v>0</v>
      </c>
      <c r="G342" s="5">
        <v>0</v>
      </c>
      <c r="H342" s="6">
        <v>39.4</v>
      </c>
      <c r="I342" s="6">
        <v>29.2</v>
      </c>
      <c r="J342" s="5">
        <v>39152</v>
      </c>
      <c r="K342" s="4" t="s">
        <v>1088</v>
      </c>
      <c r="L342" s="4" t="s">
        <v>1089</v>
      </c>
      <c r="M342" s="4" t="s">
        <v>1090</v>
      </c>
      <c r="N342" s="7">
        <f>(10+8)/2</f>
      </c>
      <c r="O342" s="7">
        <f>(15+12+12)/3</f>
      </c>
    </row>
    <row x14ac:dyDescent="0.25" r="343" customHeight="1" ht="18.75">
      <c r="A343" s="4" t="s">
        <v>1091</v>
      </c>
      <c r="B343" s="4" t="s">
        <v>459</v>
      </c>
      <c r="C343" s="4" t="s">
        <v>32</v>
      </c>
      <c r="D343" s="5">
        <v>338</v>
      </c>
      <c r="E343" s="5">
        <v>4</v>
      </c>
      <c r="F343" s="5">
        <v>0</v>
      </c>
      <c r="G343" s="5">
        <v>1</v>
      </c>
      <c r="H343" s="6">
        <v>37.6</v>
      </c>
      <c r="I343" s="5">
        <v>31</v>
      </c>
      <c r="J343" s="5">
        <v>174488</v>
      </c>
      <c r="K343" s="4" t="s">
        <v>1092</v>
      </c>
      <c r="L343" s="4" t="s">
        <v>290</v>
      </c>
      <c r="M343" s="4" t="s">
        <v>1093</v>
      </c>
      <c r="N343" s="7">
        <f>(1+1)/2</f>
      </c>
      <c r="O343" s="7">
        <f>(1+1)/2</f>
      </c>
    </row>
    <row x14ac:dyDescent="0.25" r="344" customHeight="1" ht="18.75">
      <c r="A344" s="4" t="s">
        <v>1094</v>
      </c>
      <c r="B344" s="4" t="s">
        <v>139</v>
      </c>
      <c r="C344" s="4" t="s">
        <v>32</v>
      </c>
      <c r="D344" s="5">
        <v>337</v>
      </c>
      <c r="E344" s="5">
        <v>5</v>
      </c>
      <c r="F344" s="5">
        <v>0</v>
      </c>
      <c r="G344" s="5">
        <v>1</v>
      </c>
      <c r="H344" s="6">
        <v>41.9</v>
      </c>
      <c r="I344" s="6">
        <v>30.2</v>
      </c>
      <c r="J344" s="5">
        <v>203853</v>
      </c>
      <c r="K344" s="4" t="s">
        <v>1095</v>
      </c>
      <c r="L344" s="4" t="s">
        <v>542</v>
      </c>
      <c r="M344" s="4" t="s">
        <v>1096</v>
      </c>
      <c r="N344" s="7">
        <f>(20+30+30)/3</f>
      </c>
      <c r="O344" s="7">
        <f>(4.5+6+7+15+15)/5</f>
      </c>
    </row>
    <row x14ac:dyDescent="0.25" r="345" customHeight="1" ht="18.75">
      <c r="A345" s="4" t="s">
        <v>1097</v>
      </c>
      <c r="B345" s="4" t="s">
        <v>243</v>
      </c>
      <c r="C345" s="4" t="s">
        <v>53</v>
      </c>
      <c r="D345" s="5">
        <v>336</v>
      </c>
      <c r="E345" s="5">
        <v>5</v>
      </c>
      <c r="F345" s="5">
        <v>0</v>
      </c>
      <c r="G345" s="5">
        <v>1</v>
      </c>
      <c r="H345" s="6">
        <v>42.8</v>
      </c>
      <c r="I345" s="5">
        <v>29</v>
      </c>
      <c r="J345" s="5">
        <v>88103</v>
      </c>
      <c r="K345" s="4" t="s">
        <v>1098</v>
      </c>
      <c r="L345" s="4" t="s">
        <v>55</v>
      </c>
      <c r="M345" s="4" t="s">
        <v>1099</v>
      </c>
      <c r="N345" s="7">
        <f>(50+40)/2</f>
      </c>
      <c r="O345" s="7">
        <f>(65+70+80+65)/4</f>
      </c>
    </row>
    <row x14ac:dyDescent="0.25" r="346" customHeight="1" ht="18.75">
      <c r="A346" s="4" t="s">
        <v>1100</v>
      </c>
      <c r="B346" s="4" t="s">
        <v>134</v>
      </c>
      <c r="C346" s="4" t="s">
        <v>32</v>
      </c>
      <c r="D346" s="5">
        <v>335</v>
      </c>
      <c r="E346" s="5">
        <v>6</v>
      </c>
      <c r="F346" s="5">
        <v>0</v>
      </c>
      <c r="G346" s="5">
        <v>0</v>
      </c>
      <c r="H346" s="6">
        <v>39.9</v>
      </c>
      <c r="I346" s="6">
        <v>32.6</v>
      </c>
      <c r="J346" s="5">
        <v>119296</v>
      </c>
      <c r="K346" s="4" t="s">
        <v>1101</v>
      </c>
      <c r="L346" s="4" t="s">
        <v>830</v>
      </c>
      <c r="M346" s="4" t="s">
        <v>1102</v>
      </c>
      <c r="N346" s="7">
        <f>(40+33+30)/3</f>
      </c>
      <c r="O346" s="7">
        <f>(28+30+30)/3</f>
      </c>
    </row>
    <row x14ac:dyDescent="0.25" r="347" customHeight="1" ht="18.75">
      <c r="A347" s="4" t="s">
        <v>1103</v>
      </c>
      <c r="B347" s="4" t="s">
        <v>471</v>
      </c>
      <c r="C347" s="4" t="s">
        <v>32</v>
      </c>
      <c r="D347" s="5">
        <v>334</v>
      </c>
      <c r="E347" s="5">
        <v>4</v>
      </c>
      <c r="F347" s="5">
        <v>0</v>
      </c>
      <c r="G347" s="5">
        <v>0</v>
      </c>
      <c r="H347" s="6">
        <v>38.1</v>
      </c>
      <c r="I347" s="6">
        <v>30.8</v>
      </c>
      <c r="J347" s="5">
        <v>161869</v>
      </c>
      <c r="K347" s="4" t="s">
        <v>1104</v>
      </c>
      <c r="L347" s="4" t="s">
        <v>71</v>
      </c>
      <c r="M347" s="4" t="s">
        <v>1105</v>
      </c>
      <c r="N347" s="7">
        <f>(15+12+12)/3</f>
      </c>
      <c r="O347" s="7">
        <f>(23+23+18+16)/4</f>
      </c>
    </row>
    <row x14ac:dyDescent="0.25" r="348" customHeight="1" ht="18.75">
      <c r="A348" s="4" t="s">
        <v>1106</v>
      </c>
      <c r="B348" s="4" t="s">
        <v>40</v>
      </c>
      <c r="C348" s="4" t="s">
        <v>22</v>
      </c>
      <c r="D348" s="5">
        <v>333</v>
      </c>
      <c r="E348" s="5">
        <v>9</v>
      </c>
      <c r="F348" s="5">
        <v>1</v>
      </c>
      <c r="G348" s="5">
        <v>1</v>
      </c>
      <c r="H348" s="6">
        <v>45.8</v>
      </c>
      <c r="I348" s="6">
        <v>30.8</v>
      </c>
      <c r="J348" s="5">
        <v>111630</v>
      </c>
      <c r="K348" s="4" t="s">
        <v>1107</v>
      </c>
      <c r="L348" s="4" t="s">
        <v>127</v>
      </c>
      <c r="M348" s="4" t="s">
        <v>1108</v>
      </c>
      <c r="N348" s="7">
        <f>(18+22+22)/3</f>
      </c>
      <c r="O348" s="7">
        <f>(25+20+20)/3</f>
      </c>
    </row>
    <row x14ac:dyDescent="0.25" r="349" customHeight="1" ht="18.75">
      <c r="A349" s="4" t="s">
        <v>1109</v>
      </c>
      <c r="B349" s="4" t="s">
        <v>553</v>
      </c>
      <c r="C349" s="4" t="s">
        <v>22</v>
      </c>
      <c r="D349" s="5">
        <v>332</v>
      </c>
      <c r="E349" s="5">
        <v>4</v>
      </c>
      <c r="F349" s="5">
        <v>2</v>
      </c>
      <c r="G349" s="5">
        <v>0</v>
      </c>
      <c r="H349" s="6">
        <v>34.8</v>
      </c>
      <c r="I349" s="6">
        <v>31.3</v>
      </c>
      <c r="J349" s="5">
        <v>47543</v>
      </c>
      <c r="K349" s="4" t="s">
        <v>1110</v>
      </c>
      <c r="L349" s="4" t="s">
        <v>59</v>
      </c>
      <c r="M349" s="4" t="s">
        <v>1111</v>
      </c>
      <c r="N349" s="7">
        <f>(2+1+0.6)/3</f>
      </c>
      <c r="O349" s="7">
        <f>(3.25+2)/2</f>
      </c>
    </row>
    <row x14ac:dyDescent="0.25" r="350" customHeight="1" ht="18.75">
      <c r="A350" s="4" t="s">
        <v>1112</v>
      </c>
      <c r="B350" s="4" t="s">
        <v>134</v>
      </c>
      <c r="C350" s="4" t="s">
        <v>53</v>
      </c>
      <c r="D350" s="5">
        <v>329</v>
      </c>
      <c r="E350" s="5">
        <v>5</v>
      </c>
      <c r="F350" s="5">
        <v>0</v>
      </c>
      <c r="G350" s="5">
        <v>1</v>
      </c>
      <c r="H350" s="5">
        <v>37</v>
      </c>
      <c r="I350" s="6">
        <v>33.3</v>
      </c>
      <c r="J350" s="5">
        <v>91970</v>
      </c>
      <c r="K350" s="4" t="s">
        <v>1113</v>
      </c>
      <c r="L350" s="4" t="s">
        <v>557</v>
      </c>
      <c r="M350" s="4" t="s">
        <v>1114</v>
      </c>
      <c r="N350" s="7">
        <f>(18+18)/2</f>
      </c>
      <c r="O350" s="7">
        <f>(28+25)/2</f>
      </c>
    </row>
    <row x14ac:dyDescent="0.25" r="351" customHeight="1" ht="18.75">
      <c r="A351" s="4" t="s">
        <v>1115</v>
      </c>
      <c r="B351" s="4" t="s">
        <v>553</v>
      </c>
      <c r="C351" s="4" t="s">
        <v>53</v>
      </c>
      <c r="D351" s="5">
        <v>327</v>
      </c>
      <c r="E351" s="5">
        <v>4</v>
      </c>
      <c r="F351" s="5">
        <v>0</v>
      </c>
      <c r="G351" s="5">
        <v>0</v>
      </c>
      <c r="H351" s="6">
        <v>36.2</v>
      </c>
      <c r="I351" s="6">
        <v>32.8</v>
      </c>
      <c r="J351" s="5">
        <v>118022</v>
      </c>
      <c r="K351" s="4" t="s">
        <v>1116</v>
      </c>
      <c r="L351" s="4" t="s">
        <v>71</v>
      </c>
      <c r="M351" s="4" t="s">
        <v>1117</v>
      </c>
      <c r="N351" s="7">
        <f>(5+5.5)/2</f>
      </c>
      <c r="O351" s="7">
        <f>(7.5+7+6)/3</f>
      </c>
    </row>
    <row x14ac:dyDescent="0.25" r="352" customHeight="1" ht="18.75">
      <c r="A352" s="4" t="s">
        <v>1118</v>
      </c>
      <c r="B352" s="4" t="s">
        <v>243</v>
      </c>
      <c r="C352" s="4" t="s">
        <v>53</v>
      </c>
      <c r="D352" s="5">
        <v>326</v>
      </c>
      <c r="E352" s="5">
        <v>6</v>
      </c>
      <c r="F352" s="5">
        <v>0</v>
      </c>
      <c r="G352" s="5">
        <v>0</v>
      </c>
      <c r="H352" s="6">
        <v>42.4</v>
      </c>
      <c r="I352" s="5">
        <v>29</v>
      </c>
      <c r="J352" s="5">
        <v>153084</v>
      </c>
      <c r="K352" s="4" t="s">
        <v>1119</v>
      </c>
      <c r="L352" s="4" t="s">
        <v>84</v>
      </c>
      <c r="M352" s="4" t="s">
        <v>590</v>
      </c>
      <c r="N352" s="7">
        <f>(50+50+50)/3</f>
      </c>
      <c r="O352" s="7">
        <f>(40+40)/2</f>
      </c>
    </row>
    <row x14ac:dyDescent="0.25" r="353" customHeight="1" ht="18.75">
      <c r="A353" s="4" t="s">
        <v>1120</v>
      </c>
      <c r="B353" s="4" t="s">
        <v>553</v>
      </c>
      <c r="C353" s="4" t="s">
        <v>53</v>
      </c>
      <c r="D353" s="5">
        <v>325</v>
      </c>
      <c r="E353" s="5">
        <v>4</v>
      </c>
      <c r="F353" s="5">
        <v>0</v>
      </c>
      <c r="G353" s="5">
        <v>0</v>
      </c>
      <c r="H353" s="6">
        <v>36.6</v>
      </c>
      <c r="I353" s="6">
        <v>29.9</v>
      </c>
      <c r="J353" s="5">
        <v>7767</v>
      </c>
      <c r="K353" s="4" t="s">
        <v>1121</v>
      </c>
      <c r="L353" s="4" t="s">
        <v>55</v>
      </c>
      <c r="M353" s="4" t="s">
        <v>1122</v>
      </c>
      <c r="N353" s="7">
        <f>(3.5+2.5)/2</f>
      </c>
      <c r="O353" s="7">
        <f>(4+4)/2</f>
      </c>
    </row>
    <row x14ac:dyDescent="0.25" r="354" customHeight="1" ht="18.75">
      <c r="A354" s="4" t="s">
        <v>1123</v>
      </c>
      <c r="B354" s="4" t="s">
        <v>553</v>
      </c>
      <c r="C354" s="4" t="s">
        <v>22</v>
      </c>
      <c r="D354" s="5">
        <v>323</v>
      </c>
      <c r="E354" s="5">
        <v>5</v>
      </c>
      <c r="F354" s="5">
        <v>0</v>
      </c>
      <c r="G354" s="5">
        <v>0</v>
      </c>
      <c r="H354" s="6">
        <v>36.1</v>
      </c>
      <c r="I354" s="6">
        <v>33.1</v>
      </c>
      <c r="J354" s="5">
        <v>380415</v>
      </c>
      <c r="K354" s="4" t="s">
        <v>1124</v>
      </c>
      <c r="L354" s="4" t="s">
        <v>718</v>
      </c>
      <c r="M354" s="4" t="s">
        <v>1125</v>
      </c>
      <c r="N354" s="7">
        <f>(10+13+10)/3</f>
      </c>
      <c r="O354" s="7">
        <f>(10+10)/2</f>
      </c>
    </row>
    <row x14ac:dyDescent="0.25" r="355" customHeight="1" ht="18.75">
      <c r="A355" s="4" t="s">
        <v>1126</v>
      </c>
      <c r="B355" s="4" t="s">
        <v>436</v>
      </c>
      <c r="C355" s="4" t="s">
        <v>53</v>
      </c>
      <c r="D355" s="5">
        <v>322</v>
      </c>
      <c r="E355" s="5">
        <v>6</v>
      </c>
      <c r="F355" s="5">
        <v>0</v>
      </c>
      <c r="G355" s="5">
        <v>1</v>
      </c>
      <c r="H355" s="6">
        <v>38.3</v>
      </c>
      <c r="I355" s="6">
        <v>27.4</v>
      </c>
      <c r="J355" s="5">
        <v>64339</v>
      </c>
      <c r="K355" s="4" t="s">
        <v>1127</v>
      </c>
      <c r="L355" s="4" t="s">
        <v>141</v>
      </c>
      <c r="M355" s="4" t="s">
        <v>1128</v>
      </c>
      <c r="N355" s="7">
        <f>(20+22+25+27)/4</f>
      </c>
      <c r="O355" s="7">
        <f>(20+20+22)/3</f>
      </c>
    </row>
    <row x14ac:dyDescent="0.25" r="356" customHeight="1" ht="18.75">
      <c r="A356" s="4" t="s">
        <v>1129</v>
      </c>
      <c r="B356" s="4" t="s">
        <v>230</v>
      </c>
      <c r="C356" s="4" t="s">
        <v>53</v>
      </c>
      <c r="D356" s="5">
        <v>321</v>
      </c>
      <c r="E356" s="5">
        <v>8</v>
      </c>
      <c r="F356" s="5">
        <v>1</v>
      </c>
      <c r="G356" s="5">
        <v>1</v>
      </c>
      <c r="H356" s="6">
        <v>37.7</v>
      </c>
      <c r="I356" s="6">
        <v>31.7</v>
      </c>
      <c r="J356" s="5">
        <v>204103</v>
      </c>
      <c r="K356" s="4" t="s">
        <v>1130</v>
      </c>
      <c r="L356" s="4" t="s">
        <v>55</v>
      </c>
      <c r="M356" s="4" t="s">
        <v>1131</v>
      </c>
      <c r="N356" s="7">
        <f>(15+28)/2</f>
      </c>
      <c r="O356" s="7">
        <f>(18+18)/2</f>
      </c>
    </row>
    <row x14ac:dyDescent="0.25" r="357" customHeight="1" ht="18.75">
      <c r="A357" s="4" t="s">
        <v>1132</v>
      </c>
      <c r="B357" s="4" t="s">
        <v>285</v>
      </c>
      <c r="C357" s="4" t="s">
        <v>22</v>
      </c>
      <c r="D357" s="5">
        <v>319</v>
      </c>
      <c r="E357" s="5">
        <v>5</v>
      </c>
      <c r="F357" s="5">
        <v>1</v>
      </c>
      <c r="G357" s="5">
        <v>0</v>
      </c>
      <c r="H357" s="6">
        <v>37.4</v>
      </c>
      <c r="I357" s="6">
        <v>32.4</v>
      </c>
      <c r="J357" s="5">
        <v>330659</v>
      </c>
      <c r="K357" s="4" t="s">
        <v>1133</v>
      </c>
      <c r="L357" s="4" t="s">
        <v>34</v>
      </c>
      <c r="M357" s="4" t="s">
        <v>1134</v>
      </c>
      <c r="N357" s="7">
        <f>(20+23+25)/3</f>
      </c>
      <c r="O357" s="7">
        <f>(7.5+15+20)/3</f>
      </c>
    </row>
    <row x14ac:dyDescent="0.25" r="358" customHeight="1" ht="18.75">
      <c r="A358" s="4" t="s">
        <v>1135</v>
      </c>
      <c r="B358" s="4" t="s">
        <v>459</v>
      </c>
      <c r="C358" s="4" t="s">
        <v>22</v>
      </c>
      <c r="D358" s="5">
        <v>317</v>
      </c>
      <c r="E358" s="5">
        <v>5</v>
      </c>
      <c r="F358" s="5">
        <v>2</v>
      </c>
      <c r="G358" s="5">
        <v>0</v>
      </c>
      <c r="H358" s="6">
        <v>37.6</v>
      </c>
      <c r="I358" s="6">
        <v>31.7</v>
      </c>
      <c r="J358" s="5">
        <v>173589</v>
      </c>
      <c r="K358" s="4" t="s">
        <v>1136</v>
      </c>
      <c r="L358" s="4" t="s">
        <v>290</v>
      </c>
      <c r="M358" s="4" t="s">
        <v>1137</v>
      </c>
      <c r="N358" s="7">
        <f>(1+0.6+0.5)/3</f>
      </c>
      <c r="O358" s="7">
        <f>(0.8+1)/2</f>
      </c>
    </row>
    <row x14ac:dyDescent="0.25" r="359" customHeight="1" ht="18.75">
      <c r="A359" s="4" t="s">
        <v>1138</v>
      </c>
      <c r="B359" s="4" t="s">
        <v>316</v>
      </c>
      <c r="C359" s="4" t="s">
        <v>53</v>
      </c>
      <c r="D359" s="5">
        <v>317</v>
      </c>
      <c r="E359" s="5">
        <v>5</v>
      </c>
      <c r="F359" s="5">
        <v>0</v>
      </c>
      <c r="G359" s="5">
        <v>0</v>
      </c>
      <c r="H359" s="6">
        <v>44.3</v>
      </c>
      <c r="I359" s="5">
        <v>27</v>
      </c>
      <c r="J359" s="5">
        <v>191422</v>
      </c>
      <c r="K359" s="4" t="s">
        <v>1139</v>
      </c>
      <c r="L359" s="4" t="s">
        <v>84</v>
      </c>
      <c r="M359" s="4" t="s">
        <v>1140</v>
      </c>
      <c r="N359" s="7">
        <f>(14+10+8)/3</f>
      </c>
      <c r="O359" s="7">
        <f>(18+18+18)/3</f>
      </c>
    </row>
    <row x14ac:dyDescent="0.25" r="360" customHeight="1" ht="18.75">
      <c r="A360" s="4" t="s">
        <v>1141</v>
      </c>
      <c r="B360" s="4" t="s">
        <v>748</v>
      </c>
      <c r="C360" s="4" t="s">
        <v>22</v>
      </c>
      <c r="D360" s="5">
        <v>317</v>
      </c>
      <c r="E360" s="5">
        <v>4</v>
      </c>
      <c r="F360" s="5">
        <v>0</v>
      </c>
      <c r="G360" s="5">
        <v>0</v>
      </c>
      <c r="H360" s="6">
        <v>33.5</v>
      </c>
      <c r="I360" s="6">
        <v>31.7</v>
      </c>
      <c r="J360" s="5">
        <v>225122</v>
      </c>
      <c r="K360" s="4" t="s">
        <v>1142</v>
      </c>
      <c r="L360" s="4" t="s">
        <v>141</v>
      </c>
      <c r="M360" s="4" t="s">
        <v>1143</v>
      </c>
      <c r="N360" s="7">
        <f>(40+28)/2</f>
      </c>
      <c r="O360" s="7">
        <f>(40+40+30)/3</f>
      </c>
    </row>
    <row x14ac:dyDescent="0.25" r="361" customHeight="1" ht="18.75">
      <c r="A361" s="4" t="s">
        <v>1144</v>
      </c>
      <c r="B361" s="4" t="s">
        <v>471</v>
      </c>
      <c r="C361" s="4" t="s">
        <v>53</v>
      </c>
      <c r="D361" s="5">
        <v>314</v>
      </c>
      <c r="E361" s="5">
        <v>5</v>
      </c>
      <c r="F361" s="5">
        <v>0</v>
      </c>
      <c r="G361" s="5">
        <v>0</v>
      </c>
      <c r="H361" s="6">
        <v>38.6</v>
      </c>
      <c r="I361" s="6">
        <v>30.2</v>
      </c>
      <c r="J361" s="5">
        <v>59631</v>
      </c>
      <c r="K361" s="4" t="s">
        <v>1145</v>
      </c>
      <c r="L361" s="4" t="s">
        <v>42</v>
      </c>
      <c r="M361" s="4" t="s">
        <v>1146</v>
      </c>
      <c r="N361" s="7">
        <f>(10+8+10)/3</f>
      </c>
      <c r="O361" s="7">
        <f>(12+10+15+12)/4</f>
      </c>
    </row>
    <row x14ac:dyDescent="0.25" r="362" customHeight="1" ht="18.75">
      <c r="A362" s="4" t="s">
        <v>1147</v>
      </c>
      <c r="B362" s="4" t="s">
        <v>243</v>
      </c>
      <c r="C362" s="4" t="s">
        <v>53</v>
      </c>
      <c r="D362" s="5">
        <v>314</v>
      </c>
      <c r="E362" s="5">
        <v>4</v>
      </c>
      <c r="F362" s="5">
        <v>2</v>
      </c>
      <c r="G362" s="5">
        <v>1</v>
      </c>
      <c r="H362" s="6">
        <v>35.1</v>
      </c>
      <c r="I362" s="6">
        <v>29.5</v>
      </c>
      <c r="J362" s="5">
        <v>4360</v>
      </c>
      <c r="K362" s="4" t="s">
        <v>1148</v>
      </c>
      <c r="L362" s="4" t="s">
        <v>34</v>
      </c>
      <c r="M362" s="4" t="s">
        <v>1149</v>
      </c>
      <c r="N362" s="7">
        <f>4</f>
      </c>
      <c r="O362" s="7">
        <f>(7+5)/2</f>
      </c>
    </row>
    <row x14ac:dyDescent="0.25" r="363" customHeight="1" ht="18.75">
      <c r="A363" s="4" t="s">
        <v>1150</v>
      </c>
      <c r="B363" s="4" t="s">
        <v>504</v>
      </c>
      <c r="C363" s="4" t="s">
        <v>53</v>
      </c>
      <c r="D363" s="5">
        <v>311</v>
      </c>
      <c r="E363" s="5">
        <v>5</v>
      </c>
      <c r="F363" s="5">
        <v>0</v>
      </c>
      <c r="G363" s="5">
        <v>0</v>
      </c>
      <c r="H363" s="6">
        <v>41.5</v>
      </c>
      <c r="I363" s="6">
        <v>29.5</v>
      </c>
      <c r="J363" s="5">
        <v>94304</v>
      </c>
      <c r="K363" s="4" t="s">
        <v>1151</v>
      </c>
      <c r="L363" s="4" t="s">
        <v>29</v>
      </c>
      <c r="M363" s="4" t="s">
        <v>1152</v>
      </c>
      <c r="N363" s="7">
        <f>(2+1.5+1.8)/3</f>
      </c>
      <c r="O363" s="7">
        <f>2</f>
      </c>
    </row>
    <row x14ac:dyDescent="0.25" r="364" customHeight="1" ht="18.75">
      <c r="A364" s="4" t="s">
        <v>1153</v>
      </c>
      <c r="B364" s="4" t="s">
        <v>464</v>
      </c>
      <c r="C364" s="4" t="s">
        <v>22</v>
      </c>
      <c r="D364" s="5">
        <v>310</v>
      </c>
      <c r="E364" s="5">
        <v>6</v>
      </c>
      <c r="F364" s="5">
        <v>0</v>
      </c>
      <c r="G364" s="5">
        <v>0</v>
      </c>
      <c r="H364" s="6">
        <v>33.8</v>
      </c>
      <c r="I364" s="6">
        <v>29.9</v>
      </c>
      <c r="J364" s="5">
        <v>369081</v>
      </c>
      <c r="K364" s="4" t="s">
        <v>1154</v>
      </c>
      <c r="L364" s="4" t="s">
        <v>131</v>
      </c>
      <c r="M364" s="4" t="s">
        <v>1155</v>
      </c>
      <c r="N364" s="7">
        <f>(20+50)/2</f>
      </c>
      <c r="O364" s="7">
        <f>(3+6+6)/3</f>
      </c>
    </row>
    <row x14ac:dyDescent="0.25" r="365" customHeight="1" ht="18.75">
      <c r="A365" s="4" t="s">
        <v>1156</v>
      </c>
      <c r="B365" s="4" t="s">
        <v>27</v>
      </c>
      <c r="C365" s="4" t="s">
        <v>32</v>
      </c>
      <c r="D365" s="5">
        <v>310</v>
      </c>
      <c r="E365" s="5">
        <v>5</v>
      </c>
      <c r="F365" s="5">
        <v>0</v>
      </c>
      <c r="G365" s="5">
        <v>0</v>
      </c>
      <c r="H365" s="6">
        <v>37.3</v>
      </c>
      <c r="I365" s="6">
        <v>28.4</v>
      </c>
      <c r="J365" s="5">
        <v>111195</v>
      </c>
      <c r="K365" s="4" t="s">
        <v>1157</v>
      </c>
      <c r="L365" s="4" t="s">
        <v>34</v>
      </c>
      <c r="M365" s="4" t="s">
        <v>1158</v>
      </c>
      <c r="N365" s="7">
        <f>(7+8+10)/3</f>
      </c>
      <c r="O365" s="7">
        <f>(7+5+5)/3</f>
      </c>
    </row>
    <row x14ac:dyDescent="0.25" r="366" customHeight="1" ht="18.75">
      <c r="A366" s="4" t="s">
        <v>1159</v>
      </c>
      <c r="B366" s="4" t="s">
        <v>134</v>
      </c>
      <c r="C366" s="4" t="s">
        <v>32</v>
      </c>
      <c r="D366" s="5">
        <v>309</v>
      </c>
      <c r="E366" s="5">
        <v>4</v>
      </c>
      <c r="F366" s="5">
        <v>0</v>
      </c>
      <c r="G366" s="5">
        <v>0</v>
      </c>
      <c r="H366" s="6">
        <v>33.2</v>
      </c>
      <c r="I366" s="6">
        <v>30.4</v>
      </c>
      <c r="J366" s="5">
        <v>88682</v>
      </c>
      <c r="K366" s="4" t="s">
        <v>1160</v>
      </c>
      <c r="L366" s="4" t="s">
        <v>136</v>
      </c>
      <c r="M366" s="4" t="s">
        <v>1161</v>
      </c>
      <c r="N366" s="7">
        <f>(14+12)/2</f>
      </c>
      <c r="O366" s="7">
        <f>(14+14)/2</f>
      </c>
    </row>
    <row x14ac:dyDescent="0.25" r="367" customHeight="1" ht="18.75">
      <c r="A367" s="4" t="s">
        <v>1162</v>
      </c>
      <c r="B367" s="4" t="s">
        <v>436</v>
      </c>
      <c r="C367" s="4" t="s">
        <v>22</v>
      </c>
      <c r="D367" s="5">
        <v>308</v>
      </c>
      <c r="E367" s="5">
        <v>6</v>
      </c>
      <c r="F367" s="5">
        <v>0</v>
      </c>
      <c r="G367" s="5">
        <v>0</v>
      </c>
      <c r="H367" s="6">
        <v>40.8</v>
      </c>
      <c r="I367" s="6">
        <v>30.4</v>
      </c>
      <c r="J367" s="5">
        <v>245251</v>
      </c>
      <c r="K367" s="4"/>
      <c r="L367" s="4" t="s">
        <v>55</v>
      </c>
      <c r="M367" s="4" t="s">
        <v>1163</v>
      </c>
      <c r="N367" s="4"/>
      <c r="O367" s="4"/>
    </row>
    <row x14ac:dyDescent="0.25" r="368" customHeight="1" ht="18.75">
      <c r="A368" s="4" t="s">
        <v>1164</v>
      </c>
      <c r="B368" s="4" t="s">
        <v>223</v>
      </c>
      <c r="C368" s="4" t="s">
        <v>22</v>
      </c>
      <c r="D368" s="5">
        <v>307</v>
      </c>
      <c r="E368" s="5">
        <v>4</v>
      </c>
      <c r="F368" s="5">
        <v>1</v>
      </c>
      <c r="G368" s="5">
        <v>1</v>
      </c>
      <c r="H368" s="6">
        <v>30.8</v>
      </c>
      <c r="I368" s="6">
        <v>30.8</v>
      </c>
      <c r="J368" s="5">
        <v>44779</v>
      </c>
      <c r="K368" s="4" t="s">
        <v>1165</v>
      </c>
      <c r="L368" s="4" t="s">
        <v>55</v>
      </c>
      <c r="M368" s="4" t="s">
        <v>1166</v>
      </c>
      <c r="N368" s="7">
        <f>(25+18)/2</f>
      </c>
      <c r="O368" s="7">
        <f>(50+60+60+40)/4</f>
      </c>
    </row>
    <row x14ac:dyDescent="0.25" r="369" customHeight="1" ht="18.75">
      <c r="A369" s="4" t="s">
        <v>1167</v>
      </c>
      <c r="B369" s="4" t="s">
        <v>285</v>
      </c>
      <c r="C369" s="4" t="s">
        <v>53</v>
      </c>
      <c r="D369" s="5">
        <v>306</v>
      </c>
      <c r="E369" s="5">
        <v>4</v>
      </c>
      <c r="F369" s="5">
        <v>1</v>
      </c>
      <c r="G369" s="5">
        <v>0</v>
      </c>
      <c r="H369" s="6">
        <v>37.7</v>
      </c>
      <c r="I369" s="6">
        <v>29.2</v>
      </c>
      <c r="J369" s="5">
        <v>5947</v>
      </c>
      <c r="K369" s="4" t="s">
        <v>1168</v>
      </c>
      <c r="L369" s="4" t="s">
        <v>136</v>
      </c>
      <c r="M369" s="4" t="s">
        <v>1169</v>
      </c>
      <c r="N369" s="7">
        <f>(1.5+1)/2</f>
      </c>
      <c r="O369" s="7">
        <f>(3.5+3.5)/2</f>
      </c>
    </row>
    <row x14ac:dyDescent="0.25" r="370" customHeight="1" ht="18.75">
      <c r="A370" s="4" t="s">
        <v>1170</v>
      </c>
      <c r="B370" s="4" t="s">
        <v>186</v>
      </c>
      <c r="C370" s="4" t="s">
        <v>32</v>
      </c>
      <c r="D370" s="5">
        <v>306</v>
      </c>
      <c r="E370" s="5">
        <v>4</v>
      </c>
      <c r="F370" s="5">
        <v>0</v>
      </c>
      <c r="G370" s="5">
        <v>0</v>
      </c>
      <c r="H370" s="6">
        <v>27.5</v>
      </c>
      <c r="I370" s="6">
        <v>30.6</v>
      </c>
      <c r="J370" s="5">
        <v>286384</v>
      </c>
      <c r="K370" s="4" t="s">
        <v>1171</v>
      </c>
      <c r="L370" s="4" t="s">
        <v>346</v>
      </c>
      <c r="M370" s="4" t="s">
        <v>1172</v>
      </c>
      <c r="N370" s="7">
        <f>(25+22)/2</f>
      </c>
      <c r="O370" s="7">
        <f>(35+35+30+30)/4</f>
      </c>
    </row>
    <row x14ac:dyDescent="0.25" r="371" customHeight="1" ht="18.75">
      <c r="A371" s="4" t="s">
        <v>1173</v>
      </c>
      <c r="B371" s="4" t="s">
        <v>464</v>
      </c>
      <c r="C371" s="4" t="s">
        <v>53</v>
      </c>
      <c r="D371" s="5">
        <v>304</v>
      </c>
      <c r="E371" s="5">
        <v>4</v>
      </c>
      <c r="F371" s="5">
        <v>1</v>
      </c>
      <c r="G371" s="5">
        <v>0</v>
      </c>
      <c r="H371" s="6">
        <v>31.7</v>
      </c>
      <c r="I371" s="6">
        <v>31.3</v>
      </c>
      <c r="J371" s="5">
        <v>215616</v>
      </c>
      <c r="K371" s="4" t="s">
        <v>1174</v>
      </c>
      <c r="L371" s="4" t="s">
        <v>313</v>
      </c>
      <c r="M371" s="4" t="s">
        <v>1175</v>
      </c>
      <c r="N371" s="7">
        <f>(10+14+15)/3</f>
      </c>
      <c r="O371" s="7">
        <f>(6+5)/2</f>
      </c>
    </row>
    <row x14ac:dyDescent="0.25" r="372" customHeight="1" ht="18.75">
      <c r="A372" s="4" t="s">
        <v>1176</v>
      </c>
      <c r="B372" s="4" t="s">
        <v>186</v>
      </c>
      <c r="C372" s="4" t="s">
        <v>53</v>
      </c>
      <c r="D372" s="5">
        <v>302</v>
      </c>
      <c r="E372" s="5">
        <v>5</v>
      </c>
      <c r="F372" s="5">
        <v>1</v>
      </c>
      <c r="G372" s="5">
        <v>0</v>
      </c>
      <c r="H372" s="6">
        <v>39.1</v>
      </c>
      <c r="I372" s="6">
        <v>30.2</v>
      </c>
      <c r="J372" s="5">
        <v>39679</v>
      </c>
      <c r="K372" s="4" t="s">
        <v>1177</v>
      </c>
      <c r="L372" s="4" t="s">
        <v>42</v>
      </c>
      <c r="M372" s="4" t="s">
        <v>1178</v>
      </c>
      <c r="N372" s="7">
        <f>(12+9.5+7)/3</f>
      </c>
      <c r="O372" s="7">
        <f>(12+12+15+15)/4</f>
      </c>
    </row>
    <row x14ac:dyDescent="0.25" r="373" customHeight="1" ht="18.75">
      <c r="A373" s="4" t="s">
        <v>1179</v>
      </c>
      <c r="B373" s="4" t="s">
        <v>478</v>
      </c>
      <c r="C373" s="4" t="s">
        <v>53</v>
      </c>
      <c r="D373" s="5">
        <v>302</v>
      </c>
      <c r="E373" s="5">
        <v>4</v>
      </c>
      <c r="F373" s="5">
        <v>0</v>
      </c>
      <c r="G373" s="5">
        <v>0</v>
      </c>
      <c r="H373" s="6">
        <v>34.7</v>
      </c>
      <c r="I373" s="6">
        <v>28.8</v>
      </c>
      <c r="J373" s="5">
        <v>173656</v>
      </c>
      <c r="K373" s="4" t="s">
        <v>1180</v>
      </c>
      <c r="L373" s="4" t="s">
        <v>346</v>
      </c>
      <c r="M373" s="4" t="s">
        <v>1181</v>
      </c>
      <c r="N373" s="7">
        <f>4</f>
      </c>
      <c r="O373" s="7">
        <f>(3.5+4.5+5.5)/3</f>
      </c>
    </row>
    <row x14ac:dyDescent="0.25" r="374" customHeight="1" ht="18.75">
      <c r="A374" s="4" t="s">
        <v>1182</v>
      </c>
      <c r="B374" s="4" t="s">
        <v>296</v>
      </c>
      <c r="C374" s="4" t="s">
        <v>22</v>
      </c>
      <c r="D374" s="5">
        <v>301</v>
      </c>
      <c r="E374" s="5">
        <v>7</v>
      </c>
      <c r="F374" s="5">
        <v>2</v>
      </c>
      <c r="G374" s="5">
        <v>0</v>
      </c>
      <c r="H374" s="6">
        <v>39.6</v>
      </c>
      <c r="I374" s="5">
        <v>31</v>
      </c>
      <c r="J374" s="5">
        <v>296622</v>
      </c>
      <c r="K374" s="4" t="s">
        <v>1183</v>
      </c>
      <c r="L374" s="4" t="s">
        <v>55</v>
      </c>
      <c r="M374" s="4" t="s">
        <v>1184</v>
      </c>
      <c r="N374" s="7">
        <f>(60+40)/2</f>
      </c>
      <c r="O374" s="7">
        <f>(50+75+75+90+80)/5</f>
      </c>
    </row>
    <row x14ac:dyDescent="0.25" r="375" customHeight="1" ht="18.75">
      <c r="A375" s="4" t="s">
        <v>1185</v>
      </c>
      <c r="B375" s="4" t="s">
        <v>504</v>
      </c>
      <c r="C375" s="4" t="s">
        <v>32</v>
      </c>
      <c r="D375" s="5">
        <v>301</v>
      </c>
      <c r="E375" s="5">
        <v>4</v>
      </c>
      <c r="F375" s="5">
        <v>1</v>
      </c>
      <c r="G375" s="5">
        <v>0</v>
      </c>
      <c r="H375" s="6">
        <v>36.4</v>
      </c>
      <c r="I375" s="6">
        <v>29.2</v>
      </c>
      <c r="J375" s="5">
        <v>196961</v>
      </c>
      <c r="K375" s="4" t="s">
        <v>1186</v>
      </c>
      <c r="L375" s="4" t="s">
        <v>29</v>
      </c>
      <c r="M375" s="4" t="s">
        <v>1187</v>
      </c>
      <c r="N375" s="7">
        <f>(1.5+1.75+2)/3</f>
      </c>
      <c r="O375" s="7">
        <f>(0.8+0.8)/2</f>
      </c>
    </row>
    <row x14ac:dyDescent="0.25" r="376" customHeight="1" ht="18.75">
      <c r="A376" s="4" t="s">
        <v>1188</v>
      </c>
      <c r="B376" s="4" t="s">
        <v>420</v>
      </c>
      <c r="C376" s="4" t="s">
        <v>53</v>
      </c>
      <c r="D376" s="5">
        <v>301</v>
      </c>
      <c r="E376" s="5">
        <v>4</v>
      </c>
      <c r="F376" s="5">
        <v>0</v>
      </c>
      <c r="G376" s="5">
        <v>1</v>
      </c>
      <c r="H376" s="6">
        <v>38.6</v>
      </c>
      <c r="I376" s="6">
        <v>25.9</v>
      </c>
      <c r="J376" s="5">
        <v>334440</v>
      </c>
      <c r="K376" s="4" t="s">
        <v>1189</v>
      </c>
      <c r="L376" s="4" t="s">
        <v>492</v>
      </c>
      <c r="M376" s="4" t="s">
        <v>1190</v>
      </c>
      <c r="N376" s="7">
        <f>(6.5+8+7.5)/3</f>
      </c>
      <c r="O376" s="7">
        <f>(0.4+1+1.8+6)/4</f>
      </c>
    </row>
    <row x14ac:dyDescent="0.25" r="377" customHeight="1" ht="18.75">
      <c r="A377" s="4" t="s">
        <v>1191</v>
      </c>
      <c r="B377" s="4" t="s">
        <v>103</v>
      </c>
      <c r="C377" s="4" t="s">
        <v>32</v>
      </c>
      <c r="D377" s="5">
        <v>300</v>
      </c>
      <c r="E377" s="5">
        <v>3</v>
      </c>
      <c r="F377" s="5">
        <v>0</v>
      </c>
      <c r="G377" s="5">
        <v>0</v>
      </c>
      <c r="H377" s="6">
        <v>33.5</v>
      </c>
      <c r="I377" s="6">
        <v>28.1</v>
      </c>
      <c r="J377" s="5">
        <v>7825</v>
      </c>
      <c r="K377" s="4" t="s">
        <v>1192</v>
      </c>
      <c r="L377" s="4" t="s">
        <v>55</v>
      </c>
      <c r="M377" s="4" t="s">
        <v>1193</v>
      </c>
      <c r="N377" s="7">
        <f>(1+0.8)/2</f>
      </c>
      <c r="O377" s="7">
        <f>(1+1)/2</f>
      </c>
    </row>
    <row x14ac:dyDescent="0.25" r="378" customHeight="1" ht="18.75">
      <c r="A378" s="4" t="s">
        <v>1194</v>
      </c>
      <c r="B378" s="4" t="s">
        <v>522</v>
      </c>
      <c r="C378" s="4" t="s">
        <v>53</v>
      </c>
      <c r="D378" s="5">
        <v>298</v>
      </c>
      <c r="E378" s="5">
        <v>4</v>
      </c>
      <c r="F378" s="5">
        <v>1</v>
      </c>
      <c r="G378" s="5">
        <v>0</v>
      </c>
      <c r="H378" s="6">
        <v>38.3</v>
      </c>
      <c r="I378" s="6">
        <v>31.3</v>
      </c>
      <c r="J378" s="5">
        <v>118397</v>
      </c>
      <c r="K378" s="4" t="s">
        <v>1195</v>
      </c>
      <c r="L378" s="4" t="s">
        <v>327</v>
      </c>
      <c r="M378" s="4" t="s">
        <v>1196</v>
      </c>
      <c r="N378" s="7">
        <f>(5+5)/2</f>
      </c>
      <c r="O378" s="7">
        <f>(5+5)/2</f>
      </c>
    </row>
    <row x14ac:dyDescent="0.25" r="379" customHeight="1" ht="18.75">
      <c r="A379" s="4" t="s">
        <v>1197</v>
      </c>
      <c r="B379" s="4" t="s">
        <v>27</v>
      </c>
      <c r="C379" s="4" t="s">
        <v>22</v>
      </c>
      <c r="D379" s="5">
        <v>297</v>
      </c>
      <c r="E379" s="5">
        <v>9</v>
      </c>
      <c r="F379" s="5">
        <v>0</v>
      </c>
      <c r="G379" s="5">
        <v>0</v>
      </c>
      <c r="H379" s="6">
        <v>36.6</v>
      </c>
      <c r="I379" s="6">
        <v>29.2</v>
      </c>
      <c r="J379" s="5">
        <v>283196</v>
      </c>
      <c r="K379" s="4" t="s">
        <v>1198</v>
      </c>
      <c r="L379" s="4" t="s">
        <v>67</v>
      </c>
      <c r="M379" s="4" t="s">
        <v>1199</v>
      </c>
      <c r="N379" s="7">
        <f>(22+18+20)/3</f>
      </c>
      <c r="O379" s="7">
        <f>(14+12+17)/3</f>
      </c>
    </row>
    <row x14ac:dyDescent="0.25" r="380" customHeight="1" ht="18.75">
      <c r="A380" s="4" t="s">
        <v>1200</v>
      </c>
      <c r="B380" s="4" t="s">
        <v>316</v>
      </c>
      <c r="C380" s="4" t="s">
        <v>53</v>
      </c>
      <c r="D380" s="5">
        <v>297</v>
      </c>
      <c r="E380" s="5">
        <v>6</v>
      </c>
      <c r="F380" s="5">
        <v>0</v>
      </c>
      <c r="G380" s="5">
        <v>0</v>
      </c>
      <c r="H380" s="6">
        <v>40.1</v>
      </c>
      <c r="I380" s="6">
        <v>28.6</v>
      </c>
      <c r="J380" s="5">
        <v>91849</v>
      </c>
      <c r="K380" s="4" t="s">
        <v>1201</v>
      </c>
      <c r="L380" s="4" t="s">
        <v>67</v>
      </c>
      <c r="M380" s="4" t="s">
        <v>1202</v>
      </c>
      <c r="N380" s="7">
        <f>(27+22)/2</f>
      </c>
      <c r="O380" s="7">
        <f>(12+22+27)/3</f>
      </c>
    </row>
    <row x14ac:dyDescent="0.25" r="381" customHeight="1" ht="18.75">
      <c r="A381" s="4" t="s">
        <v>890</v>
      </c>
      <c r="B381" s="4" t="s">
        <v>230</v>
      </c>
      <c r="C381" s="4" t="s">
        <v>22</v>
      </c>
      <c r="D381" s="5">
        <v>296</v>
      </c>
      <c r="E381" s="5">
        <v>6</v>
      </c>
      <c r="F381" s="5">
        <v>1</v>
      </c>
      <c r="G381" s="5">
        <v>0</v>
      </c>
      <c r="H381" s="6">
        <v>32.2</v>
      </c>
      <c r="I381" s="6">
        <v>29.7</v>
      </c>
      <c r="J381" s="5">
        <v>288230</v>
      </c>
      <c r="K381" s="4" t="s">
        <v>891</v>
      </c>
      <c r="L381" s="4" t="s">
        <v>71</v>
      </c>
      <c r="M381" s="4" t="s">
        <v>892</v>
      </c>
      <c r="N381" s="7">
        <f>(120+100+75)/3</f>
      </c>
      <c r="O381" s="7">
        <f>(80+80+80)/3</f>
      </c>
    </row>
    <row x14ac:dyDescent="0.25" r="382" customHeight="1" ht="18.75">
      <c r="A382" s="4" t="s">
        <v>1203</v>
      </c>
      <c r="B382" s="4" t="s">
        <v>186</v>
      </c>
      <c r="C382" s="4" t="s">
        <v>53</v>
      </c>
      <c r="D382" s="5">
        <v>296</v>
      </c>
      <c r="E382" s="5">
        <v>6</v>
      </c>
      <c r="F382" s="5">
        <v>0</v>
      </c>
      <c r="G382" s="5">
        <v>0</v>
      </c>
      <c r="H382" s="6">
        <v>38.6</v>
      </c>
      <c r="I382" s="6">
        <v>30.4</v>
      </c>
      <c r="J382" s="5">
        <v>141660</v>
      </c>
      <c r="K382" s="4" t="s">
        <v>1204</v>
      </c>
      <c r="L382" s="4" t="s">
        <v>63</v>
      </c>
      <c r="M382" s="4" t="s">
        <v>105</v>
      </c>
      <c r="N382" s="7">
        <f>(40+32)/2</f>
      </c>
      <c r="O382" s="7">
        <f>(25+35+40+40)/4</f>
      </c>
    </row>
    <row x14ac:dyDescent="0.25" r="383" customHeight="1" ht="18.75">
      <c r="A383" s="4" t="s">
        <v>1205</v>
      </c>
      <c r="B383" s="4" t="s">
        <v>440</v>
      </c>
      <c r="C383" s="4" t="s">
        <v>53</v>
      </c>
      <c r="D383" s="5">
        <v>296</v>
      </c>
      <c r="E383" s="5">
        <v>4</v>
      </c>
      <c r="F383" s="5">
        <v>0</v>
      </c>
      <c r="G383" s="5">
        <v>2</v>
      </c>
      <c r="H383" s="6">
        <v>36.7</v>
      </c>
      <c r="I383" s="6">
        <v>30.2</v>
      </c>
      <c r="J383" s="5">
        <v>119103</v>
      </c>
      <c r="K383" s="4" t="s">
        <v>1206</v>
      </c>
      <c r="L383" s="4" t="s">
        <v>450</v>
      </c>
      <c r="M383" s="4" t="s">
        <v>1207</v>
      </c>
      <c r="N383" s="7">
        <f>(2.75+2.75)/2</f>
      </c>
      <c r="O383" s="7">
        <f>(3.25+2.75)/2</f>
      </c>
    </row>
    <row x14ac:dyDescent="0.25" r="384" customHeight="1" ht="18.75">
      <c r="A384" s="4" t="s">
        <v>1208</v>
      </c>
      <c r="B384" s="4" t="s">
        <v>471</v>
      </c>
      <c r="C384" s="4" t="s">
        <v>32</v>
      </c>
      <c r="D384" s="5">
        <v>296</v>
      </c>
      <c r="E384" s="5">
        <v>4</v>
      </c>
      <c r="F384" s="5">
        <v>0</v>
      </c>
      <c r="G384" s="5">
        <v>0</v>
      </c>
      <c r="H384" s="6">
        <v>34.1</v>
      </c>
      <c r="I384" s="6">
        <v>31.3</v>
      </c>
      <c r="J384" s="5">
        <v>202591</v>
      </c>
      <c r="K384" s="4" t="s">
        <v>1209</v>
      </c>
      <c r="L384" s="4" t="s">
        <v>84</v>
      </c>
      <c r="M384" s="4" t="s">
        <v>1210</v>
      </c>
      <c r="N384" s="7">
        <f>(15+15)/2</f>
      </c>
      <c r="O384" s="7">
        <f>(12+16+20)/3</f>
      </c>
    </row>
    <row x14ac:dyDescent="0.25" r="385" customHeight="1" ht="18.75">
      <c r="A385" s="4" t="s">
        <v>1211</v>
      </c>
      <c r="B385" s="4" t="s">
        <v>40</v>
      </c>
      <c r="C385" s="4" t="s">
        <v>53</v>
      </c>
      <c r="D385" s="5">
        <v>292</v>
      </c>
      <c r="E385" s="5">
        <v>6</v>
      </c>
      <c r="F385" s="5">
        <v>0</v>
      </c>
      <c r="G385" s="5">
        <v>0</v>
      </c>
      <c r="H385" s="6">
        <v>38.7</v>
      </c>
      <c r="I385" s="5">
        <v>27</v>
      </c>
      <c r="J385" s="5">
        <v>77760</v>
      </c>
      <c r="K385" s="4" t="s">
        <v>1212</v>
      </c>
      <c r="L385" s="4" t="s">
        <v>1213</v>
      </c>
      <c r="M385" s="4" t="s">
        <v>1214</v>
      </c>
      <c r="N385" s="7">
        <f>(20+15+12)/3</f>
      </c>
      <c r="O385" s="7">
        <f>(30+30+25)/3</f>
      </c>
    </row>
    <row x14ac:dyDescent="0.25" r="386" customHeight="1" ht="18.75">
      <c r="A386" s="4" t="s">
        <v>1215</v>
      </c>
      <c r="B386" s="4" t="s">
        <v>459</v>
      </c>
      <c r="C386" s="4" t="s">
        <v>32</v>
      </c>
      <c r="D386" s="5">
        <v>292</v>
      </c>
      <c r="E386" s="5">
        <v>4</v>
      </c>
      <c r="F386" s="5">
        <v>0</v>
      </c>
      <c r="G386" s="5">
        <v>0</v>
      </c>
      <c r="H386" s="6">
        <v>33.3</v>
      </c>
      <c r="I386" s="5">
        <v>27</v>
      </c>
      <c r="J386" s="5">
        <v>94305</v>
      </c>
      <c r="K386" s="4" t="s">
        <v>1216</v>
      </c>
      <c r="L386" s="4" t="s">
        <v>29</v>
      </c>
      <c r="M386" s="4" t="s">
        <v>1217</v>
      </c>
      <c r="N386" s="7">
        <f>(0.6+0.6)/2</f>
      </c>
      <c r="O386" s="7">
        <f>(0.9+0.9)/2</f>
      </c>
    </row>
    <row x14ac:dyDescent="0.25" r="387" customHeight="1" ht="18.75">
      <c r="A387" s="4" t="s">
        <v>1218</v>
      </c>
      <c r="B387" s="4" t="s">
        <v>464</v>
      </c>
      <c r="C387" s="4" t="s">
        <v>53</v>
      </c>
      <c r="D387" s="5">
        <v>292</v>
      </c>
      <c r="E387" s="5">
        <v>4</v>
      </c>
      <c r="F387" s="5">
        <v>0</v>
      </c>
      <c r="G387" s="5">
        <v>0</v>
      </c>
      <c r="H387" s="6">
        <v>32.8</v>
      </c>
      <c r="I387" s="6">
        <v>30.2</v>
      </c>
      <c r="J387" s="5">
        <v>16791</v>
      </c>
      <c r="K387" s="4" t="s">
        <v>1219</v>
      </c>
      <c r="L387" s="4" t="s">
        <v>141</v>
      </c>
      <c r="M387" s="4" t="s">
        <v>1220</v>
      </c>
      <c r="N387" s="7">
        <f>(3.5+2.5)/2</f>
      </c>
      <c r="O387" s="7">
        <f>(5.4+5)/2</f>
      </c>
    </row>
    <row x14ac:dyDescent="0.25" r="388" customHeight="1" ht="18.75">
      <c r="A388" s="4" t="s">
        <v>1221</v>
      </c>
      <c r="B388" s="4" t="s">
        <v>316</v>
      </c>
      <c r="C388" s="4" t="s">
        <v>53</v>
      </c>
      <c r="D388" s="5">
        <v>289</v>
      </c>
      <c r="E388" s="5">
        <v>4</v>
      </c>
      <c r="F388" s="5">
        <v>0</v>
      </c>
      <c r="G388" s="5">
        <v>0</v>
      </c>
      <c r="H388" s="6">
        <v>36.1</v>
      </c>
      <c r="I388" s="6">
        <v>28.1</v>
      </c>
      <c r="J388" s="5">
        <v>196792</v>
      </c>
      <c r="K388" s="4" t="s">
        <v>1222</v>
      </c>
      <c r="L388" s="4" t="s">
        <v>84</v>
      </c>
      <c r="M388" s="4" t="s">
        <v>1223</v>
      </c>
      <c r="N388" s="7">
        <f>(25+23)/2</f>
      </c>
      <c r="O388" s="7">
        <f>(30+25+22)/3</f>
      </c>
    </row>
    <row x14ac:dyDescent="0.25" r="389" customHeight="1" ht="18.75">
      <c r="A389" s="4" t="s">
        <v>1224</v>
      </c>
      <c r="B389" s="4" t="s">
        <v>553</v>
      </c>
      <c r="C389" s="4" t="s">
        <v>32</v>
      </c>
      <c r="D389" s="5">
        <v>287</v>
      </c>
      <c r="E389" s="5">
        <v>4</v>
      </c>
      <c r="F389" s="5">
        <v>0</v>
      </c>
      <c r="G389" s="5">
        <v>0</v>
      </c>
      <c r="H389" s="6">
        <v>30.6</v>
      </c>
      <c r="I389" s="6">
        <v>29.7</v>
      </c>
      <c r="J389" s="5">
        <v>18301</v>
      </c>
      <c r="K389" s="4" t="s">
        <v>1225</v>
      </c>
      <c r="L389" s="4" t="s">
        <v>19</v>
      </c>
      <c r="M389" s="4" t="s">
        <v>1226</v>
      </c>
      <c r="N389" s="4"/>
      <c r="O389" s="4"/>
    </row>
    <row x14ac:dyDescent="0.25" r="390" customHeight="1" ht="18.75">
      <c r="A390" s="4" t="s">
        <v>1227</v>
      </c>
      <c r="B390" s="4" t="s">
        <v>316</v>
      </c>
      <c r="C390" s="4" t="s">
        <v>32</v>
      </c>
      <c r="D390" s="5">
        <v>285</v>
      </c>
      <c r="E390" s="5">
        <v>6</v>
      </c>
      <c r="F390" s="5">
        <v>4</v>
      </c>
      <c r="G390" s="5">
        <v>0</v>
      </c>
      <c r="H390" s="6">
        <v>38.3</v>
      </c>
      <c r="I390" s="6">
        <v>28.4</v>
      </c>
      <c r="J390" s="5">
        <v>170986</v>
      </c>
      <c r="K390" s="4" t="s">
        <v>1228</v>
      </c>
      <c r="L390" s="4" t="s">
        <v>141</v>
      </c>
      <c r="M390" s="4" t="s">
        <v>1229</v>
      </c>
      <c r="N390" s="7">
        <f>(25+25)/2</f>
      </c>
      <c r="O390" s="7">
        <f>(18+21+18+20)/4</f>
      </c>
    </row>
    <row x14ac:dyDescent="0.25" r="391" customHeight="1" ht="18.75">
      <c r="A391" s="4" t="s">
        <v>1230</v>
      </c>
      <c r="B391" s="4" t="s">
        <v>230</v>
      </c>
      <c r="C391" s="4" t="s">
        <v>32</v>
      </c>
      <c r="D391" s="5">
        <v>285</v>
      </c>
      <c r="E391" s="5">
        <v>5</v>
      </c>
      <c r="F391" s="5">
        <v>1</v>
      </c>
      <c r="G391" s="5">
        <v>0</v>
      </c>
      <c r="H391" s="5">
        <v>36</v>
      </c>
      <c r="I391" s="5">
        <v>31</v>
      </c>
      <c r="J391" s="5">
        <v>236400</v>
      </c>
      <c r="K391" s="4" t="s">
        <v>1231</v>
      </c>
      <c r="L391" s="4" t="s">
        <v>71</v>
      </c>
      <c r="M391" s="4" t="s">
        <v>1232</v>
      </c>
      <c r="N391" s="7">
        <f>(13.5+15)/2</f>
      </c>
      <c r="O391" s="7">
        <f>(8+10+10+10)/4</f>
      </c>
    </row>
    <row x14ac:dyDescent="0.25" r="392" customHeight="1" ht="18.75">
      <c r="A392" s="4" t="s">
        <v>1233</v>
      </c>
      <c r="B392" s="4" t="s">
        <v>266</v>
      </c>
      <c r="C392" s="4" t="s">
        <v>53</v>
      </c>
      <c r="D392" s="5">
        <v>284</v>
      </c>
      <c r="E392" s="5">
        <v>7</v>
      </c>
      <c r="F392" s="5">
        <v>0</v>
      </c>
      <c r="G392" s="5">
        <v>1</v>
      </c>
      <c r="H392" s="5">
        <v>36</v>
      </c>
      <c r="I392" s="6">
        <v>29.7</v>
      </c>
      <c r="J392" s="5">
        <v>85148</v>
      </c>
      <c r="K392" s="4" t="s">
        <v>1234</v>
      </c>
      <c r="L392" s="4" t="s">
        <v>84</v>
      </c>
      <c r="M392" s="4" t="s">
        <v>1235</v>
      </c>
      <c r="N392" s="7">
        <f>(35+35+30)/3</f>
      </c>
      <c r="O392" s="7">
        <f>(40+35+30+30)/4</f>
      </c>
    </row>
    <row x14ac:dyDescent="0.25" r="393" customHeight="1" ht="18.75">
      <c r="A393" s="4" t="s">
        <v>1236</v>
      </c>
      <c r="B393" s="4" t="s">
        <v>464</v>
      </c>
      <c r="C393" s="4" t="s">
        <v>53</v>
      </c>
      <c r="D393" s="5">
        <v>283</v>
      </c>
      <c r="E393" s="5">
        <v>4</v>
      </c>
      <c r="F393" s="5">
        <v>0</v>
      </c>
      <c r="G393" s="5">
        <v>0</v>
      </c>
      <c r="H393" s="6">
        <v>35.4</v>
      </c>
      <c r="I393" s="6">
        <v>30.8</v>
      </c>
      <c r="J393" s="5">
        <v>263905</v>
      </c>
      <c r="K393" s="4" t="s">
        <v>1237</v>
      </c>
      <c r="L393" s="4" t="s">
        <v>492</v>
      </c>
      <c r="M393" s="4" t="s">
        <v>1238</v>
      </c>
      <c r="N393" s="7">
        <f>(4.5+7.5+8+12)/4</f>
      </c>
      <c r="O393" s="7">
        <f>(2+3)/2</f>
      </c>
    </row>
    <row x14ac:dyDescent="0.25" r="394" customHeight="1" ht="18.75">
      <c r="A394" s="4" t="s">
        <v>1239</v>
      </c>
      <c r="B394" s="4" t="s">
        <v>266</v>
      </c>
      <c r="C394" s="4" t="s">
        <v>53</v>
      </c>
      <c r="D394" s="5">
        <v>282</v>
      </c>
      <c r="E394" s="5">
        <v>5</v>
      </c>
      <c r="F394" s="5">
        <v>0</v>
      </c>
      <c r="G394" s="5">
        <v>0</v>
      </c>
      <c r="H394" s="6">
        <v>34.3</v>
      </c>
      <c r="I394" s="6">
        <v>28.4</v>
      </c>
      <c r="J394" s="5">
        <v>182913</v>
      </c>
      <c r="K394" s="4" t="s">
        <v>1240</v>
      </c>
      <c r="L394" s="4" t="s">
        <v>71</v>
      </c>
      <c r="M394" s="4" t="s">
        <v>1241</v>
      </c>
      <c r="N394" s="7">
        <f>(35+35+32)/3</f>
      </c>
      <c r="O394" s="7">
        <f>(45+50+50)/3</f>
      </c>
    </row>
    <row x14ac:dyDescent="0.25" r="395" customHeight="1" ht="18.75">
      <c r="A395" s="4" t="s">
        <v>1242</v>
      </c>
      <c r="B395" s="4" t="s">
        <v>416</v>
      </c>
      <c r="C395" s="4" t="s">
        <v>53</v>
      </c>
      <c r="D395" s="5">
        <v>282</v>
      </c>
      <c r="E395" s="5">
        <v>4</v>
      </c>
      <c r="F395" s="5">
        <v>1</v>
      </c>
      <c r="G395" s="5">
        <v>0</v>
      </c>
      <c r="H395" s="6">
        <v>32.9</v>
      </c>
      <c r="I395" s="6">
        <v>29.2</v>
      </c>
      <c r="J395" s="5">
        <v>41982</v>
      </c>
      <c r="K395" s="4" t="s">
        <v>1243</v>
      </c>
      <c r="L395" s="4" t="s">
        <v>42</v>
      </c>
      <c r="M395" s="4" t="s">
        <v>1244</v>
      </c>
      <c r="N395" s="7">
        <f>(30+28+20+20)/4</f>
      </c>
      <c r="O395" s="7">
        <f>(45+40+35)/3</f>
      </c>
    </row>
    <row x14ac:dyDescent="0.25" r="396" customHeight="1" ht="18.75">
      <c r="A396" s="4" t="s">
        <v>1245</v>
      </c>
      <c r="B396" s="4" t="s">
        <v>748</v>
      </c>
      <c r="C396" s="4" t="s">
        <v>53</v>
      </c>
      <c r="D396" s="5">
        <v>278</v>
      </c>
      <c r="E396" s="5">
        <v>4</v>
      </c>
      <c r="F396" s="5">
        <v>0</v>
      </c>
      <c r="G396" s="5">
        <v>0</v>
      </c>
      <c r="H396" s="6">
        <v>32.2</v>
      </c>
      <c r="I396" s="6">
        <v>29.5</v>
      </c>
      <c r="J396" s="5">
        <v>74869</v>
      </c>
      <c r="K396" s="4" t="s">
        <v>1246</v>
      </c>
      <c r="L396" s="4" t="s">
        <v>71</v>
      </c>
      <c r="M396" s="4" t="s">
        <v>1247</v>
      </c>
      <c r="N396" s="7">
        <f>(17.5+20+24)/3</f>
      </c>
      <c r="O396" s="7">
        <f>(12+12+15)/3</f>
      </c>
    </row>
    <row x14ac:dyDescent="0.25" r="397" customHeight="1" ht="18.75">
      <c r="A397" s="4" t="s">
        <v>1248</v>
      </c>
      <c r="B397" s="4" t="s">
        <v>186</v>
      </c>
      <c r="C397" s="4" t="s">
        <v>53</v>
      </c>
      <c r="D397" s="5">
        <v>275</v>
      </c>
      <c r="E397" s="5">
        <v>6</v>
      </c>
      <c r="F397" s="5">
        <v>1</v>
      </c>
      <c r="G397" s="5">
        <v>0</v>
      </c>
      <c r="H397" s="6">
        <v>38.9</v>
      </c>
      <c r="I397" s="6">
        <v>26.8</v>
      </c>
      <c r="J397" s="5">
        <v>44068</v>
      </c>
      <c r="K397" s="4" t="s">
        <v>1249</v>
      </c>
      <c r="L397" s="4" t="s">
        <v>55</v>
      </c>
      <c r="M397" s="4" t="s">
        <v>1250</v>
      </c>
      <c r="N397" s="7">
        <f>(20+15)/2</f>
      </c>
      <c r="O397" s="7">
        <f>(30+30+25)/3</f>
      </c>
    </row>
    <row x14ac:dyDescent="0.25" r="398" customHeight="1" ht="18.75">
      <c r="A398" s="4" t="s">
        <v>1251</v>
      </c>
      <c r="B398" s="4" t="s">
        <v>103</v>
      </c>
      <c r="C398" s="4" t="s">
        <v>22</v>
      </c>
      <c r="D398" s="5">
        <v>275</v>
      </c>
      <c r="E398" s="5">
        <v>4</v>
      </c>
      <c r="F398" s="5">
        <v>1</v>
      </c>
      <c r="G398" s="5">
        <v>1</v>
      </c>
      <c r="H398" s="5">
        <v>31</v>
      </c>
      <c r="I398" s="6">
        <v>29.2</v>
      </c>
      <c r="J398" s="5">
        <v>447661</v>
      </c>
      <c r="K398" s="4" t="s">
        <v>1252</v>
      </c>
      <c r="L398" s="4" t="s">
        <v>19</v>
      </c>
      <c r="M398" s="4" t="s">
        <v>1253</v>
      </c>
      <c r="N398" s="7">
        <f>(2.5+10+20)/3</f>
      </c>
      <c r="O398" s="7">
        <f>(5+3+1.5+2.5+2.5)/5</f>
      </c>
    </row>
    <row x14ac:dyDescent="0.25" r="399" customHeight="1" ht="18.75">
      <c r="A399" s="4" t="s">
        <v>1254</v>
      </c>
      <c r="B399" s="4" t="s">
        <v>448</v>
      </c>
      <c r="C399" s="4" t="s">
        <v>22</v>
      </c>
      <c r="D399" s="5">
        <v>272</v>
      </c>
      <c r="E399" s="5">
        <v>5</v>
      </c>
      <c r="F399" s="5">
        <v>0</v>
      </c>
      <c r="G399" s="5">
        <v>0</v>
      </c>
      <c r="H399" s="6">
        <v>33.1</v>
      </c>
      <c r="I399" s="5">
        <v>27</v>
      </c>
      <c r="J399" s="5">
        <v>39106</v>
      </c>
      <c r="K399" s="4" t="s">
        <v>1255</v>
      </c>
      <c r="L399" s="4" t="s">
        <v>1256</v>
      </c>
      <c r="M399" s="4" t="s">
        <v>1257</v>
      </c>
      <c r="N399" s="7">
        <f>(3+2)/2</f>
      </c>
      <c r="O399" s="7">
        <f>(3+3.5)/2</f>
      </c>
    </row>
    <row x14ac:dyDescent="0.25" r="400" customHeight="1" ht="18.75">
      <c r="A400" s="4" t="s">
        <v>1258</v>
      </c>
      <c r="B400" s="4" t="s">
        <v>134</v>
      </c>
      <c r="C400" s="4" t="s">
        <v>32</v>
      </c>
      <c r="D400" s="5">
        <v>271</v>
      </c>
      <c r="E400" s="5">
        <v>4</v>
      </c>
      <c r="F400" s="5">
        <v>0</v>
      </c>
      <c r="G400" s="5">
        <v>0</v>
      </c>
      <c r="H400" s="6">
        <v>31.4</v>
      </c>
      <c r="I400" s="6">
        <v>30.8</v>
      </c>
      <c r="J400" s="5">
        <v>162959</v>
      </c>
      <c r="K400" s="4" t="s">
        <v>1259</v>
      </c>
      <c r="L400" s="4" t="s">
        <v>136</v>
      </c>
      <c r="M400" s="4" t="s">
        <v>1260</v>
      </c>
      <c r="N400" s="7">
        <f>(22+19)/2</f>
      </c>
      <c r="O400" s="7">
        <f>(22+22)/2</f>
      </c>
    </row>
    <row x14ac:dyDescent="0.25" r="401" customHeight="1" ht="18.75">
      <c r="A401" s="4" t="s">
        <v>1261</v>
      </c>
      <c r="B401" s="4" t="s">
        <v>428</v>
      </c>
      <c r="C401" s="4" t="s">
        <v>53</v>
      </c>
      <c r="D401" s="5">
        <v>270</v>
      </c>
      <c r="E401" s="5">
        <v>5</v>
      </c>
      <c r="F401" s="5">
        <v>0</v>
      </c>
      <c r="G401" s="5">
        <v>2</v>
      </c>
      <c r="H401" s="6">
        <v>34.7</v>
      </c>
      <c r="I401" s="6">
        <v>29.7</v>
      </c>
      <c r="J401" s="5">
        <v>42710</v>
      </c>
      <c r="K401" s="4" t="s">
        <v>1262</v>
      </c>
      <c r="L401" s="4" t="s">
        <v>42</v>
      </c>
      <c r="M401" s="4" t="s">
        <v>1263</v>
      </c>
      <c r="N401" s="7">
        <f>(40+35)/2</f>
      </c>
      <c r="O401" s="7">
        <f>(35+40+40+40)/4</f>
      </c>
    </row>
    <row x14ac:dyDescent="0.25" r="402" customHeight="1" ht="18.75">
      <c r="A402" s="4" t="s">
        <v>1264</v>
      </c>
      <c r="B402" s="4" t="s">
        <v>186</v>
      </c>
      <c r="C402" s="4" t="s">
        <v>53</v>
      </c>
      <c r="D402" s="5">
        <v>270</v>
      </c>
      <c r="E402" s="5">
        <v>3</v>
      </c>
      <c r="F402" s="5">
        <v>0</v>
      </c>
      <c r="G402" s="5">
        <v>0</v>
      </c>
      <c r="H402" s="6">
        <v>35.7</v>
      </c>
      <c r="I402" s="6">
        <v>29.5</v>
      </c>
      <c r="J402" s="5">
        <v>315969</v>
      </c>
      <c r="K402" s="4" t="s">
        <v>1265</v>
      </c>
      <c r="L402" s="4" t="s">
        <v>63</v>
      </c>
      <c r="M402" s="4" t="s">
        <v>1266</v>
      </c>
      <c r="N402" s="7">
        <f>(12+20+28)/3</f>
      </c>
      <c r="O402" s="7">
        <f>(1+7+7+7)/4</f>
      </c>
    </row>
    <row x14ac:dyDescent="0.25" r="403" customHeight="1" ht="18.75">
      <c r="A403" s="4" t="s">
        <v>1267</v>
      </c>
      <c r="B403" s="4" t="s">
        <v>420</v>
      </c>
      <c r="C403" s="4" t="s">
        <v>53</v>
      </c>
      <c r="D403" s="5">
        <v>270</v>
      </c>
      <c r="E403" s="5">
        <v>3</v>
      </c>
      <c r="F403" s="5">
        <v>0</v>
      </c>
      <c r="G403" s="5">
        <v>0</v>
      </c>
      <c r="H403" s="6">
        <v>34.6</v>
      </c>
      <c r="I403" s="6">
        <v>28.1</v>
      </c>
      <c r="J403" s="5">
        <v>371851</v>
      </c>
      <c r="K403" s="4" t="s">
        <v>1268</v>
      </c>
      <c r="L403" s="4" t="s">
        <v>248</v>
      </c>
      <c r="M403" s="4" t="s">
        <v>1269</v>
      </c>
      <c r="N403" s="7">
        <f>(2.5+2.8)/2</f>
      </c>
      <c r="O403" s="7">
        <f>(0.2+0.5+1+1.8)/4</f>
      </c>
    </row>
    <row x14ac:dyDescent="0.25" r="404" customHeight="1" ht="18.75">
      <c r="A404" s="4" t="s">
        <v>1270</v>
      </c>
      <c r="B404" s="4" t="s">
        <v>748</v>
      </c>
      <c r="C404" s="4" t="s">
        <v>32</v>
      </c>
      <c r="D404" s="5">
        <v>270</v>
      </c>
      <c r="E404" s="5">
        <v>3</v>
      </c>
      <c r="F404" s="5">
        <v>0</v>
      </c>
      <c r="G404" s="5">
        <v>0</v>
      </c>
      <c r="H404" s="6">
        <v>32.2</v>
      </c>
      <c r="I404" s="6">
        <v>32.2</v>
      </c>
      <c r="J404" s="5">
        <v>163086</v>
      </c>
      <c r="K404" s="4" t="s">
        <v>1271</v>
      </c>
      <c r="L404" s="4" t="s">
        <v>136</v>
      </c>
      <c r="M404" s="4" t="s">
        <v>1272</v>
      </c>
      <c r="N404" s="7">
        <f>(10+7.5)/2</f>
      </c>
      <c r="O404" s="7">
        <f>(6.5+7.5+7.5)/3</f>
      </c>
    </row>
    <row x14ac:dyDescent="0.25" r="405" customHeight="1" ht="18.75">
      <c r="A405" s="4" t="s">
        <v>1273</v>
      </c>
      <c r="B405" s="4" t="s">
        <v>230</v>
      </c>
      <c r="C405" s="4" t="s">
        <v>32</v>
      </c>
      <c r="D405" s="5">
        <v>270</v>
      </c>
      <c r="E405" s="5">
        <v>3</v>
      </c>
      <c r="F405" s="5">
        <v>0</v>
      </c>
      <c r="G405" s="5">
        <v>0</v>
      </c>
      <c r="H405" s="6">
        <v>31.5</v>
      </c>
      <c r="I405" s="6">
        <v>30.6</v>
      </c>
      <c r="J405" s="5">
        <v>137745</v>
      </c>
      <c r="K405" s="4" t="s">
        <v>1274</v>
      </c>
      <c r="L405" s="4" t="s">
        <v>19</v>
      </c>
      <c r="M405" s="4" t="s">
        <v>1275</v>
      </c>
      <c r="N405" s="7">
        <f>(5+5+3)/3</f>
      </c>
      <c r="O405" s="7">
        <f>(8+7+7)/3</f>
      </c>
    </row>
    <row x14ac:dyDescent="0.25" r="406" customHeight="1" ht="18.75">
      <c r="A406" s="4" t="s">
        <v>1276</v>
      </c>
      <c r="B406" s="4" t="s">
        <v>748</v>
      </c>
      <c r="C406" s="4" t="s">
        <v>53</v>
      </c>
      <c r="D406" s="5">
        <v>270</v>
      </c>
      <c r="E406" s="5">
        <v>3</v>
      </c>
      <c r="F406" s="5">
        <v>0</v>
      </c>
      <c r="G406" s="5">
        <v>0</v>
      </c>
      <c r="H406" s="6">
        <v>30.7</v>
      </c>
      <c r="I406" s="6">
        <v>31.7</v>
      </c>
      <c r="J406" s="5">
        <v>63463</v>
      </c>
      <c r="K406" s="4" t="s">
        <v>1277</v>
      </c>
      <c r="L406" s="4" t="s">
        <v>67</v>
      </c>
      <c r="M406" s="4" t="s">
        <v>1278</v>
      </c>
      <c r="N406" s="7">
        <f>(10+14+14)/3</f>
      </c>
      <c r="O406" s="7">
        <f>(10+15+15+15)/4</f>
      </c>
    </row>
    <row x14ac:dyDescent="0.25" r="407" customHeight="1" ht="18.75">
      <c r="A407" s="4" t="s">
        <v>1279</v>
      </c>
      <c r="B407" s="4" t="s">
        <v>464</v>
      </c>
      <c r="C407" s="4" t="s">
        <v>32</v>
      </c>
      <c r="D407" s="5">
        <v>270</v>
      </c>
      <c r="E407" s="5">
        <v>3</v>
      </c>
      <c r="F407" s="5">
        <v>0</v>
      </c>
      <c r="G407" s="5">
        <v>0</v>
      </c>
      <c r="H407" s="6">
        <v>29.7</v>
      </c>
      <c r="I407" s="5">
        <v>30</v>
      </c>
      <c r="J407" s="5">
        <v>178957</v>
      </c>
      <c r="K407" s="4" t="s">
        <v>1280</v>
      </c>
      <c r="L407" s="4" t="s">
        <v>492</v>
      </c>
      <c r="M407" s="4" t="s">
        <v>1281</v>
      </c>
      <c r="N407" s="7">
        <f>(1.5+1.2)/2</f>
      </c>
      <c r="O407" s="7">
        <f>(1.5+1.5+1.5)/3</f>
      </c>
    </row>
    <row x14ac:dyDescent="0.25" r="408" customHeight="1" ht="18.75">
      <c r="A408" s="4" t="s">
        <v>1282</v>
      </c>
      <c r="B408" s="4" t="s">
        <v>459</v>
      </c>
      <c r="C408" s="4" t="s">
        <v>32</v>
      </c>
      <c r="D408" s="5">
        <v>270</v>
      </c>
      <c r="E408" s="5">
        <v>3</v>
      </c>
      <c r="F408" s="5">
        <v>0</v>
      </c>
      <c r="G408" s="5">
        <v>0</v>
      </c>
      <c r="H408" s="6">
        <v>29.4</v>
      </c>
      <c r="I408" s="6">
        <v>31.7</v>
      </c>
      <c r="J408" s="5">
        <v>63489</v>
      </c>
      <c r="K408" s="4" t="s">
        <v>1283</v>
      </c>
      <c r="L408" s="4" t="s">
        <v>290</v>
      </c>
      <c r="M408" s="4" t="s">
        <v>1284</v>
      </c>
      <c r="N408" s="7">
        <f>(0.8+0.7+0.7)/3</f>
      </c>
      <c r="O408" s="7">
        <f>(1+1)/2</f>
      </c>
    </row>
    <row x14ac:dyDescent="0.25" r="409" customHeight="1" ht="18.75">
      <c r="A409" s="4" t="s">
        <v>1285</v>
      </c>
      <c r="B409" s="4" t="s">
        <v>748</v>
      </c>
      <c r="C409" s="4" t="s">
        <v>32</v>
      </c>
      <c r="D409" s="5">
        <v>270</v>
      </c>
      <c r="E409" s="5">
        <v>3</v>
      </c>
      <c r="F409" s="5">
        <v>0</v>
      </c>
      <c r="G409" s="5">
        <v>0</v>
      </c>
      <c r="H409" s="6">
        <v>29.3</v>
      </c>
      <c r="I409" s="6">
        <v>32.4</v>
      </c>
      <c r="J409" s="5">
        <v>346289</v>
      </c>
      <c r="K409" s="4" t="s">
        <v>1286</v>
      </c>
      <c r="L409" s="4" t="s">
        <v>71</v>
      </c>
      <c r="M409" s="4" t="s">
        <v>1287</v>
      </c>
      <c r="N409" s="7">
        <f>(15+20+30+30)/4</f>
      </c>
      <c r="O409" s="7">
        <f>(14+10+15+12)/4</f>
      </c>
    </row>
    <row x14ac:dyDescent="0.25" r="410" customHeight="1" ht="18.75">
      <c r="A410" s="4" t="s">
        <v>1288</v>
      </c>
      <c r="B410" s="4" t="s">
        <v>464</v>
      </c>
      <c r="C410" s="4" t="s">
        <v>32</v>
      </c>
      <c r="D410" s="5">
        <v>270</v>
      </c>
      <c r="E410" s="5">
        <v>3</v>
      </c>
      <c r="F410" s="5">
        <v>0</v>
      </c>
      <c r="G410" s="5">
        <v>0</v>
      </c>
      <c r="H410" s="6">
        <v>28.4</v>
      </c>
      <c r="I410" s="6">
        <v>29.2</v>
      </c>
      <c r="J410" s="5">
        <v>34393</v>
      </c>
      <c r="K410" s="4" t="s">
        <v>1289</v>
      </c>
      <c r="L410" s="4" t="s">
        <v>378</v>
      </c>
      <c r="M410" s="4" t="s">
        <v>1220</v>
      </c>
      <c r="N410" s="7">
        <f>(3+2.5)/2</f>
      </c>
      <c r="O410" s="7">
        <f>(4+3.5)/2</f>
      </c>
    </row>
    <row x14ac:dyDescent="0.25" r="411" customHeight="1" ht="18.75">
      <c r="A411" s="4" t="s">
        <v>1290</v>
      </c>
      <c r="B411" s="4" t="s">
        <v>316</v>
      </c>
      <c r="C411" s="4" t="s">
        <v>32</v>
      </c>
      <c r="D411" s="5">
        <v>270</v>
      </c>
      <c r="E411" s="5">
        <v>3</v>
      </c>
      <c r="F411" s="5">
        <v>0</v>
      </c>
      <c r="G411" s="5">
        <v>0</v>
      </c>
      <c r="H411" s="5">
        <v>28</v>
      </c>
      <c r="I411" s="6">
        <v>29.7</v>
      </c>
      <c r="J411" s="5">
        <v>43512</v>
      </c>
      <c r="K411" s="4" t="s">
        <v>1291</v>
      </c>
      <c r="L411" s="4" t="s">
        <v>830</v>
      </c>
      <c r="M411" s="4" t="s">
        <v>1292</v>
      </c>
      <c r="N411" s="7">
        <f>(7+5+4.5)/3</f>
      </c>
      <c r="O411" s="7">
        <f>(12+10)/2</f>
      </c>
    </row>
    <row x14ac:dyDescent="0.25" r="412" customHeight="1" ht="18.75">
      <c r="A412" s="4" t="s">
        <v>1293</v>
      </c>
      <c r="B412" s="4" t="s">
        <v>436</v>
      </c>
      <c r="C412" s="4" t="s">
        <v>32</v>
      </c>
      <c r="D412" s="5">
        <v>270</v>
      </c>
      <c r="E412" s="5">
        <v>3</v>
      </c>
      <c r="F412" s="5">
        <v>0</v>
      </c>
      <c r="G412" s="5">
        <v>0</v>
      </c>
      <c r="H412" s="6">
        <v>27.3</v>
      </c>
      <c r="I412" s="6">
        <v>28.4</v>
      </c>
      <c r="J412" s="5">
        <v>116698</v>
      </c>
      <c r="K412" s="4"/>
      <c r="L412" s="4" t="s">
        <v>136</v>
      </c>
      <c r="M412" s="4" t="s">
        <v>1294</v>
      </c>
      <c r="N412" s="4"/>
      <c r="O412" s="4"/>
    </row>
    <row x14ac:dyDescent="0.25" r="413" customHeight="1" ht="18.75">
      <c r="A413" s="4" t="s">
        <v>1295</v>
      </c>
      <c r="B413" s="4" t="s">
        <v>186</v>
      </c>
      <c r="C413" s="4" t="s">
        <v>32</v>
      </c>
      <c r="D413" s="5">
        <v>270</v>
      </c>
      <c r="E413" s="5">
        <v>3</v>
      </c>
      <c r="F413" s="5">
        <v>0</v>
      </c>
      <c r="G413" s="5">
        <v>0</v>
      </c>
      <c r="H413" s="6">
        <v>27.2</v>
      </c>
      <c r="I413" s="6">
        <v>29.9</v>
      </c>
      <c r="J413" s="5">
        <v>433188</v>
      </c>
      <c r="K413" s="4" t="s">
        <v>1296</v>
      </c>
      <c r="L413" s="4" t="s">
        <v>63</v>
      </c>
      <c r="M413" s="4" t="s">
        <v>1297</v>
      </c>
      <c r="N413" s="7">
        <f>(1.5+2)/2</f>
      </c>
      <c r="O413" s="4"/>
    </row>
    <row x14ac:dyDescent="0.25" r="414" customHeight="1" ht="18.75">
      <c r="A414" s="4" t="s">
        <v>1298</v>
      </c>
      <c r="B414" s="4" t="s">
        <v>266</v>
      </c>
      <c r="C414" s="4" t="s">
        <v>17</v>
      </c>
      <c r="D414" s="5">
        <v>270</v>
      </c>
      <c r="E414" s="5">
        <v>3</v>
      </c>
      <c r="F414" s="5">
        <v>0</v>
      </c>
      <c r="G414" s="5">
        <v>0</v>
      </c>
      <c r="H414" s="6">
        <v>12.8</v>
      </c>
      <c r="I414" s="6">
        <v>14.5</v>
      </c>
      <c r="J414" s="5">
        <v>120629</v>
      </c>
      <c r="K414" s="4" t="s">
        <v>1299</v>
      </c>
      <c r="L414" s="4" t="s">
        <v>71</v>
      </c>
      <c r="M414" s="4" t="s">
        <v>1300</v>
      </c>
      <c r="N414" s="7">
        <f>(17.5+17.5+16)/3</f>
      </c>
      <c r="O414" s="7">
        <f>(15+15+15)/3</f>
      </c>
    </row>
    <row x14ac:dyDescent="0.25" r="415" customHeight="1" ht="18.75">
      <c r="A415" s="4" t="s">
        <v>1301</v>
      </c>
      <c r="B415" s="4" t="s">
        <v>428</v>
      </c>
      <c r="C415" s="4" t="s">
        <v>17</v>
      </c>
      <c r="D415" s="5">
        <v>270</v>
      </c>
      <c r="E415" s="5">
        <v>3</v>
      </c>
      <c r="F415" s="5">
        <v>0</v>
      </c>
      <c r="G415" s="5">
        <v>0</v>
      </c>
      <c r="H415" s="6">
        <v>12.3</v>
      </c>
      <c r="I415" s="6">
        <v>21.8</v>
      </c>
      <c r="J415" s="5">
        <v>234416</v>
      </c>
      <c r="K415" s="4"/>
      <c r="L415" s="4" t="s">
        <v>442</v>
      </c>
      <c r="M415" s="4" t="s">
        <v>1302</v>
      </c>
      <c r="N415" s="4"/>
      <c r="O415" s="4"/>
    </row>
    <row x14ac:dyDescent="0.25" r="416" customHeight="1" ht="18.75">
      <c r="A416" s="4" t="s">
        <v>1303</v>
      </c>
      <c r="B416" s="4" t="s">
        <v>428</v>
      </c>
      <c r="C416" s="4" t="s">
        <v>17</v>
      </c>
      <c r="D416" s="5">
        <v>270</v>
      </c>
      <c r="E416" s="5">
        <v>3</v>
      </c>
      <c r="F416" s="5">
        <v>0</v>
      </c>
      <c r="G416" s="5">
        <v>0</v>
      </c>
      <c r="H416" s="6">
        <v>11.8</v>
      </c>
      <c r="I416" s="6">
        <v>16.8</v>
      </c>
      <c r="J416" s="5">
        <v>318707</v>
      </c>
      <c r="K416" s="4" t="s">
        <v>1304</v>
      </c>
      <c r="L416" s="4" t="s">
        <v>378</v>
      </c>
      <c r="M416" s="4" t="s">
        <v>1305</v>
      </c>
      <c r="N416" s="7">
        <f>(1.8+1.3)/2</f>
      </c>
      <c r="O416" s="7">
        <f>(0.85+3+2.5)/3</f>
      </c>
    </row>
    <row x14ac:dyDescent="0.25" r="417" customHeight="1" ht="18.75">
      <c r="A417" s="4" t="s">
        <v>1306</v>
      </c>
      <c r="B417" s="4" t="s">
        <v>296</v>
      </c>
      <c r="C417" s="4" t="s">
        <v>17</v>
      </c>
      <c r="D417" s="5">
        <v>270</v>
      </c>
      <c r="E417" s="5">
        <v>3</v>
      </c>
      <c r="F417" s="5">
        <v>0</v>
      </c>
      <c r="G417" s="5">
        <v>0</v>
      </c>
      <c r="H417" s="6">
        <v>10.5</v>
      </c>
      <c r="I417" s="6">
        <v>21.2</v>
      </c>
      <c r="J417" s="5">
        <v>15956</v>
      </c>
      <c r="K417" s="4" t="s">
        <v>977</v>
      </c>
      <c r="L417" s="4" t="s">
        <v>55</v>
      </c>
      <c r="M417" s="4" t="s">
        <v>978</v>
      </c>
      <c r="N417" s="7">
        <f>(4+4)/2</f>
      </c>
      <c r="O417" s="7">
        <f>(6+5+4)/3</f>
      </c>
    </row>
    <row x14ac:dyDescent="0.25" r="418" customHeight="1" ht="18.75">
      <c r="A418" s="4" t="s">
        <v>1307</v>
      </c>
      <c r="B418" s="4" t="s">
        <v>471</v>
      </c>
      <c r="C418" s="4" t="s">
        <v>53</v>
      </c>
      <c r="D418" s="5">
        <v>268</v>
      </c>
      <c r="E418" s="5">
        <v>4</v>
      </c>
      <c r="F418" s="5">
        <v>0</v>
      </c>
      <c r="G418" s="5">
        <v>0</v>
      </c>
      <c r="H418" s="6">
        <v>35.5</v>
      </c>
      <c r="I418" s="5">
        <v>29</v>
      </c>
      <c r="J418" s="5">
        <v>483348</v>
      </c>
      <c r="K418" s="4" t="s">
        <v>1308</v>
      </c>
      <c r="L418" s="4" t="s">
        <v>63</v>
      </c>
      <c r="M418" s="4" t="s">
        <v>1309</v>
      </c>
      <c r="N418" s="4"/>
      <c r="O418" s="4"/>
    </row>
    <row x14ac:dyDescent="0.25" r="419" customHeight="1" ht="18.75">
      <c r="A419" s="4" t="s">
        <v>1310</v>
      </c>
      <c r="B419" s="4" t="s">
        <v>40</v>
      </c>
      <c r="C419" s="4" t="s">
        <v>32</v>
      </c>
      <c r="D419" s="5">
        <v>267</v>
      </c>
      <c r="E419" s="5">
        <v>6</v>
      </c>
      <c r="F419" s="5">
        <v>0</v>
      </c>
      <c r="G419" s="5">
        <v>0</v>
      </c>
      <c r="H419" s="5">
        <v>35</v>
      </c>
      <c r="I419" s="5">
        <v>27</v>
      </c>
      <c r="J419" s="5">
        <v>3924</v>
      </c>
      <c r="K419" s="4" t="s">
        <v>1311</v>
      </c>
      <c r="L419" s="4" t="s">
        <v>71</v>
      </c>
      <c r="M419" s="4" t="s">
        <v>1312</v>
      </c>
      <c r="N419" s="4"/>
      <c r="O419" s="7">
        <f>0.5</f>
      </c>
    </row>
    <row x14ac:dyDescent="0.25" r="420" customHeight="1" ht="18.75">
      <c r="A420" s="4" t="s">
        <v>1313</v>
      </c>
      <c r="B420" s="4" t="s">
        <v>424</v>
      </c>
      <c r="C420" s="4" t="s">
        <v>53</v>
      </c>
      <c r="D420" s="5">
        <v>267</v>
      </c>
      <c r="E420" s="5">
        <v>3</v>
      </c>
      <c r="F420" s="5">
        <v>0</v>
      </c>
      <c r="G420" s="5">
        <v>1</v>
      </c>
      <c r="H420" s="5">
        <v>32</v>
      </c>
      <c r="I420" s="6">
        <v>30.8</v>
      </c>
      <c r="J420" s="5">
        <v>68778</v>
      </c>
      <c r="K420" s="4" t="s">
        <v>1314</v>
      </c>
      <c r="L420" s="4" t="s">
        <v>19</v>
      </c>
      <c r="M420" s="4" t="s">
        <v>1315</v>
      </c>
      <c r="N420" s="7">
        <f>11</f>
      </c>
      <c r="O420" s="7">
        <f>(11+11+11)/3</f>
      </c>
    </row>
    <row x14ac:dyDescent="0.25" r="421" customHeight="1" ht="18.75">
      <c r="A421" s="4" t="s">
        <v>1316</v>
      </c>
      <c r="B421" s="4" t="s">
        <v>504</v>
      </c>
      <c r="C421" s="4" t="s">
        <v>53</v>
      </c>
      <c r="D421" s="5">
        <v>265</v>
      </c>
      <c r="E421" s="5">
        <v>5</v>
      </c>
      <c r="F421" s="5">
        <v>0</v>
      </c>
      <c r="G421" s="5">
        <v>0</v>
      </c>
      <c r="H421" s="6">
        <v>36.2</v>
      </c>
      <c r="I421" s="5">
        <v>31</v>
      </c>
      <c r="J421" s="5">
        <v>231354</v>
      </c>
      <c r="K421" s="4" t="s">
        <v>1317</v>
      </c>
      <c r="L421" s="4" t="s">
        <v>29</v>
      </c>
      <c r="M421" s="4" t="s">
        <v>1318</v>
      </c>
      <c r="N421" s="7">
        <f>(2+2.5+2.5)/3</f>
      </c>
      <c r="O421" s="7">
        <f>(0.6+0.9)/2</f>
      </c>
    </row>
    <row x14ac:dyDescent="0.25" r="422" customHeight="1" ht="18.75">
      <c r="A422" s="4" t="s">
        <v>1319</v>
      </c>
      <c r="B422" s="4" t="s">
        <v>285</v>
      </c>
      <c r="C422" s="4" t="s">
        <v>22</v>
      </c>
      <c r="D422" s="5">
        <v>264</v>
      </c>
      <c r="E422" s="5">
        <v>4</v>
      </c>
      <c r="F422" s="5">
        <v>0</v>
      </c>
      <c r="G422" s="5">
        <v>1</v>
      </c>
      <c r="H422" s="6">
        <v>30.8</v>
      </c>
      <c r="I422" s="6">
        <v>32.2</v>
      </c>
      <c r="J422" s="5">
        <v>94529</v>
      </c>
      <c r="K422" s="4" t="s">
        <v>1320</v>
      </c>
      <c r="L422" s="4" t="s">
        <v>136</v>
      </c>
      <c r="M422" s="4" t="s">
        <v>1321</v>
      </c>
      <c r="N422" s="7">
        <f>(26+30+25+16)/4</f>
      </c>
      <c r="O422" s="7">
        <f>(20+22)/2</f>
      </c>
    </row>
    <row x14ac:dyDescent="0.25" r="423" customHeight="1" ht="18.75">
      <c r="A423" s="4" t="s">
        <v>1322</v>
      </c>
      <c r="B423" s="4" t="s">
        <v>285</v>
      </c>
      <c r="C423" s="4" t="s">
        <v>32</v>
      </c>
      <c r="D423" s="5">
        <v>258</v>
      </c>
      <c r="E423" s="5">
        <v>4</v>
      </c>
      <c r="F423" s="5">
        <v>0</v>
      </c>
      <c r="G423" s="5">
        <v>1</v>
      </c>
      <c r="H423" s="5">
        <v>29</v>
      </c>
      <c r="I423" s="6">
        <v>29.7</v>
      </c>
      <c r="J423" s="5">
        <v>7602</v>
      </c>
      <c r="K423" s="4" t="s">
        <v>1323</v>
      </c>
      <c r="L423" s="4" t="s">
        <v>136</v>
      </c>
      <c r="M423" s="4" t="s">
        <v>1324</v>
      </c>
      <c r="N423" s="4"/>
      <c r="O423" s="7">
        <f>(1+1)/2</f>
      </c>
    </row>
    <row x14ac:dyDescent="0.25" r="424" customHeight="1" ht="18.75">
      <c r="A424" s="4" t="s">
        <v>1325</v>
      </c>
      <c r="B424" s="4" t="s">
        <v>139</v>
      </c>
      <c r="C424" s="4" t="s">
        <v>53</v>
      </c>
      <c r="D424" s="5">
        <v>257</v>
      </c>
      <c r="E424" s="5">
        <v>6</v>
      </c>
      <c r="F424" s="5">
        <v>0</v>
      </c>
      <c r="G424" s="5">
        <v>0</v>
      </c>
      <c r="H424" s="6">
        <v>31.1</v>
      </c>
      <c r="I424" s="6">
        <v>29.9</v>
      </c>
      <c r="J424" s="5">
        <v>50362</v>
      </c>
      <c r="K424" s="4" t="s">
        <v>1326</v>
      </c>
      <c r="L424" s="4" t="s">
        <v>63</v>
      </c>
      <c r="M424" s="4" t="s">
        <v>1327</v>
      </c>
      <c r="N424" s="7">
        <f>(15+15)/2</f>
      </c>
      <c r="O424" s="7">
        <f>(10+15+15)/3</f>
      </c>
    </row>
    <row x14ac:dyDescent="0.25" r="425" customHeight="1" ht="18.75">
      <c r="A425" s="4" t="s">
        <v>1328</v>
      </c>
      <c r="B425" s="4" t="s">
        <v>448</v>
      </c>
      <c r="C425" s="4" t="s">
        <v>32</v>
      </c>
      <c r="D425" s="5">
        <v>253</v>
      </c>
      <c r="E425" s="5">
        <v>3</v>
      </c>
      <c r="F425" s="5">
        <v>0</v>
      </c>
      <c r="G425" s="5">
        <v>0</v>
      </c>
      <c r="H425" s="6">
        <v>30.9</v>
      </c>
      <c r="I425" s="6">
        <v>27.4</v>
      </c>
      <c r="J425" s="5">
        <v>51676</v>
      </c>
      <c r="K425" s="4" t="s">
        <v>1329</v>
      </c>
      <c r="L425" s="4" t="s">
        <v>84</v>
      </c>
      <c r="M425" s="4" t="s">
        <v>1330</v>
      </c>
      <c r="N425" s="7">
        <f>(4+3.5)/2</f>
      </c>
      <c r="O425" s="7">
        <f>(2+4)/2</f>
      </c>
    </row>
    <row x14ac:dyDescent="0.25" r="426" customHeight="1" ht="18.75">
      <c r="A426" s="4" t="s">
        <v>1331</v>
      </c>
      <c r="B426" s="4" t="s">
        <v>186</v>
      </c>
      <c r="C426" s="4" t="s">
        <v>32</v>
      </c>
      <c r="D426" s="5">
        <v>252</v>
      </c>
      <c r="E426" s="5">
        <v>3</v>
      </c>
      <c r="F426" s="5">
        <v>0</v>
      </c>
      <c r="G426" s="5">
        <v>0</v>
      </c>
      <c r="H426" s="6">
        <v>27.4</v>
      </c>
      <c r="I426" s="6">
        <v>28.1</v>
      </c>
      <c r="J426" s="5">
        <v>33544</v>
      </c>
      <c r="K426" s="4" t="s">
        <v>1332</v>
      </c>
      <c r="L426" s="4" t="s">
        <v>1333</v>
      </c>
      <c r="M426" s="4" t="s">
        <v>1334</v>
      </c>
      <c r="N426" s="7">
        <f>(5+4)/2</f>
      </c>
      <c r="O426" s="7">
        <f>(10+8+7)/3</f>
      </c>
    </row>
    <row x14ac:dyDescent="0.25" r="427" customHeight="1" ht="18.75">
      <c r="A427" s="4" t="s">
        <v>1335</v>
      </c>
      <c r="B427" s="4" t="s">
        <v>296</v>
      </c>
      <c r="C427" s="4" t="s">
        <v>53</v>
      </c>
      <c r="D427" s="5">
        <v>251</v>
      </c>
      <c r="E427" s="5">
        <v>4</v>
      </c>
      <c r="F427" s="5">
        <v>1</v>
      </c>
      <c r="G427" s="5">
        <v>0</v>
      </c>
      <c r="H427" s="6">
        <v>29.8</v>
      </c>
      <c r="I427" s="6">
        <v>27.2</v>
      </c>
      <c r="J427" s="5">
        <v>85288</v>
      </c>
      <c r="K427" s="4" t="s">
        <v>1336</v>
      </c>
      <c r="L427" s="4" t="s">
        <v>55</v>
      </c>
      <c r="M427" s="4" t="s">
        <v>1337</v>
      </c>
      <c r="N427" s="7">
        <f>(60+60+50)/3</f>
      </c>
      <c r="O427" s="7">
        <f>(75+75+90+75)/4</f>
      </c>
    </row>
    <row x14ac:dyDescent="0.25" r="428" customHeight="1" ht="18.75">
      <c r="A428" s="4" t="s">
        <v>1338</v>
      </c>
      <c r="B428" s="4" t="s">
        <v>27</v>
      </c>
      <c r="C428" s="4" t="s">
        <v>32</v>
      </c>
      <c r="D428" s="5">
        <v>251</v>
      </c>
      <c r="E428" s="5">
        <v>4</v>
      </c>
      <c r="F428" s="5">
        <v>0</v>
      </c>
      <c r="G428" s="5">
        <v>0</v>
      </c>
      <c r="H428" s="6">
        <v>29.4</v>
      </c>
      <c r="I428" s="6">
        <v>29.7</v>
      </c>
      <c r="J428" s="5">
        <v>263361</v>
      </c>
      <c r="K428" s="4" t="s">
        <v>1339</v>
      </c>
      <c r="L428" s="4" t="s">
        <v>327</v>
      </c>
      <c r="M428" s="4" t="s">
        <v>1340</v>
      </c>
      <c r="N428" s="7">
        <f>(10+10+10)/3</f>
      </c>
      <c r="O428" s="7">
        <f>(7+8+8)/3</f>
      </c>
    </row>
    <row x14ac:dyDescent="0.25" r="429" customHeight="1" ht="18.75">
      <c r="A429" s="4" t="s">
        <v>1341</v>
      </c>
      <c r="B429" s="4" t="s">
        <v>285</v>
      </c>
      <c r="C429" s="4" t="s">
        <v>22</v>
      </c>
      <c r="D429" s="5">
        <v>250</v>
      </c>
      <c r="E429" s="5">
        <v>6</v>
      </c>
      <c r="F429" s="5">
        <v>0</v>
      </c>
      <c r="G429" s="5">
        <v>0</v>
      </c>
      <c r="H429" s="6">
        <v>29.9</v>
      </c>
      <c r="I429" s="6">
        <v>30.8</v>
      </c>
      <c r="J429" s="5">
        <v>242086</v>
      </c>
      <c r="K429" s="4" t="s">
        <v>1342</v>
      </c>
      <c r="L429" s="4" t="s">
        <v>450</v>
      </c>
      <c r="M429" s="4" t="s">
        <v>1343</v>
      </c>
      <c r="N429" s="7">
        <f>(15+15)/2</f>
      </c>
      <c r="O429" s="7">
        <f>(20+18+15)/3</f>
      </c>
    </row>
    <row x14ac:dyDescent="0.25" r="430" customHeight="1" ht="18.75">
      <c r="A430" s="4" t="s">
        <v>1344</v>
      </c>
      <c r="B430" s="4" t="s">
        <v>471</v>
      </c>
      <c r="C430" s="4" t="s">
        <v>53</v>
      </c>
      <c r="D430" s="5">
        <v>248</v>
      </c>
      <c r="E430" s="5">
        <v>3</v>
      </c>
      <c r="F430" s="5">
        <v>0</v>
      </c>
      <c r="G430" s="5">
        <v>0</v>
      </c>
      <c r="H430" s="6">
        <v>30.9</v>
      </c>
      <c r="I430" s="6">
        <v>27.9</v>
      </c>
      <c r="J430" s="5">
        <v>265569</v>
      </c>
      <c r="K430" s="4" t="s">
        <v>1345</v>
      </c>
      <c r="L430" s="4" t="s">
        <v>71</v>
      </c>
      <c r="M430" s="4" t="s">
        <v>1346</v>
      </c>
      <c r="N430" s="7">
        <f>(10+7+6)/3</f>
      </c>
      <c r="O430" s="7">
        <f>(5+7+10)/3</f>
      </c>
    </row>
    <row x14ac:dyDescent="0.25" r="431" customHeight="1" ht="18.75">
      <c r="A431" s="4" t="s">
        <v>1347</v>
      </c>
      <c r="B431" s="4" t="s">
        <v>139</v>
      </c>
      <c r="C431" s="4" t="s">
        <v>53</v>
      </c>
      <c r="D431" s="5">
        <v>247</v>
      </c>
      <c r="E431" s="5">
        <v>4</v>
      </c>
      <c r="F431" s="5">
        <v>0</v>
      </c>
      <c r="G431" s="5">
        <v>4</v>
      </c>
      <c r="H431" s="6">
        <v>32.4</v>
      </c>
      <c r="I431" s="6">
        <v>30.8</v>
      </c>
      <c r="J431" s="5">
        <v>88755</v>
      </c>
      <c r="K431" s="4" t="s">
        <v>1348</v>
      </c>
      <c r="L431" s="4" t="s">
        <v>42</v>
      </c>
      <c r="M431" s="4" t="s">
        <v>1349</v>
      </c>
      <c r="N431" s="7">
        <f>(130+150)/2</f>
      </c>
      <c r="O431" s="7">
        <f>(110+150+150)/3</f>
      </c>
    </row>
    <row x14ac:dyDescent="0.25" r="432" customHeight="1" ht="18.75">
      <c r="A432" s="4" t="s">
        <v>1350</v>
      </c>
      <c r="B432" s="4" t="s">
        <v>440</v>
      </c>
      <c r="C432" s="4" t="s">
        <v>22</v>
      </c>
      <c r="D432" s="5">
        <v>247</v>
      </c>
      <c r="E432" s="5">
        <v>3</v>
      </c>
      <c r="F432" s="5">
        <v>1</v>
      </c>
      <c r="G432" s="5">
        <v>0</v>
      </c>
      <c r="H432" s="6">
        <v>27.2</v>
      </c>
      <c r="I432" s="6">
        <v>30.4</v>
      </c>
      <c r="J432" s="5">
        <v>28171</v>
      </c>
      <c r="K432" s="4" t="s">
        <v>1351</v>
      </c>
      <c r="L432" s="4" t="s">
        <v>55</v>
      </c>
      <c r="M432" s="4" t="s">
        <v>1352</v>
      </c>
      <c r="N432" s="7">
        <f>0.2</f>
      </c>
      <c r="O432" s="7">
        <f>(1.5+1+0.8)/3</f>
      </c>
    </row>
    <row x14ac:dyDescent="0.25" r="433" customHeight="1" ht="18.75">
      <c r="A433" s="4" t="s">
        <v>1353</v>
      </c>
      <c r="B433" s="4" t="s">
        <v>436</v>
      </c>
      <c r="C433" s="4" t="s">
        <v>53</v>
      </c>
      <c r="D433" s="5">
        <v>245</v>
      </c>
      <c r="E433" s="5">
        <v>4</v>
      </c>
      <c r="F433" s="5">
        <v>0</v>
      </c>
      <c r="G433" s="5">
        <v>1</v>
      </c>
      <c r="H433" s="6">
        <v>28.1</v>
      </c>
      <c r="I433" s="6">
        <v>30.8</v>
      </c>
      <c r="J433" s="5">
        <v>84535</v>
      </c>
      <c r="K433" s="4" t="s">
        <v>1354</v>
      </c>
      <c r="L433" s="4" t="s">
        <v>127</v>
      </c>
      <c r="M433" s="4" t="s">
        <v>1355</v>
      </c>
      <c r="N433" s="7">
        <f>(17+10+8+8)/4</f>
      </c>
      <c r="O433" s="7">
        <f>(20+22)/2</f>
      </c>
    </row>
    <row x14ac:dyDescent="0.25" r="434" customHeight="1" ht="18.75">
      <c r="A434" s="4" t="s">
        <v>1356</v>
      </c>
      <c r="B434" s="4" t="s">
        <v>16</v>
      </c>
      <c r="C434" s="4" t="s">
        <v>53</v>
      </c>
      <c r="D434" s="5">
        <v>244</v>
      </c>
      <c r="E434" s="5">
        <v>6</v>
      </c>
      <c r="F434" s="5">
        <v>1</v>
      </c>
      <c r="G434" s="5">
        <v>0</v>
      </c>
      <c r="H434" s="6">
        <v>29.8</v>
      </c>
      <c r="I434" s="5">
        <v>29</v>
      </c>
      <c r="J434" s="5">
        <v>302215</v>
      </c>
      <c r="K434" s="4" t="s">
        <v>1357</v>
      </c>
      <c r="L434" s="4" t="s">
        <v>1358</v>
      </c>
      <c r="M434" s="4" t="s">
        <v>1359</v>
      </c>
      <c r="N434" s="7">
        <f>(60+50+42)/3</f>
      </c>
      <c r="O434" s="7">
        <f>(65+65+65)/3</f>
      </c>
    </row>
    <row x14ac:dyDescent="0.25" r="435" customHeight="1" ht="18.75">
      <c r="A435" s="4" t="s">
        <v>1360</v>
      </c>
      <c r="B435" s="4" t="s">
        <v>504</v>
      </c>
      <c r="C435" s="4" t="s">
        <v>53</v>
      </c>
      <c r="D435" s="5">
        <v>244</v>
      </c>
      <c r="E435" s="5">
        <v>3</v>
      </c>
      <c r="F435" s="5">
        <v>0</v>
      </c>
      <c r="G435" s="5">
        <v>0</v>
      </c>
      <c r="H435" s="6">
        <v>31.3</v>
      </c>
      <c r="I435" s="6">
        <v>29.2</v>
      </c>
      <c r="J435" s="5">
        <v>169212</v>
      </c>
      <c r="K435" s="4" t="s">
        <v>1361</v>
      </c>
      <c r="L435" s="4" t="s">
        <v>29</v>
      </c>
      <c r="M435" s="4" t="s">
        <v>1071</v>
      </c>
      <c r="N435" s="7">
        <f>(1.75+1+0.6+0.6)/4</f>
      </c>
      <c r="O435" s="7">
        <f>(1.75+2)/2</f>
      </c>
    </row>
    <row x14ac:dyDescent="0.25" r="436" customHeight="1" ht="18.75">
      <c r="A436" s="4" t="s">
        <v>1362</v>
      </c>
      <c r="B436" s="4" t="s">
        <v>186</v>
      </c>
      <c r="C436" s="4" t="s">
        <v>32</v>
      </c>
      <c r="D436" s="5">
        <v>243</v>
      </c>
      <c r="E436" s="5">
        <v>4</v>
      </c>
      <c r="F436" s="5">
        <v>0</v>
      </c>
      <c r="G436" s="5">
        <v>0</v>
      </c>
      <c r="H436" s="6">
        <v>29.2</v>
      </c>
      <c r="I436" s="6">
        <v>31.5</v>
      </c>
      <c r="J436" s="5">
        <v>357147</v>
      </c>
      <c r="K436" s="4" t="s">
        <v>1363</v>
      </c>
      <c r="L436" s="4" t="s">
        <v>141</v>
      </c>
      <c r="M436" s="4" t="s">
        <v>1364</v>
      </c>
      <c r="N436" s="7">
        <f>(20+20)/2</f>
      </c>
      <c r="O436" s="7">
        <f>(1.75+7+15+15)/4</f>
      </c>
    </row>
    <row x14ac:dyDescent="0.25" r="437" customHeight="1" ht="18.75">
      <c r="A437" s="4" t="s">
        <v>1365</v>
      </c>
      <c r="B437" s="4" t="s">
        <v>440</v>
      </c>
      <c r="C437" s="4" t="s">
        <v>22</v>
      </c>
      <c r="D437" s="5">
        <v>242</v>
      </c>
      <c r="E437" s="5">
        <v>3</v>
      </c>
      <c r="F437" s="5">
        <v>2</v>
      </c>
      <c r="G437" s="5">
        <v>0</v>
      </c>
      <c r="H437" s="6">
        <v>25.6</v>
      </c>
      <c r="I437" s="6">
        <v>32.8</v>
      </c>
      <c r="J437" s="5">
        <v>178469</v>
      </c>
      <c r="K437" s="4" t="s">
        <v>1366</v>
      </c>
      <c r="L437" s="4" t="s">
        <v>450</v>
      </c>
      <c r="M437" s="4" t="s">
        <v>212</v>
      </c>
      <c r="N437" s="7">
        <f>(4+3.5+3.5)/3</f>
      </c>
      <c r="O437" s="7">
        <f>(3.5+4+4)/3</f>
      </c>
    </row>
    <row x14ac:dyDescent="0.25" r="438" customHeight="1" ht="18.75">
      <c r="A438" s="4" t="s">
        <v>1367</v>
      </c>
      <c r="B438" s="4" t="s">
        <v>522</v>
      </c>
      <c r="C438" s="4" t="s">
        <v>53</v>
      </c>
      <c r="D438" s="5">
        <v>240</v>
      </c>
      <c r="E438" s="5">
        <v>4</v>
      </c>
      <c r="F438" s="5">
        <v>0</v>
      </c>
      <c r="G438" s="5">
        <v>0</v>
      </c>
      <c r="H438" s="6">
        <v>29.4</v>
      </c>
      <c r="I438" s="5">
        <v>29</v>
      </c>
      <c r="J438" s="5">
        <v>57051</v>
      </c>
      <c r="K438" s="4" t="s">
        <v>1368</v>
      </c>
      <c r="L438" s="4" t="s">
        <v>84</v>
      </c>
      <c r="M438" s="4" t="s">
        <v>1369</v>
      </c>
      <c r="N438" s="7">
        <f>(11+9+6.5+6.5)/4</f>
      </c>
      <c r="O438" s="7">
        <f>(15+14)/2</f>
      </c>
    </row>
    <row x14ac:dyDescent="0.25" r="439" customHeight="1" ht="18.75">
      <c r="A439" s="4" t="s">
        <v>1370</v>
      </c>
      <c r="B439" s="4" t="s">
        <v>230</v>
      </c>
      <c r="C439" s="4" t="s">
        <v>32</v>
      </c>
      <c r="D439" s="5">
        <v>240</v>
      </c>
      <c r="E439" s="5">
        <v>3</v>
      </c>
      <c r="F439" s="5">
        <v>0</v>
      </c>
      <c r="G439" s="5">
        <v>0</v>
      </c>
      <c r="H439" s="6">
        <v>26.6</v>
      </c>
      <c r="I439" s="6">
        <v>30.6</v>
      </c>
      <c r="J439" s="5">
        <v>357164</v>
      </c>
      <c r="K439" s="4" t="s">
        <v>1371</v>
      </c>
      <c r="L439" s="4" t="s">
        <v>141</v>
      </c>
      <c r="M439" s="4" t="s">
        <v>1372</v>
      </c>
      <c r="N439" s="7">
        <f>(12+15+22+22)/4</f>
      </c>
      <c r="O439" s="7">
        <f>(1.5+4+6+6)/4</f>
      </c>
    </row>
    <row x14ac:dyDescent="0.25" r="440" customHeight="1" ht="18.75">
      <c r="A440" s="4" t="s">
        <v>1373</v>
      </c>
      <c r="B440" s="4" t="s">
        <v>504</v>
      </c>
      <c r="C440" s="4" t="s">
        <v>53</v>
      </c>
      <c r="D440" s="5">
        <v>238</v>
      </c>
      <c r="E440" s="5">
        <v>4</v>
      </c>
      <c r="F440" s="5">
        <v>0</v>
      </c>
      <c r="G440" s="5">
        <v>0</v>
      </c>
      <c r="H440" s="6">
        <v>30.1</v>
      </c>
      <c r="I440" s="6">
        <v>30.2</v>
      </c>
      <c r="J440" s="5">
        <v>214715</v>
      </c>
      <c r="K440" s="4" t="s">
        <v>1374</v>
      </c>
      <c r="L440" s="4" t="s">
        <v>29</v>
      </c>
      <c r="M440" s="4" t="s">
        <v>1375</v>
      </c>
      <c r="N440" s="7">
        <f>(1.75+2+1.8)/3</f>
      </c>
      <c r="O440" s="7">
        <f>(1+1.5)/2</f>
      </c>
    </row>
    <row x14ac:dyDescent="0.25" r="441" customHeight="1" ht="18.75">
      <c r="A441" s="4" t="s">
        <v>1376</v>
      </c>
      <c r="B441" s="4" t="s">
        <v>420</v>
      </c>
      <c r="C441" s="4" t="s">
        <v>32</v>
      </c>
      <c r="D441" s="5">
        <v>236</v>
      </c>
      <c r="E441" s="5">
        <v>3</v>
      </c>
      <c r="F441" s="5">
        <v>0</v>
      </c>
      <c r="G441" s="5">
        <v>0</v>
      </c>
      <c r="H441" s="6">
        <v>26.5</v>
      </c>
      <c r="I441" s="6">
        <v>30.6</v>
      </c>
      <c r="J441" s="5">
        <v>130353</v>
      </c>
      <c r="K441" s="4" t="s">
        <v>1377</v>
      </c>
      <c r="L441" s="4" t="s">
        <v>1048</v>
      </c>
      <c r="M441" s="4" t="s">
        <v>1378</v>
      </c>
      <c r="N441" s="7">
        <f>(5+5)/2</f>
      </c>
      <c r="O441" s="7">
        <f>(1.5+2.8+5)/3</f>
      </c>
    </row>
    <row x14ac:dyDescent="0.25" r="442" customHeight="1" ht="18.75">
      <c r="A442" s="4" t="s">
        <v>1379</v>
      </c>
      <c r="B442" s="4" t="s">
        <v>40</v>
      </c>
      <c r="C442" s="4" t="s">
        <v>22</v>
      </c>
      <c r="D442" s="5">
        <v>235</v>
      </c>
      <c r="E442" s="5">
        <v>9</v>
      </c>
      <c r="F442" s="5">
        <v>2</v>
      </c>
      <c r="G442" s="5">
        <v>1</v>
      </c>
      <c r="H442" s="6">
        <v>30.5</v>
      </c>
      <c r="I442" s="6">
        <v>28.6</v>
      </c>
      <c r="J442" s="5">
        <v>282411</v>
      </c>
      <c r="K442" s="4" t="s">
        <v>1380</v>
      </c>
      <c r="L442" s="4" t="s">
        <v>55</v>
      </c>
      <c r="M442" s="4" t="s">
        <v>1381</v>
      </c>
      <c r="N442" s="7">
        <f>(20+30+20)/3</f>
      </c>
      <c r="O442" s="7">
        <f>(15+12+12+15)/4</f>
      </c>
    </row>
    <row x14ac:dyDescent="0.25" r="443" customHeight="1" ht="18.75">
      <c r="A443" s="4" t="s">
        <v>1382</v>
      </c>
      <c r="B443" s="4" t="s">
        <v>296</v>
      </c>
      <c r="C443" s="4" t="s">
        <v>22</v>
      </c>
      <c r="D443" s="5">
        <v>234</v>
      </c>
      <c r="E443" s="5">
        <v>4</v>
      </c>
      <c r="F443" s="5">
        <v>0</v>
      </c>
      <c r="G443" s="5">
        <v>2</v>
      </c>
      <c r="H443" s="5">
        <v>25</v>
      </c>
      <c r="I443" s="6">
        <v>32.2</v>
      </c>
      <c r="J443" s="5">
        <v>371998</v>
      </c>
      <c r="K443" s="4" t="s">
        <v>1383</v>
      </c>
      <c r="L443" s="4" t="s">
        <v>55</v>
      </c>
      <c r="M443" s="4" t="s">
        <v>1384</v>
      </c>
      <c r="N443" s="7">
        <f>(70+70+50)/3</f>
      </c>
      <c r="O443" s="7">
        <f>(35+35)/2</f>
      </c>
    </row>
    <row x14ac:dyDescent="0.25" r="444" customHeight="1" ht="18.75">
      <c r="A444" s="4" t="s">
        <v>1385</v>
      </c>
      <c r="B444" s="4" t="s">
        <v>522</v>
      </c>
      <c r="C444" s="4" t="s">
        <v>22</v>
      </c>
      <c r="D444" s="5">
        <v>231</v>
      </c>
      <c r="E444" s="5">
        <v>6</v>
      </c>
      <c r="F444" s="5">
        <v>1</v>
      </c>
      <c r="G444" s="5">
        <v>1</v>
      </c>
      <c r="H444" s="6">
        <v>30.7</v>
      </c>
      <c r="I444" s="6">
        <v>28.8</v>
      </c>
      <c r="J444" s="5">
        <v>49239</v>
      </c>
      <c r="K444" s="4" t="s">
        <v>1386</v>
      </c>
      <c r="L444" s="4" t="s">
        <v>327</v>
      </c>
      <c r="M444" s="4" t="s">
        <v>1387</v>
      </c>
      <c r="N444" s="7">
        <f>(5.5+3)/2</f>
      </c>
      <c r="O444" s="7">
        <f>(10+13+9)/3</f>
      </c>
    </row>
    <row x14ac:dyDescent="0.25" r="445" customHeight="1" ht="18.75">
      <c r="A445" s="4" t="s">
        <v>1388</v>
      </c>
      <c r="B445" s="4" t="s">
        <v>416</v>
      </c>
      <c r="C445" s="4" t="s">
        <v>53</v>
      </c>
      <c r="D445" s="5">
        <v>231</v>
      </c>
      <c r="E445" s="5">
        <v>6</v>
      </c>
      <c r="F445" s="5">
        <v>0</v>
      </c>
      <c r="G445" s="5">
        <v>0</v>
      </c>
      <c r="H445" s="6">
        <v>32.6</v>
      </c>
      <c r="I445" s="5">
        <v>29</v>
      </c>
      <c r="J445" s="5">
        <v>40372</v>
      </c>
      <c r="K445" s="4" t="s">
        <v>1389</v>
      </c>
      <c r="L445" s="4" t="s">
        <v>55</v>
      </c>
      <c r="M445" s="4" t="s">
        <v>1390</v>
      </c>
      <c r="N445" s="7">
        <f>(2.5+1.5)/2</f>
      </c>
      <c r="O445" s="7">
        <f>(6+4+4)/3</f>
      </c>
    </row>
    <row x14ac:dyDescent="0.25" r="446" customHeight="1" ht="18.75">
      <c r="A446" s="4" t="s">
        <v>1391</v>
      </c>
      <c r="B446" s="4" t="s">
        <v>471</v>
      </c>
      <c r="C446" s="4" t="s">
        <v>53</v>
      </c>
      <c r="D446" s="5">
        <v>230</v>
      </c>
      <c r="E446" s="5">
        <v>3</v>
      </c>
      <c r="F446" s="5">
        <v>0</v>
      </c>
      <c r="G446" s="5">
        <v>1</v>
      </c>
      <c r="H446" s="6">
        <v>30.6</v>
      </c>
      <c r="I446" s="6">
        <v>28.6</v>
      </c>
      <c r="J446" s="5">
        <v>263918</v>
      </c>
      <c r="K446" s="4" t="s">
        <v>1392</v>
      </c>
      <c r="L446" s="4" t="s">
        <v>492</v>
      </c>
      <c r="M446" s="4" t="s">
        <v>1393</v>
      </c>
      <c r="N446" s="7">
        <f>(25+25)/2</f>
      </c>
      <c r="O446" s="7">
        <f>(18+25+30+30)/4</f>
      </c>
    </row>
    <row x14ac:dyDescent="0.25" r="447" customHeight="1" ht="18.75">
      <c r="A447" s="4" t="s">
        <v>1394</v>
      </c>
      <c r="B447" s="4" t="s">
        <v>440</v>
      </c>
      <c r="C447" s="4" t="s">
        <v>53</v>
      </c>
      <c r="D447" s="5">
        <v>227</v>
      </c>
      <c r="E447" s="5">
        <v>4</v>
      </c>
      <c r="F447" s="5">
        <v>0</v>
      </c>
      <c r="G447" s="5">
        <v>0</v>
      </c>
      <c r="H447" s="6">
        <v>27.2</v>
      </c>
      <c r="I447" s="6">
        <v>31.5</v>
      </c>
      <c r="J447" s="5">
        <v>21101</v>
      </c>
      <c r="K447" s="4" t="s">
        <v>1395</v>
      </c>
      <c r="L447" s="4" t="s">
        <v>450</v>
      </c>
      <c r="M447" s="4" t="s">
        <v>1396</v>
      </c>
      <c r="N447" s="7">
        <f>(0.3+0.3)/2</f>
      </c>
      <c r="O447" s="7">
        <f>(0.5+0.5)/2</f>
      </c>
    </row>
    <row x14ac:dyDescent="0.25" r="448" customHeight="1" ht="18.75">
      <c r="A448" s="4" t="s">
        <v>1397</v>
      </c>
      <c r="B448" s="4" t="s">
        <v>296</v>
      </c>
      <c r="C448" s="4" t="s">
        <v>32</v>
      </c>
      <c r="D448" s="5">
        <v>227</v>
      </c>
      <c r="E448" s="5">
        <v>3</v>
      </c>
      <c r="F448" s="5">
        <v>0</v>
      </c>
      <c r="G448" s="5">
        <v>0</v>
      </c>
      <c r="H448" s="6">
        <v>30.8</v>
      </c>
      <c r="I448" s="6">
        <v>32.4</v>
      </c>
      <c r="J448" s="5">
        <v>280730</v>
      </c>
      <c r="K448" s="4" t="s">
        <v>1398</v>
      </c>
      <c r="L448" s="4" t="s">
        <v>55</v>
      </c>
      <c r="M448" s="4" t="s">
        <v>1399</v>
      </c>
      <c r="N448" s="7">
        <f>(25+20)/2</f>
      </c>
      <c r="O448" s="7">
        <f>(20+25+25+30+30)/5</f>
      </c>
    </row>
    <row x14ac:dyDescent="0.25" r="449" customHeight="1" ht="18.75">
      <c r="A449" s="4" t="s">
        <v>1400</v>
      </c>
      <c r="B449" s="4" t="s">
        <v>478</v>
      </c>
      <c r="C449" s="4" t="s">
        <v>53</v>
      </c>
      <c r="D449" s="5">
        <v>226</v>
      </c>
      <c r="E449" s="5">
        <v>4</v>
      </c>
      <c r="F449" s="5">
        <v>0</v>
      </c>
      <c r="G449" s="5">
        <v>0</v>
      </c>
      <c r="H449" s="6">
        <v>30.9</v>
      </c>
      <c r="I449" s="6">
        <v>30.4</v>
      </c>
      <c r="J449" s="5">
        <v>237658</v>
      </c>
      <c r="K449" s="4" t="s">
        <v>1401</v>
      </c>
      <c r="L449" s="4" t="s">
        <v>59</v>
      </c>
      <c r="M449" s="4" t="s">
        <v>1402</v>
      </c>
      <c r="N449" s="7">
        <f>(3+4.5+4.5)/3</f>
      </c>
      <c r="O449" s="7">
        <f>(0.9+0.9+2+2.5)/4</f>
      </c>
    </row>
    <row x14ac:dyDescent="0.25" r="450" customHeight="1" ht="18.75">
      <c r="A450" s="4" t="s">
        <v>1403</v>
      </c>
      <c r="B450" s="4" t="s">
        <v>522</v>
      </c>
      <c r="C450" s="4" t="s">
        <v>53</v>
      </c>
      <c r="D450" s="5">
        <v>225</v>
      </c>
      <c r="E450" s="5">
        <v>3</v>
      </c>
      <c r="F450" s="5">
        <v>0</v>
      </c>
      <c r="G450" s="5">
        <v>0</v>
      </c>
      <c r="H450" s="6">
        <v>28.8</v>
      </c>
      <c r="I450" s="6">
        <v>27.9</v>
      </c>
      <c r="J450" s="5">
        <v>142031</v>
      </c>
      <c r="K450" s="4" t="s">
        <v>1404</v>
      </c>
      <c r="L450" s="4" t="s">
        <v>55</v>
      </c>
      <c r="M450" s="4" t="s">
        <v>1405</v>
      </c>
      <c r="N450" s="7">
        <f>(8+14)/2</f>
      </c>
      <c r="O450" s="7">
        <f>(8+8+8)/3</f>
      </c>
    </row>
    <row x14ac:dyDescent="0.25" r="451" customHeight="1" ht="18.75">
      <c r="A451" s="4" t="s">
        <v>1406</v>
      </c>
      <c r="B451" s="4" t="s">
        <v>424</v>
      </c>
      <c r="C451" s="4" t="s">
        <v>32</v>
      </c>
      <c r="D451" s="5">
        <v>225</v>
      </c>
      <c r="E451" s="5">
        <v>3</v>
      </c>
      <c r="F451" s="5">
        <v>0</v>
      </c>
      <c r="G451" s="5">
        <v>0</v>
      </c>
      <c r="H451" s="6">
        <v>26.8</v>
      </c>
      <c r="I451" s="6">
        <v>28.8</v>
      </c>
      <c r="J451" s="5">
        <v>165825</v>
      </c>
      <c r="K451" s="4" t="s">
        <v>1407</v>
      </c>
      <c r="L451" s="4" t="s">
        <v>849</v>
      </c>
      <c r="M451" s="4" t="s">
        <v>1408</v>
      </c>
      <c r="N451" s="7">
        <f>5</f>
      </c>
      <c r="O451" s="7">
        <f>(1+1.8+2.5+3)/4</f>
      </c>
    </row>
    <row x14ac:dyDescent="0.25" r="452" customHeight="1" ht="18.75">
      <c r="A452" s="4" t="s">
        <v>1409</v>
      </c>
      <c r="B452" s="4" t="s">
        <v>504</v>
      </c>
      <c r="C452" s="4" t="s">
        <v>32</v>
      </c>
      <c r="D452" s="5">
        <v>225</v>
      </c>
      <c r="E452" s="5">
        <v>3</v>
      </c>
      <c r="F452" s="5">
        <v>0</v>
      </c>
      <c r="G452" s="5">
        <v>0</v>
      </c>
      <c r="H452" s="6">
        <v>24.7</v>
      </c>
      <c r="I452" s="6">
        <v>26.5</v>
      </c>
      <c r="J452" s="5">
        <v>222805</v>
      </c>
      <c r="K452" s="4" t="s">
        <v>1410</v>
      </c>
      <c r="L452" s="4" t="s">
        <v>29</v>
      </c>
      <c r="M452" s="4" t="s">
        <v>1411</v>
      </c>
      <c r="N452" s="7">
        <f>(1.5+1.75+1.5)/3</f>
      </c>
      <c r="O452" s="7">
        <f>(0.85+1)/2</f>
      </c>
    </row>
    <row x14ac:dyDescent="0.25" r="453" customHeight="1" ht="18.75">
      <c r="A453" s="4" t="s">
        <v>1412</v>
      </c>
      <c r="B453" s="4" t="s">
        <v>504</v>
      </c>
      <c r="C453" s="4" t="s">
        <v>32</v>
      </c>
      <c r="D453" s="5">
        <v>225</v>
      </c>
      <c r="E453" s="5">
        <v>3</v>
      </c>
      <c r="F453" s="5">
        <v>0</v>
      </c>
      <c r="G453" s="5">
        <v>0</v>
      </c>
      <c r="H453" s="5">
        <v>23</v>
      </c>
      <c r="I453" s="6">
        <v>29.9</v>
      </c>
      <c r="J453" s="5">
        <v>266302</v>
      </c>
      <c r="K453" s="4" t="s">
        <v>1413</v>
      </c>
      <c r="L453" s="4" t="s">
        <v>29</v>
      </c>
      <c r="M453" s="4" t="s">
        <v>1414</v>
      </c>
      <c r="N453" s="7">
        <f>(65+70)/2</f>
      </c>
      <c r="O453" s="7">
        <f>(70+90+75)/3</f>
      </c>
    </row>
    <row x14ac:dyDescent="0.25" r="454" customHeight="1" ht="18.75">
      <c r="A454" s="4" t="s">
        <v>1415</v>
      </c>
      <c r="B454" s="4" t="s">
        <v>440</v>
      </c>
      <c r="C454" s="4" t="s">
        <v>32</v>
      </c>
      <c r="D454" s="5">
        <v>224</v>
      </c>
      <c r="E454" s="5">
        <v>4</v>
      </c>
      <c r="F454" s="5">
        <v>0</v>
      </c>
      <c r="G454" s="5">
        <v>0</v>
      </c>
      <c r="H454" s="6">
        <v>26.7</v>
      </c>
      <c r="I454" s="5">
        <v>29</v>
      </c>
      <c r="J454" s="5">
        <v>566626</v>
      </c>
      <c r="K454" s="4" t="s">
        <v>1416</v>
      </c>
      <c r="L454" s="4" t="s">
        <v>327</v>
      </c>
      <c r="M454" s="4" t="s">
        <v>1417</v>
      </c>
      <c r="N454" s="4"/>
      <c r="O454" s="4"/>
    </row>
    <row x14ac:dyDescent="0.25" r="455" customHeight="1" ht="18.75">
      <c r="A455" s="4" t="s">
        <v>1418</v>
      </c>
      <c r="B455" s="4" t="s">
        <v>748</v>
      </c>
      <c r="C455" s="4" t="s">
        <v>22</v>
      </c>
      <c r="D455" s="5">
        <v>223</v>
      </c>
      <c r="E455" s="5">
        <v>4</v>
      </c>
      <c r="F455" s="5">
        <v>2</v>
      </c>
      <c r="G455" s="5">
        <v>0</v>
      </c>
      <c r="H455" s="6">
        <v>26.7</v>
      </c>
      <c r="I455" s="6">
        <v>29.9</v>
      </c>
      <c r="J455" s="5">
        <v>255653</v>
      </c>
      <c r="K455" s="4" t="s">
        <v>1419</v>
      </c>
      <c r="L455" s="4" t="s">
        <v>55</v>
      </c>
      <c r="M455" s="4" t="s">
        <v>1420</v>
      </c>
      <c r="N455" s="7">
        <f>(30+18)/2</f>
      </c>
      <c r="O455" s="7">
        <f>(10+20+20+25)/4</f>
      </c>
    </row>
    <row x14ac:dyDescent="0.25" r="456" customHeight="1" ht="18.75">
      <c r="A456" s="4" t="s">
        <v>1421</v>
      </c>
      <c r="B456" s="4" t="s">
        <v>553</v>
      </c>
      <c r="C456" s="4" t="s">
        <v>22</v>
      </c>
      <c r="D456" s="5">
        <v>223</v>
      </c>
      <c r="E456" s="5">
        <v>3</v>
      </c>
      <c r="F456" s="5">
        <v>0</v>
      </c>
      <c r="G456" s="5">
        <v>0</v>
      </c>
      <c r="H456" s="6">
        <v>23.8</v>
      </c>
      <c r="I456" s="6">
        <v>32.2</v>
      </c>
      <c r="J456" s="5">
        <v>196524</v>
      </c>
      <c r="K456" s="4" t="s">
        <v>1422</v>
      </c>
      <c r="L456" s="4" t="s">
        <v>830</v>
      </c>
      <c r="M456" s="4" t="s">
        <v>1175</v>
      </c>
      <c r="N456" s="7">
        <f>(2+1.3+1.2)/3</f>
      </c>
      <c r="O456" s="7">
        <f>(2+2)/2</f>
      </c>
    </row>
    <row x14ac:dyDescent="0.25" r="457" customHeight="1" ht="18.75">
      <c r="A457" s="4" t="s">
        <v>787</v>
      </c>
      <c r="B457" s="4" t="s">
        <v>436</v>
      </c>
      <c r="C457" s="4" t="s">
        <v>53</v>
      </c>
      <c r="D457" s="5">
        <v>219</v>
      </c>
      <c r="E457" s="5">
        <v>4</v>
      </c>
      <c r="F457" s="5">
        <v>0</v>
      </c>
      <c r="G457" s="5">
        <v>0</v>
      </c>
      <c r="H457" s="6">
        <v>28.6</v>
      </c>
      <c r="I457" s="6">
        <v>30.2</v>
      </c>
      <c r="J457" s="5">
        <v>655488</v>
      </c>
      <c r="K457" s="4" t="s">
        <v>788</v>
      </c>
      <c r="L457" s="4" t="s">
        <v>19</v>
      </c>
      <c r="M457" s="4" t="s">
        <v>789</v>
      </c>
      <c r="N457" s="7">
        <f>(5+8+18)/3</f>
      </c>
      <c r="O457" s="4"/>
    </row>
    <row x14ac:dyDescent="0.25" r="458" customHeight="1" ht="18.75">
      <c r="A458" s="4" t="s">
        <v>1423</v>
      </c>
      <c r="B458" s="4" t="s">
        <v>748</v>
      </c>
      <c r="C458" s="4" t="s">
        <v>32</v>
      </c>
      <c r="D458" s="5">
        <v>219</v>
      </c>
      <c r="E458" s="5">
        <v>3</v>
      </c>
      <c r="F458" s="5">
        <v>0</v>
      </c>
      <c r="G458" s="5">
        <v>0</v>
      </c>
      <c r="H458" s="6">
        <v>22.5</v>
      </c>
      <c r="I458" s="6">
        <v>29.7</v>
      </c>
      <c r="J458" s="5">
        <v>35939</v>
      </c>
      <c r="K458" s="4" t="s">
        <v>1424</v>
      </c>
      <c r="L458" s="4" t="s">
        <v>127</v>
      </c>
      <c r="M458" s="4" t="s">
        <v>1425</v>
      </c>
      <c r="N458" s="7">
        <f>(8+8)/2</f>
      </c>
      <c r="O458" s="7">
        <f>(15+12+9)/3</f>
      </c>
    </row>
    <row x14ac:dyDescent="0.25" r="459" customHeight="1" ht="18.75">
      <c r="A459" s="4" t="s">
        <v>1426</v>
      </c>
      <c r="B459" s="4" t="s">
        <v>16</v>
      </c>
      <c r="C459" s="4" t="s">
        <v>22</v>
      </c>
      <c r="D459" s="5">
        <v>217</v>
      </c>
      <c r="E459" s="5">
        <v>8</v>
      </c>
      <c r="F459" s="5">
        <v>3</v>
      </c>
      <c r="G459" s="5">
        <v>0</v>
      </c>
      <c r="H459" s="6">
        <v>28.1</v>
      </c>
      <c r="I459" s="6">
        <v>34.5</v>
      </c>
      <c r="J459" s="5">
        <v>148368</v>
      </c>
      <c r="K459" s="4" t="s">
        <v>1427</v>
      </c>
      <c r="L459" s="4" t="s">
        <v>42</v>
      </c>
      <c r="M459" s="4" t="s">
        <v>1428</v>
      </c>
      <c r="N459" s="7">
        <f>(20+20)/2</f>
      </c>
      <c r="O459" s="7">
        <f>(10+10+10)/3</f>
      </c>
    </row>
    <row x14ac:dyDescent="0.25" r="460" customHeight="1" ht="18.75">
      <c r="A460" s="4" t="s">
        <v>1429</v>
      </c>
      <c r="B460" s="4" t="s">
        <v>504</v>
      </c>
      <c r="C460" s="4" t="s">
        <v>22</v>
      </c>
      <c r="D460" s="5">
        <v>216</v>
      </c>
      <c r="E460" s="5">
        <v>4</v>
      </c>
      <c r="F460" s="5">
        <v>2</v>
      </c>
      <c r="G460" s="5">
        <v>0</v>
      </c>
      <c r="H460" s="6">
        <v>23.9</v>
      </c>
      <c r="I460" s="6">
        <v>26.8</v>
      </c>
      <c r="J460" s="5">
        <v>386224</v>
      </c>
      <c r="K460" s="4" t="s">
        <v>1430</v>
      </c>
      <c r="L460" s="4" t="s">
        <v>29</v>
      </c>
      <c r="M460" s="4" t="s">
        <v>1431</v>
      </c>
      <c r="N460" s="7">
        <f>(2.5+4+4.5)/3</f>
      </c>
      <c r="O460" s="7">
        <f>(0.8+1.25)/2</f>
      </c>
    </row>
    <row x14ac:dyDescent="0.25" r="461" customHeight="1" ht="18.75">
      <c r="A461" s="4" t="s">
        <v>1432</v>
      </c>
      <c r="B461" s="4" t="s">
        <v>230</v>
      </c>
      <c r="C461" s="4" t="s">
        <v>22</v>
      </c>
      <c r="D461" s="5">
        <v>215</v>
      </c>
      <c r="E461" s="5">
        <v>5</v>
      </c>
      <c r="F461" s="5">
        <v>3</v>
      </c>
      <c r="G461" s="5">
        <v>0</v>
      </c>
      <c r="H461" s="6">
        <v>27.2</v>
      </c>
      <c r="I461" s="6">
        <v>33.3</v>
      </c>
      <c r="J461" s="5">
        <v>234781</v>
      </c>
      <c r="K461" s="4" t="s">
        <v>1433</v>
      </c>
      <c r="L461" s="4" t="s">
        <v>71</v>
      </c>
      <c r="M461" s="4" t="s">
        <v>1434</v>
      </c>
      <c r="N461" s="7">
        <f>(15+13)/2</f>
      </c>
      <c r="O461" s="7">
        <f>(18+15+15+12+12)/5</f>
      </c>
    </row>
    <row x14ac:dyDescent="0.25" r="462" customHeight="1" ht="18.75">
      <c r="A462" s="4" t="s">
        <v>1435</v>
      </c>
      <c r="B462" s="4" t="s">
        <v>440</v>
      </c>
      <c r="C462" s="4" t="s">
        <v>53</v>
      </c>
      <c r="D462" s="5">
        <v>215</v>
      </c>
      <c r="E462" s="5">
        <v>5</v>
      </c>
      <c r="F462" s="5">
        <v>0</v>
      </c>
      <c r="G462" s="5">
        <v>0</v>
      </c>
      <c r="H462" s="6">
        <v>27.9</v>
      </c>
      <c r="I462" s="6">
        <v>28.8</v>
      </c>
      <c r="J462" s="5">
        <v>70153</v>
      </c>
      <c r="K462" s="4" t="s">
        <v>1436</v>
      </c>
      <c r="L462" s="4" t="s">
        <v>450</v>
      </c>
      <c r="M462" s="4" t="s">
        <v>1437</v>
      </c>
      <c r="N462" s="7">
        <f>(1.5+1+0.8+0.8)/4</f>
      </c>
      <c r="O462" s="7">
        <f>(2.8+2.5)/2</f>
      </c>
    </row>
    <row x14ac:dyDescent="0.25" r="463" customHeight="1" ht="18.75">
      <c r="A463" s="4" t="s">
        <v>1438</v>
      </c>
      <c r="B463" s="4" t="s">
        <v>420</v>
      </c>
      <c r="C463" s="4" t="s">
        <v>32</v>
      </c>
      <c r="D463" s="5">
        <v>213</v>
      </c>
      <c r="E463" s="5">
        <v>3</v>
      </c>
      <c r="F463" s="5">
        <v>1</v>
      </c>
      <c r="G463" s="5">
        <v>0</v>
      </c>
      <c r="H463" s="6">
        <v>27.5</v>
      </c>
      <c r="I463" s="6">
        <v>27.2</v>
      </c>
      <c r="J463" s="5">
        <v>70097</v>
      </c>
      <c r="K463" s="4" t="s">
        <v>1439</v>
      </c>
      <c r="L463" s="4" t="s">
        <v>492</v>
      </c>
      <c r="M463" s="4" t="s">
        <v>1440</v>
      </c>
      <c r="N463" s="7">
        <f>(5+3.5)/2</f>
      </c>
      <c r="O463" s="7">
        <f>(5+5)/2</f>
      </c>
    </row>
    <row x14ac:dyDescent="0.25" r="464" customHeight="1" ht="18.75">
      <c r="A464" s="4" t="s">
        <v>1441</v>
      </c>
      <c r="B464" s="4" t="s">
        <v>285</v>
      </c>
      <c r="C464" s="4" t="s">
        <v>32</v>
      </c>
      <c r="D464" s="5">
        <v>212</v>
      </c>
      <c r="E464" s="5">
        <v>3</v>
      </c>
      <c r="F464" s="5">
        <v>0</v>
      </c>
      <c r="G464" s="5">
        <v>0</v>
      </c>
      <c r="H464" s="6">
        <v>22.1</v>
      </c>
      <c r="I464" s="5">
        <v>32</v>
      </c>
      <c r="J464" s="5">
        <v>121985</v>
      </c>
      <c r="K464" s="4" t="s">
        <v>1442</v>
      </c>
      <c r="L464" s="4" t="s">
        <v>19</v>
      </c>
      <c r="M464" s="4" t="s">
        <v>1443</v>
      </c>
      <c r="N464" s="7">
        <f>(9+7)/2</f>
      </c>
      <c r="O464" s="7">
        <f>(13+11)/2</f>
      </c>
    </row>
    <row x14ac:dyDescent="0.25" r="465" customHeight="1" ht="18.75">
      <c r="A465" s="4" t="s">
        <v>1444</v>
      </c>
      <c r="B465" s="4" t="s">
        <v>316</v>
      </c>
      <c r="C465" s="4" t="s">
        <v>53</v>
      </c>
      <c r="D465" s="5">
        <v>211</v>
      </c>
      <c r="E465" s="5">
        <v>4</v>
      </c>
      <c r="F465" s="5">
        <v>0</v>
      </c>
      <c r="G465" s="5">
        <v>0</v>
      </c>
      <c r="H465" s="6">
        <v>29.4</v>
      </c>
      <c r="I465" s="6">
        <v>29.2</v>
      </c>
      <c r="J465" s="5">
        <v>84181</v>
      </c>
      <c r="K465" s="4"/>
      <c r="L465" s="4" t="s">
        <v>84</v>
      </c>
      <c r="M465" s="4" t="s">
        <v>1445</v>
      </c>
      <c r="N465" s="4"/>
      <c r="O465" s="4"/>
    </row>
    <row x14ac:dyDescent="0.25" r="466" customHeight="1" ht="18.75">
      <c r="A466" s="4" t="s">
        <v>1446</v>
      </c>
      <c r="B466" s="4" t="s">
        <v>428</v>
      </c>
      <c r="C466" s="4" t="s">
        <v>22</v>
      </c>
      <c r="D466" s="5">
        <v>208</v>
      </c>
      <c r="E466" s="5">
        <v>4</v>
      </c>
      <c r="F466" s="5">
        <v>0</v>
      </c>
      <c r="G466" s="5">
        <v>0</v>
      </c>
      <c r="H466" s="6">
        <v>26.9</v>
      </c>
      <c r="I466" s="6">
        <v>31.7</v>
      </c>
      <c r="J466" s="5">
        <v>249568</v>
      </c>
      <c r="K466" s="4" t="s">
        <v>1447</v>
      </c>
      <c r="L466" s="4" t="s">
        <v>42</v>
      </c>
      <c r="M466" s="4" t="s">
        <v>1448</v>
      </c>
      <c r="N466" s="7">
        <f>(0.75+0.7)/2</f>
      </c>
      <c r="O466" s="7">
        <f>(0.25+0.25+0.75)/3</f>
      </c>
    </row>
    <row x14ac:dyDescent="0.25" r="467" customHeight="1" ht="18.75">
      <c r="A467" s="4" t="s">
        <v>1248</v>
      </c>
      <c r="B467" s="4" t="s">
        <v>428</v>
      </c>
      <c r="C467" s="4" t="s">
        <v>32</v>
      </c>
      <c r="D467" s="5">
        <v>208</v>
      </c>
      <c r="E467" s="5">
        <v>4</v>
      </c>
      <c r="F467" s="5">
        <v>0</v>
      </c>
      <c r="G467" s="5">
        <v>0</v>
      </c>
      <c r="H467" s="6">
        <v>25.7</v>
      </c>
      <c r="I467" s="6">
        <v>29.5</v>
      </c>
      <c r="J467" s="5">
        <v>44068</v>
      </c>
      <c r="K467" s="4" t="s">
        <v>1249</v>
      </c>
      <c r="L467" s="4" t="s">
        <v>55</v>
      </c>
      <c r="M467" s="4" t="s">
        <v>1250</v>
      </c>
      <c r="N467" s="7">
        <f>(20+15)/2</f>
      </c>
      <c r="O467" s="7">
        <f>(30+30+25)/3</f>
      </c>
    </row>
    <row x14ac:dyDescent="0.25" r="468" customHeight="1" ht="18.75">
      <c r="A468" s="4" t="s">
        <v>1449</v>
      </c>
      <c r="B468" s="4" t="s">
        <v>504</v>
      </c>
      <c r="C468" s="4" t="s">
        <v>53</v>
      </c>
      <c r="D468" s="5">
        <v>207</v>
      </c>
      <c r="E468" s="5">
        <v>5</v>
      </c>
      <c r="F468" s="5">
        <v>0</v>
      </c>
      <c r="G468" s="5">
        <v>0</v>
      </c>
      <c r="H468" s="6">
        <v>28.3</v>
      </c>
      <c r="I468" s="6">
        <v>31.5</v>
      </c>
      <c r="J468" s="5">
        <v>2540</v>
      </c>
      <c r="K468" s="4" t="s">
        <v>1450</v>
      </c>
      <c r="L468" s="4" t="s">
        <v>378</v>
      </c>
      <c r="M468" s="4" t="s">
        <v>1451</v>
      </c>
      <c r="N468" s="4"/>
      <c r="O468" s="4"/>
    </row>
    <row x14ac:dyDescent="0.25" r="469" customHeight="1" ht="18.75">
      <c r="A469" s="4" t="s">
        <v>1452</v>
      </c>
      <c r="B469" s="4" t="s">
        <v>186</v>
      </c>
      <c r="C469" s="4" t="s">
        <v>22</v>
      </c>
      <c r="D469" s="5">
        <v>206</v>
      </c>
      <c r="E469" s="5">
        <v>4</v>
      </c>
      <c r="F469" s="5">
        <v>0</v>
      </c>
      <c r="G469" s="5">
        <v>0</v>
      </c>
      <c r="H469" s="6">
        <v>22.7</v>
      </c>
      <c r="I469" s="6">
        <v>30.4</v>
      </c>
      <c r="J469" s="5">
        <v>40433</v>
      </c>
      <c r="K469" s="4" t="s">
        <v>1453</v>
      </c>
      <c r="L469" s="4" t="s">
        <v>313</v>
      </c>
      <c r="M469" s="4" t="s">
        <v>314</v>
      </c>
      <c r="N469" s="7">
        <f>(35+25)/2</f>
      </c>
      <c r="O469" s="7">
        <f>(70+70+55+45)/4</f>
      </c>
    </row>
    <row x14ac:dyDescent="0.25" r="470" customHeight="1" ht="18.75">
      <c r="A470" s="4" t="s">
        <v>1454</v>
      </c>
      <c r="B470" s="4" t="s">
        <v>424</v>
      </c>
      <c r="C470" s="4" t="s">
        <v>53</v>
      </c>
      <c r="D470" s="5">
        <v>205</v>
      </c>
      <c r="E470" s="5">
        <v>5</v>
      </c>
      <c r="F470" s="5">
        <v>0</v>
      </c>
      <c r="G470" s="5">
        <v>1</v>
      </c>
      <c r="H470" s="5">
        <v>28</v>
      </c>
      <c r="I470" s="6">
        <v>28.6</v>
      </c>
      <c r="J470" s="5">
        <v>104505</v>
      </c>
      <c r="K470" s="4" t="s">
        <v>1455</v>
      </c>
      <c r="L470" s="4" t="s">
        <v>19</v>
      </c>
      <c r="M470" s="4" t="s">
        <v>1247</v>
      </c>
      <c r="N470" s="7">
        <f>4</f>
      </c>
      <c r="O470" s="7">
        <f>(2+3.5+4)/3</f>
      </c>
    </row>
    <row x14ac:dyDescent="0.25" r="471" customHeight="1" ht="18.75">
      <c r="A471" s="4" t="s">
        <v>1456</v>
      </c>
      <c r="B471" s="4" t="s">
        <v>139</v>
      </c>
      <c r="C471" s="4" t="s">
        <v>32</v>
      </c>
      <c r="D471" s="5">
        <v>205</v>
      </c>
      <c r="E471" s="5">
        <v>4</v>
      </c>
      <c r="F471" s="5">
        <v>0</v>
      </c>
      <c r="G471" s="5">
        <v>0</v>
      </c>
      <c r="H471" s="6">
        <v>24.4</v>
      </c>
      <c r="I471" s="5">
        <v>31</v>
      </c>
      <c r="J471" s="5">
        <v>9594</v>
      </c>
      <c r="K471" s="4" t="s">
        <v>1457</v>
      </c>
      <c r="L471" s="4" t="s">
        <v>42</v>
      </c>
      <c r="M471" s="4" t="s">
        <v>1458</v>
      </c>
      <c r="N471" s="7">
        <f>(8+6.5+5)/3</f>
      </c>
      <c r="O471" s="7">
        <f>(10+10+10)/3</f>
      </c>
    </row>
    <row x14ac:dyDescent="0.25" r="472" customHeight="1" ht="18.75">
      <c r="A472" s="4" t="s">
        <v>1459</v>
      </c>
      <c r="B472" s="4" t="s">
        <v>266</v>
      </c>
      <c r="C472" s="4" t="s">
        <v>32</v>
      </c>
      <c r="D472" s="5">
        <v>205</v>
      </c>
      <c r="E472" s="5">
        <v>3</v>
      </c>
      <c r="F472" s="5">
        <v>0</v>
      </c>
      <c r="G472" s="5">
        <v>0</v>
      </c>
      <c r="H472" s="6">
        <v>24.6</v>
      </c>
      <c r="I472" s="6">
        <v>27.4</v>
      </c>
      <c r="J472" s="5">
        <v>15951</v>
      </c>
      <c r="K472" s="4" t="s">
        <v>1460</v>
      </c>
      <c r="L472" s="4" t="s">
        <v>55</v>
      </c>
      <c r="M472" s="4" t="s">
        <v>1461</v>
      </c>
      <c r="N472" s="7">
        <f>(2.5+2)/2</f>
      </c>
      <c r="O472" s="7">
        <f>(6+4+3)/3</f>
      </c>
    </row>
    <row x14ac:dyDescent="0.25" r="473" customHeight="1" ht="18.75">
      <c r="A473" s="4" t="s">
        <v>1462</v>
      </c>
      <c r="B473" s="4" t="s">
        <v>459</v>
      </c>
      <c r="C473" s="4" t="s">
        <v>53</v>
      </c>
      <c r="D473" s="5">
        <v>200</v>
      </c>
      <c r="E473" s="5">
        <v>4</v>
      </c>
      <c r="F473" s="5">
        <v>0</v>
      </c>
      <c r="G473" s="5">
        <v>0</v>
      </c>
      <c r="H473" s="6">
        <v>24.6</v>
      </c>
      <c r="I473" s="6">
        <v>28.4</v>
      </c>
      <c r="J473" s="5">
        <v>465317</v>
      </c>
      <c r="K473" s="4" t="s">
        <v>1463</v>
      </c>
      <c r="L473" s="4" t="s">
        <v>145</v>
      </c>
      <c r="M473" s="4" t="s">
        <v>1464</v>
      </c>
      <c r="N473" s="7">
        <f>(0.15+0.15)/2</f>
      </c>
      <c r="O473" s="7">
        <f>0.15</f>
      </c>
    </row>
    <row x14ac:dyDescent="0.25" r="474" customHeight="1" ht="18.75">
      <c r="A474" s="4" t="s">
        <v>1465</v>
      </c>
      <c r="B474" s="4" t="s">
        <v>478</v>
      </c>
      <c r="C474" s="4" t="s">
        <v>53</v>
      </c>
      <c r="D474" s="5">
        <v>198</v>
      </c>
      <c r="E474" s="5">
        <v>6</v>
      </c>
      <c r="F474" s="5">
        <v>0</v>
      </c>
      <c r="G474" s="5">
        <v>1</v>
      </c>
      <c r="H474" s="6">
        <v>28.5</v>
      </c>
      <c r="I474" s="6">
        <v>31.5</v>
      </c>
      <c r="J474" s="5">
        <v>266768</v>
      </c>
      <c r="K474" s="4" t="s">
        <v>1466</v>
      </c>
      <c r="L474" s="4" t="s">
        <v>1467</v>
      </c>
      <c r="M474" s="4" t="s">
        <v>1468</v>
      </c>
      <c r="N474" s="7">
        <f>(3.75+3.75+3.75+6)/4</f>
      </c>
      <c r="O474" s="7">
        <f>(1.5+1.5+2.5+3.75)/4</f>
      </c>
    </row>
    <row x14ac:dyDescent="0.25" r="475" customHeight="1" ht="18.75">
      <c r="A475" s="4" t="s">
        <v>1469</v>
      </c>
      <c r="B475" s="4" t="s">
        <v>230</v>
      </c>
      <c r="C475" s="4" t="s">
        <v>32</v>
      </c>
      <c r="D475" s="5">
        <v>196</v>
      </c>
      <c r="E475" s="5">
        <v>3</v>
      </c>
      <c r="F475" s="5">
        <v>0</v>
      </c>
      <c r="G475" s="5">
        <v>0</v>
      </c>
      <c r="H475" s="6">
        <v>22.8</v>
      </c>
      <c r="I475" s="6">
        <v>31.3</v>
      </c>
      <c r="J475" s="5">
        <v>371256</v>
      </c>
      <c r="K475" s="4" t="s">
        <v>1470</v>
      </c>
      <c r="L475" s="4" t="s">
        <v>19</v>
      </c>
      <c r="M475" s="4" t="s">
        <v>1471</v>
      </c>
      <c r="N475" s="7">
        <f>(10+15)/2</f>
      </c>
      <c r="O475" s="4"/>
    </row>
    <row x14ac:dyDescent="0.25" r="476" customHeight="1" ht="18.75">
      <c r="A476" s="4" t="s">
        <v>1472</v>
      </c>
      <c r="B476" s="4" t="s">
        <v>316</v>
      </c>
      <c r="C476" s="4" t="s">
        <v>32</v>
      </c>
      <c r="D476" s="5">
        <v>193</v>
      </c>
      <c r="E476" s="5">
        <v>3</v>
      </c>
      <c r="F476" s="5">
        <v>0</v>
      </c>
      <c r="G476" s="5">
        <v>0</v>
      </c>
      <c r="H476" s="6">
        <v>22.9</v>
      </c>
      <c r="I476" s="6">
        <v>32.2</v>
      </c>
      <c r="J476" s="5">
        <v>35208</v>
      </c>
      <c r="K476" s="4" t="s">
        <v>1473</v>
      </c>
      <c r="L476" s="4" t="s">
        <v>84</v>
      </c>
      <c r="M476" s="4" t="s">
        <v>1474</v>
      </c>
      <c r="N476" s="7">
        <f>(2.5+1.7)/2</f>
      </c>
      <c r="O476" s="7">
        <f>(5+5)/2</f>
      </c>
    </row>
    <row x14ac:dyDescent="0.25" r="477" customHeight="1" ht="18.75">
      <c r="A477" s="4" t="s">
        <v>1475</v>
      </c>
      <c r="B477" s="4" t="s">
        <v>186</v>
      </c>
      <c r="C477" s="4" t="s">
        <v>53</v>
      </c>
      <c r="D477" s="5">
        <v>190</v>
      </c>
      <c r="E477" s="5">
        <v>4</v>
      </c>
      <c r="F477" s="5">
        <v>0</v>
      </c>
      <c r="G477" s="5">
        <v>0</v>
      </c>
      <c r="H477" s="5">
        <v>25</v>
      </c>
      <c r="I477" s="6">
        <v>30.6</v>
      </c>
      <c r="J477" s="5">
        <v>137264</v>
      </c>
      <c r="K477" s="4"/>
      <c r="L477" s="4" t="s">
        <v>19</v>
      </c>
      <c r="M477" s="4" t="s">
        <v>1476</v>
      </c>
      <c r="N477" s="4"/>
      <c r="O477" s="4"/>
    </row>
    <row x14ac:dyDescent="0.25" r="478" customHeight="1" ht="18.75">
      <c r="A478" s="4" t="s">
        <v>1477</v>
      </c>
      <c r="B478" s="4" t="s">
        <v>504</v>
      </c>
      <c r="C478" s="4" t="s">
        <v>22</v>
      </c>
      <c r="D478" s="5">
        <v>189</v>
      </c>
      <c r="E478" s="5">
        <v>3</v>
      </c>
      <c r="F478" s="5">
        <v>0</v>
      </c>
      <c r="G478" s="5">
        <v>0</v>
      </c>
      <c r="H478" s="6">
        <v>20.6</v>
      </c>
      <c r="I478" s="5">
        <v>31</v>
      </c>
      <c r="J478" s="5">
        <v>119213</v>
      </c>
      <c r="K478" s="4" t="s">
        <v>1478</v>
      </c>
      <c r="L478" s="4" t="s">
        <v>350</v>
      </c>
      <c r="M478" s="4" t="s">
        <v>774</v>
      </c>
      <c r="N478" s="7">
        <f>(4+3.5+3.8)/3</f>
      </c>
      <c r="O478" s="7">
        <f>(6+5+4.5)/3</f>
      </c>
    </row>
    <row x14ac:dyDescent="0.25" r="479" customHeight="1" ht="18.75">
      <c r="A479" s="4" t="s">
        <v>1479</v>
      </c>
      <c r="B479" s="4" t="s">
        <v>416</v>
      </c>
      <c r="C479" s="4" t="s">
        <v>32</v>
      </c>
      <c r="D479" s="5">
        <v>188</v>
      </c>
      <c r="E479" s="5">
        <v>3</v>
      </c>
      <c r="F479" s="5">
        <v>0</v>
      </c>
      <c r="G479" s="5">
        <v>0</v>
      </c>
      <c r="H479" s="6">
        <v>19.7</v>
      </c>
      <c r="I479" s="6">
        <v>30.2</v>
      </c>
      <c r="J479" s="5">
        <v>236132</v>
      </c>
      <c r="K479" s="4"/>
      <c r="L479" s="4" t="s">
        <v>19</v>
      </c>
      <c r="M479" s="4" t="s">
        <v>1480</v>
      </c>
      <c r="N479" s="4"/>
      <c r="O479" s="4"/>
    </row>
    <row x14ac:dyDescent="0.25" r="480" customHeight="1" ht="18.75">
      <c r="A480" s="4" t="s">
        <v>1481</v>
      </c>
      <c r="B480" s="4" t="s">
        <v>512</v>
      </c>
      <c r="C480" s="4" t="s">
        <v>22</v>
      </c>
      <c r="D480" s="5">
        <v>187</v>
      </c>
      <c r="E480" s="5">
        <v>4</v>
      </c>
      <c r="F480" s="5">
        <v>0</v>
      </c>
      <c r="G480" s="5">
        <v>0</v>
      </c>
      <c r="H480" s="6">
        <v>21.7</v>
      </c>
      <c r="I480" s="6">
        <v>28.4</v>
      </c>
      <c r="J480" s="5">
        <v>191891</v>
      </c>
      <c r="K480" s="4" t="s">
        <v>1482</v>
      </c>
      <c r="L480" s="4" t="s">
        <v>145</v>
      </c>
      <c r="M480" s="4" t="s">
        <v>1483</v>
      </c>
      <c r="N480" s="7">
        <f>(35+40+40)/3</f>
      </c>
      <c r="O480" s="7">
        <f>(20+25)/2</f>
      </c>
    </row>
    <row x14ac:dyDescent="0.25" r="481" customHeight="1" ht="18.75">
      <c r="A481" s="4" t="s">
        <v>1484</v>
      </c>
      <c r="B481" s="4" t="s">
        <v>471</v>
      </c>
      <c r="C481" s="4" t="s">
        <v>53</v>
      </c>
      <c r="D481" s="5">
        <v>187</v>
      </c>
      <c r="E481" s="5">
        <v>3</v>
      </c>
      <c r="F481" s="5">
        <v>1</v>
      </c>
      <c r="G481" s="5">
        <v>0</v>
      </c>
      <c r="H481" s="6">
        <v>23.3</v>
      </c>
      <c r="I481" s="6">
        <v>29.5</v>
      </c>
      <c r="J481" s="5">
        <v>432772</v>
      </c>
      <c r="K481" s="4" t="s">
        <v>1485</v>
      </c>
      <c r="L481" s="4" t="s">
        <v>71</v>
      </c>
      <c r="M481" s="4" t="s">
        <v>954</v>
      </c>
      <c r="N481" s="7">
        <f>(3+3)/2</f>
      </c>
      <c r="O481" s="7">
        <f>(5+5+3.5)/3</f>
      </c>
    </row>
    <row x14ac:dyDescent="0.25" r="482" customHeight="1" ht="18.75">
      <c r="A482" s="4" t="s">
        <v>1486</v>
      </c>
      <c r="B482" s="4" t="s">
        <v>448</v>
      </c>
      <c r="C482" s="4" t="s">
        <v>32</v>
      </c>
      <c r="D482" s="5">
        <v>185</v>
      </c>
      <c r="E482" s="5">
        <v>3</v>
      </c>
      <c r="F482" s="5">
        <v>1</v>
      </c>
      <c r="G482" s="5">
        <v>0</v>
      </c>
      <c r="H482" s="6">
        <v>22.3</v>
      </c>
      <c r="I482" s="6">
        <v>29.5</v>
      </c>
      <c r="J482" s="5">
        <v>42234</v>
      </c>
      <c r="K482" s="4" t="s">
        <v>1487</v>
      </c>
      <c r="L482" s="4" t="s">
        <v>634</v>
      </c>
      <c r="M482" s="4" t="s">
        <v>1488</v>
      </c>
      <c r="N482" s="7">
        <f>(4+2.5+2)/3</f>
      </c>
      <c r="O482" s="7">
        <f>(4+4)/2</f>
      </c>
    </row>
    <row x14ac:dyDescent="0.25" r="483" customHeight="1" ht="18.75">
      <c r="A483" s="4" t="s">
        <v>1489</v>
      </c>
      <c r="B483" s="4" t="s">
        <v>296</v>
      </c>
      <c r="C483" s="4" t="s">
        <v>53</v>
      </c>
      <c r="D483" s="5">
        <v>185</v>
      </c>
      <c r="E483" s="5">
        <v>3</v>
      </c>
      <c r="F483" s="5">
        <v>0</v>
      </c>
      <c r="G483" s="5">
        <v>0</v>
      </c>
      <c r="H483" s="6">
        <v>24.7</v>
      </c>
      <c r="I483" s="5">
        <v>27</v>
      </c>
      <c r="J483" s="5">
        <v>319745</v>
      </c>
      <c r="K483" s="4" t="s">
        <v>1490</v>
      </c>
      <c r="L483" s="4" t="s">
        <v>55</v>
      </c>
      <c r="M483" s="4" t="s">
        <v>1491</v>
      </c>
      <c r="N483" s="7">
        <f>(30+45+40)/3</f>
      </c>
      <c r="O483" s="7">
        <f>(17+12+12+20+20)/5</f>
      </c>
    </row>
    <row x14ac:dyDescent="0.25" r="484" customHeight="1" ht="18.75">
      <c r="A484" s="4" t="s">
        <v>1492</v>
      </c>
      <c r="B484" s="4" t="s">
        <v>553</v>
      </c>
      <c r="C484" s="4" t="s">
        <v>32</v>
      </c>
      <c r="D484" s="5">
        <v>182</v>
      </c>
      <c r="E484" s="5">
        <v>3</v>
      </c>
      <c r="F484" s="5">
        <v>0</v>
      </c>
      <c r="G484" s="5">
        <v>0</v>
      </c>
      <c r="H484" s="6">
        <v>19.9</v>
      </c>
      <c r="I484" s="6">
        <v>29.9</v>
      </c>
      <c r="J484" s="5">
        <v>54155</v>
      </c>
      <c r="K484" s="4" t="s">
        <v>1493</v>
      </c>
      <c r="L484" s="4" t="s">
        <v>19</v>
      </c>
      <c r="M484" s="4" t="s">
        <v>1494</v>
      </c>
      <c r="N484" s="7">
        <f>(2.75+2)/2</f>
      </c>
      <c r="O484" s="7">
        <f>(5+4)/2</f>
      </c>
    </row>
    <row x14ac:dyDescent="0.25" r="485" customHeight="1" ht="18.75">
      <c r="A485" s="4" t="s">
        <v>1495</v>
      </c>
      <c r="B485" s="4" t="s">
        <v>512</v>
      </c>
      <c r="C485" s="4" t="s">
        <v>53</v>
      </c>
      <c r="D485" s="5">
        <v>181</v>
      </c>
      <c r="E485" s="5">
        <v>6</v>
      </c>
      <c r="F485" s="5">
        <v>0</v>
      </c>
      <c r="G485" s="5">
        <v>0</v>
      </c>
      <c r="H485" s="6">
        <v>24.4</v>
      </c>
      <c r="I485" s="6">
        <v>31.5</v>
      </c>
      <c r="J485" s="5">
        <v>181136</v>
      </c>
      <c r="K485" s="4" t="s">
        <v>1496</v>
      </c>
      <c r="L485" s="4" t="s">
        <v>145</v>
      </c>
      <c r="M485" s="4" t="s">
        <v>1497</v>
      </c>
      <c r="N485" s="7">
        <f>(40+40)/2</f>
      </c>
      <c r="O485" s="7">
        <f>(32+40+40)/3</f>
      </c>
    </row>
    <row x14ac:dyDescent="0.25" r="486" customHeight="1" ht="18.75">
      <c r="A486" s="4" t="s">
        <v>1498</v>
      </c>
      <c r="B486" s="4" t="s">
        <v>471</v>
      </c>
      <c r="C486" s="4" t="s">
        <v>53</v>
      </c>
      <c r="D486" s="5">
        <v>181</v>
      </c>
      <c r="E486" s="5">
        <v>3</v>
      </c>
      <c r="F486" s="5">
        <v>0</v>
      </c>
      <c r="G486" s="5">
        <v>0</v>
      </c>
      <c r="H486" s="6">
        <v>24.4</v>
      </c>
      <c r="I486" s="6">
        <v>28.6</v>
      </c>
      <c r="J486" s="5">
        <v>536508</v>
      </c>
      <c r="K486" s="4" t="s">
        <v>1499</v>
      </c>
      <c r="L486" s="4" t="s">
        <v>71</v>
      </c>
      <c r="M486" s="4" t="s">
        <v>1500</v>
      </c>
      <c r="N486" s="7">
        <f>5</f>
      </c>
      <c r="O486" s="7">
        <f>2.5</f>
      </c>
    </row>
    <row x14ac:dyDescent="0.25" r="487" customHeight="1" ht="18.75">
      <c r="A487" s="4" t="s">
        <v>1501</v>
      </c>
      <c r="B487" s="4" t="s">
        <v>16</v>
      </c>
      <c r="C487" s="4" t="s">
        <v>32</v>
      </c>
      <c r="D487" s="5">
        <v>181</v>
      </c>
      <c r="E487" s="5">
        <v>3</v>
      </c>
      <c r="F487" s="5">
        <v>0</v>
      </c>
      <c r="G487" s="5">
        <v>0</v>
      </c>
      <c r="H487" s="6">
        <v>19.1</v>
      </c>
      <c r="I487" s="6">
        <v>30.2</v>
      </c>
      <c r="J487" s="5">
        <v>37838</v>
      </c>
      <c r="K487" s="4" t="s">
        <v>1502</v>
      </c>
      <c r="L487" s="4" t="s">
        <v>378</v>
      </c>
      <c r="M487" s="4" t="s">
        <v>1503</v>
      </c>
      <c r="N487" s="7">
        <f>(20+20)/2</f>
      </c>
      <c r="O487" s="7">
        <f>(17+20+20)/3</f>
      </c>
    </row>
    <row x14ac:dyDescent="0.25" r="488" customHeight="1" ht="18.75">
      <c r="A488" s="4" t="s">
        <v>1504</v>
      </c>
      <c r="B488" s="4" t="s">
        <v>428</v>
      </c>
      <c r="C488" s="4" t="s">
        <v>22</v>
      </c>
      <c r="D488" s="5">
        <v>180</v>
      </c>
      <c r="E488" s="5">
        <v>3</v>
      </c>
      <c r="F488" s="5">
        <v>0</v>
      </c>
      <c r="G488" s="5">
        <v>0</v>
      </c>
      <c r="H488" s="6">
        <v>20.9</v>
      </c>
      <c r="I488" s="6">
        <v>30.2</v>
      </c>
      <c r="J488" s="5">
        <v>334526</v>
      </c>
      <c r="K488" s="4" t="s">
        <v>1505</v>
      </c>
      <c r="L488" s="4" t="s">
        <v>59</v>
      </c>
      <c r="M488" s="4" t="s">
        <v>1506</v>
      </c>
      <c r="N488" s="7">
        <f>(20+28+45)/3</f>
      </c>
      <c r="O488" s="7">
        <f>(20+20+17)/3</f>
      </c>
    </row>
    <row x14ac:dyDescent="0.25" r="489" customHeight="1" ht="18.75">
      <c r="A489" s="4" t="s">
        <v>1507</v>
      </c>
      <c r="B489" s="4" t="s">
        <v>420</v>
      </c>
      <c r="C489" s="4" t="s">
        <v>53</v>
      </c>
      <c r="D489" s="5">
        <v>180</v>
      </c>
      <c r="E489" s="5">
        <v>2</v>
      </c>
      <c r="F489" s="5">
        <v>0</v>
      </c>
      <c r="G489" s="5">
        <v>0</v>
      </c>
      <c r="H489" s="6">
        <v>22.4</v>
      </c>
      <c r="I489" s="6">
        <v>26.6</v>
      </c>
      <c r="J489" s="5">
        <v>375857</v>
      </c>
      <c r="K489" s="4" t="s">
        <v>1508</v>
      </c>
      <c r="L489" s="4" t="s">
        <v>378</v>
      </c>
      <c r="M489" s="4" t="s">
        <v>1509</v>
      </c>
      <c r="N489" s="7">
        <f>(3.5+3.5)/2</f>
      </c>
      <c r="O489" s="7">
        <f>(0.5+1+2+3.5)/4</f>
      </c>
    </row>
    <row x14ac:dyDescent="0.25" r="490" customHeight="1" ht="18.75">
      <c r="A490" s="4" t="s">
        <v>1510</v>
      </c>
      <c r="B490" s="4" t="s">
        <v>459</v>
      </c>
      <c r="C490" s="4" t="s">
        <v>53</v>
      </c>
      <c r="D490" s="5">
        <v>180</v>
      </c>
      <c r="E490" s="5">
        <v>2</v>
      </c>
      <c r="F490" s="5">
        <v>0</v>
      </c>
      <c r="G490" s="5">
        <v>0</v>
      </c>
      <c r="H490" s="6">
        <v>21.5</v>
      </c>
      <c r="I490" s="6">
        <v>29.7</v>
      </c>
      <c r="J490" s="5">
        <v>162571</v>
      </c>
      <c r="K490" s="4" t="s">
        <v>1511</v>
      </c>
      <c r="L490" s="4" t="s">
        <v>290</v>
      </c>
      <c r="M490" s="4" t="s">
        <v>1512</v>
      </c>
      <c r="N490" s="7">
        <f>1.5</f>
      </c>
      <c r="O490" s="7">
        <f>(1.5+1.5)/2</f>
      </c>
    </row>
    <row x14ac:dyDescent="0.25" r="491" customHeight="1" ht="18.75">
      <c r="A491" s="4" t="s">
        <v>1513</v>
      </c>
      <c r="B491" s="4" t="s">
        <v>448</v>
      </c>
      <c r="C491" s="4" t="s">
        <v>32</v>
      </c>
      <c r="D491" s="5">
        <v>180</v>
      </c>
      <c r="E491" s="5">
        <v>2</v>
      </c>
      <c r="F491" s="5">
        <v>0</v>
      </c>
      <c r="G491" s="5">
        <v>0</v>
      </c>
      <c r="H491" s="6">
        <v>21.5</v>
      </c>
      <c r="I491" s="5">
        <v>32</v>
      </c>
      <c r="J491" s="5">
        <v>223974</v>
      </c>
      <c r="K491" s="4" t="s">
        <v>1514</v>
      </c>
      <c r="L491" s="4" t="s">
        <v>327</v>
      </c>
      <c r="M491" s="4" t="s">
        <v>915</v>
      </c>
      <c r="N491" s="7">
        <f>(5.5+5.5+9+14)/4</f>
      </c>
      <c r="O491" s="7">
        <f>(2.5+2.5)/2</f>
      </c>
    </row>
    <row x14ac:dyDescent="0.25" r="492" customHeight="1" ht="18.75">
      <c r="A492" s="4" t="s">
        <v>1515</v>
      </c>
      <c r="B492" s="4" t="s">
        <v>428</v>
      </c>
      <c r="C492" s="4" t="s">
        <v>53</v>
      </c>
      <c r="D492" s="5">
        <v>180</v>
      </c>
      <c r="E492" s="5">
        <v>2</v>
      </c>
      <c r="F492" s="5">
        <v>0</v>
      </c>
      <c r="G492" s="5">
        <v>0</v>
      </c>
      <c r="H492" s="6">
        <v>21.2</v>
      </c>
      <c r="I492" s="6">
        <v>27.4</v>
      </c>
      <c r="J492" s="5">
        <v>287579</v>
      </c>
      <c r="K492" s="4" t="s">
        <v>1516</v>
      </c>
      <c r="L492" s="4" t="s">
        <v>94</v>
      </c>
      <c r="M492" s="4" t="s">
        <v>1517</v>
      </c>
      <c r="N492" s="7">
        <f>(3+10)/2</f>
      </c>
      <c r="O492" s="7">
        <f>(5+4.5+3.8)/3</f>
      </c>
    </row>
    <row x14ac:dyDescent="0.25" r="493" customHeight="1" ht="18.75">
      <c r="A493" s="4" t="s">
        <v>1518</v>
      </c>
      <c r="B493" s="4" t="s">
        <v>464</v>
      </c>
      <c r="C493" s="4" t="s">
        <v>32</v>
      </c>
      <c r="D493" s="5">
        <v>180</v>
      </c>
      <c r="E493" s="5">
        <v>2</v>
      </c>
      <c r="F493" s="5">
        <v>0</v>
      </c>
      <c r="G493" s="5">
        <v>0</v>
      </c>
      <c r="H493" s="6">
        <v>20.6</v>
      </c>
      <c r="I493" s="6">
        <v>27.9</v>
      </c>
      <c r="J493" s="5">
        <v>59597</v>
      </c>
      <c r="K493" s="4" t="s">
        <v>1519</v>
      </c>
      <c r="L493" s="4" t="s">
        <v>145</v>
      </c>
      <c r="M493" s="4" t="s">
        <v>1520</v>
      </c>
      <c r="N493" s="7">
        <f>(3+3)/2</f>
      </c>
      <c r="O493" s="7">
        <f>(3.2+3.2)/2</f>
      </c>
    </row>
    <row x14ac:dyDescent="0.25" r="494" customHeight="1" ht="18.75">
      <c r="A494" s="4" t="s">
        <v>1521</v>
      </c>
      <c r="B494" s="4" t="s">
        <v>448</v>
      </c>
      <c r="C494" s="4" t="s">
        <v>32</v>
      </c>
      <c r="D494" s="5">
        <v>180</v>
      </c>
      <c r="E494" s="5">
        <v>2</v>
      </c>
      <c r="F494" s="5">
        <v>0</v>
      </c>
      <c r="G494" s="5">
        <v>0</v>
      </c>
      <c r="H494" s="6">
        <v>20.6</v>
      </c>
      <c r="I494" s="6">
        <v>29.7</v>
      </c>
      <c r="J494" s="5">
        <v>160241</v>
      </c>
      <c r="K494" s="4" t="s">
        <v>1522</v>
      </c>
      <c r="L494" s="4" t="s">
        <v>84</v>
      </c>
      <c r="M494" s="4" t="s">
        <v>756</v>
      </c>
      <c r="N494" s="7">
        <f>(6.5+4+6)/3</f>
      </c>
      <c r="O494" s="7">
        <f>(5.5+8+12+10)/4</f>
      </c>
    </row>
    <row x14ac:dyDescent="0.25" r="495" customHeight="1" ht="18.75">
      <c r="A495" s="4" t="s">
        <v>1523</v>
      </c>
      <c r="B495" s="4" t="s">
        <v>522</v>
      </c>
      <c r="C495" s="4" t="s">
        <v>32</v>
      </c>
      <c r="D495" s="5">
        <v>180</v>
      </c>
      <c r="E495" s="5">
        <v>2</v>
      </c>
      <c r="F495" s="5">
        <v>0</v>
      </c>
      <c r="G495" s="5">
        <v>0</v>
      </c>
      <c r="H495" s="6">
        <v>19.1</v>
      </c>
      <c r="I495" s="6">
        <v>29.5</v>
      </c>
      <c r="J495" s="5">
        <v>53437</v>
      </c>
      <c r="K495" s="4" t="s">
        <v>1524</v>
      </c>
      <c r="L495" s="4" t="s">
        <v>84</v>
      </c>
      <c r="M495" s="4" t="s">
        <v>318</v>
      </c>
      <c r="N495" s="7">
        <f>(4+4)/2</f>
      </c>
      <c r="O495" s="7">
        <f>(7+7+5.5)/3</f>
      </c>
    </row>
    <row x14ac:dyDescent="0.25" r="496" customHeight="1" ht="18.75">
      <c r="A496" s="4" t="s">
        <v>1525</v>
      </c>
      <c r="B496" s="4" t="s">
        <v>471</v>
      </c>
      <c r="C496" s="4" t="s">
        <v>32</v>
      </c>
      <c r="D496" s="5">
        <v>180</v>
      </c>
      <c r="E496" s="5">
        <v>2</v>
      </c>
      <c r="F496" s="5">
        <v>0</v>
      </c>
      <c r="G496" s="5">
        <v>0</v>
      </c>
      <c r="H496" s="6">
        <v>18.3</v>
      </c>
      <c r="I496" s="6">
        <v>29.9</v>
      </c>
      <c r="J496" s="5">
        <v>463603</v>
      </c>
      <c r="K496" s="4" t="s">
        <v>1526</v>
      </c>
      <c r="L496" s="4" t="s">
        <v>71</v>
      </c>
      <c r="M496" s="4" t="s">
        <v>1527</v>
      </c>
      <c r="N496" s="7">
        <f>(9+9+18+20)/4</f>
      </c>
      <c r="O496" s="7">
        <f>(0.15+4)/2</f>
      </c>
    </row>
    <row x14ac:dyDescent="0.25" r="497" customHeight="1" ht="18.75">
      <c r="A497" s="4" t="s">
        <v>1528</v>
      </c>
      <c r="B497" s="4" t="s">
        <v>522</v>
      </c>
      <c r="C497" s="4" t="s">
        <v>32</v>
      </c>
      <c r="D497" s="5">
        <v>180</v>
      </c>
      <c r="E497" s="5">
        <v>2</v>
      </c>
      <c r="F497" s="5">
        <v>0</v>
      </c>
      <c r="G497" s="5">
        <v>0</v>
      </c>
      <c r="H497" s="6">
        <v>17.6</v>
      </c>
      <c r="I497" s="5">
        <v>31</v>
      </c>
      <c r="J497" s="5">
        <v>139396</v>
      </c>
      <c r="K497" s="4" t="s">
        <v>1529</v>
      </c>
      <c r="L497" s="4" t="s">
        <v>141</v>
      </c>
      <c r="M497" s="4" t="s">
        <v>1530</v>
      </c>
      <c r="N497" s="7">
        <f>(10+10)/2</f>
      </c>
      <c r="O497" s="7">
        <f>(12.5+12.5)/2</f>
      </c>
    </row>
    <row x14ac:dyDescent="0.25" r="498" customHeight="1" ht="18.75">
      <c r="A498" s="4" t="s">
        <v>1531</v>
      </c>
      <c r="B498" s="4" t="s">
        <v>478</v>
      </c>
      <c r="C498" s="4" t="s">
        <v>17</v>
      </c>
      <c r="D498" s="5">
        <v>180</v>
      </c>
      <c r="E498" s="5">
        <v>2</v>
      </c>
      <c r="F498" s="5">
        <v>0</v>
      </c>
      <c r="G498" s="5">
        <v>0</v>
      </c>
      <c r="H498" s="6">
        <v>9.9</v>
      </c>
      <c r="I498" s="6">
        <v>18.2</v>
      </c>
      <c r="J498" s="5">
        <v>4860</v>
      </c>
      <c r="K498" s="4" t="s">
        <v>1532</v>
      </c>
      <c r="L498" s="4" t="s">
        <v>59</v>
      </c>
      <c r="M498" s="4" t="s">
        <v>1533</v>
      </c>
      <c r="N498" s="7">
        <f>(0.35+0.35+0.35)/3</f>
      </c>
      <c r="O498" s="7">
        <f>(0.25+0.25+0.35)/3</f>
      </c>
    </row>
    <row x14ac:dyDescent="0.25" r="499" customHeight="1" ht="18.75">
      <c r="A499" s="4" t="s">
        <v>1534</v>
      </c>
      <c r="B499" s="4" t="s">
        <v>522</v>
      </c>
      <c r="C499" s="4" t="s">
        <v>17</v>
      </c>
      <c r="D499" s="5">
        <v>180</v>
      </c>
      <c r="E499" s="5">
        <v>2</v>
      </c>
      <c r="F499" s="5">
        <v>0</v>
      </c>
      <c r="G499" s="5">
        <v>0</v>
      </c>
      <c r="H499" s="6">
        <v>8.8</v>
      </c>
      <c r="I499" s="6">
        <v>14.3</v>
      </c>
      <c r="J499" s="5">
        <v>195778</v>
      </c>
      <c r="K499" s="4" t="s">
        <v>1535</v>
      </c>
      <c r="L499" s="4" t="s">
        <v>84</v>
      </c>
      <c r="M499" s="4" t="s">
        <v>1536</v>
      </c>
      <c r="N499" s="7">
        <f>(5+12+16)/3</f>
      </c>
      <c r="O499" s="7">
        <f>(0.5+2.5)/2</f>
      </c>
    </row>
    <row x14ac:dyDescent="0.25" r="500" customHeight="1" ht="18.75">
      <c r="A500" s="4" t="s">
        <v>1537</v>
      </c>
      <c r="B500" s="4" t="s">
        <v>440</v>
      </c>
      <c r="C500" s="4" t="s">
        <v>17</v>
      </c>
      <c r="D500" s="5">
        <v>180</v>
      </c>
      <c r="E500" s="5">
        <v>2</v>
      </c>
      <c r="F500" s="5">
        <v>0</v>
      </c>
      <c r="G500" s="5">
        <v>0</v>
      </c>
      <c r="H500" s="6">
        <v>8.5</v>
      </c>
      <c r="I500" s="6">
        <v>20.6</v>
      </c>
      <c r="J500" s="5">
        <v>21053</v>
      </c>
      <c r="K500" s="4" t="s">
        <v>1538</v>
      </c>
      <c r="L500" s="4" t="s">
        <v>442</v>
      </c>
      <c r="M500" s="4" t="s">
        <v>1539</v>
      </c>
      <c r="N500" s="7">
        <f>(0.5+0.4+0.3)/3</f>
      </c>
      <c r="O500" s="7">
        <f>(1+0.8+0.65)/3</f>
      </c>
    </row>
    <row x14ac:dyDescent="0.25" r="501" customHeight="1" ht="18.75">
      <c r="A501" s="4" t="s">
        <v>1540</v>
      </c>
      <c r="B501" s="4" t="s">
        <v>285</v>
      </c>
      <c r="C501" s="4" t="s">
        <v>17</v>
      </c>
      <c r="D501" s="5">
        <v>180</v>
      </c>
      <c r="E501" s="5">
        <v>2</v>
      </c>
      <c r="F501" s="5">
        <v>0</v>
      </c>
      <c r="G501" s="5">
        <v>0</v>
      </c>
      <c r="H501" s="6">
        <v>7.6</v>
      </c>
      <c r="I501" s="6">
        <v>23.2</v>
      </c>
      <c r="J501" s="5">
        <v>22141</v>
      </c>
      <c r="K501" s="4" t="s">
        <v>1541</v>
      </c>
      <c r="L501" s="4" t="s">
        <v>136</v>
      </c>
      <c r="M501" s="4" t="s">
        <v>1542</v>
      </c>
      <c r="N501" s="7">
        <f>(0.8+0.8)/2</f>
      </c>
      <c r="O501" s="7">
        <f>(1+0.8)/2</f>
      </c>
    </row>
    <row x14ac:dyDescent="0.25" r="502" customHeight="1" ht="18.75">
      <c r="A502" s="4" t="s">
        <v>1543</v>
      </c>
      <c r="B502" s="4" t="s">
        <v>16</v>
      </c>
      <c r="C502" s="4" t="s">
        <v>53</v>
      </c>
      <c r="D502" s="5">
        <v>176</v>
      </c>
      <c r="E502" s="5">
        <v>4</v>
      </c>
      <c r="F502" s="5">
        <v>0</v>
      </c>
      <c r="G502" s="5">
        <v>2</v>
      </c>
      <c r="H502" s="6">
        <v>21.8</v>
      </c>
      <c r="I502" s="6">
        <v>30.2</v>
      </c>
      <c r="J502" s="5">
        <v>86792</v>
      </c>
      <c r="K502" s="4" t="s">
        <v>1544</v>
      </c>
      <c r="L502" s="4" t="s">
        <v>59</v>
      </c>
      <c r="M502" s="4" t="s">
        <v>1545</v>
      </c>
      <c r="N502" s="7">
        <f>(25+22)/2</f>
      </c>
      <c r="O502" s="7">
        <f>(18+18+20+25)/4</f>
      </c>
    </row>
    <row x14ac:dyDescent="0.25" r="503" customHeight="1" ht="18.75">
      <c r="A503" s="4" t="s">
        <v>1546</v>
      </c>
      <c r="B503" s="4" t="s">
        <v>471</v>
      </c>
      <c r="C503" s="4" t="s">
        <v>53</v>
      </c>
      <c r="D503" s="5">
        <v>176</v>
      </c>
      <c r="E503" s="5">
        <v>3</v>
      </c>
      <c r="F503" s="5">
        <v>0</v>
      </c>
      <c r="G503" s="5">
        <v>0</v>
      </c>
      <c r="H503" s="6">
        <v>19.4</v>
      </c>
      <c r="I503" s="6">
        <v>27.4</v>
      </c>
      <c r="J503" s="5">
        <v>178313</v>
      </c>
      <c r="K503" s="4" t="s">
        <v>1547</v>
      </c>
      <c r="L503" s="4" t="s">
        <v>1548</v>
      </c>
      <c r="M503" s="4" t="s">
        <v>1549</v>
      </c>
      <c r="N503" s="7">
        <f>(7+7)/2</f>
      </c>
      <c r="O503" s="7">
        <f>(3+3+10+7)/4</f>
      </c>
    </row>
    <row x14ac:dyDescent="0.25" r="504" customHeight="1" ht="18.75">
      <c r="A504" s="4" t="s">
        <v>1550</v>
      </c>
      <c r="B504" s="4" t="s">
        <v>139</v>
      </c>
      <c r="C504" s="4" t="s">
        <v>32</v>
      </c>
      <c r="D504" s="5">
        <v>174</v>
      </c>
      <c r="E504" s="5">
        <v>2</v>
      </c>
      <c r="F504" s="5">
        <v>0</v>
      </c>
      <c r="G504" s="5">
        <v>0</v>
      </c>
      <c r="H504" s="6">
        <v>19.1</v>
      </c>
      <c r="I504" s="6">
        <v>30.8</v>
      </c>
      <c r="J504" s="5">
        <v>157495</v>
      </c>
      <c r="K504" s="4" t="s">
        <v>263</v>
      </c>
      <c r="L504" s="4" t="s">
        <v>71</v>
      </c>
      <c r="M504" s="4" t="s">
        <v>264</v>
      </c>
      <c r="N504" s="7">
        <f>(40+35+35)/3</f>
      </c>
      <c r="O504" s="7">
        <f>(40+40+45+45)/4</f>
      </c>
    </row>
    <row x14ac:dyDescent="0.25" r="505" customHeight="1" ht="18.75">
      <c r="A505" s="4" t="s">
        <v>1551</v>
      </c>
      <c r="B505" s="4" t="s">
        <v>432</v>
      </c>
      <c r="C505" s="4" t="s">
        <v>22</v>
      </c>
      <c r="D505" s="5">
        <v>172</v>
      </c>
      <c r="E505" s="5">
        <v>6</v>
      </c>
      <c r="F505" s="5">
        <v>0</v>
      </c>
      <c r="G505" s="5">
        <v>0</v>
      </c>
      <c r="H505" s="6">
        <v>23.2</v>
      </c>
      <c r="I505" s="6">
        <v>32.8</v>
      </c>
      <c r="J505" s="5">
        <v>326029</v>
      </c>
      <c r="K505" s="4" t="s">
        <v>1552</v>
      </c>
      <c r="L505" s="4" t="s">
        <v>34</v>
      </c>
      <c r="M505" s="4" t="s">
        <v>1553</v>
      </c>
      <c r="N505" s="7">
        <f>(7+18+28)/3</f>
      </c>
      <c r="O505" s="7">
        <f>(0.5+0.75+2.5+5)/4</f>
      </c>
    </row>
    <row x14ac:dyDescent="0.25" r="506" customHeight="1" ht="18.75">
      <c r="A506" s="4" t="s">
        <v>1554</v>
      </c>
      <c r="B506" s="4" t="s">
        <v>420</v>
      </c>
      <c r="C506" s="4" t="s">
        <v>53</v>
      </c>
      <c r="D506" s="5">
        <v>172</v>
      </c>
      <c r="E506" s="5">
        <v>3</v>
      </c>
      <c r="F506" s="5">
        <v>0</v>
      </c>
      <c r="G506" s="5">
        <v>0</v>
      </c>
      <c r="H506" s="6">
        <v>22.1</v>
      </c>
      <c r="I506" s="6">
        <v>28.1</v>
      </c>
      <c r="J506" s="5">
        <v>69683</v>
      </c>
      <c r="K506" s="4" t="s">
        <v>1555</v>
      </c>
      <c r="L506" s="4" t="s">
        <v>492</v>
      </c>
      <c r="M506" s="4" t="s">
        <v>191</v>
      </c>
      <c r="N506" s="7">
        <f>(8+7)/2</f>
      </c>
      <c r="O506" s="7">
        <f>(15+13)/2</f>
      </c>
    </row>
    <row x14ac:dyDescent="0.25" r="507" customHeight="1" ht="18.75">
      <c r="A507" s="4" t="s">
        <v>1556</v>
      </c>
      <c r="B507" s="4" t="s">
        <v>424</v>
      </c>
      <c r="C507" s="4" t="s">
        <v>53</v>
      </c>
      <c r="D507" s="5">
        <v>171</v>
      </c>
      <c r="E507" s="5">
        <v>4</v>
      </c>
      <c r="F507" s="5">
        <v>0</v>
      </c>
      <c r="G507" s="5">
        <v>0</v>
      </c>
      <c r="H507" s="6">
        <v>24.7</v>
      </c>
      <c r="I507" s="6">
        <v>29.7</v>
      </c>
      <c r="J507" s="5">
        <v>264063</v>
      </c>
      <c r="K507" s="4" t="s">
        <v>1557</v>
      </c>
      <c r="L507" s="4" t="s">
        <v>542</v>
      </c>
      <c r="M507" s="4" t="s">
        <v>889</v>
      </c>
      <c r="N507" s="7">
        <f>3</f>
      </c>
      <c r="O507" s="7">
        <f>(0.8+0.8+1.2)/3</f>
      </c>
    </row>
    <row x14ac:dyDescent="0.25" r="508" customHeight="1" ht="18.75">
      <c r="A508" s="4" t="s">
        <v>172</v>
      </c>
      <c r="B508" s="4" t="s">
        <v>186</v>
      </c>
      <c r="C508" s="4" t="s">
        <v>53</v>
      </c>
      <c r="D508" s="5">
        <v>169</v>
      </c>
      <c r="E508" s="5">
        <v>2</v>
      </c>
      <c r="F508" s="5">
        <v>0</v>
      </c>
      <c r="G508" s="5">
        <v>0</v>
      </c>
      <c r="H508" s="6">
        <v>20.9</v>
      </c>
      <c r="I508" s="6">
        <v>28.1</v>
      </c>
      <c r="J508" s="5">
        <v>99343</v>
      </c>
      <c r="K508" s="4" t="s">
        <v>173</v>
      </c>
      <c r="L508" s="4" t="s">
        <v>55</v>
      </c>
      <c r="M508" s="4" t="s">
        <v>174</v>
      </c>
      <c r="N508" s="7">
        <f>(25+20)/2</f>
      </c>
      <c r="O508" s="7">
        <f>(30+30+28)/3</f>
      </c>
    </row>
    <row x14ac:dyDescent="0.25" r="509" customHeight="1" ht="18.75">
      <c r="A509" s="4" t="s">
        <v>1558</v>
      </c>
      <c r="B509" s="4" t="s">
        <v>471</v>
      </c>
      <c r="C509" s="4" t="s">
        <v>32</v>
      </c>
      <c r="D509" s="5">
        <v>168</v>
      </c>
      <c r="E509" s="5">
        <v>2</v>
      </c>
      <c r="F509" s="5">
        <v>0</v>
      </c>
      <c r="G509" s="5">
        <v>0</v>
      </c>
      <c r="H509" s="6">
        <v>19.9</v>
      </c>
      <c r="I509" s="6">
        <v>28.6</v>
      </c>
      <c r="J509" s="5">
        <v>536507</v>
      </c>
      <c r="K509" s="4" t="s">
        <v>1559</v>
      </c>
      <c r="L509" s="4" t="s">
        <v>71</v>
      </c>
      <c r="M509" s="4" t="s">
        <v>1560</v>
      </c>
      <c r="N509" s="7">
        <f>(0.5+0.5+1+1.3)/4</f>
      </c>
      <c r="O509" s="4"/>
    </row>
    <row x14ac:dyDescent="0.25" r="510" customHeight="1" ht="18.75">
      <c r="A510" s="4" t="s">
        <v>1561</v>
      </c>
      <c r="B510" s="4" t="s">
        <v>285</v>
      </c>
      <c r="C510" s="4" t="s">
        <v>32</v>
      </c>
      <c r="D510" s="5">
        <v>167</v>
      </c>
      <c r="E510" s="5">
        <v>2</v>
      </c>
      <c r="F510" s="5">
        <v>0</v>
      </c>
      <c r="G510" s="5">
        <v>0</v>
      </c>
      <c r="H510" s="6">
        <v>16.6</v>
      </c>
      <c r="I510" s="6">
        <v>31.5</v>
      </c>
      <c r="J510" s="5">
        <v>57723</v>
      </c>
      <c r="K510" s="4" t="s">
        <v>1562</v>
      </c>
      <c r="L510" s="4" t="s">
        <v>55</v>
      </c>
      <c r="M510" s="4" t="s">
        <v>1563</v>
      </c>
      <c r="N510" s="7">
        <f>(4+3+3)/3</f>
      </c>
      <c r="O510" s="7">
        <f>(8+8+6)/3</f>
      </c>
    </row>
    <row x14ac:dyDescent="0.25" r="511" customHeight="1" ht="18.75">
      <c r="A511" s="4" t="s">
        <v>1564</v>
      </c>
      <c r="B511" s="4" t="s">
        <v>428</v>
      </c>
      <c r="C511" s="4" t="s">
        <v>53</v>
      </c>
      <c r="D511" s="5">
        <v>166</v>
      </c>
      <c r="E511" s="5">
        <v>2</v>
      </c>
      <c r="F511" s="5">
        <v>1</v>
      </c>
      <c r="G511" s="5">
        <v>0</v>
      </c>
      <c r="H511" s="6">
        <v>19.1</v>
      </c>
      <c r="I511" s="5">
        <v>32</v>
      </c>
      <c r="J511" s="5">
        <v>355861</v>
      </c>
      <c r="K511" s="4" t="s">
        <v>1565</v>
      </c>
      <c r="L511" s="4" t="s">
        <v>718</v>
      </c>
      <c r="M511" s="4" t="s">
        <v>1566</v>
      </c>
      <c r="N511" s="7">
        <f>(12+12)/2</f>
      </c>
      <c r="O511" s="7">
        <f>(1+1.5+4+10)/4</f>
      </c>
    </row>
    <row x14ac:dyDescent="0.25" r="512" customHeight="1" ht="18.75">
      <c r="A512" s="4" t="s">
        <v>890</v>
      </c>
      <c r="B512" s="4" t="s">
        <v>40</v>
      </c>
      <c r="C512" s="4" t="s">
        <v>22</v>
      </c>
      <c r="D512" s="5">
        <v>164</v>
      </c>
      <c r="E512" s="5">
        <v>2</v>
      </c>
      <c r="F512" s="5">
        <v>0</v>
      </c>
      <c r="G512" s="5">
        <v>0</v>
      </c>
      <c r="H512" s="6">
        <v>18.5</v>
      </c>
      <c r="I512" s="6">
        <v>27.7</v>
      </c>
      <c r="J512" s="5">
        <v>288230</v>
      </c>
      <c r="K512" s="4" t="s">
        <v>891</v>
      </c>
      <c r="L512" s="4" t="s">
        <v>71</v>
      </c>
      <c r="M512" s="4" t="s">
        <v>892</v>
      </c>
      <c r="N512" s="7">
        <f>(120+100+75)/3</f>
      </c>
      <c r="O512" s="7">
        <f>(80+80+80)/3</f>
      </c>
    </row>
    <row x14ac:dyDescent="0.25" r="513" customHeight="1" ht="18.75">
      <c r="A513" s="4" t="s">
        <v>1567</v>
      </c>
      <c r="B513" s="4" t="s">
        <v>16</v>
      </c>
      <c r="C513" s="4" t="s">
        <v>22</v>
      </c>
      <c r="D513" s="5">
        <v>163</v>
      </c>
      <c r="E513" s="5">
        <v>7</v>
      </c>
      <c r="F513" s="5">
        <v>1</v>
      </c>
      <c r="G513" s="5">
        <v>1</v>
      </c>
      <c r="H513" s="6">
        <v>20.8</v>
      </c>
      <c r="I513" s="6">
        <v>28.1</v>
      </c>
      <c r="J513" s="5">
        <v>47082</v>
      </c>
      <c r="K513" s="4" t="s">
        <v>1568</v>
      </c>
      <c r="L513" s="4" t="s">
        <v>63</v>
      </c>
      <c r="M513" s="4" t="s">
        <v>1569</v>
      </c>
      <c r="N513" s="7">
        <f>(15+11)/2</f>
      </c>
      <c r="O513" s="7">
        <f>(20+15+15)/3</f>
      </c>
    </row>
    <row x14ac:dyDescent="0.25" r="514" customHeight="1" ht="18.75">
      <c r="A514" s="4" t="s">
        <v>1570</v>
      </c>
      <c r="B514" s="4" t="s">
        <v>230</v>
      </c>
      <c r="C514" s="4" t="s">
        <v>22</v>
      </c>
      <c r="D514" s="5">
        <v>159</v>
      </c>
      <c r="E514" s="5">
        <v>3</v>
      </c>
      <c r="F514" s="5">
        <v>0</v>
      </c>
      <c r="G514" s="5">
        <v>0</v>
      </c>
      <c r="H514" s="6">
        <v>18.3</v>
      </c>
      <c r="I514" s="5">
        <v>31</v>
      </c>
      <c r="J514" s="5">
        <v>442891</v>
      </c>
      <c r="K514" s="4" t="s">
        <v>1571</v>
      </c>
      <c r="L514" s="4" t="s">
        <v>71</v>
      </c>
      <c r="M514" s="4" t="s">
        <v>1572</v>
      </c>
      <c r="N514" s="7">
        <f>(15+13)/2</f>
      </c>
      <c r="O514" s="7">
        <f>(12+9+9)/3</f>
      </c>
    </row>
    <row x14ac:dyDescent="0.25" r="515" customHeight="1" ht="18.75">
      <c r="A515" s="4" t="s">
        <v>1573</v>
      </c>
      <c r="B515" s="4" t="s">
        <v>134</v>
      </c>
      <c r="C515" s="4" t="s">
        <v>53</v>
      </c>
      <c r="D515" s="5">
        <v>157</v>
      </c>
      <c r="E515" s="5">
        <v>5</v>
      </c>
      <c r="F515" s="5">
        <v>0</v>
      </c>
      <c r="G515" s="5">
        <v>0</v>
      </c>
      <c r="H515" s="5">
        <v>21</v>
      </c>
      <c r="I515" s="6">
        <v>32.4</v>
      </c>
      <c r="J515" s="5">
        <v>75615</v>
      </c>
      <c r="K515" s="4" t="s">
        <v>1574</v>
      </c>
      <c r="L515" s="4" t="s">
        <v>19</v>
      </c>
      <c r="M515" s="4" t="s">
        <v>1575</v>
      </c>
      <c r="N515" s="7">
        <f>(38+38)/2</f>
      </c>
      <c r="O515" s="7">
        <f>(40+55+45)/3</f>
      </c>
    </row>
    <row x14ac:dyDescent="0.25" r="516" customHeight="1" ht="18.75">
      <c r="A516" s="4" t="s">
        <v>1576</v>
      </c>
      <c r="B516" s="4" t="s">
        <v>316</v>
      </c>
      <c r="C516" s="4" t="s">
        <v>53</v>
      </c>
      <c r="D516" s="5">
        <v>150</v>
      </c>
      <c r="E516" s="5">
        <v>5</v>
      </c>
      <c r="F516" s="5">
        <v>1</v>
      </c>
      <c r="G516" s="5">
        <v>1</v>
      </c>
      <c r="H516" s="6">
        <v>19.4</v>
      </c>
      <c r="I516" s="6">
        <v>32.2</v>
      </c>
      <c r="J516" s="5">
        <v>293281</v>
      </c>
      <c r="K516" s="4" t="s">
        <v>1577</v>
      </c>
      <c r="L516" s="4" t="s">
        <v>67</v>
      </c>
      <c r="M516" s="4" t="s">
        <v>1578</v>
      </c>
      <c r="N516" s="7">
        <f>(15+12)/2</f>
      </c>
      <c r="O516" s="7">
        <f>(0.5+1.5+15+20)/4</f>
      </c>
    </row>
    <row x14ac:dyDescent="0.25" r="517" customHeight="1" ht="18.75">
      <c r="A517" s="4" t="s">
        <v>1579</v>
      </c>
      <c r="B517" s="4" t="s">
        <v>748</v>
      </c>
      <c r="C517" s="4" t="s">
        <v>32</v>
      </c>
      <c r="D517" s="5">
        <v>150</v>
      </c>
      <c r="E517" s="5">
        <v>3</v>
      </c>
      <c r="F517" s="5">
        <v>0</v>
      </c>
      <c r="G517" s="5">
        <v>0</v>
      </c>
      <c r="H517" s="6">
        <v>17.7</v>
      </c>
      <c r="I517" s="6">
        <v>29.9</v>
      </c>
      <c r="J517" s="5">
        <v>257851</v>
      </c>
      <c r="K517" s="4" t="s">
        <v>1580</v>
      </c>
      <c r="L517" s="4" t="s">
        <v>141</v>
      </c>
      <c r="M517" s="4" t="s">
        <v>1581</v>
      </c>
      <c r="N517" s="7">
        <f>(6+6)/2</f>
      </c>
      <c r="O517" s="7">
        <f>(4+6+6+6)/4</f>
      </c>
    </row>
    <row x14ac:dyDescent="0.25" r="518" customHeight="1" ht="18.75">
      <c r="A518" s="4" t="s">
        <v>1582</v>
      </c>
      <c r="B518" s="4" t="s">
        <v>512</v>
      </c>
      <c r="C518" s="4" t="s">
        <v>32</v>
      </c>
      <c r="D518" s="5">
        <v>149</v>
      </c>
      <c r="E518" s="5">
        <v>3</v>
      </c>
      <c r="F518" s="5">
        <v>0</v>
      </c>
      <c r="G518" s="5">
        <v>0</v>
      </c>
      <c r="H518" s="6">
        <v>17.8</v>
      </c>
      <c r="I518" s="6">
        <v>29.9</v>
      </c>
      <c r="J518" s="5">
        <v>200056</v>
      </c>
      <c r="K518" s="4" t="s">
        <v>1583</v>
      </c>
      <c r="L518" s="4" t="s">
        <v>1584</v>
      </c>
      <c r="M518" s="4" t="s">
        <v>1585</v>
      </c>
      <c r="N518" s="7">
        <f>(23+18+16)/3</f>
      </c>
      <c r="O518" s="7">
        <f>(25+23)/2</f>
      </c>
    </row>
    <row x14ac:dyDescent="0.25" r="519" customHeight="1" ht="18.75">
      <c r="A519" s="4" t="s">
        <v>1586</v>
      </c>
      <c r="B519" s="4" t="s">
        <v>285</v>
      </c>
      <c r="C519" s="4" t="s">
        <v>53</v>
      </c>
      <c r="D519" s="5">
        <v>148</v>
      </c>
      <c r="E519" s="5">
        <v>2</v>
      </c>
      <c r="F519" s="5">
        <v>0</v>
      </c>
      <c r="G519" s="5">
        <v>0</v>
      </c>
      <c r="H519" s="6">
        <v>19.1</v>
      </c>
      <c r="I519" s="6">
        <v>26.3</v>
      </c>
      <c r="J519" s="5">
        <v>54984</v>
      </c>
      <c r="K519" s="4" t="s">
        <v>1587</v>
      </c>
      <c r="L519" s="4" t="s">
        <v>127</v>
      </c>
      <c r="M519" s="4" t="s">
        <v>1588</v>
      </c>
      <c r="N519" s="7">
        <f>(15+12+8)/3</f>
      </c>
      <c r="O519" s="7">
        <f>(20+17.5)/2</f>
      </c>
    </row>
    <row x14ac:dyDescent="0.25" r="520" customHeight="1" ht="18.75">
      <c r="A520" s="4" t="s">
        <v>1589</v>
      </c>
      <c r="B520" s="4" t="s">
        <v>296</v>
      </c>
      <c r="C520" s="4" t="s">
        <v>53</v>
      </c>
      <c r="D520" s="5">
        <v>148</v>
      </c>
      <c r="E520" s="5">
        <v>2</v>
      </c>
      <c r="F520" s="5">
        <v>0</v>
      </c>
      <c r="G520" s="5">
        <v>0</v>
      </c>
      <c r="H520" s="6">
        <v>18.8</v>
      </c>
      <c r="I520" s="6">
        <v>29.9</v>
      </c>
      <c r="J520" s="5">
        <v>282411</v>
      </c>
      <c r="K520" s="4" t="s">
        <v>1380</v>
      </c>
      <c r="L520" s="4" t="s">
        <v>55</v>
      </c>
      <c r="M520" s="4" t="s">
        <v>1381</v>
      </c>
      <c r="N520" s="7">
        <f>(20+30+20)/3</f>
      </c>
      <c r="O520" s="7">
        <f>(15+12+12+15)/4</f>
      </c>
    </row>
    <row x14ac:dyDescent="0.25" r="521" customHeight="1" ht="18.75">
      <c r="A521" s="4" t="s">
        <v>1120</v>
      </c>
      <c r="B521" s="4" t="s">
        <v>103</v>
      </c>
      <c r="C521" s="4" t="s">
        <v>22</v>
      </c>
      <c r="D521" s="5">
        <v>143</v>
      </c>
      <c r="E521" s="5">
        <v>4</v>
      </c>
      <c r="F521" s="5">
        <v>0</v>
      </c>
      <c r="G521" s="5">
        <v>0</v>
      </c>
      <c r="H521" s="5">
        <v>20</v>
      </c>
      <c r="I521" s="6">
        <v>32.4</v>
      </c>
      <c r="J521" s="5">
        <v>7767</v>
      </c>
      <c r="K521" s="4" t="s">
        <v>1590</v>
      </c>
      <c r="L521" s="4" t="s">
        <v>55</v>
      </c>
      <c r="M521" s="4" t="s">
        <v>1122</v>
      </c>
      <c r="N521" s="7">
        <f>(3.5+2.5)/2</f>
      </c>
      <c r="O521" s="7">
        <f>(4+4)/2</f>
      </c>
    </row>
    <row x14ac:dyDescent="0.25" r="522" customHeight="1" ht="18.75">
      <c r="A522" s="4" t="s">
        <v>1591</v>
      </c>
      <c r="B522" s="4" t="s">
        <v>448</v>
      </c>
      <c r="C522" s="4" t="s">
        <v>53</v>
      </c>
      <c r="D522" s="5">
        <v>142</v>
      </c>
      <c r="E522" s="5">
        <v>3</v>
      </c>
      <c r="F522" s="5">
        <v>0</v>
      </c>
      <c r="G522" s="5">
        <v>1</v>
      </c>
      <c r="H522" s="6">
        <v>18.8</v>
      </c>
      <c r="I522" s="5">
        <v>27</v>
      </c>
      <c r="J522" s="5">
        <v>93844</v>
      </c>
      <c r="K522" s="4" t="s">
        <v>1592</v>
      </c>
      <c r="L522" s="4" t="s">
        <v>19</v>
      </c>
      <c r="M522" s="4" t="s">
        <v>1593</v>
      </c>
      <c r="N522" s="7">
        <f>(7+7)/2</f>
      </c>
      <c r="O522" s="7">
        <f>(6+7+7)/3</f>
      </c>
    </row>
    <row x14ac:dyDescent="0.25" r="523" customHeight="1" ht="18.75">
      <c r="A523" s="4" t="s">
        <v>1594</v>
      </c>
      <c r="B523" s="4" t="s">
        <v>448</v>
      </c>
      <c r="C523" s="4" t="s">
        <v>32</v>
      </c>
      <c r="D523" s="5">
        <v>141</v>
      </c>
      <c r="E523" s="5">
        <v>2</v>
      </c>
      <c r="F523" s="5">
        <v>0</v>
      </c>
      <c r="G523" s="5">
        <v>0</v>
      </c>
      <c r="H523" s="6">
        <v>15.7</v>
      </c>
      <c r="I523" s="6">
        <v>31.3</v>
      </c>
      <c r="J523" s="5">
        <v>263801</v>
      </c>
      <c r="K523" s="4" t="s">
        <v>1595</v>
      </c>
      <c r="L523" s="4" t="s">
        <v>350</v>
      </c>
      <c r="M523" s="4" t="s">
        <v>1596</v>
      </c>
      <c r="N523" s="7">
        <f>(7+7)/2</f>
      </c>
      <c r="O523" s="7">
        <f>(3+5.75+8.5+8.5)/4</f>
      </c>
    </row>
    <row x14ac:dyDescent="0.25" r="524" customHeight="1" ht="18.75">
      <c r="A524" s="4" t="s">
        <v>1597</v>
      </c>
      <c r="B524" s="4" t="s">
        <v>522</v>
      </c>
      <c r="C524" s="4" t="s">
        <v>53</v>
      </c>
      <c r="D524" s="5">
        <v>140</v>
      </c>
      <c r="E524" s="5">
        <v>5</v>
      </c>
      <c r="F524" s="5">
        <v>0</v>
      </c>
      <c r="G524" s="5">
        <v>0</v>
      </c>
      <c r="H524" s="6">
        <v>18.2</v>
      </c>
      <c r="I524" s="6">
        <v>29.2</v>
      </c>
      <c r="J524" s="5">
        <v>50935</v>
      </c>
      <c r="K524" s="4" t="s">
        <v>1598</v>
      </c>
      <c r="L524" s="4" t="s">
        <v>401</v>
      </c>
      <c r="M524" s="4" t="s">
        <v>1599</v>
      </c>
      <c r="N524" s="7">
        <f>(12+9)/2</f>
      </c>
      <c r="O524" s="7">
        <f>(18+15+12+12)/4</f>
      </c>
    </row>
    <row x14ac:dyDescent="0.25" r="525" customHeight="1" ht="18.75">
      <c r="A525" s="4" t="s">
        <v>1600</v>
      </c>
      <c r="B525" s="4" t="s">
        <v>296</v>
      </c>
      <c r="C525" s="4" t="s">
        <v>53</v>
      </c>
      <c r="D525" s="5">
        <v>139</v>
      </c>
      <c r="E525" s="5">
        <v>4</v>
      </c>
      <c r="F525" s="5">
        <v>0</v>
      </c>
      <c r="G525" s="5">
        <v>0</v>
      </c>
      <c r="H525" s="6">
        <v>17.4</v>
      </c>
      <c r="I525" s="6">
        <v>29.9</v>
      </c>
      <c r="J525" s="5">
        <v>369081</v>
      </c>
      <c r="K525" s="4" t="s">
        <v>1154</v>
      </c>
      <c r="L525" s="4" t="s">
        <v>131</v>
      </c>
      <c r="M525" s="4" t="s">
        <v>1155</v>
      </c>
      <c r="N525" s="7">
        <f>(20+50)/2</f>
      </c>
      <c r="O525" s="7">
        <f>(3+6+6)/3</f>
      </c>
    </row>
    <row x14ac:dyDescent="0.25" r="526" customHeight="1" ht="18.75">
      <c r="A526" s="4" t="s">
        <v>1601</v>
      </c>
      <c r="B526" s="4" t="s">
        <v>478</v>
      </c>
      <c r="C526" s="4" t="s">
        <v>22</v>
      </c>
      <c r="D526" s="5">
        <v>138</v>
      </c>
      <c r="E526" s="5">
        <v>4</v>
      </c>
      <c r="F526" s="5">
        <v>0</v>
      </c>
      <c r="G526" s="5">
        <v>0</v>
      </c>
      <c r="H526" s="6">
        <v>16.9</v>
      </c>
      <c r="I526" s="6">
        <v>29.7</v>
      </c>
      <c r="J526" s="5">
        <v>225055</v>
      </c>
      <c r="K526" s="4" t="s">
        <v>1602</v>
      </c>
      <c r="L526" s="4" t="s">
        <v>71</v>
      </c>
      <c r="M526" s="4" t="s">
        <v>1603</v>
      </c>
      <c r="N526" s="7">
        <f>(4.5+4.5+4.5)/3</f>
      </c>
      <c r="O526" s="7">
        <f>(3+3+4.5)/3</f>
      </c>
    </row>
    <row x14ac:dyDescent="0.25" r="527" customHeight="1" ht="18.75">
      <c r="A527" s="4" t="s">
        <v>1604</v>
      </c>
      <c r="B527" s="4" t="s">
        <v>416</v>
      </c>
      <c r="C527" s="4" t="s">
        <v>53</v>
      </c>
      <c r="D527" s="5">
        <v>137</v>
      </c>
      <c r="E527" s="5">
        <v>5</v>
      </c>
      <c r="F527" s="5">
        <v>0</v>
      </c>
      <c r="G527" s="5">
        <v>0</v>
      </c>
      <c r="H527" s="6">
        <v>19.9</v>
      </c>
      <c r="I527" s="6">
        <v>30.2</v>
      </c>
      <c r="J527" s="5">
        <v>25488</v>
      </c>
      <c r="K527" s="4" t="s">
        <v>1605</v>
      </c>
      <c r="L527" s="4" t="s">
        <v>136</v>
      </c>
      <c r="M527" s="4" t="s">
        <v>1606</v>
      </c>
      <c r="N527" s="7">
        <f>(5+7+7)/3</f>
      </c>
      <c r="O527" s="7">
        <f>(17.5+14+11)/3</f>
      </c>
    </row>
    <row x14ac:dyDescent="0.25" r="528" customHeight="1" ht="18.75">
      <c r="A528" s="4" t="s">
        <v>1607</v>
      </c>
      <c r="B528" s="4" t="s">
        <v>553</v>
      </c>
      <c r="C528" s="4" t="s">
        <v>53</v>
      </c>
      <c r="D528" s="5">
        <v>137</v>
      </c>
      <c r="E528" s="5">
        <v>3</v>
      </c>
      <c r="F528" s="5">
        <v>1</v>
      </c>
      <c r="G528" s="5">
        <v>0</v>
      </c>
      <c r="H528" s="6">
        <v>15.2</v>
      </c>
      <c r="I528" s="5">
        <v>29</v>
      </c>
      <c r="J528" s="5">
        <v>57162</v>
      </c>
      <c r="K528" s="4" t="s">
        <v>1608</v>
      </c>
      <c r="L528" s="4" t="s">
        <v>71</v>
      </c>
      <c r="M528" s="4" t="s">
        <v>1609</v>
      </c>
      <c r="N528" s="7">
        <f>(5+7+8)/3</f>
      </c>
      <c r="O528" s="7">
        <f>(8+7.5)/2</f>
      </c>
    </row>
    <row x14ac:dyDescent="0.25" r="529" customHeight="1" ht="18.75">
      <c r="A529" s="4" t="s">
        <v>1610</v>
      </c>
      <c r="B529" s="4" t="s">
        <v>424</v>
      </c>
      <c r="C529" s="4" t="s">
        <v>32</v>
      </c>
      <c r="D529" s="5">
        <v>136</v>
      </c>
      <c r="E529" s="5">
        <v>3</v>
      </c>
      <c r="F529" s="5">
        <v>0</v>
      </c>
      <c r="G529" s="5">
        <v>0</v>
      </c>
      <c r="H529" s="6">
        <v>17.8</v>
      </c>
      <c r="I529" s="6">
        <v>27.4</v>
      </c>
      <c r="J529" s="5">
        <v>94922</v>
      </c>
      <c r="K529" s="4" t="s">
        <v>1611</v>
      </c>
      <c r="L529" s="4" t="s">
        <v>542</v>
      </c>
      <c r="M529" s="4" t="s">
        <v>1612</v>
      </c>
      <c r="N529" s="7">
        <f>2</f>
      </c>
      <c r="O529" s="7">
        <f>(2+2+2)/3</f>
      </c>
    </row>
    <row x14ac:dyDescent="0.25" r="530" customHeight="1" ht="18.75">
      <c r="A530" s="4" t="s">
        <v>1613</v>
      </c>
      <c r="B530" s="4" t="s">
        <v>478</v>
      </c>
      <c r="C530" s="4" t="s">
        <v>32</v>
      </c>
      <c r="D530" s="5">
        <v>135</v>
      </c>
      <c r="E530" s="5">
        <v>2</v>
      </c>
      <c r="F530" s="5">
        <v>0</v>
      </c>
      <c r="G530" s="5">
        <v>0</v>
      </c>
      <c r="H530" s="6">
        <v>16.8</v>
      </c>
      <c r="I530" s="6">
        <v>29.9</v>
      </c>
      <c r="J530" s="5">
        <v>341264</v>
      </c>
      <c r="K530" s="4" t="s">
        <v>1614</v>
      </c>
      <c r="L530" s="4" t="s">
        <v>55</v>
      </c>
      <c r="M530" s="4" t="s">
        <v>1615</v>
      </c>
      <c r="N530" s="7">
        <f>(0.2+0.25+0.25)/3</f>
      </c>
      <c r="O530" s="7">
        <f>0.15</f>
      </c>
    </row>
    <row x14ac:dyDescent="0.25" r="531" customHeight="1" ht="18.75">
      <c r="A531" s="4" t="s">
        <v>1616</v>
      </c>
      <c r="B531" s="4" t="s">
        <v>448</v>
      </c>
      <c r="C531" s="4" t="s">
        <v>32</v>
      </c>
      <c r="D531" s="5">
        <v>135</v>
      </c>
      <c r="E531" s="5">
        <v>2</v>
      </c>
      <c r="F531" s="5">
        <v>0</v>
      </c>
      <c r="G531" s="5">
        <v>0</v>
      </c>
      <c r="H531" s="6">
        <v>16.1</v>
      </c>
      <c r="I531" s="6">
        <v>28.8</v>
      </c>
      <c r="J531" s="5">
        <v>207006</v>
      </c>
      <c r="K531" s="4" t="s">
        <v>1617</v>
      </c>
      <c r="L531" s="4" t="s">
        <v>34</v>
      </c>
      <c r="M531" s="4" t="s">
        <v>1549</v>
      </c>
      <c r="N531" s="7">
        <f>(4.5+3)/2</f>
      </c>
      <c r="O531" s="7">
        <f>(4+5+5)/3</f>
      </c>
    </row>
    <row x14ac:dyDescent="0.25" r="532" customHeight="1" ht="18.75">
      <c r="A532" s="4" t="s">
        <v>1618</v>
      </c>
      <c r="B532" s="4" t="s">
        <v>223</v>
      </c>
      <c r="C532" s="4" t="s">
        <v>32</v>
      </c>
      <c r="D532" s="5">
        <v>135</v>
      </c>
      <c r="E532" s="5">
        <v>2</v>
      </c>
      <c r="F532" s="5">
        <v>0</v>
      </c>
      <c r="G532" s="5">
        <v>0</v>
      </c>
      <c r="H532" s="6">
        <v>14.1</v>
      </c>
      <c r="I532" s="6">
        <v>29.2</v>
      </c>
      <c r="J532" s="5">
        <v>143448</v>
      </c>
      <c r="K532" s="4"/>
      <c r="L532" s="4" t="s">
        <v>131</v>
      </c>
      <c r="M532" s="4" t="s">
        <v>1619</v>
      </c>
      <c r="N532" s="4"/>
      <c r="O532" s="4"/>
    </row>
    <row x14ac:dyDescent="0.25" r="533" customHeight="1" ht="18.75">
      <c r="A533" s="4" t="s">
        <v>1620</v>
      </c>
      <c r="B533" s="4" t="s">
        <v>436</v>
      </c>
      <c r="C533" s="4" t="s">
        <v>53</v>
      </c>
      <c r="D533" s="5">
        <v>132</v>
      </c>
      <c r="E533" s="5">
        <v>3</v>
      </c>
      <c r="F533" s="5">
        <v>1</v>
      </c>
      <c r="G533" s="5">
        <v>0</v>
      </c>
      <c r="H533" s="6">
        <v>18.1</v>
      </c>
      <c r="I533" s="5">
        <v>29</v>
      </c>
      <c r="J533" s="5">
        <v>359210</v>
      </c>
      <c r="K533" s="4" t="s">
        <v>1621</v>
      </c>
      <c r="L533" s="4" t="s">
        <v>1622</v>
      </c>
      <c r="M533" s="4" t="s">
        <v>1623</v>
      </c>
      <c r="N533" s="7">
        <f>(4+2)/2</f>
      </c>
      <c r="O533" s="7">
        <f>(1+1.5+3.5)/3</f>
      </c>
    </row>
    <row x14ac:dyDescent="0.25" r="534" customHeight="1" ht="18.75">
      <c r="A534" s="4" t="s">
        <v>1624</v>
      </c>
      <c r="B534" s="4" t="s">
        <v>243</v>
      </c>
      <c r="C534" s="4" t="s">
        <v>22</v>
      </c>
      <c r="D534" s="5">
        <v>129</v>
      </c>
      <c r="E534" s="5">
        <v>3</v>
      </c>
      <c r="F534" s="5">
        <v>1</v>
      </c>
      <c r="G534" s="5">
        <v>0</v>
      </c>
      <c r="H534" s="6">
        <v>15.5</v>
      </c>
      <c r="I534" s="5">
        <v>32</v>
      </c>
      <c r="J534" s="5">
        <v>243714</v>
      </c>
      <c r="K534" s="4" t="s">
        <v>1625</v>
      </c>
      <c r="L534" s="4" t="s">
        <v>71</v>
      </c>
      <c r="M534" s="4" t="s">
        <v>1626</v>
      </c>
      <c r="N534" s="7">
        <f>(50+60+60)/3</f>
      </c>
      <c r="O534" s="7">
        <f>(50+50+50)/3</f>
      </c>
    </row>
    <row x14ac:dyDescent="0.25" r="535" customHeight="1" ht="18.75">
      <c r="A535" s="4" t="s">
        <v>1627</v>
      </c>
      <c r="B535" s="4" t="s">
        <v>748</v>
      </c>
      <c r="C535" s="4" t="s">
        <v>22</v>
      </c>
      <c r="D535" s="5">
        <v>128</v>
      </c>
      <c r="E535" s="5">
        <v>5</v>
      </c>
      <c r="F535" s="5">
        <v>0</v>
      </c>
      <c r="G535" s="5">
        <v>0</v>
      </c>
      <c r="H535" s="6">
        <v>16.8</v>
      </c>
      <c r="I535" s="6">
        <v>29.5</v>
      </c>
      <c r="J535" s="5">
        <v>27389</v>
      </c>
      <c r="K535" s="4" t="s">
        <v>1628</v>
      </c>
      <c r="L535" s="4" t="s">
        <v>71</v>
      </c>
      <c r="M535" s="4" t="s">
        <v>1629</v>
      </c>
      <c r="N535" s="7">
        <f>(9+8)/2</f>
      </c>
      <c r="O535" s="7">
        <f>(20+20+18+12)/4</f>
      </c>
    </row>
    <row x14ac:dyDescent="0.25" r="536" customHeight="1" ht="18.75">
      <c r="A536" s="4" t="s">
        <v>1630</v>
      </c>
      <c r="B536" s="4" t="s">
        <v>243</v>
      </c>
      <c r="C536" s="4" t="s">
        <v>53</v>
      </c>
      <c r="D536" s="5">
        <v>125</v>
      </c>
      <c r="E536" s="5">
        <v>6</v>
      </c>
      <c r="F536" s="5">
        <v>1</v>
      </c>
      <c r="G536" s="5">
        <v>0</v>
      </c>
      <c r="H536" s="6">
        <v>18.1</v>
      </c>
      <c r="I536" s="6">
        <v>30.4</v>
      </c>
      <c r="J536" s="5">
        <v>258027</v>
      </c>
      <c r="K536" s="4" t="s">
        <v>1631</v>
      </c>
      <c r="L536" s="4" t="s">
        <v>141</v>
      </c>
      <c r="M536" s="4" t="s">
        <v>1632</v>
      </c>
      <c r="N536" s="7">
        <f>(18+18)/2</f>
      </c>
      <c r="O536" s="7">
        <f>(22+20+20)/3</f>
      </c>
    </row>
    <row x14ac:dyDescent="0.25" r="537" customHeight="1" ht="18.75">
      <c r="A537" s="4" t="s">
        <v>1633</v>
      </c>
      <c r="B537" s="4" t="s">
        <v>103</v>
      </c>
      <c r="C537" s="4" t="s">
        <v>22</v>
      </c>
      <c r="D537" s="5">
        <v>124</v>
      </c>
      <c r="E537" s="5">
        <v>6</v>
      </c>
      <c r="F537" s="5">
        <v>0</v>
      </c>
      <c r="G537" s="5">
        <v>1</v>
      </c>
      <c r="H537" s="6">
        <v>16.6</v>
      </c>
      <c r="I537" s="6">
        <v>32.6</v>
      </c>
      <c r="J537" s="5">
        <v>181768</v>
      </c>
      <c r="K537" s="4" t="s">
        <v>1634</v>
      </c>
      <c r="L537" s="4" t="s">
        <v>19</v>
      </c>
      <c r="M537" s="4" t="s">
        <v>1635</v>
      </c>
      <c r="N537" s="7">
        <f>(3.5+4)/2</f>
      </c>
      <c r="O537" s="7">
        <f>(5+4+4)/3</f>
      </c>
    </row>
    <row x14ac:dyDescent="0.25" r="538" customHeight="1" ht="18.75">
      <c r="A538" s="4" t="s">
        <v>1636</v>
      </c>
      <c r="B538" s="4" t="s">
        <v>459</v>
      </c>
      <c r="C538" s="4" t="s">
        <v>22</v>
      </c>
      <c r="D538" s="5">
        <v>122</v>
      </c>
      <c r="E538" s="5">
        <v>4</v>
      </c>
      <c r="F538" s="5">
        <v>0</v>
      </c>
      <c r="G538" s="5">
        <v>0</v>
      </c>
      <c r="H538" s="6">
        <v>15.6</v>
      </c>
      <c r="I538" s="6">
        <v>27.4</v>
      </c>
      <c r="J538" s="5">
        <v>334222</v>
      </c>
      <c r="K538" s="4" t="s">
        <v>1637</v>
      </c>
      <c r="L538" s="4" t="s">
        <v>127</v>
      </c>
      <c r="M538" s="4" t="s">
        <v>1638</v>
      </c>
      <c r="N538" s="7">
        <f>1.5</f>
      </c>
      <c r="O538" s="7">
        <f>(1.5+1.5+1.5)/3</f>
      </c>
    </row>
    <row x14ac:dyDescent="0.25" r="539" customHeight="1" ht="18.75">
      <c r="A539" s="4" t="s">
        <v>1639</v>
      </c>
      <c r="B539" s="4" t="s">
        <v>223</v>
      </c>
      <c r="C539" s="4" t="s">
        <v>22</v>
      </c>
      <c r="D539" s="5">
        <v>122</v>
      </c>
      <c r="E539" s="5">
        <v>2</v>
      </c>
      <c r="F539" s="5">
        <v>0</v>
      </c>
      <c r="G539" s="5">
        <v>0</v>
      </c>
      <c r="H539" s="6">
        <v>14.8</v>
      </c>
      <c r="I539" s="6">
        <v>31.7</v>
      </c>
      <c r="J539" s="5">
        <v>128223</v>
      </c>
      <c r="K539" s="4" t="s">
        <v>1640</v>
      </c>
      <c r="L539" s="4" t="s">
        <v>55</v>
      </c>
      <c r="M539" s="4" t="s">
        <v>1056</v>
      </c>
      <c r="N539" s="7">
        <f>(50+50)/2</f>
      </c>
      <c r="O539" s="7">
        <f>(65+65+60+50)/4</f>
      </c>
    </row>
    <row x14ac:dyDescent="0.25" r="540" customHeight="1" ht="18.75">
      <c r="A540" s="4" t="s">
        <v>1641</v>
      </c>
      <c r="B540" s="4" t="s">
        <v>296</v>
      </c>
      <c r="C540" s="4" t="s">
        <v>32</v>
      </c>
      <c r="D540" s="5">
        <v>121</v>
      </c>
      <c r="E540" s="5">
        <v>2</v>
      </c>
      <c r="F540" s="5">
        <v>0</v>
      </c>
      <c r="G540" s="5">
        <v>0</v>
      </c>
      <c r="H540" s="6">
        <v>12.6</v>
      </c>
      <c r="I540" s="6">
        <v>28.4</v>
      </c>
      <c r="J540" s="5">
        <v>340853</v>
      </c>
      <c r="K540" s="4" t="s">
        <v>1642</v>
      </c>
      <c r="L540" s="4" t="s">
        <v>55</v>
      </c>
      <c r="M540" s="4" t="s">
        <v>1643</v>
      </c>
      <c r="N540" s="7">
        <f>(1+2+1.5)/3</f>
      </c>
      <c r="O540" s="7">
        <f>(0.3+0.3+1)/3</f>
      </c>
    </row>
    <row x14ac:dyDescent="0.25" r="541" customHeight="1" ht="18.75">
      <c r="A541" s="4" t="s">
        <v>1644</v>
      </c>
      <c r="B541" s="4" t="s">
        <v>139</v>
      </c>
      <c r="C541" s="4" t="s">
        <v>53</v>
      </c>
      <c r="D541" s="5">
        <v>120</v>
      </c>
      <c r="E541" s="5">
        <v>4</v>
      </c>
      <c r="F541" s="5">
        <v>1</v>
      </c>
      <c r="G541" s="5">
        <v>0</v>
      </c>
      <c r="H541" s="6">
        <v>16.7</v>
      </c>
      <c r="I541" s="6">
        <v>30.2</v>
      </c>
      <c r="J541" s="5">
        <v>406635</v>
      </c>
      <c r="K541" s="4" t="s">
        <v>1645</v>
      </c>
      <c r="L541" s="4" t="s">
        <v>63</v>
      </c>
      <c r="M541" s="4" t="s">
        <v>1646</v>
      </c>
      <c r="N541" s="7">
        <f>(25+25+30+30)/4</f>
      </c>
      <c r="O541" s="7">
        <f>(5+7+15+20)/4</f>
      </c>
    </row>
    <row x14ac:dyDescent="0.25" r="542" customHeight="1" ht="18.75">
      <c r="A542" s="4" t="s">
        <v>1647</v>
      </c>
      <c r="B542" s="4" t="s">
        <v>103</v>
      </c>
      <c r="C542" s="4" t="s">
        <v>22</v>
      </c>
      <c r="D542" s="5">
        <v>119</v>
      </c>
      <c r="E542" s="5">
        <v>4</v>
      </c>
      <c r="F542" s="5">
        <v>1</v>
      </c>
      <c r="G542" s="5">
        <v>0</v>
      </c>
      <c r="H542" s="6">
        <v>15.7</v>
      </c>
      <c r="I542" s="6">
        <v>30.6</v>
      </c>
      <c r="J542" s="5">
        <v>45383</v>
      </c>
      <c r="K542" s="4" t="s">
        <v>1648</v>
      </c>
      <c r="L542" s="4" t="s">
        <v>55</v>
      </c>
      <c r="M542" s="4" t="s">
        <v>1649</v>
      </c>
      <c r="N542" s="7">
        <f>(3.5+2.5+1.8)/3</f>
      </c>
      <c r="O542" s="7">
        <f>(3.5+4)/2</f>
      </c>
    </row>
    <row x14ac:dyDescent="0.25" r="543" customHeight="1" ht="18.75">
      <c r="A543" s="4" t="s">
        <v>109</v>
      </c>
      <c r="B543" s="4" t="s">
        <v>139</v>
      </c>
      <c r="C543" s="4" t="s">
        <v>32</v>
      </c>
      <c r="D543" s="5">
        <v>119</v>
      </c>
      <c r="E543" s="5">
        <v>2</v>
      </c>
      <c r="F543" s="5">
        <v>0</v>
      </c>
      <c r="G543" s="5">
        <v>0</v>
      </c>
      <c r="H543" s="6">
        <v>12.4</v>
      </c>
      <c r="I543" s="6">
        <v>29.9</v>
      </c>
      <c r="J543" s="5">
        <v>145707</v>
      </c>
      <c r="K543" s="4" t="s">
        <v>1650</v>
      </c>
      <c r="L543" s="4" t="s">
        <v>19</v>
      </c>
      <c r="M543" s="4" t="s">
        <v>111</v>
      </c>
      <c r="N543" s="7">
        <f>(20+20)/2</f>
      </c>
      <c r="O543" s="7">
        <f>(18+20+20)/3</f>
      </c>
    </row>
    <row x14ac:dyDescent="0.25" r="544" customHeight="1" ht="18.75">
      <c r="A544" s="4" t="s">
        <v>1651</v>
      </c>
      <c r="B544" s="4" t="s">
        <v>428</v>
      </c>
      <c r="C544" s="4" t="s">
        <v>32</v>
      </c>
      <c r="D544" s="5">
        <v>118</v>
      </c>
      <c r="E544" s="5">
        <v>2</v>
      </c>
      <c r="F544" s="5">
        <v>0</v>
      </c>
      <c r="G544" s="5">
        <v>0</v>
      </c>
      <c r="H544" s="6">
        <v>15.3</v>
      </c>
      <c r="I544" s="6">
        <v>29.7</v>
      </c>
      <c r="J544" s="5">
        <v>316422</v>
      </c>
      <c r="K544" s="4" t="s">
        <v>1652</v>
      </c>
      <c r="L544" s="4" t="s">
        <v>42</v>
      </c>
      <c r="M544" s="4" t="s">
        <v>1653</v>
      </c>
      <c r="N544" s="7">
        <f>(2+1)/2</f>
      </c>
      <c r="O544" s="7">
        <f>(3+3+2.5)/3</f>
      </c>
    </row>
    <row x14ac:dyDescent="0.25" r="545" customHeight="1" ht="18.75">
      <c r="A545" s="4" t="s">
        <v>1654</v>
      </c>
      <c r="B545" s="4" t="s">
        <v>464</v>
      </c>
      <c r="C545" s="4" t="s">
        <v>22</v>
      </c>
      <c r="D545" s="5">
        <v>117</v>
      </c>
      <c r="E545" s="5">
        <v>3</v>
      </c>
      <c r="F545" s="5">
        <v>0</v>
      </c>
      <c r="G545" s="5">
        <v>1</v>
      </c>
      <c r="H545" s="6">
        <v>13.9</v>
      </c>
      <c r="I545" s="6">
        <v>30.6</v>
      </c>
      <c r="J545" s="5">
        <v>50355</v>
      </c>
      <c r="K545" s="4" t="s">
        <v>1655</v>
      </c>
      <c r="L545" s="4" t="s">
        <v>492</v>
      </c>
      <c r="M545" s="4" t="s">
        <v>1656</v>
      </c>
      <c r="N545" s="7">
        <f>(11+9)/2</f>
      </c>
      <c r="O545" s="7">
        <f>(16+14+12.5)/3</f>
      </c>
    </row>
    <row x14ac:dyDescent="0.25" r="546" customHeight="1" ht="18.75">
      <c r="A546" s="4" t="s">
        <v>1657</v>
      </c>
      <c r="B546" s="4" t="s">
        <v>459</v>
      </c>
      <c r="C546" s="4" t="s">
        <v>32</v>
      </c>
      <c r="D546" s="5">
        <v>115</v>
      </c>
      <c r="E546" s="5">
        <v>5</v>
      </c>
      <c r="F546" s="5">
        <v>0</v>
      </c>
      <c r="G546" s="5">
        <v>0</v>
      </c>
      <c r="H546" s="6">
        <v>14.6</v>
      </c>
      <c r="I546" s="6">
        <v>28.6</v>
      </c>
      <c r="J546" s="5">
        <v>75118</v>
      </c>
      <c r="K546" s="4" t="s">
        <v>1658</v>
      </c>
      <c r="L546" s="4" t="s">
        <v>19</v>
      </c>
      <c r="M546" s="4" t="s">
        <v>1659</v>
      </c>
      <c r="N546" s="7">
        <f>(0.6+0.4)/2</f>
      </c>
      <c r="O546" s="7">
        <f>(1.25+0.75)/2</f>
      </c>
    </row>
    <row x14ac:dyDescent="0.25" r="547" customHeight="1" ht="18.75">
      <c r="A547" s="4" t="s">
        <v>1660</v>
      </c>
      <c r="B547" s="4" t="s">
        <v>420</v>
      </c>
      <c r="C547" s="4" t="s">
        <v>53</v>
      </c>
      <c r="D547" s="5">
        <v>115</v>
      </c>
      <c r="E547" s="5">
        <v>3</v>
      </c>
      <c r="F547" s="5">
        <v>0</v>
      </c>
      <c r="G547" s="5">
        <v>0</v>
      </c>
      <c r="H547" s="6">
        <v>15.4</v>
      </c>
      <c r="I547" s="5">
        <v>29</v>
      </c>
      <c r="J547" s="5">
        <v>214243</v>
      </c>
      <c r="K547" s="4" t="s">
        <v>1661</v>
      </c>
      <c r="L547" s="4" t="s">
        <v>492</v>
      </c>
      <c r="M547" s="4" t="s">
        <v>1662</v>
      </c>
      <c r="N547" s="7">
        <f>(1+0.75)/2</f>
      </c>
      <c r="O547" s="7">
        <f>(0.75+0.9+1.2)/3</f>
      </c>
    </row>
    <row x14ac:dyDescent="0.25" r="548" customHeight="1" ht="18.75">
      <c r="A548" s="4" t="s">
        <v>1663</v>
      </c>
      <c r="B548" s="4" t="s">
        <v>436</v>
      </c>
      <c r="C548" s="4" t="s">
        <v>22</v>
      </c>
      <c r="D548" s="5">
        <v>114</v>
      </c>
      <c r="E548" s="5">
        <v>2</v>
      </c>
      <c r="F548" s="5">
        <v>1</v>
      </c>
      <c r="G548" s="5">
        <v>1</v>
      </c>
      <c r="H548" s="6">
        <v>12.7</v>
      </c>
      <c r="I548" s="5">
        <v>27</v>
      </c>
      <c r="J548" s="5">
        <v>145538</v>
      </c>
      <c r="K548" s="4"/>
      <c r="L548" s="4" t="s">
        <v>19</v>
      </c>
      <c r="M548" s="4" t="s">
        <v>1664</v>
      </c>
      <c r="N548" s="4"/>
      <c r="O548" s="4"/>
    </row>
    <row x14ac:dyDescent="0.25" r="549" customHeight="1" ht="18.75">
      <c r="A549" s="4" t="s">
        <v>1665</v>
      </c>
      <c r="B549" s="4" t="s">
        <v>448</v>
      </c>
      <c r="C549" s="4" t="s">
        <v>22</v>
      </c>
      <c r="D549" s="5">
        <v>113</v>
      </c>
      <c r="E549" s="5">
        <v>5</v>
      </c>
      <c r="F549" s="5">
        <v>0</v>
      </c>
      <c r="G549" s="5">
        <v>0</v>
      </c>
      <c r="H549" s="6">
        <v>16.6</v>
      </c>
      <c r="I549" s="5">
        <v>31</v>
      </c>
      <c r="J549" s="5">
        <v>5800</v>
      </c>
      <c r="K549" s="4" t="s">
        <v>1666</v>
      </c>
      <c r="L549" s="4" t="s">
        <v>136</v>
      </c>
      <c r="M549" s="4" t="s">
        <v>1667</v>
      </c>
      <c r="N549" s="4"/>
      <c r="O549" s="4"/>
    </row>
    <row x14ac:dyDescent="0.25" r="550" customHeight="1" ht="18.75">
      <c r="A550" s="4" t="s">
        <v>1668</v>
      </c>
      <c r="B550" s="4" t="s">
        <v>504</v>
      </c>
      <c r="C550" s="4" t="s">
        <v>53</v>
      </c>
      <c r="D550" s="5">
        <v>113</v>
      </c>
      <c r="E550" s="5">
        <v>4</v>
      </c>
      <c r="F550" s="5">
        <v>0</v>
      </c>
      <c r="G550" s="5">
        <v>1</v>
      </c>
      <c r="H550" s="6">
        <v>15.5</v>
      </c>
      <c r="I550" s="6">
        <v>27.7</v>
      </c>
      <c r="J550" s="5">
        <v>124870</v>
      </c>
      <c r="K550" s="4" t="s">
        <v>1669</v>
      </c>
      <c r="L550" s="4" t="s">
        <v>34</v>
      </c>
      <c r="M550" s="4" t="s">
        <v>1670</v>
      </c>
      <c r="N550" s="7">
        <f>(1.75+1.5+1)/3</f>
      </c>
      <c r="O550" s="7">
        <f>1.5</f>
      </c>
    </row>
    <row x14ac:dyDescent="0.25" r="551" customHeight="1" ht="18.75">
      <c r="A551" s="4" t="s">
        <v>1671</v>
      </c>
      <c r="B551" s="4" t="s">
        <v>223</v>
      </c>
      <c r="C551" s="4" t="s">
        <v>22</v>
      </c>
      <c r="D551" s="5">
        <v>110</v>
      </c>
      <c r="E551" s="5">
        <v>3</v>
      </c>
      <c r="F551" s="5">
        <v>0</v>
      </c>
      <c r="G551" s="5">
        <v>0</v>
      </c>
      <c r="H551" s="6">
        <v>12.5</v>
      </c>
      <c r="I551" s="6">
        <v>29.9</v>
      </c>
      <c r="J551" s="5">
        <v>36371</v>
      </c>
      <c r="K551" s="4" t="s">
        <v>1672</v>
      </c>
      <c r="L551" s="4" t="s">
        <v>378</v>
      </c>
      <c r="M551" s="4" t="s">
        <v>1673</v>
      </c>
      <c r="N551" s="7">
        <f>(10+8.5)/2</f>
      </c>
      <c r="O551" s="7">
        <f>(16+14+14)/3</f>
      </c>
    </row>
    <row x14ac:dyDescent="0.25" r="552" customHeight="1" ht="18.75">
      <c r="A552" s="4" t="s">
        <v>1674</v>
      </c>
      <c r="B552" s="4" t="s">
        <v>428</v>
      </c>
      <c r="C552" s="4" t="s">
        <v>22</v>
      </c>
      <c r="D552" s="5">
        <v>109</v>
      </c>
      <c r="E552" s="5">
        <v>5</v>
      </c>
      <c r="F552" s="5">
        <v>0</v>
      </c>
      <c r="G552" s="5">
        <v>0</v>
      </c>
      <c r="H552" s="5">
        <v>14</v>
      </c>
      <c r="I552" s="6">
        <v>30.8</v>
      </c>
      <c r="J552" s="5">
        <v>368887</v>
      </c>
      <c r="K552" s="4" t="s">
        <v>1675</v>
      </c>
      <c r="L552" s="4" t="s">
        <v>42</v>
      </c>
      <c r="M552" s="4" t="s">
        <v>1676</v>
      </c>
      <c r="N552" s="7">
        <f>(1+3+4.5+6)/4</f>
      </c>
      <c r="O552" s="7">
        <f>(0.2+0.6+0.9)/3</f>
      </c>
    </row>
    <row x14ac:dyDescent="0.25" r="553" customHeight="1" ht="18.75">
      <c r="A553" s="4" t="s">
        <v>1677</v>
      </c>
      <c r="B553" s="4" t="s">
        <v>748</v>
      </c>
      <c r="C553" s="4" t="s">
        <v>53</v>
      </c>
      <c r="D553" s="5">
        <v>107</v>
      </c>
      <c r="E553" s="5">
        <v>3</v>
      </c>
      <c r="F553" s="5">
        <v>0</v>
      </c>
      <c r="G553" s="5">
        <v>0</v>
      </c>
      <c r="H553" s="6">
        <v>14.3</v>
      </c>
      <c r="I553" s="6">
        <v>30.8</v>
      </c>
      <c r="J553" s="5">
        <v>98322</v>
      </c>
      <c r="K553" s="4" t="s">
        <v>1678</v>
      </c>
      <c r="L553" s="4" t="s">
        <v>55</v>
      </c>
      <c r="M553" s="4" t="s">
        <v>1679</v>
      </c>
      <c r="N553" s="7">
        <f>(6+6)/2</f>
      </c>
      <c r="O553" s="7">
        <f>(3+3+8+7)/4</f>
      </c>
    </row>
    <row x14ac:dyDescent="0.25" r="554" customHeight="1" ht="18.75">
      <c r="A554" s="4" t="s">
        <v>1680</v>
      </c>
      <c r="B554" s="4" t="s">
        <v>134</v>
      </c>
      <c r="C554" s="4" t="s">
        <v>32</v>
      </c>
      <c r="D554" s="5">
        <v>106</v>
      </c>
      <c r="E554" s="5">
        <v>3</v>
      </c>
      <c r="F554" s="5">
        <v>0</v>
      </c>
      <c r="G554" s="5">
        <v>0</v>
      </c>
      <c r="H554" s="6">
        <v>12.8</v>
      </c>
      <c r="I554" s="6">
        <v>24.3</v>
      </c>
      <c r="J554" s="5">
        <v>7109</v>
      </c>
      <c r="K554" s="4" t="s">
        <v>1681</v>
      </c>
      <c r="L554" s="4" t="s">
        <v>136</v>
      </c>
      <c r="M554" s="4" t="s">
        <v>1682</v>
      </c>
      <c r="N554" s="7">
        <f>1</f>
      </c>
      <c r="O554" s="7">
        <f>(1+1)/2</f>
      </c>
    </row>
    <row x14ac:dyDescent="0.25" r="555" customHeight="1" ht="18.75">
      <c r="A555" s="4" t="s">
        <v>1683</v>
      </c>
      <c r="B555" s="4" t="s">
        <v>134</v>
      </c>
      <c r="C555" s="4" t="s">
        <v>53</v>
      </c>
      <c r="D555" s="5">
        <v>105</v>
      </c>
      <c r="E555" s="5">
        <v>4</v>
      </c>
      <c r="F555" s="5">
        <v>0</v>
      </c>
      <c r="G555" s="5">
        <v>0</v>
      </c>
      <c r="H555" s="5">
        <v>13</v>
      </c>
      <c r="I555" s="6">
        <v>30.2</v>
      </c>
      <c r="J555" s="5">
        <v>29401</v>
      </c>
      <c r="K555" s="4" t="s">
        <v>1684</v>
      </c>
      <c r="L555" s="4" t="s">
        <v>84</v>
      </c>
      <c r="M555" s="4" t="s">
        <v>650</v>
      </c>
      <c r="N555" s="7">
        <f>(15+7+8.5+7)/4</f>
      </c>
      <c r="O555" s="7">
        <f>(26+25+20)/3</f>
      </c>
    </row>
    <row x14ac:dyDescent="0.25" r="556" customHeight="1" ht="18.75">
      <c r="A556" s="4" t="s">
        <v>1685</v>
      </c>
      <c r="B556" s="4" t="s">
        <v>478</v>
      </c>
      <c r="C556" s="4" t="s">
        <v>53</v>
      </c>
      <c r="D556" s="5">
        <v>105</v>
      </c>
      <c r="E556" s="5">
        <v>3</v>
      </c>
      <c r="F556" s="5">
        <v>0</v>
      </c>
      <c r="G556" s="5">
        <v>0</v>
      </c>
      <c r="H556" s="6">
        <v>14.8</v>
      </c>
      <c r="I556" s="6">
        <v>29.5</v>
      </c>
      <c r="J556" s="5">
        <v>457221</v>
      </c>
      <c r="K556" s="4" t="s">
        <v>1686</v>
      </c>
      <c r="L556" s="4" t="s">
        <v>127</v>
      </c>
      <c r="M556" s="4" t="s">
        <v>1687</v>
      </c>
      <c r="N556" s="7">
        <f>(8+8)/2</f>
      </c>
      <c r="O556" s="7">
        <f>(3+4)/2</f>
      </c>
    </row>
    <row x14ac:dyDescent="0.25" r="557" customHeight="1" ht="18.75">
      <c r="A557" s="4" t="s">
        <v>1688</v>
      </c>
      <c r="B557" s="4" t="s">
        <v>748</v>
      </c>
      <c r="C557" s="4" t="s">
        <v>22</v>
      </c>
      <c r="D557" s="5">
        <v>105</v>
      </c>
      <c r="E557" s="5">
        <v>3</v>
      </c>
      <c r="F557" s="5">
        <v>0</v>
      </c>
      <c r="G557" s="5">
        <v>0</v>
      </c>
      <c r="H557" s="5">
        <v>14</v>
      </c>
      <c r="I557" s="5">
        <v>32</v>
      </c>
      <c r="J557" s="5">
        <v>398184</v>
      </c>
      <c r="K557" s="4" t="s">
        <v>1689</v>
      </c>
      <c r="L557" s="4" t="s">
        <v>55</v>
      </c>
      <c r="M557" s="4" t="s">
        <v>1690</v>
      </c>
      <c r="N557" s="7">
        <f>(12+20+40)/3</f>
      </c>
      <c r="O557" s="7">
        <f>(1+5+5+5)/4</f>
      </c>
    </row>
    <row x14ac:dyDescent="0.25" r="558" customHeight="1" ht="18.75">
      <c r="A558" s="4" t="s">
        <v>1691</v>
      </c>
      <c r="B558" s="4" t="s">
        <v>16</v>
      </c>
      <c r="C558" s="4" t="s">
        <v>53</v>
      </c>
      <c r="D558" s="5">
        <v>104</v>
      </c>
      <c r="E558" s="5">
        <v>3</v>
      </c>
      <c r="F558" s="5">
        <v>0</v>
      </c>
      <c r="G558" s="5">
        <v>0</v>
      </c>
      <c r="H558" s="6">
        <v>14.2</v>
      </c>
      <c r="I558" s="6">
        <v>30.6</v>
      </c>
      <c r="J558" s="5">
        <v>43530</v>
      </c>
      <c r="K558" s="4" t="s">
        <v>1692</v>
      </c>
      <c r="L558" s="4" t="s">
        <v>63</v>
      </c>
      <c r="M558" s="4" t="s">
        <v>1693</v>
      </c>
      <c r="N558" s="7">
        <f>(15+12)/2</f>
      </c>
      <c r="O558" s="7">
        <f>(25+25+20+15)/4</f>
      </c>
    </row>
    <row x14ac:dyDescent="0.25" r="559" customHeight="1" ht="18.75">
      <c r="A559" s="4" t="s">
        <v>1694</v>
      </c>
      <c r="B559" s="4" t="s">
        <v>230</v>
      </c>
      <c r="C559" s="4" t="s">
        <v>53</v>
      </c>
      <c r="D559" s="5">
        <v>102</v>
      </c>
      <c r="E559" s="5">
        <v>5</v>
      </c>
      <c r="F559" s="5">
        <v>0</v>
      </c>
      <c r="G559" s="5">
        <v>0</v>
      </c>
      <c r="H559" s="6">
        <v>15.3</v>
      </c>
      <c r="I559" s="6">
        <v>28.8</v>
      </c>
      <c r="J559" s="5">
        <v>623570</v>
      </c>
      <c r="K559" s="4" t="s">
        <v>871</v>
      </c>
      <c r="L559" s="4" t="s">
        <v>71</v>
      </c>
      <c r="M559" s="4" t="s">
        <v>872</v>
      </c>
      <c r="N559" s="4"/>
      <c r="O559" s="4"/>
    </row>
    <row x14ac:dyDescent="0.25" r="560" customHeight="1" ht="18.75">
      <c r="A560" s="4" t="s">
        <v>1695</v>
      </c>
      <c r="B560" s="4" t="s">
        <v>448</v>
      </c>
      <c r="C560" s="4" t="s">
        <v>53</v>
      </c>
      <c r="D560" s="5">
        <v>102</v>
      </c>
      <c r="E560" s="5">
        <v>3</v>
      </c>
      <c r="F560" s="5">
        <v>1</v>
      </c>
      <c r="G560" s="5">
        <v>0</v>
      </c>
      <c r="H560" s="6">
        <v>13.1</v>
      </c>
      <c r="I560" s="6">
        <v>29.2</v>
      </c>
      <c r="J560" s="5">
        <v>68033</v>
      </c>
      <c r="K560" s="4" t="s">
        <v>1696</v>
      </c>
      <c r="L560" s="4" t="s">
        <v>59</v>
      </c>
      <c r="M560" s="4" t="s">
        <v>1697</v>
      </c>
      <c r="N560" s="7">
        <f>(7+5.5)/2</f>
      </c>
      <c r="O560" s="7">
        <f>(7+10+10)/3</f>
      </c>
    </row>
    <row x14ac:dyDescent="0.25" r="561" customHeight="1" ht="18.75">
      <c r="A561" s="4" t="s">
        <v>1698</v>
      </c>
      <c r="B561" s="4" t="s">
        <v>553</v>
      </c>
      <c r="C561" s="4" t="s">
        <v>53</v>
      </c>
      <c r="D561" s="5">
        <v>101</v>
      </c>
      <c r="E561" s="5">
        <v>5</v>
      </c>
      <c r="F561" s="5">
        <v>1</v>
      </c>
      <c r="G561" s="5">
        <v>0</v>
      </c>
      <c r="H561" s="6">
        <v>13.9</v>
      </c>
      <c r="I561" s="5">
        <v>27</v>
      </c>
      <c r="J561" s="5">
        <v>35026</v>
      </c>
      <c r="K561" s="4" t="s">
        <v>1699</v>
      </c>
      <c r="L561" s="4" t="s">
        <v>830</v>
      </c>
      <c r="M561" s="4" t="s">
        <v>1700</v>
      </c>
      <c r="N561" s="7">
        <f>(0.6+0.45)/2</f>
      </c>
      <c r="O561" s="7">
        <f>(1.8+1.2)/2</f>
      </c>
    </row>
    <row x14ac:dyDescent="0.25" r="562" customHeight="1" ht="18.75">
      <c r="A562" s="4" t="s">
        <v>1701</v>
      </c>
      <c r="B562" s="4" t="s">
        <v>459</v>
      </c>
      <c r="C562" s="4" t="s">
        <v>53</v>
      </c>
      <c r="D562" s="5">
        <v>100</v>
      </c>
      <c r="E562" s="5">
        <v>2</v>
      </c>
      <c r="F562" s="5">
        <v>0</v>
      </c>
      <c r="G562" s="5">
        <v>0</v>
      </c>
      <c r="H562" s="6">
        <v>12.8</v>
      </c>
      <c r="I562" s="6">
        <v>28.6</v>
      </c>
      <c r="J562" s="5">
        <v>5762</v>
      </c>
      <c r="K562" s="4" t="s">
        <v>1702</v>
      </c>
      <c r="L562" s="4" t="s">
        <v>136</v>
      </c>
      <c r="M562" s="4" t="s">
        <v>1703</v>
      </c>
      <c r="N562" s="4"/>
      <c r="O562" s="4"/>
    </row>
    <row x14ac:dyDescent="0.25" r="563" customHeight="1" ht="18.75">
      <c r="A563" s="4" t="s">
        <v>1704</v>
      </c>
      <c r="B563" s="4" t="s">
        <v>40</v>
      </c>
      <c r="C563" s="4" t="s">
        <v>32</v>
      </c>
      <c r="D563" s="5">
        <v>100</v>
      </c>
      <c r="E563" s="5">
        <v>2</v>
      </c>
      <c r="F563" s="5">
        <v>0</v>
      </c>
      <c r="G563" s="5">
        <v>0</v>
      </c>
      <c r="H563" s="6">
        <v>11.6</v>
      </c>
      <c r="I563" s="6">
        <v>28.4</v>
      </c>
      <c r="J563" s="5">
        <v>480763</v>
      </c>
      <c r="K563" s="4" t="s">
        <v>1705</v>
      </c>
      <c r="L563" s="4" t="s">
        <v>127</v>
      </c>
      <c r="M563" s="4" t="s">
        <v>1706</v>
      </c>
      <c r="N563" s="7">
        <f>(12+15+15)/3</f>
      </c>
      <c r="O563" s="7">
        <f>(5+5+8)/3</f>
      </c>
    </row>
    <row x14ac:dyDescent="0.25" r="564" customHeight="1" ht="18.75">
      <c r="A564" s="4" t="s">
        <v>1707</v>
      </c>
      <c r="B564" s="4" t="s">
        <v>432</v>
      </c>
      <c r="C564" s="4" t="s">
        <v>32</v>
      </c>
      <c r="D564" s="5">
        <v>99</v>
      </c>
      <c r="E564" s="5">
        <v>2</v>
      </c>
      <c r="F564" s="5">
        <v>0</v>
      </c>
      <c r="G564" s="5">
        <v>0</v>
      </c>
      <c r="H564" s="6">
        <v>11.3</v>
      </c>
      <c r="I564" s="6">
        <v>26.3</v>
      </c>
      <c r="J564" s="5">
        <v>145840</v>
      </c>
      <c r="K564" s="4" t="s">
        <v>1708</v>
      </c>
      <c r="L564" s="4" t="s">
        <v>506</v>
      </c>
      <c r="M564" s="4" t="s">
        <v>1709</v>
      </c>
      <c r="N564" s="7">
        <f>(1.25+1.2)/2</f>
      </c>
      <c r="O564" s="7">
        <f>(1+1.25)/2</f>
      </c>
    </row>
    <row x14ac:dyDescent="0.25" r="565" customHeight="1" ht="18.75">
      <c r="A565" s="4" t="s">
        <v>1710</v>
      </c>
      <c r="B565" s="4" t="s">
        <v>40</v>
      </c>
      <c r="C565" s="4" t="s">
        <v>17</v>
      </c>
      <c r="D565" s="5">
        <v>99</v>
      </c>
      <c r="E565" s="5">
        <v>2</v>
      </c>
      <c r="F565" s="5">
        <v>0</v>
      </c>
      <c r="G565" s="5">
        <v>0</v>
      </c>
      <c r="H565" s="6">
        <v>5.6</v>
      </c>
      <c r="I565" s="6">
        <v>21.8</v>
      </c>
      <c r="J565" s="5">
        <v>45864</v>
      </c>
      <c r="K565" s="4" t="s">
        <v>1711</v>
      </c>
      <c r="L565" s="4" t="s">
        <v>34</v>
      </c>
      <c r="M565" s="4" t="s">
        <v>446</v>
      </c>
      <c r="N565" s="7">
        <f>(6+6)/2</f>
      </c>
      <c r="O565" s="7">
        <f>(7+7.5+7)/3</f>
      </c>
    </row>
    <row x14ac:dyDescent="0.25" r="566" customHeight="1" ht="18.75">
      <c r="A566" s="4" t="s">
        <v>1712</v>
      </c>
      <c r="B566" s="4" t="s">
        <v>103</v>
      </c>
      <c r="C566" s="4" t="s">
        <v>53</v>
      </c>
      <c r="D566" s="5">
        <v>97</v>
      </c>
      <c r="E566" s="5">
        <v>4</v>
      </c>
      <c r="F566" s="5">
        <v>1</v>
      </c>
      <c r="G566" s="5">
        <v>0</v>
      </c>
      <c r="H566" s="5">
        <v>13</v>
      </c>
      <c r="I566" s="6">
        <v>27.2</v>
      </c>
      <c r="J566" s="5">
        <v>112465</v>
      </c>
      <c r="K566" s="4" t="s">
        <v>1713</v>
      </c>
      <c r="L566" s="4" t="s">
        <v>141</v>
      </c>
      <c r="M566" s="4" t="s">
        <v>1714</v>
      </c>
      <c r="N566" s="7">
        <f>(7+9+6)/3</f>
      </c>
      <c r="O566" s="7">
        <f>(2.5+6+8)/3</f>
      </c>
    </row>
    <row x14ac:dyDescent="0.25" r="567" customHeight="1" ht="18.75">
      <c r="A567" s="4" t="s">
        <v>1715</v>
      </c>
      <c r="B567" s="4" t="s">
        <v>416</v>
      </c>
      <c r="C567" s="4" t="s">
        <v>32</v>
      </c>
      <c r="D567" s="5">
        <v>97</v>
      </c>
      <c r="E567" s="5">
        <v>2</v>
      </c>
      <c r="F567" s="5">
        <v>0</v>
      </c>
      <c r="G567" s="5">
        <v>0</v>
      </c>
      <c r="H567" s="6">
        <v>13.2</v>
      </c>
      <c r="I567" s="6">
        <v>30.6</v>
      </c>
      <c r="J567" s="5">
        <v>76061</v>
      </c>
      <c r="K567" s="4" t="s">
        <v>1716</v>
      </c>
      <c r="L567" s="4" t="s">
        <v>378</v>
      </c>
      <c r="M567" s="4" t="s">
        <v>1717</v>
      </c>
      <c r="N567" s="7">
        <f>(20+20+15)/3</f>
      </c>
      <c r="O567" s="7">
        <f>(20+25+25+25)/4</f>
      </c>
    </row>
    <row x14ac:dyDescent="0.25" r="568" customHeight="1" ht="18.75">
      <c r="A568" s="4" t="s">
        <v>1718</v>
      </c>
      <c r="B568" s="4" t="s">
        <v>428</v>
      </c>
      <c r="C568" s="4" t="s">
        <v>22</v>
      </c>
      <c r="D568" s="5">
        <v>97</v>
      </c>
      <c r="E568" s="5">
        <v>2</v>
      </c>
      <c r="F568" s="5">
        <v>0</v>
      </c>
      <c r="G568" s="5">
        <v>0</v>
      </c>
      <c r="H568" s="6">
        <v>12.4</v>
      </c>
      <c r="I568" s="6">
        <v>29.2</v>
      </c>
      <c r="J568" s="5">
        <v>132553</v>
      </c>
      <c r="K568" s="4" t="s">
        <v>1719</v>
      </c>
      <c r="L568" s="4" t="s">
        <v>656</v>
      </c>
      <c r="M568" s="4" t="s">
        <v>1720</v>
      </c>
      <c r="N568" s="7">
        <f>(3+2+2.5)/3</f>
      </c>
      <c r="O568" s="7">
        <f>(3+3.5+4+4)/4</f>
      </c>
    </row>
    <row x14ac:dyDescent="0.25" r="569" customHeight="1" ht="18.75">
      <c r="A569" s="4" t="s">
        <v>1721</v>
      </c>
      <c r="B569" s="4" t="s">
        <v>27</v>
      </c>
      <c r="C569" s="4" t="s">
        <v>22</v>
      </c>
      <c r="D569" s="5">
        <v>96</v>
      </c>
      <c r="E569" s="5">
        <v>5</v>
      </c>
      <c r="F569" s="5">
        <v>0</v>
      </c>
      <c r="G569" s="5">
        <v>2</v>
      </c>
      <c r="H569" s="6">
        <v>12.9</v>
      </c>
      <c r="I569" s="6">
        <v>29.5</v>
      </c>
      <c r="J569" s="5">
        <v>4357</v>
      </c>
      <c r="K569" s="4" t="s">
        <v>1722</v>
      </c>
      <c r="L569" s="4" t="s">
        <v>34</v>
      </c>
      <c r="M569" s="4" t="s">
        <v>1723</v>
      </c>
      <c r="N569" s="7">
        <f>(1+1)/2</f>
      </c>
      <c r="O569" s="7">
        <f>(2+1.5+1)/3</f>
      </c>
    </row>
    <row x14ac:dyDescent="0.25" r="570" customHeight="1" ht="18.75">
      <c r="A570" s="4" t="s">
        <v>1724</v>
      </c>
      <c r="B570" s="4" t="s">
        <v>432</v>
      </c>
      <c r="C570" s="4" t="s">
        <v>53</v>
      </c>
      <c r="D570" s="5">
        <v>96</v>
      </c>
      <c r="E570" s="5">
        <v>4</v>
      </c>
      <c r="F570" s="5">
        <v>0</v>
      </c>
      <c r="G570" s="5">
        <v>0</v>
      </c>
      <c r="H570" s="6">
        <v>14.1</v>
      </c>
      <c r="I570" s="6">
        <v>27.4</v>
      </c>
      <c r="J570" s="5">
        <v>7530</v>
      </c>
      <c r="K570" s="4" t="s">
        <v>1725</v>
      </c>
      <c r="L570" s="4" t="s">
        <v>55</v>
      </c>
      <c r="M570" s="4" t="s">
        <v>1726</v>
      </c>
      <c r="N570" s="4"/>
      <c r="O570" s="4"/>
    </row>
    <row x14ac:dyDescent="0.25" r="571" customHeight="1" ht="18.75">
      <c r="A571" s="4" t="s">
        <v>1727</v>
      </c>
      <c r="B571" s="4" t="s">
        <v>223</v>
      </c>
      <c r="C571" s="4" t="s">
        <v>53</v>
      </c>
      <c r="D571" s="5">
        <v>96</v>
      </c>
      <c r="E571" s="5">
        <v>4</v>
      </c>
      <c r="F571" s="5">
        <v>0</v>
      </c>
      <c r="G571" s="5">
        <v>0</v>
      </c>
      <c r="H571" s="6">
        <v>13.4</v>
      </c>
      <c r="I571" s="6">
        <v>29.7</v>
      </c>
      <c r="J571" s="5">
        <v>67082</v>
      </c>
      <c r="K571" s="4" t="s">
        <v>1728</v>
      </c>
      <c r="L571" s="4" t="s">
        <v>55</v>
      </c>
      <c r="M571" s="4" t="s">
        <v>1729</v>
      </c>
      <c r="N571" s="7">
        <f>(18+18)/2</f>
      </c>
      <c r="O571" s="7">
        <f>(25+25+25+20)/4</f>
      </c>
    </row>
    <row x14ac:dyDescent="0.25" r="572" customHeight="1" ht="18.75">
      <c r="A572" s="4" t="s">
        <v>1341</v>
      </c>
      <c r="B572" s="4" t="s">
        <v>478</v>
      </c>
      <c r="C572" s="4" t="s">
        <v>53</v>
      </c>
      <c r="D572" s="5">
        <v>95</v>
      </c>
      <c r="E572" s="5">
        <v>2</v>
      </c>
      <c r="F572" s="5">
        <v>0</v>
      </c>
      <c r="G572" s="5">
        <v>0</v>
      </c>
      <c r="H572" s="6">
        <v>12.2</v>
      </c>
      <c r="I572" s="6">
        <v>28.8</v>
      </c>
      <c r="J572" s="5">
        <v>242086</v>
      </c>
      <c r="K572" s="4" t="s">
        <v>1730</v>
      </c>
      <c r="L572" s="4" t="s">
        <v>450</v>
      </c>
      <c r="M572" s="4" t="s">
        <v>1343</v>
      </c>
      <c r="N572" s="7">
        <f>(15+15)/2</f>
      </c>
      <c r="O572" s="7">
        <f>(20+18+15)/3</f>
      </c>
    </row>
    <row x14ac:dyDescent="0.25" r="573" customHeight="1" ht="18.75">
      <c r="A573" s="4" t="s">
        <v>1731</v>
      </c>
      <c r="B573" s="4" t="s">
        <v>27</v>
      </c>
      <c r="C573" s="4" t="s">
        <v>32</v>
      </c>
      <c r="D573" s="5">
        <v>94</v>
      </c>
      <c r="E573" s="5">
        <v>2</v>
      </c>
      <c r="F573" s="5">
        <v>0</v>
      </c>
      <c r="G573" s="5">
        <v>0</v>
      </c>
      <c r="H573" s="6">
        <v>11.7</v>
      </c>
      <c r="I573" s="6">
        <v>30.6</v>
      </c>
      <c r="J573" s="5">
        <v>215099</v>
      </c>
      <c r="K573" s="4" t="s">
        <v>1732</v>
      </c>
      <c r="L573" s="4" t="s">
        <v>34</v>
      </c>
      <c r="M573" s="4" t="s">
        <v>1733</v>
      </c>
      <c r="N573" s="7">
        <f>(3+4)/2</f>
      </c>
      <c r="O573" s="7">
        <f>(3+2.5+2.5)/3</f>
      </c>
    </row>
    <row x14ac:dyDescent="0.25" r="574" customHeight="1" ht="18.75">
      <c r="A574" s="4" t="s">
        <v>1734</v>
      </c>
      <c r="B574" s="4" t="s">
        <v>522</v>
      </c>
      <c r="C574" s="4" t="s">
        <v>22</v>
      </c>
      <c r="D574" s="5">
        <v>92</v>
      </c>
      <c r="E574" s="5">
        <v>4</v>
      </c>
      <c r="F574" s="5">
        <v>0</v>
      </c>
      <c r="G574" s="5">
        <v>0</v>
      </c>
      <c r="H574" s="6">
        <v>12.3</v>
      </c>
      <c r="I574" s="6">
        <v>28.6</v>
      </c>
      <c r="J574" s="5">
        <v>93827</v>
      </c>
      <c r="K574" s="4" t="s">
        <v>1735</v>
      </c>
      <c r="L574" s="4" t="s">
        <v>84</v>
      </c>
      <c r="M574" s="4" t="s">
        <v>1736</v>
      </c>
      <c r="N574" s="7">
        <f>(3.5+2.7)/2</f>
      </c>
      <c r="O574" s="7">
        <f>(1.75+2.5+3.5+3.5)/4</f>
      </c>
    </row>
    <row x14ac:dyDescent="0.25" r="575" customHeight="1" ht="18.75">
      <c r="A575" s="4" t="s">
        <v>1737</v>
      </c>
      <c r="B575" s="4" t="s">
        <v>52</v>
      </c>
      <c r="C575" s="4" t="s">
        <v>53</v>
      </c>
      <c r="D575" s="5">
        <v>92</v>
      </c>
      <c r="E575" s="5">
        <v>3</v>
      </c>
      <c r="F575" s="5">
        <v>0</v>
      </c>
      <c r="G575" s="5">
        <v>0</v>
      </c>
      <c r="H575" s="6">
        <v>12.7</v>
      </c>
      <c r="I575" s="6">
        <v>29.5</v>
      </c>
      <c r="J575" s="5">
        <v>284854</v>
      </c>
      <c r="K575" s="4" t="s">
        <v>1738</v>
      </c>
      <c r="L575" s="4" t="s">
        <v>55</v>
      </c>
      <c r="M575" s="4" t="s">
        <v>1739</v>
      </c>
      <c r="N575" s="7">
        <f>(25+30+20)/3</f>
      </c>
      <c r="O575" s="7">
        <f>(10+10+15)/3</f>
      </c>
    </row>
    <row x14ac:dyDescent="0.25" r="576" customHeight="1" ht="18.75">
      <c r="A576" s="4" t="s">
        <v>1740</v>
      </c>
      <c r="B576" s="4" t="s">
        <v>52</v>
      </c>
      <c r="C576" s="4" t="s">
        <v>32</v>
      </c>
      <c r="D576" s="5">
        <v>91</v>
      </c>
      <c r="E576" s="5">
        <v>2</v>
      </c>
      <c r="F576" s="5">
        <v>0</v>
      </c>
      <c r="G576" s="5">
        <v>0</v>
      </c>
      <c r="H576" s="6">
        <v>10.3</v>
      </c>
      <c r="I576" s="6">
        <v>30.2</v>
      </c>
      <c r="J576" s="5">
        <v>15904</v>
      </c>
      <c r="K576" s="4" t="s">
        <v>1741</v>
      </c>
      <c r="L576" s="4" t="s">
        <v>42</v>
      </c>
      <c r="M576" s="4" t="s">
        <v>1742</v>
      </c>
      <c r="N576" s="7">
        <f>(2.5+1.7)/2</f>
      </c>
      <c r="O576" s="7">
        <f>(5+5+3)/3</f>
      </c>
    </row>
    <row x14ac:dyDescent="0.25" r="577" customHeight="1" ht="18.75">
      <c r="A577" s="4" t="s">
        <v>1743</v>
      </c>
      <c r="B577" s="4" t="s">
        <v>440</v>
      </c>
      <c r="C577" s="4" t="s">
        <v>53</v>
      </c>
      <c r="D577" s="5">
        <v>90</v>
      </c>
      <c r="E577" s="5">
        <v>2</v>
      </c>
      <c r="F577" s="5">
        <v>0</v>
      </c>
      <c r="G577" s="5">
        <v>0</v>
      </c>
      <c r="H577" s="6">
        <v>10.4</v>
      </c>
      <c r="I577" s="6">
        <v>30.6</v>
      </c>
      <c r="J577" s="5">
        <v>46156</v>
      </c>
      <c r="K577" s="4" t="s">
        <v>286</v>
      </c>
      <c r="L577" s="4" t="s">
        <v>29</v>
      </c>
      <c r="M577" s="4" t="s">
        <v>287</v>
      </c>
      <c r="N577" s="7">
        <f>(8+8)/2</f>
      </c>
      <c r="O577" s="7">
        <f>(12+12)/2</f>
      </c>
    </row>
    <row x14ac:dyDescent="0.25" r="578" customHeight="1" ht="18.75">
      <c r="A578" s="4" t="s">
        <v>1744</v>
      </c>
      <c r="B578" s="4" t="s">
        <v>27</v>
      </c>
      <c r="C578" s="4" t="s">
        <v>53</v>
      </c>
      <c r="D578" s="5">
        <v>90</v>
      </c>
      <c r="E578" s="5">
        <v>1</v>
      </c>
      <c r="F578" s="5">
        <v>0</v>
      </c>
      <c r="G578" s="5">
        <v>1</v>
      </c>
      <c r="H578" s="5">
        <v>12</v>
      </c>
      <c r="I578" s="6">
        <v>27.9</v>
      </c>
      <c r="J578" s="5">
        <v>4315</v>
      </c>
      <c r="K578" s="4" t="s">
        <v>1745</v>
      </c>
      <c r="L578" s="4" t="s">
        <v>34</v>
      </c>
      <c r="M578" s="4" t="s">
        <v>1746</v>
      </c>
      <c r="N578" s="4"/>
      <c r="O578" s="4"/>
    </row>
    <row x14ac:dyDescent="0.25" r="579" customHeight="1" ht="18.75">
      <c r="A579" s="4" t="s">
        <v>1747</v>
      </c>
      <c r="B579" s="4" t="s">
        <v>440</v>
      </c>
      <c r="C579" s="4" t="s">
        <v>32</v>
      </c>
      <c r="D579" s="5">
        <v>90</v>
      </c>
      <c r="E579" s="5">
        <v>1</v>
      </c>
      <c r="F579" s="5">
        <v>0</v>
      </c>
      <c r="G579" s="5">
        <v>1</v>
      </c>
      <c r="H579" s="6">
        <v>9.6</v>
      </c>
      <c r="I579" s="6">
        <v>20.6</v>
      </c>
      <c r="J579" s="5">
        <v>147099</v>
      </c>
      <c r="K579" s="4" t="s">
        <v>1748</v>
      </c>
      <c r="L579" s="4" t="s">
        <v>450</v>
      </c>
      <c r="M579" s="4" t="s">
        <v>1749</v>
      </c>
      <c r="N579" s="7">
        <f>(0.9+0.9)/2</f>
      </c>
      <c r="O579" s="7">
        <f>(0.8+0.9+0.9)/3</f>
      </c>
    </row>
    <row x14ac:dyDescent="0.25" r="580" customHeight="1" ht="18.75">
      <c r="A580" s="4" t="s">
        <v>1479</v>
      </c>
      <c r="B580" s="4" t="s">
        <v>52</v>
      </c>
      <c r="C580" s="4" t="s">
        <v>32</v>
      </c>
      <c r="D580" s="5">
        <v>90</v>
      </c>
      <c r="E580" s="5">
        <v>1</v>
      </c>
      <c r="F580" s="5">
        <v>0</v>
      </c>
      <c r="G580" s="5">
        <v>0</v>
      </c>
      <c r="H580" s="6">
        <v>11.4</v>
      </c>
      <c r="I580" s="6">
        <v>29.2</v>
      </c>
      <c r="J580" s="5">
        <v>236132</v>
      </c>
      <c r="K580" s="4"/>
      <c r="L580" s="4" t="s">
        <v>19</v>
      </c>
      <c r="M580" s="4" t="s">
        <v>1480</v>
      </c>
      <c r="N580" s="4"/>
      <c r="O580" s="4"/>
    </row>
    <row x14ac:dyDescent="0.25" r="581" customHeight="1" ht="18.75">
      <c r="A581" s="4" t="s">
        <v>1750</v>
      </c>
      <c r="B581" s="4" t="s">
        <v>448</v>
      </c>
      <c r="C581" s="4" t="s">
        <v>32</v>
      </c>
      <c r="D581" s="5">
        <v>90</v>
      </c>
      <c r="E581" s="5">
        <v>1</v>
      </c>
      <c r="F581" s="5">
        <v>0</v>
      </c>
      <c r="G581" s="5">
        <v>0</v>
      </c>
      <c r="H581" s="6">
        <v>11.1</v>
      </c>
      <c r="I581" s="6">
        <v>28.4</v>
      </c>
      <c r="J581" s="5">
        <v>411287</v>
      </c>
      <c r="K581" s="4" t="s">
        <v>1751</v>
      </c>
      <c r="L581" s="4" t="s">
        <v>34</v>
      </c>
      <c r="M581" s="4" t="s">
        <v>1752</v>
      </c>
      <c r="N581" s="7">
        <f>(2.5+2.5)/2</f>
      </c>
      <c r="O581" s="7">
        <f>(1.5+3+3)/3</f>
      </c>
    </row>
    <row x14ac:dyDescent="0.25" r="582" customHeight="1" ht="18.75">
      <c r="A582" s="4" t="s">
        <v>1753</v>
      </c>
      <c r="B582" s="4" t="s">
        <v>553</v>
      </c>
      <c r="C582" s="4" t="s">
        <v>22</v>
      </c>
      <c r="D582" s="5">
        <v>90</v>
      </c>
      <c r="E582" s="5">
        <v>1</v>
      </c>
      <c r="F582" s="5">
        <v>0</v>
      </c>
      <c r="G582" s="5">
        <v>0</v>
      </c>
      <c r="H582" s="6">
        <v>10.9</v>
      </c>
      <c r="I582" s="6">
        <v>29.5</v>
      </c>
      <c r="J582" s="5">
        <v>278654</v>
      </c>
      <c r="K582" s="4" t="s">
        <v>1754</v>
      </c>
      <c r="L582" s="4" t="s">
        <v>830</v>
      </c>
      <c r="M582" s="4" t="s">
        <v>25</v>
      </c>
      <c r="N582" s="7">
        <f>(5.5+4.5+3.5)/3</f>
      </c>
      <c r="O582" s="7">
        <f>(4.5+5.5)/2</f>
      </c>
    </row>
    <row x14ac:dyDescent="0.25" r="583" customHeight="1" ht="18.75">
      <c r="A583" s="4" t="s">
        <v>1755</v>
      </c>
      <c r="B583" s="4" t="s">
        <v>424</v>
      </c>
      <c r="C583" s="4" t="s">
        <v>32</v>
      </c>
      <c r="D583" s="5">
        <v>90</v>
      </c>
      <c r="E583" s="5">
        <v>1</v>
      </c>
      <c r="F583" s="5">
        <v>0</v>
      </c>
      <c r="G583" s="5">
        <v>0</v>
      </c>
      <c r="H583" s="6">
        <v>10.8</v>
      </c>
      <c r="I583" s="6">
        <v>28.1</v>
      </c>
      <c r="J583" s="5">
        <v>257937</v>
      </c>
      <c r="K583" s="4" t="s">
        <v>1756</v>
      </c>
      <c r="L583" s="4" t="s">
        <v>542</v>
      </c>
      <c r="M583" s="4" t="s">
        <v>1757</v>
      </c>
      <c r="N583" s="7">
        <f>(2.5+3+3.5)/3</f>
      </c>
      <c r="O583" s="7">
        <f>(3+2.5)/2</f>
      </c>
    </row>
    <row x14ac:dyDescent="0.25" r="584" customHeight="1" ht="18.75">
      <c r="A584" s="4" t="s">
        <v>1758</v>
      </c>
      <c r="B584" s="4" t="s">
        <v>230</v>
      </c>
      <c r="C584" s="4" t="s">
        <v>32</v>
      </c>
      <c r="D584" s="5">
        <v>90</v>
      </c>
      <c r="E584" s="5">
        <v>1</v>
      </c>
      <c r="F584" s="5">
        <v>0</v>
      </c>
      <c r="G584" s="5">
        <v>0</v>
      </c>
      <c r="H584" s="6">
        <v>10.3</v>
      </c>
      <c r="I584" s="6">
        <v>32.6</v>
      </c>
      <c r="J584" s="5">
        <v>338962</v>
      </c>
      <c r="K584" s="4" t="s">
        <v>1759</v>
      </c>
      <c r="L584" s="4" t="s">
        <v>557</v>
      </c>
      <c r="M584" s="4" t="s">
        <v>1760</v>
      </c>
      <c r="N584" s="7">
        <f>(3+7.5)/2</f>
      </c>
      <c r="O584" s="7">
        <f>(1.75+2.25)/2</f>
      </c>
    </row>
    <row x14ac:dyDescent="0.25" r="585" customHeight="1" ht="18.75">
      <c r="A585" s="4" t="s">
        <v>1761</v>
      </c>
      <c r="B585" s="4" t="s">
        <v>134</v>
      </c>
      <c r="C585" s="4" t="s">
        <v>32</v>
      </c>
      <c r="D585" s="5">
        <v>90</v>
      </c>
      <c r="E585" s="5">
        <v>1</v>
      </c>
      <c r="F585" s="5">
        <v>0</v>
      </c>
      <c r="G585" s="5">
        <v>0</v>
      </c>
      <c r="H585" s="6">
        <v>10.1</v>
      </c>
      <c r="I585" s="6">
        <v>26.6</v>
      </c>
      <c r="J585" s="5">
        <v>45124</v>
      </c>
      <c r="K585" s="4" t="s">
        <v>1762</v>
      </c>
      <c r="L585" s="4" t="s">
        <v>71</v>
      </c>
      <c r="M585" s="4" t="s">
        <v>1763</v>
      </c>
      <c r="N585" s="7">
        <f>9</f>
      </c>
      <c r="O585" s="7">
        <f>(23+23+15)/3</f>
      </c>
    </row>
    <row x14ac:dyDescent="0.25" r="586" customHeight="1" ht="18.75">
      <c r="A586" s="4" t="s">
        <v>1764</v>
      </c>
      <c r="B586" s="4" t="s">
        <v>522</v>
      </c>
      <c r="C586" s="4" t="s">
        <v>22</v>
      </c>
      <c r="D586" s="5">
        <v>90</v>
      </c>
      <c r="E586" s="5">
        <v>1</v>
      </c>
      <c r="F586" s="5">
        <v>0</v>
      </c>
      <c r="G586" s="5">
        <v>0</v>
      </c>
      <c r="H586" s="6">
        <v>10.1</v>
      </c>
      <c r="I586" s="5">
        <v>29</v>
      </c>
      <c r="J586" s="5">
        <v>59783</v>
      </c>
      <c r="K586" s="4" t="s">
        <v>1765</v>
      </c>
      <c r="L586" s="4" t="s">
        <v>127</v>
      </c>
      <c r="M586" s="4" t="s">
        <v>1766</v>
      </c>
      <c r="N586" s="7">
        <f>(2+1.8)/2</f>
      </c>
      <c r="O586" s="7">
        <f>(2.5+2.5)/2</f>
      </c>
    </row>
    <row x14ac:dyDescent="0.25" r="587" customHeight="1" ht="18.75">
      <c r="A587" s="4" t="s">
        <v>1767</v>
      </c>
      <c r="B587" s="4" t="s">
        <v>428</v>
      </c>
      <c r="C587" s="4" t="s">
        <v>32</v>
      </c>
      <c r="D587" s="5">
        <v>90</v>
      </c>
      <c r="E587" s="5">
        <v>1</v>
      </c>
      <c r="F587" s="5">
        <v>0</v>
      </c>
      <c r="G587" s="5">
        <v>0</v>
      </c>
      <c r="H587" s="5">
        <v>10</v>
      </c>
      <c r="I587" s="6">
        <v>29.5</v>
      </c>
      <c r="J587" s="5">
        <v>51152</v>
      </c>
      <c r="K587" s="4" t="s">
        <v>1768</v>
      </c>
      <c r="L587" s="4" t="s">
        <v>29</v>
      </c>
      <c r="M587" s="4" t="s">
        <v>1769</v>
      </c>
      <c r="N587" s="7">
        <f>25</f>
      </c>
      <c r="O587" s="7">
        <f>(8+15+18+25+25)/5</f>
      </c>
    </row>
    <row x14ac:dyDescent="0.25" r="588" customHeight="1" ht="18.75">
      <c r="A588" s="4" t="s">
        <v>1770</v>
      </c>
      <c r="B588" s="4" t="s">
        <v>103</v>
      </c>
      <c r="C588" s="4" t="s">
        <v>32</v>
      </c>
      <c r="D588" s="5">
        <v>90</v>
      </c>
      <c r="E588" s="5">
        <v>1</v>
      </c>
      <c r="F588" s="5">
        <v>0</v>
      </c>
      <c r="G588" s="5">
        <v>0</v>
      </c>
      <c r="H588" s="6">
        <v>9.9</v>
      </c>
      <c r="I588" s="5">
        <v>27</v>
      </c>
      <c r="J588" s="5">
        <v>357156</v>
      </c>
      <c r="K588" s="4" t="s">
        <v>1771</v>
      </c>
      <c r="L588" s="4" t="s">
        <v>141</v>
      </c>
      <c r="M588" s="4" t="s">
        <v>1772</v>
      </c>
      <c r="N588" s="7">
        <f>(5+5+6)/3</f>
      </c>
      <c r="O588" s="7">
        <f>(0.25+0.85+6)/3</f>
      </c>
    </row>
    <row x14ac:dyDescent="0.25" r="589" customHeight="1" ht="18.75">
      <c r="A589" s="4" t="s">
        <v>1773</v>
      </c>
      <c r="B589" s="4" t="s">
        <v>448</v>
      </c>
      <c r="C589" s="4" t="s">
        <v>32</v>
      </c>
      <c r="D589" s="5">
        <v>90</v>
      </c>
      <c r="E589" s="5">
        <v>1</v>
      </c>
      <c r="F589" s="5">
        <v>0</v>
      </c>
      <c r="G589" s="5">
        <v>0</v>
      </c>
      <c r="H589" s="6">
        <v>9.8</v>
      </c>
      <c r="I589" s="6">
        <v>28.6</v>
      </c>
      <c r="J589" s="5">
        <v>55375</v>
      </c>
      <c r="K589" s="4" t="s">
        <v>1774</v>
      </c>
      <c r="L589" s="4" t="s">
        <v>19</v>
      </c>
      <c r="M589" s="4" t="s">
        <v>1775</v>
      </c>
      <c r="N589" s="4"/>
      <c r="O589" s="4"/>
    </row>
    <row x14ac:dyDescent="0.25" r="590" customHeight="1" ht="18.75">
      <c r="A590" s="4" t="s">
        <v>1776</v>
      </c>
      <c r="B590" s="4" t="s">
        <v>471</v>
      </c>
      <c r="C590" s="4" t="s">
        <v>32</v>
      </c>
      <c r="D590" s="5">
        <v>90</v>
      </c>
      <c r="E590" s="5">
        <v>1</v>
      </c>
      <c r="F590" s="5">
        <v>0</v>
      </c>
      <c r="G590" s="5">
        <v>0</v>
      </c>
      <c r="H590" s="6">
        <v>9.6</v>
      </c>
      <c r="I590" s="6">
        <v>31.3</v>
      </c>
      <c r="J590" s="5">
        <v>241889</v>
      </c>
      <c r="K590" s="4" t="s">
        <v>1777</v>
      </c>
      <c r="L590" s="4" t="s">
        <v>136</v>
      </c>
      <c r="M590" s="4" t="s">
        <v>1778</v>
      </c>
      <c r="N590" s="7">
        <f>(7+4)/2</f>
      </c>
      <c r="O590" s="7">
        <f>(3.5+8+7)/3</f>
      </c>
    </row>
    <row x14ac:dyDescent="0.25" r="591" customHeight="1" ht="18.75">
      <c r="A591" s="4" t="s">
        <v>1779</v>
      </c>
      <c r="B591" s="4" t="s">
        <v>296</v>
      </c>
      <c r="C591" s="4" t="s">
        <v>32</v>
      </c>
      <c r="D591" s="5">
        <v>90</v>
      </c>
      <c r="E591" s="5">
        <v>1</v>
      </c>
      <c r="F591" s="5">
        <v>0</v>
      </c>
      <c r="G591" s="5">
        <v>0</v>
      </c>
      <c r="H591" s="6">
        <v>9.6</v>
      </c>
      <c r="I591" s="6">
        <v>28.4</v>
      </c>
      <c r="J591" s="5">
        <v>251896</v>
      </c>
      <c r="K591" s="4" t="s">
        <v>1780</v>
      </c>
      <c r="L591" s="4" t="s">
        <v>55</v>
      </c>
      <c r="M591" s="4" t="s">
        <v>1781</v>
      </c>
      <c r="N591" s="7">
        <f>(10+10)/2</f>
      </c>
      <c r="O591" s="7">
        <f>(15+12+12+10)/4</f>
      </c>
    </row>
    <row x14ac:dyDescent="0.25" r="592" customHeight="1" ht="18.75">
      <c r="A592" s="4" t="s">
        <v>1782</v>
      </c>
      <c r="B592" s="4" t="s">
        <v>52</v>
      </c>
      <c r="C592" s="4" t="s">
        <v>32</v>
      </c>
      <c r="D592" s="5">
        <v>90</v>
      </c>
      <c r="E592" s="5">
        <v>1</v>
      </c>
      <c r="F592" s="5">
        <v>0</v>
      </c>
      <c r="G592" s="5">
        <v>0</v>
      </c>
      <c r="H592" s="6">
        <v>9.5</v>
      </c>
      <c r="I592" s="6">
        <v>29.2</v>
      </c>
      <c r="J592" s="5">
        <v>1005649</v>
      </c>
      <c r="K592" s="4" t="s">
        <v>1783</v>
      </c>
      <c r="L592" s="4" t="s">
        <v>19</v>
      </c>
      <c r="M592" s="4" t="s">
        <v>1784</v>
      </c>
      <c r="N592" s="4"/>
      <c r="O592" s="4"/>
    </row>
    <row x14ac:dyDescent="0.25" r="593" customHeight="1" ht="18.75">
      <c r="A593" s="4" t="s">
        <v>1785</v>
      </c>
      <c r="B593" s="4" t="s">
        <v>471</v>
      </c>
      <c r="C593" s="4" t="s">
        <v>53</v>
      </c>
      <c r="D593" s="5">
        <v>90</v>
      </c>
      <c r="E593" s="5">
        <v>1</v>
      </c>
      <c r="F593" s="5">
        <v>0</v>
      </c>
      <c r="G593" s="5">
        <v>0</v>
      </c>
      <c r="H593" s="6">
        <v>8.9</v>
      </c>
      <c r="I593" s="6">
        <v>27.2</v>
      </c>
      <c r="J593" s="5">
        <v>342209</v>
      </c>
      <c r="K593" s="4" t="s">
        <v>1786</v>
      </c>
      <c r="L593" s="4" t="s">
        <v>71</v>
      </c>
      <c r="M593" s="4" t="s">
        <v>1787</v>
      </c>
      <c r="N593" s="7">
        <f>(4+3.5)/2</f>
      </c>
      <c r="O593" s="7">
        <f>(4+6+5)/3</f>
      </c>
    </row>
    <row x14ac:dyDescent="0.25" r="594" customHeight="1" ht="18.75">
      <c r="A594" s="4" t="s">
        <v>1788</v>
      </c>
      <c r="B594" s="4" t="s">
        <v>316</v>
      </c>
      <c r="C594" s="4" t="s">
        <v>17</v>
      </c>
      <c r="D594" s="5">
        <v>90</v>
      </c>
      <c r="E594" s="5">
        <v>1</v>
      </c>
      <c r="F594" s="5">
        <v>0</v>
      </c>
      <c r="G594" s="5">
        <v>0</v>
      </c>
      <c r="H594" s="6">
        <v>5.7</v>
      </c>
      <c r="I594" s="6">
        <v>16.2</v>
      </c>
      <c r="J594" s="5">
        <v>96601</v>
      </c>
      <c r="K594" s="4"/>
      <c r="L594" s="4" t="s">
        <v>84</v>
      </c>
      <c r="M594" s="4" t="s">
        <v>1789</v>
      </c>
      <c r="N594" s="4"/>
      <c r="O594" s="4"/>
    </row>
    <row x14ac:dyDescent="0.25" r="595" customHeight="1" ht="18.75">
      <c r="A595" s="4" t="s">
        <v>1790</v>
      </c>
      <c r="B595" s="4" t="s">
        <v>52</v>
      </c>
      <c r="C595" s="4" t="s">
        <v>17</v>
      </c>
      <c r="D595" s="5">
        <v>90</v>
      </c>
      <c r="E595" s="5">
        <v>1</v>
      </c>
      <c r="F595" s="5">
        <v>0</v>
      </c>
      <c r="G595" s="5">
        <v>0</v>
      </c>
      <c r="H595" s="6">
        <v>4.8</v>
      </c>
      <c r="I595" s="6">
        <v>15.3</v>
      </c>
      <c r="J595" s="5">
        <v>146227</v>
      </c>
      <c r="K595" s="4" t="s">
        <v>1791</v>
      </c>
      <c r="L595" s="4" t="s">
        <v>34</v>
      </c>
      <c r="M595" s="4" t="s">
        <v>1792</v>
      </c>
      <c r="N595" s="7">
        <f>(18+18)/2</f>
      </c>
      <c r="O595" s="7">
        <f>(9+9+20+18+18)/5</f>
      </c>
    </row>
    <row x14ac:dyDescent="0.25" r="596" customHeight="1" ht="18.75">
      <c r="A596" s="4" t="s">
        <v>1793</v>
      </c>
      <c r="B596" s="4" t="s">
        <v>748</v>
      </c>
      <c r="C596" s="4" t="s">
        <v>17</v>
      </c>
      <c r="D596" s="5">
        <v>90</v>
      </c>
      <c r="E596" s="5">
        <v>1</v>
      </c>
      <c r="F596" s="5">
        <v>0</v>
      </c>
      <c r="G596" s="5">
        <v>0</v>
      </c>
      <c r="H596" s="6">
        <v>4.1</v>
      </c>
      <c r="I596" s="6">
        <v>20.4</v>
      </c>
      <c r="J596" s="5">
        <v>726983</v>
      </c>
      <c r="K596" s="4"/>
      <c r="L596" s="4" t="s">
        <v>127</v>
      </c>
      <c r="M596" s="4"/>
      <c r="N596" s="4"/>
      <c r="O596" s="4"/>
    </row>
    <row x14ac:dyDescent="0.25" r="597" customHeight="1" ht="18.75">
      <c r="A597" s="4" t="s">
        <v>1525</v>
      </c>
      <c r="B597" s="4" t="s">
        <v>471</v>
      </c>
      <c r="C597" s="4" t="s">
        <v>17</v>
      </c>
      <c r="D597" s="5">
        <v>90</v>
      </c>
      <c r="E597" s="5">
        <v>1</v>
      </c>
      <c r="F597" s="5">
        <v>0</v>
      </c>
      <c r="G597" s="5">
        <v>0</v>
      </c>
      <c r="H597" s="5">
        <v>4</v>
      </c>
      <c r="I597" s="6">
        <v>17.1</v>
      </c>
      <c r="J597" s="5">
        <v>463603</v>
      </c>
      <c r="K597" s="4" t="s">
        <v>1526</v>
      </c>
      <c r="L597" s="4" t="s">
        <v>71</v>
      </c>
      <c r="M597" s="4" t="s">
        <v>1527</v>
      </c>
      <c r="N597" s="7">
        <f>(9+9+18+20)/4</f>
      </c>
      <c r="O597" s="7">
        <f>(0.15+4)/2</f>
      </c>
    </row>
    <row x14ac:dyDescent="0.25" r="598" customHeight="1" ht="18.75">
      <c r="A598" s="4" t="s">
        <v>1794</v>
      </c>
      <c r="B598" s="4" t="s">
        <v>40</v>
      </c>
      <c r="C598" s="4" t="s">
        <v>17</v>
      </c>
      <c r="D598" s="5">
        <v>90</v>
      </c>
      <c r="E598" s="5">
        <v>1</v>
      </c>
      <c r="F598" s="5">
        <v>0</v>
      </c>
      <c r="G598" s="5">
        <v>0</v>
      </c>
      <c r="H598" s="6">
        <v>3.7</v>
      </c>
      <c r="I598" s="6">
        <v>20.1</v>
      </c>
      <c r="J598" s="5">
        <v>195488</v>
      </c>
      <c r="K598" s="4" t="s">
        <v>1795</v>
      </c>
      <c r="L598" s="4" t="s">
        <v>127</v>
      </c>
      <c r="M598" s="4" t="s">
        <v>1796</v>
      </c>
      <c r="N598" s="7">
        <f>(2+3.5)/2</f>
      </c>
      <c r="O598" s="7">
        <f>(1+1+2)/3</f>
      </c>
    </row>
    <row x14ac:dyDescent="0.25" r="599" customHeight="1" ht="18.75">
      <c r="A599" s="4" t="s">
        <v>1797</v>
      </c>
      <c r="B599" s="4" t="s">
        <v>420</v>
      </c>
      <c r="C599" s="4" t="s">
        <v>17</v>
      </c>
      <c r="D599" s="5">
        <v>90</v>
      </c>
      <c r="E599" s="5">
        <v>1</v>
      </c>
      <c r="F599" s="5">
        <v>0</v>
      </c>
      <c r="G599" s="5">
        <v>0</v>
      </c>
      <c r="H599" s="6">
        <v>3.5</v>
      </c>
      <c r="I599" s="6">
        <v>16.5</v>
      </c>
      <c r="J599" s="5">
        <v>217686</v>
      </c>
      <c r="K599" s="4" t="s">
        <v>1798</v>
      </c>
      <c r="L599" s="4" t="s">
        <v>492</v>
      </c>
      <c r="M599" s="4" t="s">
        <v>1799</v>
      </c>
      <c r="N599" s="7">
        <f>(0.4+0.5)/2</f>
      </c>
      <c r="O599" s="7">
        <f>(0.3+0.4+0.4)/3</f>
      </c>
    </row>
    <row x14ac:dyDescent="0.25" r="600" customHeight="1" ht="18.75">
      <c r="A600" s="4" t="s">
        <v>1800</v>
      </c>
      <c r="B600" s="4" t="s">
        <v>186</v>
      </c>
      <c r="C600" s="4" t="s">
        <v>17</v>
      </c>
      <c r="D600" s="5">
        <v>90</v>
      </c>
      <c r="E600" s="5">
        <v>1</v>
      </c>
      <c r="F600" s="5">
        <v>0</v>
      </c>
      <c r="G600" s="5">
        <v>0</v>
      </c>
      <c r="H600" s="6">
        <v>3.2</v>
      </c>
      <c r="I600" s="6">
        <v>13.8</v>
      </c>
      <c r="J600" s="5">
        <v>355915</v>
      </c>
      <c r="K600" s="4" t="s">
        <v>1801</v>
      </c>
      <c r="L600" s="4" t="s">
        <v>127</v>
      </c>
      <c r="M600" s="4" t="s">
        <v>1802</v>
      </c>
      <c r="N600" s="7">
        <f>(15+15+15)/3</f>
      </c>
      <c r="O600" s="7">
        <f>(0.75+4)/2</f>
      </c>
    </row>
    <row x14ac:dyDescent="0.25" r="601" customHeight="1" ht="18.75">
      <c r="A601" s="4" t="s">
        <v>1803</v>
      </c>
      <c r="B601" s="4" t="s">
        <v>223</v>
      </c>
      <c r="C601" s="4" t="s">
        <v>53</v>
      </c>
      <c r="D601" s="5">
        <v>88</v>
      </c>
      <c r="E601" s="5">
        <v>2</v>
      </c>
      <c r="F601" s="5">
        <v>0</v>
      </c>
      <c r="G601" s="5">
        <v>0</v>
      </c>
      <c r="H601" s="6">
        <v>11.2</v>
      </c>
      <c r="I601" s="6">
        <v>29.5</v>
      </c>
      <c r="J601" s="5">
        <v>257448</v>
      </c>
      <c r="K601" s="4" t="s">
        <v>1804</v>
      </c>
      <c r="L601" s="4" t="s">
        <v>141</v>
      </c>
      <c r="M601" s="4" t="s">
        <v>1805</v>
      </c>
      <c r="N601" s="7">
        <f>(28+28+25)/3</f>
      </c>
      <c r="O601" s="7">
        <f>(30+35+30+20)/4</f>
      </c>
    </row>
    <row x14ac:dyDescent="0.25" r="602" customHeight="1" ht="18.75">
      <c r="A602" s="4" t="s">
        <v>1806</v>
      </c>
      <c r="B602" s="4" t="s">
        <v>316</v>
      </c>
      <c r="C602" s="4" t="s">
        <v>22</v>
      </c>
      <c r="D602" s="5">
        <v>85</v>
      </c>
      <c r="E602" s="5">
        <v>2</v>
      </c>
      <c r="F602" s="5">
        <v>0</v>
      </c>
      <c r="G602" s="5">
        <v>1</v>
      </c>
      <c r="H602" s="6">
        <v>10.9</v>
      </c>
      <c r="I602" s="6">
        <v>28.8</v>
      </c>
      <c r="J602" s="5">
        <v>80444</v>
      </c>
      <c r="K602" s="4" t="s">
        <v>935</v>
      </c>
      <c r="L602" s="4" t="s">
        <v>55</v>
      </c>
      <c r="M602" s="4" t="s">
        <v>158</v>
      </c>
      <c r="N602" s="7">
        <f>(100+90+70)/3</f>
      </c>
      <c r="O602" s="7">
        <f>(90+100+100+120+150+140)/6</f>
      </c>
    </row>
    <row x14ac:dyDescent="0.25" r="603" customHeight="1" ht="18.75">
      <c r="A603" s="4" t="s">
        <v>1120</v>
      </c>
      <c r="B603" s="4" t="s">
        <v>424</v>
      </c>
      <c r="C603" s="4" t="s">
        <v>22</v>
      </c>
      <c r="D603" s="5">
        <v>85</v>
      </c>
      <c r="E603" s="5">
        <v>2</v>
      </c>
      <c r="F603" s="5">
        <v>0</v>
      </c>
      <c r="G603" s="5">
        <v>0</v>
      </c>
      <c r="H603" s="5">
        <v>10</v>
      </c>
      <c r="I603" s="5">
        <v>31</v>
      </c>
      <c r="J603" s="5">
        <v>7767</v>
      </c>
      <c r="K603" s="4" t="s">
        <v>1121</v>
      </c>
      <c r="L603" s="4" t="s">
        <v>55</v>
      </c>
      <c r="M603" s="4" t="s">
        <v>1122</v>
      </c>
      <c r="N603" s="7">
        <f>(3.5+2.5)/2</f>
      </c>
      <c r="O603" s="7">
        <f>(4+4)/2</f>
      </c>
    </row>
    <row x14ac:dyDescent="0.25" r="604" customHeight="1" ht="18.75">
      <c r="A604" s="4" t="s">
        <v>1807</v>
      </c>
      <c r="B604" s="4" t="s">
        <v>522</v>
      </c>
      <c r="C604" s="4" t="s">
        <v>22</v>
      </c>
      <c r="D604" s="5">
        <v>83</v>
      </c>
      <c r="E604" s="5">
        <v>2</v>
      </c>
      <c r="F604" s="5">
        <v>0</v>
      </c>
      <c r="G604" s="5">
        <v>0</v>
      </c>
      <c r="H604" s="6">
        <v>10.2</v>
      </c>
      <c r="I604" s="6">
        <v>31.3</v>
      </c>
      <c r="J604" s="5">
        <v>207597</v>
      </c>
      <c r="K604" s="4" t="s">
        <v>1808</v>
      </c>
      <c r="L604" s="4" t="s">
        <v>84</v>
      </c>
      <c r="M604" s="4" t="s">
        <v>1809</v>
      </c>
      <c r="N604" s="7">
        <f>(1.5+1.5)/2</f>
      </c>
      <c r="O604" s="7">
        <f>(1.5+1.5+2)/3</f>
      </c>
    </row>
    <row x14ac:dyDescent="0.25" r="605" customHeight="1" ht="18.75">
      <c r="A605" s="4" t="s">
        <v>1810</v>
      </c>
      <c r="B605" s="4" t="s">
        <v>424</v>
      </c>
      <c r="C605" s="4" t="s">
        <v>53</v>
      </c>
      <c r="D605" s="5">
        <v>82</v>
      </c>
      <c r="E605" s="5">
        <v>2</v>
      </c>
      <c r="F605" s="5">
        <v>0</v>
      </c>
      <c r="G605" s="5">
        <v>0</v>
      </c>
      <c r="H605" s="6">
        <v>9.8</v>
      </c>
      <c r="I605" s="5">
        <v>31</v>
      </c>
      <c r="J605" s="5">
        <v>121988</v>
      </c>
      <c r="K605" s="4" t="s">
        <v>1811</v>
      </c>
      <c r="L605" s="4" t="s">
        <v>19</v>
      </c>
      <c r="M605" s="4" t="s">
        <v>850</v>
      </c>
      <c r="N605" s="7">
        <f>(1.5+1.5+1.4)/3</f>
      </c>
      <c r="O605" s="7">
        <f>1.5</f>
      </c>
    </row>
    <row x14ac:dyDescent="0.25" r="606" customHeight="1" ht="18.75">
      <c r="A606" s="4" t="s">
        <v>1812</v>
      </c>
      <c r="B606" s="4" t="s">
        <v>428</v>
      </c>
      <c r="C606" s="4" t="s">
        <v>22</v>
      </c>
      <c r="D606" s="5">
        <v>82</v>
      </c>
      <c r="E606" s="5">
        <v>1</v>
      </c>
      <c r="F606" s="5">
        <v>0</v>
      </c>
      <c r="G606" s="5">
        <v>0</v>
      </c>
      <c r="H606" s="6">
        <v>10.5</v>
      </c>
      <c r="I606" s="6">
        <v>29.2</v>
      </c>
      <c r="J606" s="5">
        <v>101759</v>
      </c>
      <c r="K606" s="4"/>
      <c r="L606" s="4" t="s">
        <v>34</v>
      </c>
      <c r="M606" s="4" t="s">
        <v>1813</v>
      </c>
      <c r="N606" s="4"/>
      <c r="O606" s="4"/>
    </row>
    <row x14ac:dyDescent="0.25" r="607" customHeight="1" ht="18.75">
      <c r="A607" s="4" t="s">
        <v>1412</v>
      </c>
      <c r="B607" s="4" t="s">
        <v>223</v>
      </c>
      <c r="C607" s="4" t="s">
        <v>32</v>
      </c>
      <c r="D607" s="5">
        <v>82</v>
      </c>
      <c r="E607" s="5">
        <v>1</v>
      </c>
      <c r="F607" s="5">
        <v>0</v>
      </c>
      <c r="G607" s="5">
        <v>0</v>
      </c>
      <c r="H607" s="6">
        <v>8.6</v>
      </c>
      <c r="I607" s="6">
        <v>25.9</v>
      </c>
      <c r="J607" s="5">
        <v>266302</v>
      </c>
      <c r="K607" s="4" t="s">
        <v>1413</v>
      </c>
      <c r="L607" s="4" t="s">
        <v>29</v>
      </c>
      <c r="M607" s="4" t="s">
        <v>1414</v>
      </c>
      <c r="N607" s="7">
        <f>(65+70)/2</f>
      </c>
      <c r="O607" s="7">
        <f>(70+90+75)/3</f>
      </c>
    </row>
    <row x14ac:dyDescent="0.25" r="608" customHeight="1" ht="18.75">
      <c r="A608" s="4" t="s">
        <v>996</v>
      </c>
      <c r="B608" s="4" t="s">
        <v>52</v>
      </c>
      <c r="C608" s="4" t="s">
        <v>53</v>
      </c>
      <c r="D608" s="5">
        <v>79</v>
      </c>
      <c r="E608" s="5">
        <v>2</v>
      </c>
      <c r="F608" s="5">
        <v>1</v>
      </c>
      <c r="G608" s="5">
        <v>0</v>
      </c>
      <c r="H608" s="5">
        <v>10</v>
      </c>
      <c r="I608" s="5">
        <v>29</v>
      </c>
      <c r="J608" s="5">
        <v>129473</v>
      </c>
      <c r="K608" s="4" t="s">
        <v>997</v>
      </c>
      <c r="L608" s="4" t="s">
        <v>55</v>
      </c>
      <c r="M608" s="4" t="s">
        <v>998</v>
      </c>
      <c r="N608" s="7">
        <f>(15+15+12)/3</f>
      </c>
      <c r="O608" s="7">
        <f>(15+28+18)/3</f>
      </c>
    </row>
    <row x14ac:dyDescent="0.25" r="609" customHeight="1" ht="18.75">
      <c r="A609" s="4" t="s">
        <v>1814</v>
      </c>
      <c r="B609" s="4" t="s">
        <v>52</v>
      </c>
      <c r="C609" s="4" t="s">
        <v>32</v>
      </c>
      <c r="D609" s="5">
        <v>79</v>
      </c>
      <c r="E609" s="5">
        <v>1</v>
      </c>
      <c r="F609" s="5">
        <v>0</v>
      </c>
      <c r="G609" s="5">
        <v>0</v>
      </c>
      <c r="H609" s="6">
        <v>7.6</v>
      </c>
      <c r="I609" s="5">
        <v>27</v>
      </c>
      <c r="J609" s="5">
        <v>126540</v>
      </c>
      <c r="K609" s="4" t="s">
        <v>1815</v>
      </c>
      <c r="L609" s="4" t="s">
        <v>71</v>
      </c>
      <c r="M609" s="4" t="s">
        <v>1816</v>
      </c>
      <c r="N609" s="7">
        <f>(45+40)/2</f>
      </c>
      <c r="O609" s="7">
        <f>(40+60+60+70+70)/5</f>
      </c>
    </row>
    <row x14ac:dyDescent="0.25" r="610" customHeight="1" ht="18.75">
      <c r="A610" s="4" t="s">
        <v>1817</v>
      </c>
      <c r="B610" s="4" t="s">
        <v>436</v>
      </c>
      <c r="C610" s="4" t="s">
        <v>22</v>
      </c>
      <c r="D610" s="5">
        <v>77</v>
      </c>
      <c r="E610" s="5">
        <v>1</v>
      </c>
      <c r="F610" s="5">
        <v>0</v>
      </c>
      <c r="G610" s="5">
        <v>0</v>
      </c>
      <c r="H610" s="6">
        <v>9.4</v>
      </c>
      <c r="I610" s="6">
        <v>27.7</v>
      </c>
      <c r="J610" s="5">
        <v>462250</v>
      </c>
      <c r="K610" s="4" t="s">
        <v>1818</v>
      </c>
      <c r="L610" s="4" t="s">
        <v>141</v>
      </c>
      <c r="M610" s="4" t="s">
        <v>1819</v>
      </c>
      <c r="N610" s="7">
        <f>(15+35+70+100+100)/5</f>
      </c>
      <c r="O610" s="7">
        <f>(1+2+12)/3</f>
      </c>
    </row>
    <row x14ac:dyDescent="0.25" r="611" customHeight="1" ht="18.75">
      <c r="A611" s="4" t="s">
        <v>1820</v>
      </c>
      <c r="B611" s="4" t="s">
        <v>285</v>
      </c>
      <c r="C611" s="4" t="s">
        <v>32</v>
      </c>
      <c r="D611" s="5">
        <v>76</v>
      </c>
      <c r="E611" s="5">
        <v>2</v>
      </c>
      <c r="F611" s="5">
        <v>0</v>
      </c>
      <c r="G611" s="5">
        <v>0</v>
      </c>
      <c r="H611" s="6">
        <v>8.8</v>
      </c>
      <c r="I611" s="6">
        <v>30.4</v>
      </c>
      <c r="J611" s="5">
        <v>205006</v>
      </c>
      <c r="K611" s="4" t="s">
        <v>1821</v>
      </c>
      <c r="L611" s="4" t="s">
        <v>34</v>
      </c>
      <c r="M611" s="4" t="s">
        <v>510</v>
      </c>
      <c r="N611" s="7">
        <f>(7+7)/2</f>
      </c>
      <c r="O611" s="7">
        <f>(9+7.5)/2</f>
      </c>
    </row>
    <row x14ac:dyDescent="0.25" r="612" customHeight="1" ht="18.75">
      <c r="A612" s="4" t="s">
        <v>1822</v>
      </c>
      <c r="B612" s="4" t="s">
        <v>522</v>
      </c>
      <c r="C612" s="4" t="s">
        <v>32</v>
      </c>
      <c r="D612" s="5">
        <v>74</v>
      </c>
      <c r="E612" s="5">
        <v>1</v>
      </c>
      <c r="F612" s="5">
        <v>0</v>
      </c>
      <c r="G612" s="5">
        <v>0</v>
      </c>
      <c r="H612" s="6">
        <v>9.4</v>
      </c>
      <c r="I612" s="6">
        <v>27.9</v>
      </c>
      <c r="J612" s="5">
        <v>40205</v>
      </c>
      <c r="K612" s="4" t="s">
        <v>1823</v>
      </c>
      <c r="L612" s="4" t="s">
        <v>71</v>
      </c>
      <c r="M612" s="4" t="s">
        <v>1824</v>
      </c>
      <c r="N612" s="7">
        <f>1</f>
      </c>
      <c r="O612" s="7">
        <f>(2.5+2+2)/3</f>
      </c>
    </row>
    <row x14ac:dyDescent="0.25" r="613" customHeight="1" ht="18.75">
      <c r="A613" s="4" t="s">
        <v>1825</v>
      </c>
      <c r="B613" s="4" t="s">
        <v>296</v>
      </c>
      <c r="C613" s="4" t="s">
        <v>22</v>
      </c>
      <c r="D613" s="5">
        <v>73</v>
      </c>
      <c r="E613" s="5">
        <v>5</v>
      </c>
      <c r="F613" s="5">
        <v>1</v>
      </c>
      <c r="G613" s="5">
        <v>0</v>
      </c>
      <c r="H613" s="6">
        <v>10.1</v>
      </c>
      <c r="I613" s="6">
        <v>31.3</v>
      </c>
      <c r="J613" s="5">
        <v>225020</v>
      </c>
      <c r="K613" s="4" t="s">
        <v>1826</v>
      </c>
      <c r="L613" s="4" t="s">
        <v>55</v>
      </c>
      <c r="M613" s="4" t="s">
        <v>1827</v>
      </c>
      <c r="N613" s="7">
        <f>(20+16)/2</f>
      </c>
      <c r="O613" s="7">
        <f>(22+22+20)/3</f>
      </c>
    </row>
    <row x14ac:dyDescent="0.25" r="614" customHeight="1" ht="18.75">
      <c r="A614" s="4" t="s">
        <v>1828</v>
      </c>
      <c r="B614" s="4" t="s">
        <v>416</v>
      </c>
      <c r="C614" s="4" t="s">
        <v>53</v>
      </c>
      <c r="D614" s="5">
        <v>72</v>
      </c>
      <c r="E614" s="5">
        <v>4</v>
      </c>
      <c r="F614" s="5">
        <v>0</v>
      </c>
      <c r="G614" s="5">
        <v>0</v>
      </c>
      <c r="H614" s="6">
        <v>10.2</v>
      </c>
      <c r="I614" s="5">
        <v>31</v>
      </c>
      <c r="J614" s="5">
        <v>238752</v>
      </c>
      <c r="K614" s="4" t="s">
        <v>1829</v>
      </c>
      <c r="L614" s="4" t="s">
        <v>55</v>
      </c>
      <c r="M614" s="4" t="s">
        <v>1830</v>
      </c>
      <c r="N614" s="7">
        <f>(25+20)/2</f>
      </c>
      <c r="O614" s="7">
        <f>(30+30+28)/3</f>
      </c>
    </row>
    <row x14ac:dyDescent="0.25" r="615" customHeight="1" ht="18.75">
      <c r="A615" s="4" t="s">
        <v>1831</v>
      </c>
      <c r="B615" s="4" t="s">
        <v>428</v>
      </c>
      <c r="C615" s="4" t="s">
        <v>53</v>
      </c>
      <c r="D615" s="5">
        <v>72</v>
      </c>
      <c r="E615" s="5">
        <v>2</v>
      </c>
      <c r="F615" s="5">
        <v>0</v>
      </c>
      <c r="G615" s="5">
        <v>0</v>
      </c>
      <c r="H615" s="6">
        <v>9.7</v>
      </c>
      <c r="I615" s="6">
        <v>26.5</v>
      </c>
      <c r="J615" s="5">
        <v>208552</v>
      </c>
      <c r="K615" s="4" t="s">
        <v>1832</v>
      </c>
      <c r="L615" s="4" t="s">
        <v>42</v>
      </c>
      <c r="M615" s="4" t="s">
        <v>1833</v>
      </c>
      <c r="N615" s="7">
        <f>(5+7.5+7)/3</f>
      </c>
      <c r="O615" s="7">
        <f>(4+3.5+4)/3</f>
      </c>
    </row>
    <row x14ac:dyDescent="0.25" r="616" customHeight="1" ht="18.75">
      <c r="A616" s="4" t="s">
        <v>1834</v>
      </c>
      <c r="B616" s="4" t="s">
        <v>440</v>
      </c>
      <c r="C616" s="4" t="s">
        <v>53</v>
      </c>
      <c r="D616" s="5">
        <v>71</v>
      </c>
      <c r="E616" s="5">
        <v>1</v>
      </c>
      <c r="F616" s="5">
        <v>0</v>
      </c>
      <c r="G616" s="5">
        <v>0</v>
      </c>
      <c r="H616" s="6">
        <v>8.1</v>
      </c>
      <c r="I616" s="6">
        <v>27.9</v>
      </c>
      <c r="J616" s="5">
        <v>125781</v>
      </c>
      <c r="K616" s="4" t="s">
        <v>1835</v>
      </c>
      <c r="L616" s="4" t="s">
        <v>71</v>
      </c>
      <c r="M616" s="4" t="s">
        <v>225</v>
      </c>
      <c r="N616" s="7">
        <f>(130+120)/2</f>
      </c>
      <c r="O616" s="7">
        <f>(100+100+120+150+150)/5</f>
      </c>
    </row>
    <row x14ac:dyDescent="0.25" r="617" customHeight="1" ht="18.75">
      <c r="A617" s="4" t="s">
        <v>1836</v>
      </c>
      <c r="B617" s="4" t="s">
        <v>436</v>
      </c>
      <c r="C617" s="4" t="s">
        <v>22</v>
      </c>
      <c r="D617" s="5">
        <v>70</v>
      </c>
      <c r="E617" s="5">
        <v>2</v>
      </c>
      <c r="F617" s="5">
        <v>0</v>
      </c>
      <c r="G617" s="5">
        <v>0</v>
      </c>
      <c r="H617" s="6">
        <v>9.3</v>
      </c>
      <c r="I617" s="6">
        <v>28.1</v>
      </c>
      <c r="J617" s="5">
        <v>206843</v>
      </c>
      <c r="K617" s="4" t="s">
        <v>1837</v>
      </c>
      <c r="L617" s="4" t="s">
        <v>29</v>
      </c>
      <c r="M617" s="4" t="s">
        <v>1838</v>
      </c>
      <c r="N617" s="7">
        <f>(18+16+10+8+5)/5</f>
      </c>
      <c r="O617" s="7">
        <f>(7+12+18)/3</f>
      </c>
    </row>
    <row x14ac:dyDescent="0.25" r="618" customHeight="1" ht="18.75">
      <c r="A618" s="4" t="s">
        <v>1839</v>
      </c>
      <c r="B618" s="4" t="s">
        <v>428</v>
      </c>
      <c r="C618" s="4" t="s">
        <v>22</v>
      </c>
      <c r="D618" s="5">
        <v>69</v>
      </c>
      <c r="E618" s="5">
        <v>1</v>
      </c>
      <c r="F618" s="5">
        <v>0</v>
      </c>
      <c r="G618" s="5">
        <v>0</v>
      </c>
      <c r="H618" s="6">
        <v>7.2</v>
      </c>
      <c r="I618" s="6">
        <v>27.2</v>
      </c>
      <c r="J618" s="5">
        <v>358032</v>
      </c>
      <c r="K618" s="4" t="s">
        <v>1840</v>
      </c>
      <c r="L618" s="4" t="s">
        <v>42</v>
      </c>
      <c r="M618" s="4" t="s">
        <v>1841</v>
      </c>
      <c r="N618" s="7">
        <f>0.7</f>
      </c>
      <c r="O618" s="7">
        <f>0.7</f>
      </c>
    </row>
    <row x14ac:dyDescent="0.25" r="619" customHeight="1" ht="18.75">
      <c r="A619" s="4" t="s">
        <v>1842</v>
      </c>
      <c r="B619" s="4" t="s">
        <v>134</v>
      </c>
      <c r="C619" s="4" t="s">
        <v>22</v>
      </c>
      <c r="D619" s="5">
        <v>67</v>
      </c>
      <c r="E619" s="5">
        <v>3</v>
      </c>
      <c r="F619" s="5">
        <v>0</v>
      </c>
      <c r="G619" s="5">
        <v>0</v>
      </c>
      <c r="H619" s="6">
        <v>7.7</v>
      </c>
      <c r="I619" s="5">
        <v>29</v>
      </c>
      <c r="J619" s="5">
        <v>392757</v>
      </c>
      <c r="K619" s="4" t="s">
        <v>1843</v>
      </c>
      <c r="L619" s="4" t="s">
        <v>63</v>
      </c>
      <c r="M619" s="4" t="s">
        <v>1844</v>
      </c>
      <c r="N619" s="7">
        <f>1.5</f>
      </c>
      <c r="O619" s="4"/>
    </row>
    <row x14ac:dyDescent="0.25" r="620" customHeight="1" ht="18.75">
      <c r="A620" s="4" t="s">
        <v>1845</v>
      </c>
      <c r="B620" s="4" t="s">
        <v>134</v>
      </c>
      <c r="C620" s="4" t="s">
        <v>32</v>
      </c>
      <c r="D620" s="5">
        <v>67</v>
      </c>
      <c r="E620" s="5">
        <v>1</v>
      </c>
      <c r="F620" s="5">
        <v>0</v>
      </c>
      <c r="G620" s="5">
        <v>0</v>
      </c>
      <c r="H620" s="6">
        <v>8.3</v>
      </c>
      <c r="I620" s="6">
        <v>29.9</v>
      </c>
      <c r="J620" s="5">
        <v>118689</v>
      </c>
      <c r="K620" s="4" t="s">
        <v>1846</v>
      </c>
      <c r="L620" s="4" t="s">
        <v>136</v>
      </c>
      <c r="M620" s="4" t="s">
        <v>1847</v>
      </c>
      <c r="N620" s="7">
        <f>(15+18)/2</f>
      </c>
      <c r="O620" s="7">
        <f>(12+12)/2</f>
      </c>
    </row>
    <row x14ac:dyDescent="0.25" r="621" customHeight="1" ht="18.75">
      <c r="A621" s="4" t="s">
        <v>1848</v>
      </c>
      <c r="B621" s="4" t="s">
        <v>459</v>
      </c>
      <c r="C621" s="4" t="s">
        <v>22</v>
      </c>
      <c r="D621" s="5">
        <v>67</v>
      </c>
      <c r="E621" s="5">
        <v>1</v>
      </c>
      <c r="F621" s="5">
        <v>0</v>
      </c>
      <c r="G621" s="5">
        <v>0</v>
      </c>
      <c r="H621" s="6">
        <v>7.1</v>
      </c>
      <c r="I621" s="6">
        <v>28.1</v>
      </c>
      <c r="J621" s="5">
        <v>95438</v>
      </c>
      <c r="K621" s="4" t="s">
        <v>1849</v>
      </c>
      <c r="L621" s="4" t="s">
        <v>378</v>
      </c>
      <c r="M621" s="4" t="s">
        <v>1850</v>
      </c>
      <c r="N621" s="7">
        <f>(4+4)/2</f>
      </c>
      <c r="O621" s="7">
        <f>(3.5+3.5)/2</f>
      </c>
    </row>
    <row x14ac:dyDescent="0.25" r="622" customHeight="1" ht="18.75">
      <c r="A622" s="4" t="s">
        <v>1851</v>
      </c>
      <c r="B622" s="4" t="s">
        <v>52</v>
      </c>
      <c r="C622" s="4" t="s">
        <v>22</v>
      </c>
      <c r="D622" s="5">
        <v>65</v>
      </c>
      <c r="E622" s="5">
        <v>2</v>
      </c>
      <c r="F622" s="5">
        <v>0</v>
      </c>
      <c r="G622" s="5">
        <v>0</v>
      </c>
      <c r="H622" s="6">
        <v>8.1</v>
      </c>
      <c r="I622" s="6">
        <v>30.6</v>
      </c>
      <c r="J622" s="5">
        <v>100986</v>
      </c>
      <c r="K622" s="4" t="s">
        <v>1003</v>
      </c>
      <c r="L622" s="4" t="s">
        <v>42</v>
      </c>
      <c r="M622" s="4" t="s">
        <v>1004</v>
      </c>
      <c r="N622" s="7">
        <f>(30+30)/2</f>
      </c>
      <c r="O622" s="7">
        <f>(15+15+25+35)/4</f>
      </c>
    </row>
    <row x14ac:dyDescent="0.25" r="623" customHeight="1" ht="18.75">
      <c r="A623" s="4" t="s">
        <v>1852</v>
      </c>
      <c r="B623" s="4" t="s">
        <v>448</v>
      </c>
      <c r="C623" s="4" t="s">
        <v>53</v>
      </c>
      <c r="D623" s="5">
        <v>63</v>
      </c>
      <c r="E623" s="5">
        <v>1</v>
      </c>
      <c r="F623" s="5">
        <v>0</v>
      </c>
      <c r="G623" s="5">
        <v>0</v>
      </c>
      <c r="H623" s="6">
        <v>8.1</v>
      </c>
      <c r="I623" s="6">
        <v>24.8</v>
      </c>
      <c r="J623" s="5">
        <v>251309</v>
      </c>
      <c r="K623" s="4" t="s">
        <v>1853</v>
      </c>
      <c r="L623" s="4" t="s">
        <v>84</v>
      </c>
      <c r="M623" s="4" t="s">
        <v>1854</v>
      </c>
      <c r="N623" s="7">
        <f>(8.5+12)/2</f>
      </c>
      <c r="O623" s="7">
        <f>(5+10+10)/3</f>
      </c>
    </row>
    <row x14ac:dyDescent="0.25" r="624" customHeight="1" ht="18.75">
      <c r="A624" s="4" t="s">
        <v>1855</v>
      </c>
      <c r="B624" s="4" t="s">
        <v>103</v>
      </c>
      <c r="C624" s="4" t="s">
        <v>22</v>
      </c>
      <c r="D624" s="5">
        <v>62</v>
      </c>
      <c r="E624" s="5">
        <v>4</v>
      </c>
      <c r="F624" s="5">
        <v>0</v>
      </c>
      <c r="G624" s="5">
        <v>0</v>
      </c>
      <c r="H624" s="6">
        <v>9.6</v>
      </c>
      <c r="I624" s="6">
        <v>29.2</v>
      </c>
      <c r="J624" s="5">
        <v>58267</v>
      </c>
      <c r="K624" s="4" t="s">
        <v>1856</v>
      </c>
      <c r="L624" s="4" t="s">
        <v>141</v>
      </c>
      <c r="M624" s="4" t="s">
        <v>1857</v>
      </c>
      <c r="N624" s="7">
        <f>(2.5+1.5)/2</f>
      </c>
      <c r="O624" s="7">
        <f>(2.75+2.5)/2</f>
      </c>
    </row>
    <row x14ac:dyDescent="0.25" r="625" customHeight="1" ht="18.75">
      <c r="A625" s="4" t="s">
        <v>1858</v>
      </c>
      <c r="B625" s="4" t="s">
        <v>40</v>
      </c>
      <c r="C625" s="4" t="s">
        <v>32</v>
      </c>
      <c r="D625" s="5">
        <v>61</v>
      </c>
      <c r="E625" s="5">
        <v>1</v>
      </c>
      <c r="F625" s="5">
        <v>0</v>
      </c>
      <c r="G625" s="5">
        <v>0</v>
      </c>
      <c r="H625" s="6">
        <v>7.6</v>
      </c>
      <c r="I625" s="6">
        <v>28.6</v>
      </c>
      <c r="J625" s="5">
        <v>341051</v>
      </c>
      <c r="K625" s="4" t="s">
        <v>1859</v>
      </c>
      <c r="L625" s="4" t="s">
        <v>63</v>
      </c>
      <c r="M625" s="4" t="s">
        <v>1860</v>
      </c>
      <c r="N625" s="7">
        <f>(3.5+10+10)/3</f>
      </c>
      <c r="O625" s="7">
        <f>(2.5+3+3)/3</f>
      </c>
    </row>
    <row x14ac:dyDescent="0.25" r="626" customHeight="1" ht="18.75">
      <c r="A626" s="4" t="s">
        <v>1861</v>
      </c>
      <c r="B626" s="4" t="s">
        <v>103</v>
      </c>
      <c r="C626" s="4" t="s">
        <v>22</v>
      </c>
      <c r="D626" s="5">
        <v>60</v>
      </c>
      <c r="E626" s="5">
        <v>1</v>
      </c>
      <c r="F626" s="5">
        <v>0</v>
      </c>
      <c r="G626" s="5">
        <v>0</v>
      </c>
      <c r="H626" s="6">
        <v>6.4</v>
      </c>
      <c r="I626" s="6">
        <v>26.3</v>
      </c>
      <c r="J626" s="5">
        <v>147487</v>
      </c>
      <c r="K626" s="4" t="s">
        <v>1862</v>
      </c>
      <c r="L626" s="4" t="s">
        <v>1467</v>
      </c>
      <c r="M626" s="4" t="s">
        <v>1863</v>
      </c>
      <c r="N626" s="7">
        <f>(18+15+10+7)/4</f>
      </c>
      <c r="O626" s="7">
        <f>(18+18)/2</f>
      </c>
    </row>
    <row x14ac:dyDescent="0.25" r="627" customHeight="1" ht="18.75">
      <c r="A627" s="4" t="s">
        <v>1864</v>
      </c>
      <c r="B627" s="4" t="s">
        <v>285</v>
      </c>
      <c r="C627" s="4" t="s">
        <v>53</v>
      </c>
      <c r="D627" s="5">
        <v>59</v>
      </c>
      <c r="E627" s="5">
        <v>1</v>
      </c>
      <c r="F627" s="5">
        <v>0</v>
      </c>
      <c r="G627" s="5">
        <v>0</v>
      </c>
      <c r="H627" s="6">
        <v>7.6</v>
      </c>
      <c r="I627" s="6">
        <v>29.9</v>
      </c>
      <c r="J627" s="5">
        <v>55215</v>
      </c>
      <c r="K627" s="4" t="s">
        <v>1865</v>
      </c>
      <c r="L627" s="4" t="s">
        <v>127</v>
      </c>
      <c r="M627" s="4" t="s">
        <v>1866</v>
      </c>
      <c r="N627" s="7">
        <f>(15+15+15)/3</f>
      </c>
      <c r="O627" s="7">
        <f>(18+15+20+20)/4</f>
      </c>
    </row>
    <row x14ac:dyDescent="0.25" r="628" customHeight="1" ht="18.75">
      <c r="A628" s="4" t="s">
        <v>1867</v>
      </c>
      <c r="B628" s="4" t="s">
        <v>522</v>
      </c>
      <c r="C628" s="4" t="s">
        <v>53</v>
      </c>
      <c r="D628" s="5">
        <v>59</v>
      </c>
      <c r="E628" s="5">
        <v>1</v>
      </c>
      <c r="F628" s="5">
        <v>0</v>
      </c>
      <c r="G628" s="5">
        <v>0</v>
      </c>
      <c r="H628" s="6">
        <v>7.5</v>
      </c>
      <c r="I628" s="6">
        <v>29.9</v>
      </c>
      <c r="J628" s="5">
        <v>388058</v>
      </c>
      <c r="K628" s="4" t="s">
        <v>1868</v>
      </c>
      <c r="L628" s="4" t="s">
        <v>84</v>
      </c>
      <c r="M628" s="4" t="s">
        <v>1869</v>
      </c>
      <c r="N628" s="7">
        <f>(0.4+0.8)/2</f>
      </c>
      <c r="O628" s="7">
        <f>(0.2+0.5)/2</f>
      </c>
    </row>
    <row x14ac:dyDescent="0.25" r="629" customHeight="1" ht="18.75">
      <c r="A629" s="4" t="s">
        <v>1870</v>
      </c>
      <c r="B629" s="4" t="s">
        <v>230</v>
      </c>
      <c r="C629" s="4" t="s">
        <v>17</v>
      </c>
      <c r="D629" s="5">
        <v>56</v>
      </c>
      <c r="E629" s="5">
        <v>1</v>
      </c>
      <c r="F629" s="5">
        <v>0</v>
      </c>
      <c r="G629" s="5">
        <v>0</v>
      </c>
      <c r="H629" s="6">
        <v>3.3</v>
      </c>
      <c r="I629" s="6">
        <v>16.1</v>
      </c>
      <c r="J629" s="5">
        <v>60543</v>
      </c>
      <c r="K629" s="4" t="s">
        <v>1871</v>
      </c>
      <c r="L629" s="4" t="s">
        <v>71</v>
      </c>
      <c r="M629" s="4" t="s">
        <v>1872</v>
      </c>
      <c r="N629" s="7">
        <f>1</f>
      </c>
      <c r="O629" s="7">
        <f>(0.4+1+1)/3</f>
      </c>
    </row>
    <row x14ac:dyDescent="0.25" r="630" customHeight="1" ht="18.75">
      <c r="A630" s="4" t="s">
        <v>1873</v>
      </c>
      <c r="B630" s="4" t="s">
        <v>440</v>
      </c>
      <c r="C630" s="4" t="s">
        <v>22</v>
      </c>
      <c r="D630" s="5">
        <v>55</v>
      </c>
      <c r="E630" s="5">
        <v>6</v>
      </c>
      <c r="F630" s="5">
        <v>0</v>
      </c>
      <c r="G630" s="5">
        <v>0</v>
      </c>
      <c r="H630" s="5">
        <v>9</v>
      </c>
      <c r="I630" s="6">
        <v>26.1</v>
      </c>
      <c r="J630" s="5">
        <v>59772</v>
      </c>
      <c r="K630" s="4" t="s">
        <v>1874</v>
      </c>
      <c r="L630" s="4" t="s">
        <v>450</v>
      </c>
      <c r="M630" s="4" t="s">
        <v>1114</v>
      </c>
      <c r="N630" s="7">
        <f>(0.65+0.65)/2</f>
      </c>
      <c r="O630" s="7">
        <f>(0.7+0.7)/2</f>
      </c>
    </row>
    <row x14ac:dyDescent="0.25" r="631" customHeight="1" ht="18.75">
      <c r="A631" s="4" t="s">
        <v>1875</v>
      </c>
      <c r="B631" s="4" t="s">
        <v>416</v>
      </c>
      <c r="C631" s="4" t="s">
        <v>22</v>
      </c>
      <c r="D631" s="5">
        <v>53</v>
      </c>
      <c r="E631" s="5">
        <v>3</v>
      </c>
      <c r="F631" s="5">
        <v>0</v>
      </c>
      <c r="G631" s="5">
        <v>0</v>
      </c>
      <c r="H631" s="5">
        <v>8</v>
      </c>
      <c r="I631" s="6">
        <v>25.9</v>
      </c>
      <c r="J631" s="5">
        <v>406625</v>
      </c>
      <c r="K631" s="4" t="s">
        <v>1876</v>
      </c>
      <c r="L631" s="4" t="s">
        <v>127</v>
      </c>
      <c r="M631" s="4" t="s">
        <v>1877</v>
      </c>
      <c r="N631" s="7">
        <f>(30+40+80)/3</f>
      </c>
      <c r="O631" s="7">
        <f>(25+25)/2</f>
      </c>
    </row>
    <row x14ac:dyDescent="0.25" r="632" customHeight="1" ht="18.75">
      <c r="A632" s="4" t="s">
        <v>1878</v>
      </c>
      <c r="B632" s="4" t="s">
        <v>553</v>
      </c>
      <c r="C632" s="4" t="s">
        <v>32</v>
      </c>
      <c r="D632" s="5">
        <v>53</v>
      </c>
      <c r="E632" s="5">
        <v>2</v>
      </c>
      <c r="F632" s="5">
        <v>0</v>
      </c>
      <c r="G632" s="5">
        <v>0</v>
      </c>
      <c r="H632" s="6">
        <v>6.4</v>
      </c>
      <c r="I632" s="5">
        <v>29</v>
      </c>
      <c r="J632" s="5">
        <v>117586</v>
      </c>
      <c r="K632" s="4" t="s">
        <v>1879</v>
      </c>
      <c r="L632" s="4" t="s">
        <v>830</v>
      </c>
      <c r="M632" s="4" t="s">
        <v>1880</v>
      </c>
      <c r="N632" s="7">
        <f>(1.4+0.8+0.4+0.9)/4</f>
      </c>
      <c r="O632" s="7">
        <f>(2+2)/2</f>
      </c>
    </row>
    <row x14ac:dyDescent="0.25" r="633" customHeight="1" ht="18.75">
      <c r="A633" s="4" t="s">
        <v>1881</v>
      </c>
      <c r="B633" s="4" t="s">
        <v>748</v>
      </c>
      <c r="C633" s="4" t="s">
        <v>32</v>
      </c>
      <c r="D633" s="5">
        <v>51</v>
      </c>
      <c r="E633" s="5">
        <v>1</v>
      </c>
      <c r="F633" s="5">
        <v>0</v>
      </c>
      <c r="G633" s="5">
        <v>0</v>
      </c>
      <c r="H633" s="6">
        <v>6.4</v>
      </c>
      <c r="I633" s="6">
        <v>30.6</v>
      </c>
      <c r="J633" s="5">
        <v>585982</v>
      </c>
      <c r="K633" s="4" t="s">
        <v>1882</v>
      </c>
      <c r="L633" s="4" t="s">
        <v>19</v>
      </c>
      <c r="M633" s="4" t="s">
        <v>1883</v>
      </c>
      <c r="N633" s="7">
        <f>(0.1+0.5+0.9+0.9)/4</f>
      </c>
      <c r="O633" s="7">
        <f>0.05</f>
      </c>
    </row>
    <row x14ac:dyDescent="0.25" r="634" customHeight="1" ht="18.75">
      <c r="A634" s="4" t="s">
        <v>1884</v>
      </c>
      <c r="B634" s="4" t="s">
        <v>266</v>
      </c>
      <c r="C634" s="4" t="s">
        <v>53</v>
      </c>
      <c r="D634" s="5">
        <v>50</v>
      </c>
      <c r="E634" s="5">
        <v>4</v>
      </c>
      <c r="F634" s="5">
        <v>0</v>
      </c>
      <c r="G634" s="5">
        <v>0</v>
      </c>
      <c r="H634" s="6">
        <v>6.2</v>
      </c>
      <c r="I634" s="6">
        <v>29.2</v>
      </c>
      <c r="J634" s="5">
        <v>45660</v>
      </c>
      <c r="K634" s="4" t="s">
        <v>1885</v>
      </c>
      <c r="L634" s="4" t="s">
        <v>84</v>
      </c>
      <c r="M634" s="4" t="s">
        <v>1886</v>
      </c>
      <c r="N634" s="7">
        <f>(6+5+5)/3</f>
      </c>
      <c r="O634" s="7">
        <f>(8+8+8)/3</f>
      </c>
    </row>
    <row x14ac:dyDescent="0.25" r="635" customHeight="1" ht="18.75">
      <c r="A635" s="4" t="s">
        <v>1887</v>
      </c>
      <c r="B635" s="4" t="s">
        <v>504</v>
      </c>
      <c r="C635" s="4" t="s">
        <v>22</v>
      </c>
      <c r="D635" s="5">
        <v>49</v>
      </c>
      <c r="E635" s="5">
        <v>2</v>
      </c>
      <c r="F635" s="5">
        <v>0</v>
      </c>
      <c r="G635" s="5">
        <v>0</v>
      </c>
      <c r="H635" s="5">
        <v>7</v>
      </c>
      <c r="I635" s="6">
        <v>29.2</v>
      </c>
      <c r="J635" s="5">
        <v>336382</v>
      </c>
      <c r="K635" s="4" t="s">
        <v>1888</v>
      </c>
      <c r="L635" s="4" t="s">
        <v>29</v>
      </c>
      <c r="M635" s="4" t="s">
        <v>1889</v>
      </c>
      <c r="N635" s="7">
        <f>(2+4+4)/3</f>
      </c>
      <c r="O635" s="7">
        <f>(0.7+1)/2</f>
      </c>
    </row>
    <row x14ac:dyDescent="0.25" r="636" customHeight="1" ht="18.75">
      <c r="A636" s="4" t="s">
        <v>1890</v>
      </c>
      <c r="B636" s="4" t="s">
        <v>459</v>
      </c>
      <c r="C636" s="4" t="s">
        <v>22</v>
      </c>
      <c r="D636" s="5">
        <v>49</v>
      </c>
      <c r="E636" s="5">
        <v>2</v>
      </c>
      <c r="F636" s="5">
        <v>0</v>
      </c>
      <c r="G636" s="5">
        <v>0</v>
      </c>
      <c r="H636" s="6">
        <v>6.5</v>
      </c>
      <c r="I636" s="6">
        <v>28.4</v>
      </c>
      <c r="J636" s="5">
        <v>136643</v>
      </c>
      <c r="K636" s="4" t="s">
        <v>1891</v>
      </c>
      <c r="L636" s="4" t="s">
        <v>290</v>
      </c>
      <c r="M636" s="4" t="s">
        <v>1892</v>
      </c>
      <c r="N636" s="7">
        <f>0.6</f>
      </c>
      <c r="O636" s="7">
        <f>(0.7+0.7+0.7)/3</f>
      </c>
    </row>
    <row x14ac:dyDescent="0.25" r="637" customHeight="1" ht="18.75">
      <c r="A637" s="4" t="s">
        <v>1893</v>
      </c>
      <c r="B637" s="4" t="s">
        <v>459</v>
      </c>
      <c r="C637" s="4" t="s">
        <v>22</v>
      </c>
      <c r="D637" s="5">
        <v>48</v>
      </c>
      <c r="E637" s="5">
        <v>3</v>
      </c>
      <c r="F637" s="5">
        <v>0</v>
      </c>
      <c r="G637" s="5">
        <v>0</v>
      </c>
      <c r="H637" s="6">
        <v>6.7</v>
      </c>
      <c r="I637" s="6">
        <v>28.4</v>
      </c>
      <c r="J637" s="5">
        <v>234850</v>
      </c>
      <c r="K637" s="4" t="s">
        <v>1894</v>
      </c>
      <c r="L637" s="4" t="s">
        <v>290</v>
      </c>
      <c r="M637" s="4" t="s">
        <v>1895</v>
      </c>
      <c r="N637" s="7">
        <f>(0.4+0.4+0.4)/3</f>
      </c>
      <c r="O637" s="7">
        <f>(1+0.8)/2</f>
      </c>
    </row>
    <row x14ac:dyDescent="0.25" r="638" customHeight="1" ht="18.75">
      <c r="A638" s="4" t="s">
        <v>1896</v>
      </c>
      <c r="B638" s="4" t="s">
        <v>471</v>
      </c>
      <c r="C638" s="4" t="s">
        <v>53</v>
      </c>
      <c r="D638" s="5">
        <v>48</v>
      </c>
      <c r="E638" s="5">
        <v>2</v>
      </c>
      <c r="F638" s="5">
        <v>0</v>
      </c>
      <c r="G638" s="5">
        <v>0</v>
      </c>
      <c r="H638" s="6">
        <v>6.6</v>
      </c>
      <c r="I638" s="5">
        <v>27</v>
      </c>
      <c r="J638" s="5">
        <v>463618</v>
      </c>
      <c r="K638" s="4" t="s">
        <v>1897</v>
      </c>
      <c r="L638" s="4" t="s">
        <v>71</v>
      </c>
      <c r="M638" s="4" t="s">
        <v>1527</v>
      </c>
      <c r="N638" s="7">
        <f>(0.5+0.5+1.5+3)/4</f>
      </c>
      <c r="O638" s="4"/>
    </row>
    <row x14ac:dyDescent="0.25" r="639" customHeight="1" ht="18.75">
      <c r="A639" s="4" t="s">
        <v>1898</v>
      </c>
      <c r="B639" s="4" t="s">
        <v>420</v>
      </c>
      <c r="C639" s="4" t="s">
        <v>53</v>
      </c>
      <c r="D639" s="5">
        <v>47</v>
      </c>
      <c r="E639" s="5">
        <v>2</v>
      </c>
      <c r="F639" s="5">
        <v>0</v>
      </c>
      <c r="G639" s="5">
        <v>0</v>
      </c>
      <c r="H639" s="6">
        <v>6.9</v>
      </c>
      <c r="I639" s="6">
        <v>28.6</v>
      </c>
      <c r="J639" s="5">
        <v>391905</v>
      </c>
      <c r="K639" s="4" t="s">
        <v>1899</v>
      </c>
      <c r="L639" s="4" t="s">
        <v>492</v>
      </c>
      <c r="M639" s="4" t="s">
        <v>1900</v>
      </c>
      <c r="N639" s="7">
        <f>(0.7+0.6)/2</f>
      </c>
      <c r="O639" s="7">
        <f>(0.45+0.7)/2</f>
      </c>
    </row>
    <row x14ac:dyDescent="0.25" r="640" customHeight="1" ht="18.75">
      <c r="A640" s="4" t="s">
        <v>1901</v>
      </c>
      <c r="B640" s="4" t="s">
        <v>504</v>
      </c>
      <c r="C640" s="4" t="s">
        <v>22</v>
      </c>
      <c r="D640" s="5">
        <v>45</v>
      </c>
      <c r="E640" s="5">
        <v>1</v>
      </c>
      <c r="F640" s="5">
        <v>0</v>
      </c>
      <c r="G640" s="5">
        <v>0</v>
      </c>
      <c r="H640" s="5">
        <v>6</v>
      </c>
      <c r="I640" s="6">
        <v>28.4</v>
      </c>
      <c r="J640" s="5">
        <v>317670</v>
      </c>
      <c r="K640" s="4" t="s">
        <v>1902</v>
      </c>
      <c r="L640" s="4" t="s">
        <v>29</v>
      </c>
      <c r="M640" s="4" t="s">
        <v>1903</v>
      </c>
      <c r="N640" s="7">
        <f>(0.225+0.2+0.35)/3</f>
      </c>
      <c r="O640" s="4"/>
    </row>
    <row x14ac:dyDescent="0.25" r="641" customHeight="1" ht="18.75">
      <c r="A641" s="4" t="s">
        <v>1904</v>
      </c>
      <c r="B641" s="4" t="s">
        <v>186</v>
      </c>
      <c r="C641" s="4" t="s">
        <v>32</v>
      </c>
      <c r="D641" s="5">
        <v>45</v>
      </c>
      <c r="E641" s="5">
        <v>1</v>
      </c>
      <c r="F641" s="5">
        <v>0</v>
      </c>
      <c r="G641" s="5">
        <v>0</v>
      </c>
      <c r="H641" s="6">
        <v>5.1</v>
      </c>
      <c r="I641" s="6">
        <v>29.5</v>
      </c>
      <c r="J641" s="5">
        <v>93176</v>
      </c>
      <c r="K641" s="4" t="s">
        <v>1905</v>
      </c>
      <c r="L641" s="4" t="s">
        <v>127</v>
      </c>
      <c r="M641" s="4" t="s">
        <v>1906</v>
      </c>
      <c r="N641" s="7">
        <f>(12+10+10)/3</f>
      </c>
      <c r="O641" s="7">
        <f>(18+18+15)/3</f>
      </c>
    </row>
    <row x14ac:dyDescent="0.25" r="642" customHeight="1" ht="18.75">
      <c r="A642" s="4" t="s">
        <v>1907</v>
      </c>
      <c r="B642" s="4" t="s">
        <v>436</v>
      </c>
      <c r="C642" s="4" t="s">
        <v>32</v>
      </c>
      <c r="D642" s="5">
        <v>45</v>
      </c>
      <c r="E642" s="5">
        <v>1</v>
      </c>
      <c r="F642" s="5">
        <v>0</v>
      </c>
      <c r="G642" s="5">
        <v>0</v>
      </c>
      <c r="H642" s="6">
        <v>4.5</v>
      </c>
      <c r="I642" s="5">
        <v>23</v>
      </c>
      <c r="J642" s="5">
        <v>205562</v>
      </c>
      <c r="K642" s="4" t="s">
        <v>1908</v>
      </c>
      <c r="L642" s="4" t="s">
        <v>71</v>
      </c>
      <c r="M642" s="4" t="s">
        <v>903</v>
      </c>
      <c r="N642" s="7">
        <f>(50+40+30)/3</f>
      </c>
      <c r="O642" s="7">
        <f>(65+65+70+60)/4</f>
      </c>
    </row>
    <row x14ac:dyDescent="0.25" r="643" customHeight="1" ht="18.75">
      <c r="A643" s="4" t="s">
        <v>1909</v>
      </c>
      <c r="B643" s="4" t="s">
        <v>471</v>
      </c>
      <c r="C643" s="4" t="s">
        <v>17</v>
      </c>
      <c r="D643" s="5">
        <v>45</v>
      </c>
      <c r="E643" s="5">
        <v>1</v>
      </c>
      <c r="F643" s="5">
        <v>0</v>
      </c>
      <c r="G643" s="5">
        <v>0</v>
      </c>
      <c r="H643" s="6">
        <v>2.1</v>
      </c>
      <c r="I643" s="6">
        <v>12.6</v>
      </c>
      <c r="J643" s="5">
        <v>27941</v>
      </c>
      <c r="K643" s="4" t="s">
        <v>1910</v>
      </c>
      <c r="L643" s="4" t="s">
        <v>378</v>
      </c>
      <c r="M643" s="4" t="s">
        <v>1911</v>
      </c>
      <c r="N643" s="7">
        <f>(3+2+1)/3</f>
      </c>
      <c r="O643" s="7">
        <f>(5+4.5+4)/3</f>
      </c>
    </row>
    <row x14ac:dyDescent="0.25" r="644" customHeight="1" ht="18.75">
      <c r="A644" s="4" t="s">
        <v>1912</v>
      </c>
      <c r="B644" s="4" t="s">
        <v>424</v>
      </c>
      <c r="C644" s="4" t="s">
        <v>22</v>
      </c>
      <c r="D644" s="5">
        <v>41</v>
      </c>
      <c r="E644" s="5">
        <v>3</v>
      </c>
      <c r="F644" s="5">
        <v>0</v>
      </c>
      <c r="G644" s="5">
        <v>0</v>
      </c>
      <c r="H644" s="6">
        <v>5.8</v>
      </c>
      <c r="I644" s="6">
        <v>28.4</v>
      </c>
      <c r="J644" s="5">
        <v>823486</v>
      </c>
      <c r="K644" s="4" t="s">
        <v>1913</v>
      </c>
      <c r="L644" s="4" t="s">
        <v>136</v>
      </c>
      <c r="M644" s="4" t="s">
        <v>1914</v>
      </c>
      <c r="N644" s="4"/>
      <c r="O644" s="4"/>
    </row>
    <row x14ac:dyDescent="0.25" r="645" customHeight="1" ht="18.75">
      <c r="A645" s="4" t="s">
        <v>1915</v>
      </c>
      <c r="B645" s="4" t="s">
        <v>52</v>
      </c>
      <c r="C645" s="4" t="s">
        <v>22</v>
      </c>
      <c r="D645" s="5">
        <v>39</v>
      </c>
      <c r="E645" s="5">
        <v>3</v>
      </c>
      <c r="F645" s="5">
        <v>1</v>
      </c>
      <c r="G645" s="5">
        <v>0</v>
      </c>
      <c r="H645" s="6">
        <v>5.6</v>
      </c>
      <c r="I645" s="6">
        <v>29.5</v>
      </c>
      <c r="J645" s="5">
        <v>323704</v>
      </c>
      <c r="K645" s="4" t="s">
        <v>1916</v>
      </c>
      <c r="L645" s="4" t="s">
        <v>19</v>
      </c>
      <c r="M645" s="4" t="s">
        <v>1917</v>
      </c>
      <c r="N645" s="7">
        <f>(40+40)/2</f>
      </c>
      <c r="O645" s="7">
        <f>(30+45+45+40)/4</f>
      </c>
    </row>
    <row x14ac:dyDescent="0.25" r="646" customHeight="1" ht="18.75">
      <c r="A646" s="4" t="s">
        <v>1918</v>
      </c>
      <c r="B646" s="4" t="s">
        <v>553</v>
      </c>
      <c r="C646" s="4" t="s">
        <v>22</v>
      </c>
      <c r="D646" s="5">
        <v>39</v>
      </c>
      <c r="E646" s="5">
        <v>3</v>
      </c>
      <c r="F646" s="5">
        <v>0</v>
      </c>
      <c r="G646" s="5">
        <v>0</v>
      </c>
      <c r="H646" s="6">
        <v>5.9</v>
      </c>
      <c r="I646" s="6">
        <v>27.9</v>
      </c>
      <c r="J646" s="5">
        <v>67570</v>
      </c>
      <c r="K646" s="4" t="s">
        <v>1919</v>
      </c>
      <c r="L646" s="4" t="s">
        <v>830</v>
      </c>
      <c r="M646" s="4" t="s">
        <v>1920</v>
      </c>
      <c r="N646" s="7">
        <f>(0.5+0.3)/2</f>
      </c>
      <c r="O646" s="7">
        <f>(0.5+0.75)/2</f>
      </c>
    </row>
    <row x14ac:dyDescent="0.25" r="647" customHeight="1" ht="18.75">
      <c r="A647" s="4" t="s">
        <v>1921</v>
      </c>
      <c r="B647" s="4" t="s">
        <v>266</v>
      </c>
      <c r="C647" s="4" t="s">
        <v>53</v>
      </c>
      <c r="D647" s="5">
        <v>35</v>
      </c>
      <c r="E647" s="5">
        <v>2</v>
      </c>
      <c r="F647" s="5">
        <v>0</v>
      </c>
      <c r="G647" s="5">
        <v>0</v>
      </c>
      <c r="H647" s="6">
        <v>5.1</v>
      </c>
      <c r="I647" s="5">
        <v>27</v>
      </c>
      <c r="J647" s="5">
        <v>166237</v>
      </c>
      <c r="K647" s="4" t="s">
        <v>1922</v>
      </c>
      <c r="L647" s="4" t="s">
        <v>127</v>
      </c>
      <c r="M647" s="4" t="s">
        <v>1923</v>
      </c>
      <c r="N647" s="7">
        <f>(40+35+25+25)/4</f>
      </c>
      <c r="O647" s="7">
        <f>(20+25)/2</f>
      </c>
    </row>
    <row x14ac:dyDescent="0.25" r="648" customHeight="1" ht="18.75">
      <c r="A648" s="4" t="s">
        <v>1924</v>
      </c>
      <c r="B648" s="4" t="s">
        <v>440</v>
      </c>
      <c r="C648" s="4" t="s">
        <v>22</v>
      </c>
      <c r="D648" s="5">
        <v>33</v>
      </c>
      <c r="E648" s="5">
        <v>2</v>
      </c>
      <c r="F648" s="5">
        <v>0</v>
      </c>
      <c r="G648" s="5">
        <v>0</v>
      </c>
      <c r="H648" s="6">
        <v>4.7</v>
      </c>
      <c r="I648" s="6">
        <v>28.8</v>
      </c>
      <c r="J648" s="5">
        <v>365861</v>
      </c>
      <c r="K648" s="4" t="s">
        <v>1925</v>
      </c>
      <c r="L648" s="4" t="s">
        <v>718</v>
      </c>
      <c r="M648" s="4" t="s">
        <v>617</v>
      </c>
      <c r="N648" s="7">
        <f>(0.5+0.4+0.4)/3</f>
      </c>
      <c r="O648" s="7">
        <f>(0.6+0.6)/2</f>
      </c>
    </row>
    <row x14ac:dyDescent="0.25" r="649" customHeight="1" ht="18.75">
      <c r="A649" s="4" t="s">
        <v>1926</v>
      </c>
      <c r="B649" s="4" t="s">
        <v>27</v>
      </c>
      <c r="C649" s="4" t="s">
        <v>53</v>
      </c>
      <c r="D649" s="5">
        <v>32</v>
      </c>
      <c r="E649" s="5">
        <v>2</v>
      </c>
      <c r="F649" s="5">
        <v>0</v>
      </c>
      <c r="G649" s="5">
        <v>0</v>
      </c>
      <c r="H649" s="6">
        <v>5.8</v>
      </c>
      <c r="I649" s="6">
        <v>24.5</v>
      </c>
      <c r="J649" s="5">
        <v>340459</v>
      </c>
      <c r="K649" s="4" t="s">
        <v>1927</v>
      </c>
      <c r="L649" s="4" t="s">
        <v>34</v>
      </c>
      <c r="M649" s="4" t="s">
        <v>1928</v>
      </c>
      <c r="N649" s="7">
        <f>(1+1+2+3)/4</f>
      </c>
      <c r="O649" s="7">
        <f>(0.3+0.4+1+1)/4</f>
      </c>
    </row>
    <row x14ac:dyDescent="0.25" r="650" customHeight="1" ht="18.75">
      <c r="A650" s="4" t="s">
        <v>1929</v>
      </c>
      <c r="B650" s="4" t="s">
        <v>471</v>
      </c>
      <c r="C650" s="4" t="s">
        <v>22</v>
      </c>
      <c r="D650" s="5">
        <v>32</v>
      </c>
      <c r="E650" s="5">
        <v>1</v>
      </c>
      <c r="F650" s="5">
        <v>0</v>
      </c>
      <c r="G650" s="5">
        <v>0</v>
      </c>
      <c r="H650" s="6">
        <v>4.2</v>
      </c>
      <c r="I650" s="6">
        <v>27.7</v>
      </c>
      <c r="J650" s="5">
        <v>331498</v>
      </c>
      <c r="K650" s="4" t="s">
        <v>1930</v>
      </c>
      <c r="L650" s="4" t="s">
        <v>55</v>
      </c>
      <c r="M650" s="4" t="s">
        <v>1931</v>
      </c>
      <c r="N650" s="7">
        <f>(3+2.5+2)/3</f>
      </c>
      <c r="O650" s="7">
        <f>(4+4+3)/3</f>
      </c>
    </row>
    <row x14ac:dyDescent="0.25" r="651" customHeight="1" ht="18.75">
      <c r="A651" s="4" t="s">
        <v>1932</v>
      </c>
      <c r="B651" s="4" t="s">
        <v>464</v>
      </c>
      <c r="C651" s="4" t="s">
        <v>53</v>
      </c>
      <c r="D651" s="5">
        <v>31</v>
      </c>
      <c r="E651" s="5">
        <v>2</v>
      </c>
      <c r="F651" s="5">
        <v>0</v>
      </c>
      <c r="G651" s="5">
        <v>0</v>
      </c>
      <c r="H651" s="6">
        <v>4.5</v>
      </c>
      <c r="I651" s="6">
        <v>26.6</v>
      </c>
      <c r="J651" s="5">
        <v>267383</v>
      </c>
      <c r="K651" s="4" t="s">
        <v>1933</v>
      </c>
      <c r="L651" s="4" t="s">
        <v>492</v>
      </c>
      <c r="M651" s="4" t="s">
        <v>1934</v>
      </c>
      <c r="N651" s="7">
        <f>(2+2.2+3.5)/3</f>
      </c>
      <c r="O651" s="7">
        <f>(1.5+1.5)/2</f>
      </c>
    </row>
    <row x14ac:dyDescent="0.25" r="652" customHeight="1" ht="18.75">
      <c r="A652" s="4" t="s">
        <v>1935</v>
      </c>
      <c r="B652" s="4" t="s">
        <v>471</v>
      </c>
      <c r="C652" s="4" t="s">
        <v>22</v>
      </c>
      <c r="D652" s="5">
        <v>29</v>
      </c>
      <c r="E652" s="5">
        <v>1</v>
      </c>
      <c r="F652" s="5">
        <v>0</v>
      </c>
      <c r="G652" s="5">
        <v>0</v>
      </c>
      <c r="H652" s="6">
        <v>3.9</v>
      </c>
      <c r="I652" s="6">
        <v>23.9</v>
      </c>
      <c r="J652" s="5">
        <v>171410</v>
      </c>
      <c r="K652" s="4" t="s">
        <v>1936</v>
      </c>
      <c r="L652" s="4" t="s">
        <v>71</v>
      </c>
      <c r="M652" s="4" t="s">
        <v>1937</v>
      </c>
      <c r="N652" s="7">
        <f>(7+6)/2</f>
      </c>
      <c r="O652" s="7">
        <f>(3+3+7)/3</f>
      </c>
    </row>
    <row x14ac:dyDescent="0.25" r="653" customHeight="1" ht="18.75">
      <c r="A653" s="4" t="s">
        <v>1938</v>
      </c>
      <c r="B653" s="4" t="s">
        <v>316</v>
      </c>
      <c r="C653" s="4" t="s">
        <v>53</v>
      </c>
      <c r="D653" s="5">
        <v>28</v>
      </c>
      <c r="E653" s="5">
        <v>1</v>
      </c>
      <c r="F653" s="5">
        <v>0</v>
      </c>
      <c r="G653" s="5">
        <v>0</v>
      </c>
      <c r="H653" s="6">
        <v>4.1</v>
      </c>
      <c r="I653" s="6">
        <v>25.2</v>
      </c>
      <c r="J653" s="5">
        <v>81785</v>
      </c>
      <c r="K653" s="4" t="s">
        <v>1939</v>
      </c>
      <c r="L653" s="4" t="s">
        <v>820</v>
      </c>
      <c r="M653" s="4" t="s">
        <v>1940</v>
      </c>
      <c r="N653" s="7">
        <f>(6+4+3)/3</f>
      </c>
      <c r="O653" s="7">
        <f>(13+11+8)/3</f>
      </c>
    </row>
    <row x14ac:dyDescent="0.25" r="654" customHeight="1" ht="18.75">
      <c r="A654" s="4" t="s">
        <v>1941</v>
      </c>
      <c r="B654" s="4" t="s">
        <v>448</v>
      </c>
      <c r="C654" s="4" t="s">
        <v>53</v>
      </c>
      <c r="D654" s="5">
        <v>27</v>
      </c>
      <c r="E654" s="5">
        <v>1</v>
      </c>
      <c r="F654" s="5">
        <v>0</v>
      </c>
      <c r="G654" s="5">
        <v>0</v>
      </c>
      <c r="H654" s="6">
        <v>3.5</v>
      </c>
      <c r="I654" s="6">
        <v>26.1</v>
      </c>
      <c r="J654" s="5">
        <v>232454</v>
      </c>
      <c r="K654" s="4" t="s">
        <v>1942</v>
      </c>
      <c r="L654" s="4" t="s">
        <v>84</v>
      </c>
      <c r="M654" s="4" t="s">
        <v>1943</v>
      </c>
      <c r="N654" s="7">
        <f>(17+15+20)/3</f>
      </c>
      <c r="O654" s="7">
        <f>(17+17)/2</f>
      </c>
    </row>
    <row x14ac:dyDescent="0.25" r="655" customHeight="1" ht="18.75">
      <c r="A655" s="4" t="s">
        <v>1944</v>
      </c>
      <c r="B655" s="4" t="s">
        <v>103</v>
      </c>
      <c r="C655" s="4" t="s">
        <v>53</v>
      </c>
      <c r="D655" s="5">
        <v>26</v>
      </c>
      <c r="E655" s="5">
        <v>2</v>
      </c>
      <c r="F655" s="5">
        <v>0</v>
      </c>
      <c r="G655" s="5">
        <v>0</v>
      </c>
      <c r="H655" s="6">
        <v>4.1</v>
      </c>
      <c r="I655" s="6">
        <v>24.7</v>
      </c>
      <c r="J655" s="5">
        <v>344519</v>
      </c>
      <c r="K655" s="4" t="s">
        <v>1945</v>
      </c>
      <c r="L655" s="4" t="s">
        <v>141</v>
      </c>
      <c r="M655" s="4" t="s">
        <v>1946</v>
      </c>
      <c r="N655" s="7">
        <f>(1+1+2)/3</f>
      </c>
      <c r="O655" s="7">
        <f>(0.25+1.25)/2</f>
      </c>
    </row>
    <row x14ac:dyDescent="0.25" r="656" customHeight="1" ht="18.75">
      <c r="A656" s="4" t="s">
        <v>1947</v>
      </c>
      <c r="B656" s="4" t="s">
        <v>420</v>
      </c>
      <c r="C656" s="4" t="s">
        <v>22</v>
      </c>
      <c r="D656" s="5">
        <v>26</v>
      </c>
      <c r="E656" s="5">
        <v>2</v>
      </c>
      <c r="F656" s="5">
        <v>0</v>
      </c>
      <c r="G656" s="5">
        <v>0</v>
      </c>
      <c r="H656" s="6">
        <v>3.9</v>
      </c>
      <c r="I656" s="6">
        <v>27.4</v>
      </c>
      <c r="J656" s="5">
        <v>315557</v>
      </c>
      <c r="K656" s="4" t="s">
        <v>1948</v>
      </c>
      <c r="L656" s="4" t="s">
        <v>492</v>
      </c>
      <c r="M656" s="4" t="s">
        <v>1949</v>
      </c>
      <c r="N656" s="7">
        <f>(1.2+0.8)/2</f>
      </c>
      <c r="O656" s="7">
        <f>(0.8+1.2+1.2)/3</f>
      </c>
    </row>
    <row x14ac:dyDescent="0.25" r="657" customHeight="1" ht="18.75">
      <c r="A657" s="4" t="s">
        <v>949</v>
      </c>
      <c r="B657" s="4" t="s">
        <v>285</v>
      </c>
      <c r="C657" s="4" t="s">
        <v>32</v>
      </c>
      <c r="D657" s="5">
        <v>26</v>
      </c>
      <c r="E657" s="5">
        <v>2</v>
      </c>
      <c r="F657" s="5">
        <v>0</v>
      </c>
      <c r="G657" s="5">
        <v>0</v>
      </c>
      <c r="H657" s="6">
        <v>3.1</v>
      </c>
      <c r="I657" s="6">
        <v>33.1</v>
      </c>
      <c r="J657" s="5">
        <v>286297</v>
      </c>
      <c r="K657" s="4" t="s">
        <v>1950</v>
      </c>
      <c r="L657" s="4" t="s">
        <v>136</v>
      </c>
      <c r="M657" s="4" t="s">
        <v>951</v>
      </c>
      <c r="N657" s="7">
        <f>(35+40+40)/3</f>
      </c>
      <c r="O657" s="7">
        <f>(23+28+35)/3</f>
      </c>
    </row>
    <row x14ac:dyDescent="0.25" r="658" customHeight="1" ht="18.75">
      <c r="A658" s="4" t="s">
        <v>1951</v>
      </c>
      <c r="B658" s="4" t="s">
        <v>285</v>
      </c>
      <c r="C658" s="4" t="s">
        <v>53</v>
      </c>
      <c r="D658" s="5">
        <v>26</v>
      </c>
      <c r="E658" s="5">
        <v>1</v>
      </c>
      <c r="F658" s="5">
        <v>0</v>
      </c>
      <c r="G658" s="5">
        <v>0</v>
      </c>
      <c r="H658" s="5">
        <v>4</v>
      </c>
      <c r="I658" s="6">
        <v>24.5</v>
      </c>
      <c r="J658" s="5">
        <v>96630</v>
      </c>
      <c r="K658" s="4" t="s">
        <v>1952</v>
      </c>
      <c r="L658" s="4" t="s">
        <v>378</v>
      </c>
      <c r="M658" s="4" t="s">
        <v>1953</v>
      </c>
      <c r="N658" s="7">
        <f>(6+4+3)/3</f>
      </c>
      <c r="O658" s="7">
        <f>(7.5+7)/2</f>
      </c>
    </row>
    <row x14ac:dyDescent="0.25" r="659" customHeight="1" ht="18.75">
      <c r="A659" s="4" t="s">
        <v>1954</v>
      </c>
      <c r="B659" s="4" t="s">
        <v>432</v>
      </c>
      <c r="C659" s="4" t="s">
        <v>53</v>
      </c>
      <c r="D659" s="5">
        <v>25</v>
      </c>
      <c r="E659" s="5">
        <v>1</v>
      </c>
      <c r="F659" s="5">
        <v>0</v>
      </c>
      <c r="G659" s="5">
        <v>0</v>
      </c>
      <c r="H659" s="6">
        <v>3.9</v>
      </c>
      <c r="I659" s="5">
        <v>27</v>
      </c>
      <c r="J659" s="5">
        <v>321204</v>
      </c>
      <c r="K659" s="4" t="s">
        <v>1955</v>
      </c>
      <c r="L659" s="4" t="s">
        <v>450</v>
      </c>
      <c r="M659" s="4" t="s">
        <v>1956</v>
      </c>
      <c r="N659" s="7">
        <f>(0.6+1+3+3.5)/4</f>
      </c>
      <c r="O659" s="7">
        <f>(0.1+0.125+0.3)/3</f>
      </c>
    </row>
    <row x14ac:dyDescent="0.25" r="660" customHeight="1" ht="18.75">
      <c r="A660" s="4" t="s">
        <v>1957</v>
      </c>
      <c r="B660" s="4" t="s">
        <v>52</v>
      </c>
      <c r="C660" s="4" t="s">
        <v>53</v>
      </c>
      <c r="D660" s="5">
        <v>24</v>
      </c>
      <c r="E660" s="5">
        <v>2</v>
      </c>
      <c r="F660" s="5">
        <v>0</v>
      </c>
      <c r="G660" s="5">
        <v>0</v>
      </c>
      <c r="H660" s="6">
        <v>4.1</v>
      </c>
      <c r="I660" s="6">
        <v>28.6</v>
      </c>
      <c r="J660" s="5">
        <v>165007</v>
      </c>
      <c r="K660" s="4" t="s">
        <v>1958</v>
      </c>
      <c r="L660" s="4" t="s">
        <v>55</v>
      </c>
      <c r="M660" s="4" t="s">
        <v>1959</v>
      </c>
      <c r="N660" s="7">
        <f>(12+12)/2</f>
      </c>
      <c r="O660" s="7">
        <f>(18+15+15+12)/4</f>
      </c>
    </row>
    <row x14ac:dyDescent="0.25" r="661" customHeight="1" ht="18.75">
      <c r="A661" s="4" t="s">
        <v>1960</v>
      </c>
      <c r="B661" s="4" t="s">
        <v>432</v>
      </c>
      <c r="C661" s="4" t="s">
        <v>32</v>
      </c>
      <c r="D661" s="5">
        <v>24</v>
      </c>
      <c r="E661" s="5">
        <v>1</v>
      </c>
      <c r="F661" s="5">
        <v>0</v>
      </c>
      <c r="G661" s="5">
        <v>0</v>
      </c>
      <c r="H661" s="6">
        <v>2.6</v>
      </c>
      <c r="I661" s="5">
        <v>25</v>
      </c>
      <c r="J661" s="5">
        <v>147846</v>
      </c>
      <c r="K661" s="4" t="s">
        <v>1961</v>
      </c>
      <c r="L661" s="4" t="s">
        <v>71</v>
      </c>
      <c r="M661" s="4" t="s">
        <v>1962</v>
      </c>
      <c r="N661" s="7">
        <f>(1.75+1.25+1.5)/3</f>
      </c>
      <c r="O661" s="7">
        <f>(4+4+2.5)/3</f>
      </c>
    </row>
    <row x14ac:dyDescent="0.25" r="662" customHeight="1" ht="18.75">
      <c r="A662" s="4" t="s">
        <v>1963</v>
      </c>
      <c r="B662" s="4" t="s">
        <v>512</v>
      </c>
      <c r="C662" s="4" t="s">
        <v>53</v>
      </c>
      <c r="D662" s="5">
        <v>22</v>
      </c>
      <c r="E662" s="5">
        <v>2</v>
      </c>
      <c r="F662" s="5">
        <v>0</v>
      </c>
      <c r="G662" s="5">
        <v>0</v>
      </c>
      <c r="H662" s="6">
        <v>3.4</v>
      </c>
      <c r="I662" s="6">
        <v>29.2</v>
      </c>
      <c r="J662" s="5">
        <v>400485</v>
      </c>
      <c r="K662" s="4" t="s">
        <v>1964</v>
      </c>
      <c r="L662" s="4" t="s">
        <v>71</v>
      </c>
      <c r="M662" s="4" t="s">
        <v>1965</v>
      </c>
      <c r="N662" s="7">
        <f>(10+10+10)/3</f>
      </c>
      <c r="O662" s="7">
        <f>(4.5+7.5)/2</f>
      </c>
    </row>
    <row x14ac:dyDescent="0.25" r="663" customHeight="1" ht="18.75">
      <c r="A663" s="4" t="s">
        <v>1966</v>
      </c>
      <c r="B663" s="4" t="s">
        <v>512</v>
      </c>
      <c r="C663" s="4" t="s">
        <v>22</v>
      </c>
      <c r="D663" s="5">
        <v>22</v>
      </c>
      <c r="E663" s="5">
        <v>1</v>
      </c>
      <c r="F663" s="5">
        <v>0</v>
      </c>
      <c r="G663" s="5">
        <v>0</v>
      </c>
      <c r="H663" s="6">
        <v>3.1</v>
      </c>
      <c r="I663" s="5">
        <v>29</v>
      </c>
      <c r="J663" s="5">
        <v>130360</v>
      </c>
      <c r="K663" s="4" t="s">
        <v>1967</v>
      </c>
      <c r="L663" s="4" t="s">
        <v>136</v>
      </c>
      <c r="M663" s="4" t="s">
        <v>1968</v>
      </c>
      <c r="N663" s="7">
        <f>(23+20)/2</f>
      </c>
      <c r="O663" s="7">
        <f>(20+25+25)/3</f>
      </c>
    </row>
    <row x14ac:dyDescent="0.25" r="664" customHeight="1" ht="18.75">
      <c r="A664" s="4" t="s">
        <v>1969</v>
      </c>
      <c r="B664" s="4" t="s">
        <v>428</v>
      </c>
      <c r="C664" s="4" t="s">
        <v>32</v>
      </c>
      <c r="D664" s="5">
        <v>21</v>
      </c>
      <c r="E664" s="5">
        <v>1</v>
      </c>
      <c r="F664" s="5">
        <v>0</v>
      </c>
      <c r="G664" s="5">
        <v>0</v>
      </c>
      <c r="H664" s="6">
        <v>3.1</v>
      </c>
      <c r="I664" s="6">
        <v>27.7</v>
      </c>
      <c r="J664" s="5">
        <v>347913</v>
      </c>
      <c r="K664" s="4" t="s">
        <v>1970</v>
      </c>
      <c r="L664" s="4" t="s">
        <v>19</v>
      </c>
      <c r="M664" s="4" t="s">
        <v>1971</v>
      </c>
      <c r="N664" s="7">
        <f>(0.6+0.7)/2</f>
      </c>
      <c r="O664" s="7">
        <f>(0.7+0.7)/2</f>
      </c>
    </row>
    <row x14ac:dyDescent="0.25" r="665" customHeight="1" ht="18.75">
      <c r="A665" s="4" t="s">
        <v>1129</v>
      </c>
      <c r="B665" s="4" t="s">
        <v>471</v>
      </c>
      <c r="C665" s="4" t="s">
        <v>53</v>
      </c>
      <c r="D665" s="5">
        <v>21</v>
      </c>
      <c r="E665" s="5">
        <v>1</v>
      </c>
      <c r="F665" s="5">
        <v>0</v>
      </c>
      <c r="G665" s="5">
        <v>0</v>
      </c>
      <c r="H665" s="6">
        <v>2.9</v>
      </c>
      <c r="I665" s="6">
        <v>21.6</v>
      </c>
      <c r="J665" s="5">
        <v>204103</v>
      </c>
      <c r="K665" s="4" t="s">
        <v>1972</v>
      </c>
      <c r="L665" s="4" t="s">
        <v>55</v>
      </c>
      <c r="M665" s="4" t="s">
        <v>1131</v>
      </c>
      <c r="N665" s="7">
        <f>(15+28)/2</f>
      </c>
      <c r="O665" s="7">
        <f>(18+18)/2</f>
      </c>
    </row>
    <row x14ac:dyDescent="0.25" r="666" customHeight="1" ht="18.75">
      <c r="A666" s="4" t="s">
        <v>1973</v>
      </c>
      <c r="B666" s="4" t="s">
        <v>243</v>
      </c>
      <c r="C666" s="4" t="s">
        <v>22</v>
      </c>
      <c r="D666" s="5">
        <v>20</v>
      </c>
      <c r="E666" s="5">
        <v>3</v>
      </c>
      <c r="F666" s="5">
        <v>0</v>
      </c>
      <c r="G666" s="5">
        <v>0</v>
      </c>
      <c r="H666" s="5">
        <v>4</v>
      </c>
      <c r="I666" s="6">
        <v>26.6</v>
      </c>
      <c r="J666" s="5">
        <v>9630</v>
      </c>
      <c r="K666" s="4" t="s">
        <v>1974</v>
      </c>
      <c r="L666" s="4" t="s">
        <v>19</v>
      </c>
      <c r="M666" s="4" t="s">
        <v>1975</v>
      </c>
      <c r="N666" s="4"/>
      <c r="O666" s="4"/>
    </row>
    <row x14ac:dyDescent="0.25" r="667" customHeight="1" ht="18.75">
      <c r="A667" s="4" t="s">
        <v>1976</v>
      </c>
      <c r="B667" s="4" t="s">
        <v>512</v>
      </c>
      <c r="C667" s="4" t="s">
        <v>32</v>
      </c>
      <c r="D667" s="5">
        <v>20</v>
      </c>
      <c r="E667" s="5">
        <v>1</v>
      </c>
      <c r="F667" s="5">
        <v>0</v>
      </c>
      <c r="G667" s="5">
        <v>0</v>
      </c>
      <c r="H667" s="6">
        <v>2.5</v>
      </c>
      <c r="I667" s="6">
        <v>26.5</v>
      </c>
      <c r="J667" s="5">
        <v>126656</v>
      </c>
      <c r="K667" s="4" t="s">
        <v>1977</v>
      </c>
      <c r="L667" s="4" t="s">
        <v>71</v>
      </c>
      <c r="M667" s="4" t="s">
        <v>1978</v>
      </c>
      <c r="N667" s="7">
        <f>(23+18)/2</f>
      </c>
      <c r="O667" s="7">
        <f>(25+25)/2</f>
      </c>
    </row>
    <row x14ac:dyDescent="0.25" r="668" customHeight="1" ht="18.75">
      <c r="A668" s="4" t="s">
        <v>1979</v>
      </c>
      <c r="B668" s="4" t="s">
        <v>420</v>
      </c>
      <c r="C668" s="4" t="s">
        <v>53</v>
      </c>
      <c r="D668" s="5">
        <v>19</v>
      </c>
      <c r="E668" s="5">
        <v>2</v>
      </c>
      <c r="F668" s="5">
        <v>0</v>
      </c>
      <c r="G668" s="5">
        <v>0</v>
      </c>
      <c r="H668" s="6">
        <v>3.8</v>
      </c>
      <c r="I668" s="6">
        <v>24.7</v>
      </c>
      <c r="J668" s="5">
        <v>381834</v>
      </c>
      <c r="K668" s="4" t="s">
        <v>1980</v>
      </c>
      <c r="L668" s="4" t="s">
        <v>492</v>
      </c>
      <c r="M668" s="4" t="s">
        <v>1981</v>
      </c>
      <c r="N668" s="7">
        <f>(1.8+2.5)/2</f>
      </c>
      <c r="O668" s="7">
        <f>(2+2)/2</f>
      </c>
    </row>
    <row x14ac:dyDescent="0.25" r="669" customHeight="1" ht="18.75">
      <c r="A669" s="4" t="s">
        <v>1982</v>
      </c>
      <c r="B669" s="4" t="s">
        <v>522</v>
      </c>
      <c r="C669" s="4" t="s">
        <v>53</v>
      </c>
      <c r="D669" s="5">
        <v>18</v>
      </c>
      <c r="E669" s="5">
        <v>1</v>
      </c>
      <c r="F669" s="5">
        <v>0</v>
      </c>
      <c r="G669" s="5">
        <v>0</v>
      </c>
      <c r="H669" s="6">
        <v>2.2</v>
      </c>
      <c r="I669" s="6">
        <v>27.9</v>
      </c>
      <c r="J669" s="5">
        <v>452084</v>
      </c>
      <c r="K669" s="4" t="s">
        <v>1983</v>
      </c>
      <c r="L669" s="4" t="s">
        <v>830</v>
      </c>
      <c r="M669" s="4" t="s">
        <v>1984</v>
      </c>
      <c r="N669" s="7">
        <f>(4.5+4.5+6)/3</f>
      </c>
      <c r="O669" s="7">
        <f>0.4</f>
      </c>
    </row>
    <row x14ac:dyDescent="0.25" r="670" customHeight="1" ht="18.75">
      <c r="A670" s="4" t="s">
        <v>1985</v>
      </c>
      <c r="B670" s="4" t="s">
        <v>103</v>
      </c>
      <c r="C670" s="4" t="s">
        <v>32</v>
      </c>
      <c r="D670" s="5">
        <v>17</v>
      </c>
      <c r="E670" s="5">
        <v>1</v>
      </c>
      <c r="F670" s="5">
        <v>0</v>
      </c>
      <c r="G670" s="5">
        <v>0</v>
      </c>
      <c r="H670" s="6">
        <v>2.4</v>
      </c>
      <c r="I670" s="5">
        <v>31</v>
      </c>
      <c r="J670" s="5">
        <v>116747</v>
      </c>
      <c r="K670" s="4"/>
      <c r="L670" s="4" t="s">
        <v>55</v>
      </c>
      <c r="M670" s="4" t="s">
        <v>1986</v>
      </c>
      <c r="N670" s="4"/>
      <c r="O670" s="4"/>
    </row>
    <row x14ac:dyDescent="0.25" r="671" customHeight="1" ht="18.75">
      <c r="A671" s="4" t="s">
        <v>1987</v>
      </c>
      <c r="B671" s="4" t="s">
        <v>27</v>
      </c>
      <c r="C671" s="4" t="s">
        <v>53</v>
      </c>
      <c r="D671" s="5">
        <v>15</v>
      </c>
      <c r="E671" s="5">
        <v>1</v>
      </c>
      <c r="F671" s="5">
        <v>0</v>
      </c>
      <c r="G671" s="5">
        <v>0</v>
      </c>
      <c r="H671" s="6">
        <v>2.6</v>
      </c>
      <c r="I671" s="6">
        <v>25.9</v>
      </c>
      <c r="J671" s="5">
        <v>361068</v>
      </c>
      <c r="K671" s="4" t="s">
        <v>1988</v>
      </c>
      <c r="L671" s="4" t="s">
        <v>34</v>
      </c>
      <c r="M671" s="4" t="s">
        <v>1989</v>
      </c>
      <c r="N671" s="7">
        <f>(0.4+1.5+1.5)/3</f>
      </c>
      <c r="O671" s="7">
        <f>(0.1+0.4)/2</f>
      </c>
    </row>
    <row x14ac:dyDescent="0.25" r="672" customHeight="1" ht="18.75">
      <c r="A672" s="4" t="s">
        <v>1990</v>
      </c>
      <c r="B672" s="4" t="s">
        <v>471</v>
      </c>
      <c r="C672" s="4" t="s">
        <v>32</v>
      </c>
      <c r="D672" s="5">
        <v>14</v>
      </c>
      <c r="E672" s="5">
        <v>1</v>
      </c>
      <c r="F672" s="5">
        <v>0</v>
      </c>
      <c r="G672" s="5">
        <v>0</v>
      </c>
      <c r="H672" s="6">
        <v>1.9</v>
      </c>
      <c r="I672" s="6">
        <v>24.7</v>
      </c>
      <c r="J672" s="5">
        <v>13091</v>
      </c>
      <c r="K672" s="4" t="s">
        <v>1991</v>
      </c>
      <c r="L672" s="4" t="s">
        <v>63</v>
      </c>
      <c r="M672" s="4" t="s">
        <v>1992</v>
      </c>
      <c r="N672" s="7">
        <f>(0.25+0.1)/2</f>
      </c>
      <c r="O672" s="7">
        <f>(5+2.5+1)/3</f>
      </c>
    </row>
    <row x14ac:dyDescent="0.25" r="673" customHeight="1" ht="18.75">
      <c r="A673" s="4" t="s">
        <v>1993</v>
      </c>
      <c r="B673" s="4" t="s">
        <v>436</v>
      </c>
      <c r="C673" s="4" t="s">
        <v>22</v>
      </c>
      <c r="D673" s="5">
        <v>13</v>
      </c>
      <c r="E673" s="5">
        <v>1</v>
      </c>
      <c r="F673" s="5">
        <v>0</v>
      </c>
      <c r="G673" s="5">
        <v>0</v>
      </c>
      <c r="H673" s="6">
        <v>1.8</v>
      </c>
      <c r="I673" s="6">
        <v>24.8</v>
      </c>
      <c r="J673" s="5">
        <v>26399</v>
      </c>
      <c r="K673" s="4" t="s">
        <v>637</v>
      </c>
      <c r="L673" s="4" t="s">
        <v>127</v>
      </c>
      <c r="M673" s="4" t="s">
        <v>638</v>
      </c>
      <c r="N673" s="7">
        <f>(65+65)/2</f>
      </c>
      <c r="O673" s="7">
        <f>(75+80+75)/3</f>
      </c>
    </row>
    <row x14ac:dyDescent="0.25" r="674" customHeight="1" ht="18.75">
      <c r="A674" s="4" t="s">
        <v>1994</v>
      </c>
      <c r="B674" s="4" t="s">
        <v>471</v>
      </c>
      <c r="C674" s="4" t="s">
        <v>32</v>
      </c>
      <c r="D674" s="5">
        <v>12</v>
      </c>
      <c r="E674" s="5">
        <v>1</v>
      </c>
      <c r="F674" s="5">
        <v>0</v>
      </c>
      <c r="G674" s="5">
        <v>0</v>
      </c>
      <c r="H674" s="6">
        <v>2.2</v>
      </c>
      <c r="I674" s="6">
        <v>29.9</v>
      </c>
      <c r="J674" s="5">
        <v>261504</v>
      </c>
      <c r="K674" s="4" t="s">
        <v>1995</v>
      </c>
      <c r="L674" s="4" t="s">
        <v>55</v>
      </c>
      <c r="M674" s="4" t="s">
        <v>1996</v>
      </c>
      <c r="N674" s="7">
        <f>(3+4)/2</f>
      </c>
      <c r="O674" s="7">
        <f>(1+1+2)/3</f>
      </c>
    </row>
    <row x14ac:dyDescent="0.25" r="675" customHeight="1" ht="18.75">
      <c r="A675" s="4" t="s">
        <v>1997</v>
      </c>
      <c r="B675" s="4" t="s">
        <v>471</v>
      </c>
      <c r="C675" s="4" t="s">
        <v>22</v>
      </c>
      <c r="D675" s="5">
        <v>12</v>
      </c>
      <c r="E675" s="5">
        <v>1</v>
      </c>
      <c r="F675" s="5">
        <v>0</v>
      </c>
      <c r="G675" s="5">
        <v>0</v>
      </c>
      <c r="H675" s="6">
        <v>1.4</v>
      </c>
      <c r="I675" s="6">
        <v>26.5</v>
      </c>
      <c r="J675" s="5">
        <v>46104</v>
      </c>
      <c r="K675" s="4" t="s">
        <v>1998</v>
      </c>
      <c r="L675" s="4" t="s">
        <v>1999</v>
      </c>
      <c r="M675" s="4" t="s">
        <v>1729</v>
      </c>
      <c r="N675" s="7">
        <f>(12+10+8)/3</f>
      </c>
      <c r="O675" s="7">
        <f>(10+14+14+14)/4</f>
      </c>
    </row>
    <row x14ac:dyDescent="0.25" r="676" customHeight="1" ht="18.75">
      <c r="A676" s="4" t="s">
        <v>2000</v>
      </c>
      <c r="B676" s="4" t="s">
        <v>424</v>
      </c>
      <c r="C676" s="4" t="s">
        <v>53</v>
      </c>
      <c r="D676" s="5">
        <v>11</v>
      </c>
      <c r="E676" s="5">
        <v>2</v>
      </c>
      <c r="F676" s="5">
        <v>0</v>
      </c>
      <c r="G676" s="5">
        <v>0</v>
      </c>
      <c r="H676" s="6">
        <v>2.9</v>
      </c>
      <c r="I676" s="6">
        <v>26.1</v>
      </c>
      <c r="J676" s="5">
        <v>52787</v>
      </c>
      <c r="K676" s="4" t="s">
        <v>2001</v>
      </c>
      <c r="L676" s="4" t="s">
        <v>19</v>
      </c>
      <c r="M676" s="4" t="s">
        <v>2002</v>
      </c>
      <c r="N676" s="7">
        <f>1.5</f>
      </c>
      <c r="O676" s="7">
        <f>(2+1.5+1)/3</f>
      </c>
    </row>
    <row x14ac:dyDescent="0.25" r="677" customHeight="1" ht="18.75">
      <c r="A677" s="4" t="s">
        <v>1800</v>
      </c>
      <c r="B677" s="4" t="s">
        <v>432</v>
      </c>
      <c r="C677" s="4" t="s">
        <v>22</v>
      </c>
      <c r="D677" s="5">
        <v>11</v>
      </c>
      <c r="E677" s="5">
        <v>1</v>
      </c>
      <c r="F677" s="5">
        <v>0</v>
      </c>
      <c r="G677" s="5">
        <v>0</v>
      </c>
      <c r="H677" s="6">
        <v>1.6</v>
      </c>
      <c r="I677" s="5">
        <v>25</v>
      </c>
      <c r="J677" s="5">
        <v>355915</v>
      </c>
      <c r="K677" s="4" t="s">
        <v>2003</v>
      </c>
      <c r="L677" s="4" t="s">
        <v>127</v>
      </c>
      <c r="M677" s="4" t="s">
        <v>1802</v>
      </c>
      <c r="N677" s="7">
        <f>(15+15+15)/3</f>
      </c>
      <c r="O677" s="7">
        <f>(0.75+4)/2</f>
      </c>
    </row>
    <row x14ac:dyDescent="0.25" r="678" customHeight="1" ht="18.75">
      <c r="A678" s="4" t="s">
        <v>2004</v>
      </c>
      <c r="B678" s="4" t="s">
        <v>186</v>
      </c>
      <c r="C678" s="4" t="s">
        <v>22</v>
      </c>
      <c r="D678" s="5">
        <v>10</v>
      </c>
      <c r="E678" s="5">
        <v>1</v>
      </c>
      <c r="F678" s="5">
        <v>0</v>
      </c>
      <c r="G678" s="5">
        <v>0</v>
      </c>
      <c r="H678" s="6">
        <v>2.1</v>
      </c>
      <c r="I678" s="6">
        <v>26.1</v>
      </c>
      <c r="J678" s="5">
        <v>344830</v>
      </c>
      <c r="K678" s="4" t="s">
        <v>2005</v>
      </c>
      <c r="L678" s="4" t="s">
        <v>34</v>
      </c>
      <c r="M678" s="4" t="s">
        <v>2006</v>
      </c>
      <c r="N678" s="7">
        <f>7</f>
      </c>
      <c r="O678" s="4"/>
    </row>
    <row x14ac:dyDescent="0.25" r="679" customHeight="1" ht="18.75">
      <c r="A679" s="4" t="s">
        <v>2007</v>
      </c>
      <c r="B679" s="4" t="s">
        <v>27</v>
      </c>
      <c r="C679" s="4" t="s">
        <v>32</v>
      </c>
      <c r="D679" s="5">
        <v>9</v>
      </c>
      <c r="E679" s="5">
        <v>2</v>
      </c>
      <c r="F679" s="5">
        <v>0</v>
      </c>
      <c r="G679" s="5">
        <v>0</v>
      </c>
      <c r="H679" s="6">
        <v>1.9</v>
      </c>
      <c r="I679" s="6">
        <v>30.4</v>
      </c>
      <c r="J679" s="5">
        <v>66736</v>
      </c>
      <c r="K679" s="4" t="s">
        <v>2008</v>
      </c>
      <c r="L679" s="4" t="s">
        <v>127</v>
      </c>
      <c r="M679" s="4" t="s">
        <v>2009</v>
      </c>
      <c r="N679" s="7">
        <f>(6+6)/2</f>
      </c>
      <c r="O679" s="7">
        <f>(4.5+6)/2</f>
      </c>
    </row>
    <row x14ac:dyDescent="0.25" r="680" customHeight="1" ht="18.75">
      <c r="A680" s="4" t="s">
        <v>2010</v>
      </c>
      <c r="B680" s="4" t="s">
        <v>243</v>
      </c>
      <c r="C680" s="4" t="s">
        <v>53</v>
      </c>
      <c r="D680" s="5">
        <v>9</v>
      </c>
      <c r="E680" s="5">
        <v>1</v>
      </c>
      <c r="F680" s="5">
        <v>0</v>
      </c>
      <c r="G680" s="5">
        <v>0</v>
      </c>
      <c r="H680" s="6">
        <v>1.7</v>
      </c>
      <c r="I680" s="5">
        <v>29</v>
      </c>
      <c r="J680" s="5">
        <v>297583</v>
      </c>
      <c r="K680" s="4" t="s">
        <v>2011</v>
      </c>
      <c r="L680" s="4" t="s">
        <v>120</v>
      </c>
      <c r="M680" s="4" t="s">
        <v>2012</v>
      </c>
      <c r="N680" s="7">
        <f>(2+2+2)/3</f>
      </c>
      <c r="O680" s="7">
        <f>(0.125+0.7)/2</f>
      </c>
    </row>
    <row x14ac:dyDescent="0.25" r="681" customHeight="1" ht="18.75">
      <c r="A681" s="4" t="s">
        <v>2013</v>
      </c>
      <c r="B681" s="4" t="s">
        <v>464</v>
      </c>
      <c r="C681" s="4" t="s">
        <v>32</v>
      </c>
      <c r="D681" s="5">
        <v>9</v>
      </c>
      <c r="E681" s="5">
        <v>1</v>
      </c>
      <c r="F681" s="5">
        <v>0</v>
      </c>
      <c r="G681" s="5">
        <v>0</v>
      </c>
      <c r="H681" s="6">
        <v>1.6</v>
      </c>
      <c r="I681" s="6">
        <v>26.6</v>
      </c>
      <c r="J681" s="5">
        <v>289590</v>
      </c>
      <c r="K681" s="4" t="s">
        <v>2014</v>
      </c>
      <c r="L681" s="4" t="s">
        <v>492</v>
      </c>
      <c r="M681" s="4" t="s">
        <v>2015</v>
      </c>
      <c r="N681" s="7">
        <f>(1.5+1.5)/2</f>
      </c>
      <c r="O681" s="7">
        <f>(1.2+1.2)/2</f>
      </c>
    </row>
    <row x14ac:dyDescent="0.25" r="682" customHeight="1" ht="18.75">
      <c r="A682" s="4" t="s">
        <v>2016</v>
      </c>
      <c r="B682" s="4" t="s">
        <v>266</v>
      </c>
      <c r="C682" s="4" t="s">
        <v>32</v>
      </c>
      <c r="D682" s="5">
        <v>9</v>
      </c>
      <c r="E682" s="5">
        <v>1</v>
      </c>
      <c r="F682" s="5">
        <v>0</v>
      </c>
      <c r="G682" s="5">
        <v>0</v>
      </c>
      <c r="H682" s="6">
        <v>1.5</v>
      </c>
      <c r="I682" s="6">
        <v>26.6</v>
      </c>
      <c r="J682" s="5">
        <v>460629</v>
      </c>
      <c r="K682" s="4" t="s">
        <v>2017</v>
      </c>
      <c r="L682" s="4" t="s">
        <v>71</v>
      </c>
      <c r="M682" s="4" t="s">
        <v>2018</v>
      </c>
      <c r="N682" s="7">
        <f>(5+12+18+18)/4</f>
      </c>
      <c r="O682" s="7">
        <f>(2+2)/2</f>
      </c>
    </row>
    <row x14ac:dyDescent="0.25" r="683" customHeight="1" ht="18.75">
      <c r="A683" s="4" t="s">
        <v>2019</v>
      </c>
      <c r="B683" s="4" t="s">
        <v>27</v>
      </c>
      <c r="C683" s="4" t="s">
        <v>32</v>
      </c>
      <c r="D683" s="5">
        <v>9</v>
      </c>
      <c r="E683" s="5">
        <v>1</v>
      </c>
      <c r="F683" s="5">
        <v>0</v>
      </c>
      <c r="G683" s="5">
        <v>0</v>
      </c>
      <c r="H683" s="6">
        <v>1.4</v>
      </c>
      <c r="I683" s="6">
        <v>20.4</v>
      </c>
      <c r="J683" s="5">
        <v>369684</v>
      </c>
      <c r="K683" s="4" t="s">
        <v>2020</v>
      </c>
      <c r="L683" s="4" t="s">
        <v>67</v>
      </c>
      <c r="M683" s="4" t="s">
        <v>2021</v>
      </c>
      <c r="N683" s="7">
        <f>(2.5+3+4)/3</f>
      </c>
      <c r="O683" s="7">
        <f>(3+3+2+2.5)/4</f>
      </c>
    </row>
    <row x14ac:dyDescent="0.25" r="684" customHeight="1" ht="18.75">
      <c r="A684" s="4" t="s">
        <v>2022</v>
      </c>
      <c r="B684" s="4" t="s">
        <v>512</v>
      </c>
      <c r="C684" s="4" t="s">
        <v>53</v>
      </c>
      <c r="D684" s="5">
        <v>8</v>
      </c>
      <c r="E684" s="5">
        <v>2</v>
      </c>
      <c r="F684" s="5">
        <v>0</v>
      </c>
      <c r="G684" s="5">
        <v>0</v>
      </c>
      <c r="H684" s="6">
        <v>2.2</v>
      </c>
      <c r="I684" s="6">
        <v>30.4</v>
      </c>
      <c r="J684" s="5">
        <v>503743</v>
      </c>
      <c r="K684" s="4" t="s">
        <v>2023</v>
      </c>
      <c r="L684" s="4" t="s">
        <v>63</v>
      </c>
      <c r="M684" s="4" t="s">
        <v>2024</v>
      </c>
      <c r="N684" s="7">
        <f>1.5</f>
      </c>
      <c r="O684" s="4"/>
    </row>
    <row x14ac:dyDescent="0.25" r="685" customHeight="1" ht="18.75">
      <c r="A685" s="4" t="s">
        <v>2025</v>
      </c>
      <c r="B685" s="4" t="s">
        <v>230</v>
      </c>
      <c r="C685" s="4" t="s">
        <v>53</v>
      </c>
      <c r="D685" s="5">
        <v>8</v>
      </c>
      <c r="E685" s="5">
        <v>1</v>
      </c>
      <c r="F685" s="5">
        <v>0</v>
      </c>
      <c r="G685" s="5">
        <v>0</v>
      </c>
      <c r="H685" s="6">
        <v>1.4</v>
      </c>
      <c r="I685" s="6">
        <v>23.6</v>
      </c>
      <c r="J685" s="5">
        <v>215895</v>
      </c>
      <c r="K685" s="4"/>
      <c r="L685" s="4" t="s">
        <v>136</v>
      </c>
      <c r="M685" s="4" t="s">
        <v>2026</v>
      </c>
      <c r="N685" s="4"/>
      <c r="O685" s="4"/>
    </row>
    <row x14ac:dyDescent="0.25" r="686" customHeight="1" ht="18.75">
      <c r="A686" s="4" t="s">
        <v>2027</v>
      </c>
      <c r="B686" s="4" t="s">
        <v>103</v>
      </c>
      <c r="C686" s="4" t="s">
        <v>32</v>
      </c>
      <c r="D686" s="5">
        <v>8</v>
      </c>
      <c r="E686" s="5">
        <v>1</v>
      </c>
      <c r="F686" s="5">
        <v>0</v>
      </c>
      <c r="G686" s="5">
        <v>0</v>
      </c>
      <c r="H686" s="6">
        <v>1.3</v>
      </c>
      <c r="I686" s="6">
        <v>26.3</v>
      </c>
      <c r="J686" s="5">
        <v>358143</v>
      </c>
      <c r="K686" s="4" t="s">
        <v>2028</v>
      </c>
      <c r="L686" s="4" t="s">
        <v>718</v>
      </c>
      <c r="M686" s="4" t="s">
        <v>2029</v>
      </c>
      <c r="N686" s="7">
        <f>(5+3+3.5+2.5)/4</f>
      </c>
      <c r="O686" s="7">
        <f>(4+6+6)/3</f>
      </c>
    </row>
    <row x14ac:dyDescent="0.25" r="687" customHeight="1" ht="18.75">
      <c r="A687" s="4" t="s">
        <v>2030</v>
      </c>
      <c r="B687" s="4" t="s">
        <v>16</v>
      </c>
      <c r="C687" s="4" t="s">
        <v>32</v>
      </c>
      <c r="D687" s="5">
        <v>8</v>
      </c>
      <c r="E687" s="5">
        <v>1</v>
      </c>
      <c r="F687" s="5">
        <v>0</v>
      </c>
      <c r="G687" s="5">
        <v>0</v>
      </c>
      <c r="H687" s="6">
        <v>1.3</v>
      </c>
      <c r="I687" s="6">
        <v>23.8</v>
      </c>
      <c r="J687" s="5">
        <v>282411</v>
      </c>
      <c r="K687" s="4" t="s">
        <v>1380</v>
      </c>
      <c r="L687" s="4" t="s">
        <v>55</v>
      </c>
      <c r="M687" s="4" t="s">
        <v>1381</v>
      </c>
      <c r="N687" s="7">
        <f>(20+30+20)/3</f>
      </c>
      <c r="O687" s="7">
        <f>(15+12+12+15)/4</f>
      </c>
    </row>
    <row x14ac:dyDescent="0.25" r="688" customHeight="1" ht="18.75">
      <c r="A688" s="4" t="s">
        <v>2031</v>
      </c>
      <c r="B688" s="4" t="s">
        <v>428</v>
      </c>
      <c r="C688" s="4" t="s">
        <v>53</v>
      </c>
      <c r="D688" s="5">
        <v>7</v>
      </c>
      <c r="E688" s="5">
        <v>2</v>
      </c>
      <c r="F688" s="5">
        <v>0</v>
      </c>
      <c r="G688" s="5">
        <v>0</v>
      </c>
      <c r="H688" s="5">
        <v>1</v>
      </c>
      <c r="I688" s="6">
        <v>28.8</v>
      </c>
      <c r="J688" s="5">
        <v>490426</v>
      </c>
      <c r="K688" s="4" t="s">
        <v>2032</v>
      </c>
      <c r="L688" s="4" t="s">
        <v>24</v>
      </c>
      <c r="M688" s="4" t="s">
        <v>2033</v>
      </c>
      <c r="N688" s="7">
        <f>(4.5+7+14+17)/4</f>
      </c>
      <c r="O688" s="7">
        <f>(1.5+3+3)/3</f>
      </c>
    </row>
    <row x14ac:dyDescent="0.25" r="689" customHeight="1" ht="18.75">
      <c r="A689" s="4" t="s">
        <v>2034</v>
      </c>
      <c r="B689" s="4" t="s">
        <v>432</v>
      </c>
      <c r="C689" s="4" t="s">
        <v>22</v>
      </c>
      <c r="D689" s="5">
        <v>7</v>
      </c>
      <c r="E689" s="5">
        <v>1</v>
      </c>
      <c r="F689" s="5">
        <v>0</v>
      </c>
      <c r="G689" s="5">
        <v>0</v>
      </c>
      <c r="H689" s="6">
        <v>1.7</v>
      </c>
      <c r="I689" s="5">
        <v>25</v>
      </c>
      <c r="J689" s="5">
        <v>434675</v>
      </c>
      <c r="K689" s="4" t="s">
        <v>2035</v>
      </c>
      <c r="L689" s="4" t="s">
        <v>34</v>
      </c>
      <c r="M689" s="4" t="s">
        <v>2036</v>
      </c>
      <c r="N689" s="7">
        <f>(0.6+2.5+4+6+6)/5</f>
      </c>
      <c r="O689" s="7">
        <f>(0.15+0.25+0.4+0.5)/4</f>
      </c>
    </row>
    <row x14ac:dyDescent="0.25" r="690" customHeight="1" ht="18.75">
      <c r="A690" s="4" t="s">
        <v>2037</v>
      </c>
      <c r="B690" s="4" t="s">
        <v>103</v>
      </c>
      <c r="C690" s="4" t="s">
        <v>32</v>
      </c>
      <c r="D690" s="5">
        <v>7</v>
      </c>
      <c r="E690" s="5">
        <v>1</v>
      </c>
      <c r="F690" s="5">
        <v>0</v>
      </c>
      <c r="G690" s="5">
        <v>0</v>
      </c>
      <c r="H690" s="6">
        <v>1.4</v>
      </c>
      <c r="I690" s="6">
        <v>30.2</v>
      </c>
      <c r="J690" s="5">
        <v>216443</v>
      </c>
      <c r="K690" s="4" t="s">
        <v>2038</v>
      </c>
      <c r="L690" s="4" t="s">
        <v>34</v>
      </c>
      <c r="M690" s="4" t="s">
        <v>2039</v>
      </c>
      <c r="N690" s="7">
        <f>(2.5+2.5+1.75)/3</f>
      </c>
      <c r="O690" s="7">
        <f>(4+3)/2</f>
      </c>
    </row>
    <row x14ac:dyDescent="0.25" r="691" customHeight="1" ht="18.75">
      <c r="A691" s="4" t="s">
        <v>2040</v>
      </c>
      <c r="B691" s="4" t="s">
        <v>266</v>
      </c>
      <c r="C691" s="4" t="s">
        <v>22</v>
      </c>
      <c r="D691" s="5">
        <v>7</v>
      </c>
      <c r="E691" s="5">
        <v>1</v>
      </c>
      <c r="F691" s="5">
        <v>0</v>
      </c>
      <c r="G691" s="5">
        <v>0</v>
      </c>
      <c r="H691" s="6">
        <v>1.4</v>
      </c>
      <c r="I691" s="6">
        <v>25.2</v>
      </c>
      <c r="J691" s="5">
        <v>395516</v>
      </c>
      <c r="K691" s="4" t="s">
        <v>2041</v>
      </c>
      <c r="L691" s="4" t="s">
        <v>71</v>
      </c>
      <c r="M691" s="4" t="s">
        <v>1464</v>
      </c>
      <c r="N691" s="7">
        <f>(12+12+15+20)/4</f>
      </c>
      <c r="O691" s="7">
        <f>(0.5+0.5+1.5+6+7)/5</f>
      </c>
    </row>
    <row x14ac:dyDescent="0.25" r="692" customHeight="1" ht="18.75">
      <c r="A692" s="4" t="s">
        <v>2042</v>
      </c>
      <c r="B692" s="4" t="s">
        <v>420</v>
      </c>
      <c r="C692" s="4" t="s">
        <v>22</v>
      </c>
      <c r="D692" s="5">
        <v>6</v>
      </c>
      <c r="E692" s="5">
        <v>1</v>
      </c>
      <c r="F692" s="5">
        <v>0</v>
      </c>
      <c r="G692" s="5">
        <v>0</v>
      </c>
      <c r="H692" s="6">
        <v>1.2</v>
      </c>
      <c r="I692" s="6">
        <v>25.7</v>
      </c>
      <c r="J692" s="5">
        <v>357565</v>
      </c>
      <c r="K692" s="4" t="s">
        <v>2043</v>
      </c>
      <c r="L692" s="4" t="s">
        <v>55</v>
      </c>
      <c r="M692" s="4" t="s">
        <v>363</v>
      </c>
      <c r="N692" s="7">
        <f>(60+80+80)/3</f>
      </c>
      <c r="O692" s="7">
        <f>(20+25+40+50)/4</f>
      </c>
    </row>
    <row x14ac:dyDescent="0.25" r="693" customHeight="1" ht="18.75">
      <c r="A693" s="4" t="s">
        <v>2044</v>
      </c>
      <c r="B693" s="4" t="s">
        <v>448</v>
      </c>
      <c r="C693" s="4" t="s">
        <v>53</v>
      </c>
      <c r="D693" s="5">
        <v>5</v>
      </c>
      <c r="E693" s="5">
        <v>1</v>
      </c>
      <c r="F693" s="5">
        <v>0</v>
      </c>
      <c r="G693" s="5">
        <v>0</v>
      </c>
      <c r="H693" s="6">
        <v>1.6</v>
      </c>
      <c r="I693" s="6">
        <v>22.9</v>
      </c>
      <c r="J693" s="5">
        <v>185077</v>
      </c>
      <c r="K693" s="4" t="s">
        <v>2045</v>
      </c>
      <c r="L693" s="4" t="s">
        <v>136</v>
      </c>
      <c r="M693" s="4" t="s">
        <v>2046</v>
      </c>
      <c r="N693" s="7">
        <f>(9+7)/2</f>
      </c>
      <c r="O693" s="7">
        <f>(7.5+5.5+6)/3</f>
      </c>
    </row>
    <row x14ac:dyDescent="0.25" r="694" customHeight="1" ht="18.75">
      <c r="A694" s="4" t="s">
        <v>2047</v>
      </c>
      <c r="B694" s="4" t="s">
        <v>448</v>
      </c>
      <c r="C694" s="4" t="s">
        <v>22</v>
      </c>
      <c r="D694" s="5">
        <v>5</v>
      </c>
      <c r="E694" s="5">
        <v>1</v>
      </c>
      <c r="F694" s="5">
        <v>0</v>
      </c>
      <c r="G694" s="5">
        <v>0</v>
      </c>
      <c r="H694" s="6">
        <v>0.8</v>
      </c>
      <c r="I694" s="6">
        <v>25.9</v>
      </c>
      <c r="J694" s="5">
        <v>398073</v>
      </c>
      <c r="K694" s="4" t="s">
        <v>986</v>
      </c>
      <c r="L694" s="4" t="s">
        <v>55</v>
      </c>
      <c r="M694" s="4" t="s">
        <v>987</v>
      </c>
      <c r="N694" s="7">
        <f>(30+30+45)/3</f>
      </c>
      <c r="O694" s="7">
        <f>(5+5+7.5+11+25)/5</f>
      </c>
    </row>
    <row x14ac:dyDescent="0.25" r="695" customHeight="1" ht="18.75">
      <c r="A695" s="4" t="s">
        <v>2048</v>
      </c>
      <c r="B695" s="4" t="s">
        <v>27</v>
      </c>
      <c r="C695" s="4" t="s">
        <v>53</v>
      </c>
      <c r="D695" s="5">
        <v>4</v>
      </c>
      <c r="E695" s="5">
        <v>1</v>
      </c>
      <c r="F695" s="5">
        <v>0</v>
      </c>
      <c r="G695" s="5">
        <v>0</v>
      </c>
      <c r="H695" s="6">
        <v>1.1</v>
      </c>
      <c r="I695" s="6">
        <v>22.9</v>
      </c>
      <c r="J695" s="5">
        <v>123349</v>
      </c>
      <c r="K695" s="4" t="s">
        <v>2049</v>
      </c>
      <c r="L695" s="4" t="s">
        <v>94</v>
      </c>
      <c r="M695" s="4" t="s">
        <v>2050</v>
      </c>
      <c r="N695" s="7">
        <f>(4+4)/2</f>
      </c>
      <c r="O695" s="7">
        <f>(5+6+6)/3</f>
      </c>
    </row>
    <row x14ac:dyDescent="0.25" r="696" customHeight="1" ht="18.75">
      <c r="A696" s="4" t="s">
        <v>2051</v>
      </c>
      <c r="B696" s="4" t="s">
        <v>553</v>
      </c>
      <c r="C696" s="4" t="s">
        <v>22</v>
      </c>
      <c r="D696" s="5">
        <v>4</v>
      </c>
      <c r="E696" s="5">
        <v>1</v>
      </c>
      <c r="F696" s="5">
        <v>0</v>
      </c>
      <c r="G696" s="5">
        <v>0</v>
      </c>
      <c r="H696" s="5">
        <v>1</v>
      </c>
      <c r="I696" s="6">
        <v>20.7</v>
      </c>
      <c r="J696" s="5">
        <v>396908</v>
      </c>
      <c r="K696" s="4" t="s">
        <v>2052</v>
      </c>
      <c r="L696" s="4" t="s">
        <v>830</v>
      </c>
      <c r="M696" s="4" t="s">
        <v>2053</v>
      </c>
      <c r="N696" s="7">
        <f>(0.4+2+2)/3</f>
      </c>
      <c r="O696" s="7">
        <f>0.15</f>
      </c>
    </row>
    <row x14ac:dyDescent="0.25" r="697" customHeight="1" ht="18.75">
      <c r="A697" s="4" t="s">
        <v>2054</v>
      </c>
      <c r="B697" s="4" t="s">
        <v>186</v>
      </c>
      <c r="C697" s="4" t="s">
        <v>22</v>
      </c>
      <c r="D697" s="5">
        <v>3</v>
      </c>
      <c r="E697" s="5">
        <v>1</v>
      </c>
      <c r="F697" s="5">
        <v>0</v>
      </c>
      <c r="G697" s="5">
        <v>0</v>
      </c>
      <c r="H697" s="6">
        <v>1.2</v>
      </c>
      <c r="I697" s="6">
        <v>23.8</v>
      </c>
      <c r="J697" s="5">
        <v>532826</v>
      </c>
      <c r="K697" s="4" t="s">
        <v>2055</v>
      </c>
      <c r="L697" s="4" t="s">
        <v>63</v>
      </c>
      <c r="M697" s="4" t="s">
        <v>2056</v>
      </c>
      <c r="N697" s="7">
        <f>(7+10+20)/3</f>
      </c>
      <c r="O697" s="4"/>
    </row>
    <row x14ac:dyDescent="0.25" r="698" customHeight="1" ht="18.75">
      <c r="A698" s="4" t="s">
        <v>2057</v>
      </c>
      <c r="B698" s="4" t="s">
        <v>420</v>
      </c>
      <c r="C698" s="4" t="s">
        <v>22</v>
      </c>
      <c r="D698" s="5">
        <v>2</v>
      </c>
      <c r="E698" s="5">
        <v>2</v>
      </c>
      <c r="F698" s="5">
        <v>0</v>
      </c>
      <c r="G698" s="5">
        <v>0</v>
      </c>
      <c r="H698" s="6">
        <v>0.6</v>
      </c>
      <c r="I698" s="6">
        <v>23.6</v>
      </c>
      <c r="J698" s="5">
        <v>353567</v>
      </c>
      <c r="K698" s="4" t="s">
        <v>2058</v>
      </c>
      <c r="L698" s="4" t="s">
        <v>820</v>
      </c>
      <c r="M698" s="4" t="s">
        <v>2059</v>
      </c>
      <c r="N698" s="7">
        <f>(1.2+0.9)/2</f>
      </c>
      <c r="O698" s="7">
        <f>(0.45+1+1)/3</f>
      </c>
    </row>
    <row x14ac:dyDescent="0.25" r="699" customHeight="1" ht="18.75">
      <c r="A699" s="4" t="s">
        <v>2060</v>
      </c>
      <c r="B699" s="4" t="s">
        <v>464</v>
      </c>
      <c r="C699" s="4" t="s">
        <v>32</v>
      </c>
      <c r="D699" s="5">
        <v>1</v>
      </c>
      <c r="E699" s="5">
        <v>1</v>
      </c>
      <c r="F699" s="5">
        <v>0</v>
      </c>
      <c r="G699" s="5">
        <v>0</v>
      </c>
      <c r="H699" s="6">
        <v>0.5</v>
      </c>
      <c r="I699" s="6">
        <v>18.3</v>
      </c>
      <c r="J699" s="5">
        <v>54310</v>
      </c>
      <c r="K699" s="4" t="s">
        <v>2061</v>
      </c>
      <c r="L699" s="4" t="s">
        <v>2062</v>
      </c>
      <c r="M699" s="4" t="s">
        <v>2063</v>
      </c>
      <c r="N699" s="7">
        <f>(0.05+0.05)/2</f>
      </c>
      <c r="O699" s="7">
        <f>(0.1+0.1)/2</f>
      </c>
    </row>
    <row x14ac:dyDescent="0.25" r="700" customHeight="1" ht="18.75">
      <c r="A700" s="4" t="s">
        <v>2064</v>
      </c>
      <c r="B700" s="4" t="s">
        <v>316</v>
      </c>
      <c r="C700" s="4" t="s">
        <v>32</v>
      </c>
      <c r="D700" s="5">
        <v>1</v>
      </c>
      <c r="E700" s="5">
        <v>1</v>
      </c>
      <c r="F700" s="5">
        <v>0</v>
      </c>
      <c r="G700" s="5">
        <v>0</v>
      </c>
      <c r="H700" s="6">
        <v>0.5</v>
      </c>
      <c r="I700" s="6">
        <v>26.3</v>
      </c>
      <c r="J700" s="5">
        <v>366930</v>
      </c>
      <c r="K700" s="4" t="s">
        <v>2065</v>
      </c>
      <c r="L700" s="4" t="s">
        <v>55</v>
      </c>
      <c r="M700" s="4" t="s">
        <v>2066</v>
      </c>
      <c r="N700" s="7">
        <f>(3+2.5)/2</f>
      </c>
      <c r="O700" s="7">
        <f>(2+2+3)/3</f>
      </c>
    </row>
    <row x14ac:dyDescent="0.25" r="701" customHeight="1" ht="18.75">
      <c r="A701" s="4" t="s">
        <v>2067</v>
      </c>
      <c r="B701" s="4" t="s">
        <v>478</v>
      </c>
      <c r="C701" s="4" t="s">
        <v>32</v>
      </c>
      <c r="D701" s="5">
        <v>1</v>
      </c>
      <c r="E701" s="5">
        <v>1</v>
      </c>
      <c r="F701" s="5">
        <v>0</v>
      </c>
      <c r="G701" s="5">
        <v>0</v>
      </c>
      <c r="H701" s="6">
        <v>0.3</v>
      </c>
      <c r="I701" s="6">
        <v>16.1</v>
      </c>
      <c r="J701" s="5">
        <v>203125</v>
      </c>
      <c r="K701" s="4" t="s">
        <v>2068</v>
      </c>
      <c r="L701" s="4" t="s">
        <v>59</v>
      </c>
      <c r="M701" s="4" t="s">
        <v>2069</v>
      </c>
      <c r="N701" s="7">
        <f>(1+1+1)/3</f>
      </c>
      <c r="O701" s="7">
        <f>(0.75+0.75+1)/3</f>
      </c>
    </row>
    <row x14ac:dyDescent="0.25" r="702" customHeight="1" ht="18.75">
      <c r="A702" s="4" t="s">
        <v>2070</v>
      </c>
      <c r="B702" s="4" t="s">
        <v>428</v>
      </c>
      <c r="C702" s="4" t="s">
        <v>32</v>
      </c>
      <c r="D702" s="5">
        <v>1</v>
      </c>
      <c r="E702" s="5">
        <v>1</v>
      </c>
      <c r="F702" s="5">
        <v>0</v>
      </c>
      <c r="G702" s="5">
        <v>0</v>
      </c>
      <c r="H702" s="6">
        <v>0.3</v>
      </c>
      <c r="I702" s="6">
        <v>15.7</v>
      </c>
      <c r="J702" s="5">
        <v>154578</v>
      </c>
      <c r="K702" s="4" t="s">
        <v>2071</v>
      </c>
      <c r="L702" s="4" t="s">
        <v>59</v>
      </c>
      <c r="M702" s="4" t="s">
        <v>2072</v>
      </c>
      <c r="N702" s="7">
        <f>(1.5+1.3+1)/3</f>
      </c>
      <c r="O702" s="7">
        <f>(1.8+1.8+1.8)/3</f>
      </c>
    </row>
    <row x14ac:dyDescent="0.25" r="703" customHeight="1" ht="18.75">
      <c r="A703" s="4" t="s">
        <v>2073</v>
      </c>
      <c r="B703" s="4" t="s">
        <v>420</v>
      </c>
      <c r="C703" s="4" t="s">
        <v>17</v>
      </c>
      <c r="D703" s="5">
        <v>1</v>
      </c>
      <c r="E703" s="5">
        <v>1</v>
      </c>
      <c r="F703" s="5">
        <v>0</v>
      </c>
      <c r="G703" s="5">
        <v>0</v>
      </c>
      <c r="H703" s="5">
        <v>0</v>
      </c>
      <c r="I703" s="6">
        <v>3.7</v>
      </c>
      <c r="J703" s="5">
        <v>362340</v>
      </c>
      <c r="K703" s="4" t="s">
        <v>2074</v>
      </c>
      <c r="L703" s="4" t="s">
        <v>492</v>
      </c>
      <c r="M703" s="4" t="s">
        <v>2075</v>
      </c>
      <c r="N703" s="7">
        <f>(0.2+0.2)/2</f>
      </c>
      <c r="O703" s="7">
        <f>(0.175+0.2+0.2)/3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2026-05-06T00:08:50.420Z</dcterms:created>
  <dcterms:modified xsi:type="dcterms:W3CDTF">2026-05-06T00:08:50.420Z</dcterms:modified>
</cp:coreProperties>
</file>