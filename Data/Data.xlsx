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guoyy\OneDrive\Desktop\src\Xiongdi\Web_Scraping\"/>
    </mc:Choice>
  </mc:AlternateContent>
  <xr:revisionPtr revIDLastSave="0" documentId="13_ncr:1_{E1B86BCD-E432-4F9F-A37B-04D3EE5524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1" i="1" l="1"/>
  <c r="M411" i="1"/>
  <c r="N410" i="1"/>
  <c r="M410" i="1"/>
  <c r="N409" i="1"/>
  <c r="M409" i="1"/>
  <c r="N408" i="1"/>
  <c r="M408" i="1"/>
  <c r="N407" i="1"/>
  <c r="N406" i="1"/>
  <c r="M406" i="1"/>
  <c r="N313" i="1"/>
  <c r="M313" i="1"/>
  <c r="N312" i="1"/>
  <c r="M312" i="1"/>
  <c r="N405" i="1"/>
  <c r="M405" i="1"/>
  <c r="N404" i="1"/>
  <c r="M404" i="1"/>
  <c r="N403" i="1"/>
  <c r="M403" i="1"/>
  <c r="N402" i="1"/>
  <c r="M402" i="1"/>
  <c r="N401" i="1"/>
  <c r="M401" i="1"/>
  <c r="M400" i="1"/>
  <c r="N400" i="1"/>
  <c r="N399" i="1"/>
  <c r="M399" i="1"/>
  <c r="N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M380" i="1"/>
  <c r="N380" i="1"/>
  <c r="N379" i="1"/>
  <c r="M379" i="1"/>
  <c r="N378" i="1"/>
  <c r="M378" i="1"/>
  <c r="N377" i="1"/>
  <c r="M377" i="1"/>
  <c r="N376" i="1"/>
  <c r="M376" i="1"/>
  <c r="N375" i="1"/>
  <c r="M375" i="1"/>
  <c r="M374" i="1"/>
  <c r="N374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O2" i="1" a="1"/>
  <c r="O2" i="1" s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7" i="1"/>
  <c r="M317" i="1"/>
  <c r="M318" i="1"/>
  <c r="N318" i="1"/>
  <c r="N316" i="1"/>
  <c r="M316" i="1"/>
  <c r="N315" i="1"/>
  <c r="M315" i="1"/>
  <c r="N314" i="1"/>
  <c r="M314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28" i="1"/>
  <c r="M28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N2" i="1"/>
  <c r="M2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M100" i="1"/>
  <c r="N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<sst xmlns="http://schemas.openxmlformats.org/spreadsheetml/2006/main" count="3522" uniqueCount="965">
  <si>
    <t>Season</t>
  </si>
  <si>
    <t>Player</t>
  </si>
  <si>
    <t>Player Country</t>
  </si>
  <si>
    <t>Position</t>
  </si>
  <si>
    <t>Age</t>
  </si>
  <si>
    <t>Team</t>
  </si>
  <si>
    <t>Team Country</t>
  </si>
  <si>
    <t>Minutes</t>
  </si>
  <si>
    <t>Matches</t>
  </si>
  <si>
    <t>Goals</t>
  </si>
  <si>
    <t>Assists</t>
  </si>
  <si>
    <t>Distance</t>
  </si>
  <si>
    <t>21/22</t>
  </si>
  <si>
    <t>Courtois</t>
  </si>
  <si>
    <t>Goalkeeper</t>
  </si>
  <si>
    <t>Real Madrid</t>
  </si>
  <si>
    <t>Liverpool</t>
  </si>
  <si>
    <t>Alisson Becker</t>
  </si>
  <si>
    <t>Benzema</t>
  </si>
  <si>
    <t>Villarreal</t>
  </si>
  <si>
    <t>Pau Torres</t>
  </si>
  <si>
    <t>Belgium</t>
  </si>
  <si>
    <t>Vinicius Junior</t>
  </si>
  <si>
    <t>Forward</t>
  </si>
  <si>
    <t>Defender</t>
  </si>
  <si>
    <t>Spain</t>
  </si>
  <si>
    <t>MV21</t>
  </si>
  <si>
    <t>MV22</t>
  </si>
  <si>
    <t>Brazil</t>
  </si>
  <si>
    <t>England</t>
  </si>
  <si>
    <t>France</t>
  </si>
  <si>
    <t>Rulli</t>
  </si>
  <si>
    <t>Parejo</t>
  </si>
  <si>
    <t>Capoue</t>
  </si>
  <si>
    <t>Modric</t>
  </si>
  <si>
    <t>Midfielder</t>
  </si>
  <si>
    <t>Eder Militao</t>
  </si>
  <si>
    <t>Argentina</t>
  </si>
  <si>
    <t>Croatia</t>
  </si>
  <si>
    <t>Albiol</t>
  </si>
  <si>
    <t>Alaba</t>
  </si>
  <si>
    <t>Salah</t>
  </si>
  <si>
    <t>Ederson</t>
  </si>
  <si>
    <t>Mahrez</t>
  </si>
  <si>
    <t>Manchester City</t>
  </si>
  <si>
    <t>Austria</t>
  </si>
  <si>
    <t>Egypt</t>
  </si>
  <si>
    <t>Algeria</t>
  </si>
  <si>
    <t>Carvajal</t>
  </si>
  <si>
    <t>Casemiro</t>
  </si>
  <si>
    <t>Porto</t>
  </si>
  <si>
    <t>Danjuma</t>
  </si>
  <si>
    <t>Kroos</t>
  </si>
  <si>
    <t>Luis Diaz</t>
  </si>
  <si>
    <t>Colombia</t>
  </si>
  <si>
    <t>Portugal</t>
  </si>
  <si>
    <t>Netherlands</t>
  </si>
  <si>
    <t>Germany</t>
  </si>
  <si>
    <t>Benfica</t>
  </si>
  <si>
    <t>Vertonghen</t>
  </si>
  <si>
    <t>Vlachodimos</t>
  </si>
  <si>
    <t>Oblak</t>
  </si>
  <si>
    <t>Foyth</t>
  </si>
  <si>
    <t>Bernardo Silva</t>
  </si>
  <si>
    <t>Atletico</t>
  </si>
  <si>
    <t>Greece</t>
  </si>
  <si>
    <t>Slovenia</t>
  </si>
  <si>
    <t>Bayern</t>
  </si>
  <si>
    <t>Lewandowski</t>
  </si>
  <si>
    <t>Mendy</t>
  </si>
  <si>
    <t>Real Madrid - Defender</t>
  </si>
  <si>
    <t>Grimaldo</t>
  </si>
  <si>
    <t>Benfica - Defender</t>
  </si>
  <si>
    <t>Fabinho</t>
  </si>
  <si>
    <t>Liverpool - Midfielder</t>
  </si>
  <si>
    <t>Man. City</t>
  </si>
  <si>
    <t>Rodri</t>
  </si>
  <si>
    <t>Man. City - Midfielder</t>
  </si>
  <si>
    <t>Man. City - Defender</t>
  </si>
  <si>
    <t>Chelsea</t>
  </si>
  <si>
    <t>Chelsea - Defender</t>
  </si>
  <si>
    <t>Chelsea - Goalkeeper</t>
  </si>
  <si>
    <t>Robertson</t>
  </si>
  <si>
    <t>Liverpool - Defender</t>
  </si>
  <si>
    <t>Joao Cancelo</t>
  </si>
  <si>
    <t>Rudiger</t>
  </si>
  <si>
    <t>Mane</t>
  </si>
  <si>
    <t>Atlético</t>
  </si>
  <si>
    <t>Reinildo</t>
  </si>
  <si>
    <t>Atlético - Defender</t>
  </si>
  <si>
    <t>Van Dijk</t>
  </si>
  <si>
    <t>Neuer</t>
  </si>
  <si>
    <t>Bayern - Goalkeeper</t>
  </si>
  <si>
    <t>Weigl</t>
  </si>
  <si>
    <t>Benfica - Midfielder</t>
  </si>
  <si>
    <t>Otamendi</t>
  </si>
  <si>
    <t>Valverde</t>
  </si>
  <si>
    <t>Real Madrid - Midfielder</t>
  </si>
  <si>
    <t>Bayern - Midfielder</t>
  </si>
  <si>
    <t>Laporte</t>
  </si>
  <si>
    <t>Sane</t>
  </si>
  <si>
    <t>Alexander Arnold</t>
  </si>
  <si>
    <t>Muller</t>
  </si>
  <si>
    <t>Pavard</t>
  </si>
  <si>
    <t>Bayern - Defender</t>
  </si>
  <si>
    <t>Thiago Silva</t>
  </si>
  <si>
    <t>De Bruyne</t>
  </si>
  <si>
    <t>Inter</t>
  </si>
  <si>
    <t>Inter - Defender</t>
  </si>
  <si>
    <t>Konate</t>
  </si>
  <si>
    <t>Skriniar</t>
  </si>
  <si>
    <t>Real Madrid - Forward</t>
  </si>
  <si>
    <t>Villarreal - Defender</t>
  </si>
  <si>
    <t>Villarreal - Midfielder</t>
  </si>
  <si>
    <t>Liverpool - Forward</t>
  </si>
  <si>
    <t>Man. City - Goalkeeper</t>
  </si>
  <si>
    <t>Salzburg</t>
  </si>
  <si>
    <t>Kristensen</t>
  </si>
  <si>
    <t>Salzburg - Defender</t>
  </si>
  <si>
    <t>Ajax</t>
  </si>
  <si>
    <t>Ajax - Defender</t>
  </si>
  <si>
    <t>Paris</t>
  </si>
  <si>
    <t>Marquinhos</t>
  </si>
  <si>
    <t>Paris - Defender</t>
  </si>
  <si>
    <t>LOSC</t>
  </si>
  <si>
    <t>Fonte</t>
  </si>
  <si>
    <t>LOSC - Defender</t>
  </si>
  <si>
    <t>Hakimi</t>
  </si>
  <si>
    <t>Ulmer</t>
  </si>
  <si>
    <t>Gilberto</t>
  </si>
  <si>
    <t>Aaronson</t>
  </si>
  <si>
    <t>Salzburg - Midfielder</t>
  </si>
  <si>
    <t>Rafa Silva</t>
  </si>
  <si>
    <t>Benfica - Forward</t>
  </si>
  <si>
    <t>Gravenberch</t>
  </si>
  <si>
    <t>Ajax - Midfielder</t>
  </si>
  <si>
    <t>Kimmich</t>
  </si>
  <si>
    <t>Marcos Llorente</t>
  </si>
  <si>
    <t>Atlético - Midfielder</t>
  </si>
  <si>
    <t>Azpilicueta</t>
  </si>
  <si>
    <t>David</t>
  </si>
  <si>
    <t>LOSC - Forward</t>
  </si>
  <si>
    <t>Paris - Forward</t>
  </si>
  <si>
    <t>Havertz</t>
  </si>
  <si>
    <t>Chelsea - Midfielder</t>
  </si>
  <si>
    <t>Camara</t>
  </si>
  <si>
    <t>Haller</t>
  </si>
  <si>
    <t>Ajax - Forward</t>
  </si>
  <si>
    <t>Henderson</t>
  </si>
  <si>
    <t>Bastoni</t>
  </si>
  <si>
    <t>Koke</t>
  </si>
  <si>
    <t>Mazraoui</t>
  </si>
  <si>
    <t>Upamecano</t>
  </si>
  <si>
    <t>Foden</t>
  </si>
  <si>
    <t>Seiwald</t>
  </si>
  <si>
    <t>Stones</t>
  </si>
  <si>
    <t>Inter - Midfielder</t>
  </si>
  <si>
    <t>Coman</t>
  </si>
  <si>
    <t>Messi</t>
  </si>
  <si>
    <t>LOSC - Midfielder</t>
  </si>
  <si>
    <t>Matip</t>
  </si>
  <si>
    <t>Kimpembe</t>
  </si>
  <si>
    <t>Sporting CP</t>
  </si>
  <si>
    <t>Sporting CP - Goalkeeper</t>
  </si>
  <si>
    <t>Juventus</t>
  </si>
  <si>
    <t>Juventus - Goalkeeper</t>
  </si>
  <si>
    <t>Man. United</t>
  </si>
  <si>
    <t>De Gea</t>
  </si>
  <si>
    <t>Man. United - Goalkeeper</t>
  </si>
  <si>
    <t>Berghuis</t>
  </si>
  <si>
    <t>De Ligt</t>
  </si>
  <si>
    <t>Juventus - Defender</t>
  </si>
  <si>
    <t>Matheus Reis</t>
  </si>
  <si>
    <t>Sporting CP - Defender</t>
  </si>
  <si>
    <t>Ronaldo</t>
  </si>
  <si>
    <t>Man. United - Forward</t>
  </si>
  <si>
    <t>Adeyemi</t>
  </si>
  <si>
    <t>Salzburg - Forward</t>
  </si>
  <si>
    <t>Christensen</t>
  </si>
  <si>
    <t>Inter - Forward</t>
  </si>
  <si>
    <t>Paulinho</t>
  </si>
  <si>
    <t>Sporting CP - Forward</t>
  </si>
  <si>
    <t>Sterling</t>
  </si>
  <si>
    <t>Man. City - Forward</t>
  </si>
  <si>
    <t>Nuno Mendes</t>
  </si>
  <si>
    <t>Bonucci</t>
  </si>
  <si>
    <t>Diogo Jota</t>
  </si>
  <si>
    <t>Kondogbia</t>
  </si>
  <si>
    <t>De Paul</t>
  </si>
  <si>
    <t>Antony</t>
  </si>
  <si>
    <t>Walker</t>
  </si>
  <si>
    <t>Nacho</t>
  </si>
  <si>
    <t>Atlético - Forward</t>
  </si>
  <si>
    <t>Blind</t>
  </si>
  <si>
    <t>Jorginho</t>
  </si>
  <si>
    <t>Alex Sandro</t>
  </si>
  <si>
    <t>Alonso</t>
  </si>
  <si>
    <t>Everton</t>
  </si>
  <si>
    <t>Club Brugge</t>
  </si>
  <si>
    <t>Vanaken</t>
  </si>
  <si>
    <t>Club Brugge - Midfielder</t>
  </si>
  <si>
    <t>Sheriff</t>
  </si>
  <si>
    <t>Sheriff - Midfielder</t>
  </si>
  <si>
    <t>Coates</t>
  </si>
  <si>
    <t>Wolfsburg</t>
  </si>
  <si>
    <t>Arnold</t>
  </si>
  <si>
    <t>Wolfsburg - Midfielder</t>
  </si>
  <si>
    <t>Cristiano</t>
  </si>
  <si>
    <t>Sheriff - Defender</t>
  </si>
  <si>
    <t>Dynamo Kyiv</t>
  </si>
  <si>
    <t>Zabarnyi</t>
  </si>
  <si>
    <t>Dynamo Kyiv - Defender</t>
  </si>
  <si>
    <t>Sevilla</t>
  </si>
  <si>
    <t>Fernando</t>
  </si>
  <si>
    <t>Sevilla - Midfielder</t>
  </si>
  <si>
    <t>Fernando Costanza</t>
  </si>
  <si>
    <t>Shakhtar Donetsk</t>
  </si>
  <si>
    <t>Shakhtar Donetsk - Defender</t>
  </si>
  <si>
    <t>Zenit</t>
  </si>
  <si>
    <t>Barrios</t>
  </si>
  <si>
    <t>Zenit - Midfielder</t>
  </si>
  <si>
    <t>Lacroix</t>
  </si>
  <si>
    <t>Wolfsburg - Defender</t>
  </si>
  <si>
    <t>Hendry</t>
  </si>
  <si>
    <t>Club Brugge - Defender</t>
  </si>
  <si>
    <t>Arboleda</t>
  </si>
  <si>
    <t>Dulanto</t>
  </si>
  <si>
    <t>Bounou</t>
  </si>
  <si>
    <t>Dortmund</t>
  </si>
  <si>
    <t>Kobel</t>
  </si>
  <si>
    <t>Mignolet</t>
  </si>
  <si>
    <t>Atalanta</t>
  </si>
  <si>
    <t>Musso</t>
  </si>
  <si>
    <t>Pasveer</t>
  </si>
  <si>
    <t>Ajax - Goalkeeper</t>
  </si>
  <si>
    <t>LOSC - Goalkeeper</t>
  </si>
  <si>
    <t>Diogo Costa</t>
  </si>
  <si>
    <t>Barcelona</t>
  </si>
  <si>
    <t>Ter Stegen</t>
  </si>
  <si>
    <t>Locatelli</t>
  </si>
  <si>
    <t>Juventus - Midfielder</t>
  </si>
  <si>
    <t>Diego Carlos</t>
  </si>
  <si>
    <t>Sevilla - Defender</t>
  </si>
  <si>
    <t>Mount</t>
  </si>
  <si>
    <t>Rabiot</t>
  </si>
  <si>
    <t>Sydorchuk</t>
  </si>
  <si>
    <t>Dynamo Kyiv - Midfielder</t>
  </si>
  <si>
    <t>Maguire</t>
  </si>
  <si>
    <t>Man. United - Defender</t>
  </si>
  <si>
    <t>Sporting CP - Midfielder</t>
  </si>
  <si>
    <t>Young Boys</t>
  </si>
  <si>
    <t>Moumi Ngamaleu</t>
  </si>
  <si>
    <t>Young Boys - Midfielder</t>
  </si>
  <si>
    <t>Leipzig</t>
  </si>
  <si>
    <t>Nkunku</t>
  </si>
  <si>
    <t>Leipzig - Midfielder</t>
  </si>
  <si>
    <t>Traore</t>
  </si>
  <si>
    <t>Sheriff - Forward</t>
  </si>
  <si>
    <t>Pedro Porro</t>
  </si>
  <si>
    <t>Lang</t>
  </si>
  <si>
    <t>Club Brugge - Forward</t>
  </si>
  <si>
    <t>Clinton Mata</t>
  </si>
  <si>
    <t>Freuler</t>
  </si>
  <si>
    <t>Atalanta - Midfielder</t>
  </si>
  <si>
    <t>Depay</t>
  </si>
  <si>
    <t>Barcelona - Forward</t>
  </si>
  <si>
    <t>Gerard Moreno</t>
  </si>
  <si>
    <t>Villarreal - Forward</t>
  </si>
  <si>
    <t>Lo Celso</t>
  </si>
  <si>
    <t>F. de Jong</t>
  </si>
  <si>
    <t>Barcelona - Midfielder</t>
  </si>
  <si>
    <t>Morata</t>
  </si>
  <si>
    <t>Juventus - Forward</t>
  </si>
  <si>
    <t>Bruno Fernandes</t>
  </si>
  <si>
    <t>Man. United - Midfielder</t>
  </si>
  <si>
    <t>Griezmann</t>
  </si>
  <si>
    <t>Yaremchuk</t>
  </si>
  <si>
    <t>Sarabia</t>
  </si>
  <si>
    <t>Matheus Nunes</t>
  </si>
  <si>
    <t>Rodrygo</t>
  </si>
  <si>
    <t>James</t>
  </si>
  <si>
    <t>Aebischer</t>
  </si>
  <si>
    <t>Bellingham</t>
  </si>
  <si>
    <t>Dortmund - Midfielder</t>
  </si>
  <si>
    <t>Zinchenko</t>
  </si>
  <si>
    <t>De Ketelaere</t>
  </si>
  <si>
    <t>Malmö</t>
  </si>
  <si>
    <t>Malmö - Forward</t>
  </si>
  <si>
    <t>Reus</t>
  </si>
  <si>
    <t>Rakitskyy</t>
  </si>
  <si>
    <t>Zenit - Defender</t>
  </si>
  <si>
    <t>Barella</t>
  </si>
  <si>
    <t>Innocent</t>
  </si>
  <si>
    <t>Malmö - Midfielder</t>
  </si>
  <si>
    <t>Taremi</t>
  </si>
  <si>
    <t>Porto - Forward</t>
  </si>
  <si>
    <t>Addo</t>
  </si>
  <si>
    <t>Tsygankov</t>
  </si>
  <si>
    <t>Elia</t>
  </si>
  <si>
    <t>Young Boys - Forward</t>
  </si>
  <si>
    <t>De Vrij</t>
  </si>
  <si>
    <t>Sergio Busquets</t>
  </si>
  <si>
    <t>Shaparenko</t>
  </si>
  <si>
    <t>Mukiele</t>
  </si>
  <si>
    <t>Leipzig - Defender</t>
  </si>
  <si>
    <t>Wendel</t>
  </si>
  <si>
    <t>Meunier</t>
  </si>
  <si>
    <t>Dortmund - Defender</t>
  </si>
  <si>
    <t>De Roon</t>
  </si>
  <si>
    <t>Nsoki</t>
  </si>
  <si>
    <t>Renan Lodi</t>
  </si>
  <si>
    <t>Davies</t>
  </si>
  <si>
    <t>Maycon</t>
  </si>
  <si>
    <t>Shakhtar Donetsk - Midfielder</t>
  </si>
  <si>
    <t>Carrasco</t>
  </si>
  <si>
    <t>Cuadrado</t>
  </si>
  <si>
    <t>Felipe</t>
  </si>
  <si>
    <t>Witsel</t>
  </si>
  <si>
    <t>Neymar</t>
  </si>
  <si>
    <t>Bamba</t>
  </si>
  <si>
    <t>Dumfries</t>
  </si>
  <si>
    <t>Zapata</t>
  </si>
  <si>
    <t>Atalanta - Forward</t>
  </si>
  <si>
    <t>Coquelin</t>
  </si>
  <si>
    <t>Ocampos</t>
  </si>
  <si>
    <t>Lauper</t>
  </si>
  <si>
    <t>Grealish</t>
  </si>
  <si>
    <t>Claudinho</t>
  </si>
  <si>
    <t>Porto - Midfielder</t>
  </si>
  <si>
    <t>Feddal</t>
  </si>
  <si>
    <t>Palomino</t>
  </si>
  <si>
    <t>Atalanta - Defender</t>
  </si>
  <si>
    <t>Milan</t>
  </si>
  <si>
    <t>Milan - Defender</t>
  </si>
  <si>
    <t>Danilo</t>
  </si>
  <si>
    <t>Mykolenko</t>
  </si>
  <si>
    <t>Syrota</t>
  </si>
  <si>
    <t>Akanji</t>
  </si>
  <si>
    <t>L. Nielsen</t>
  </si>
  <si>
    <t>Malmö - Defender</t>
  </si>
  <si>
    <t>Marlon</t>
  </si>
  <si>
    <t>Mbemba</t>
  </si>
  <si>
    <t>Porto - Defender</t>
  </si>
  <si>
    <t>Casteels</t>
  </si>
  <si>
    <t>Wolfsburg - Goalkeeper</t>
  </si>
  <si>
    <t>Beşiktaş</t>
  </si>
  <si>
    <t>Beşiktaş - Goalkeeper</t>
  </si>
  <si>
    <t>Donnarumma</t>
  </si>
  <si>
    <t>Paris - Goalkeeper</t>
  </si>
  <si>
    <t>Leipzig - Goalkeeper</t>
  </si>
  <si>
    <t>Bushchan</t>
  </si>
  <si>
    <t>Dynamo Kyiv - Goalkeeper</t>
  </si>
  <si>
    <t>Athanasiadis</t>
  </si>
  <si>
    <t>Sheriff - Goalkeeper</t>
  </si>
  <si>
    <t>Musiala</t>
  </si>
  <si>
    <t>Brorsson</t>
  </si>
  <si>
    <t>Ziyech</t>
  </si>
  <si>
    <t>Saelemaekers</t>
  </si>
  <si>
    <t>Milan - Midfielder</t>
  </si>
  <si>
    <t>Douglas Santos</t>
  </si>
  <si>
    <t>Chistiakov</t>
  </si>
  <si>
    <t>Souza</t>
  </si>
  <si>
    <t>Beşiktaş - Midfielder</t>
  </si>
  <si>
    <t>Berget</t>
  </si>
  <si>
    <t>Buyalskiy</t>
  </si>
  <si>
    <t>Xeka</t>
  </si>
  <si>
    <t>Garcia</t>
  </si>
  <si>
    <t>Young Boys - Defender</t>
  </si>
  <si>
    <t>Malcom</t>
  </si>
  <si>
    <t>Zenit - Forward</t>
  </si>
  <si>
    <t>Fred</t>
  </si>
  <si>
    <t>Pedraza</t>
  </si>
  <si>
    <t>Pino</t>
  </si>
  <si>
    <t>Verratti</t>
  </si>
  <si>
    <t>Paris - Midfielder</t>
  </si>
  <si>
    <t>Guilavogui</t>
  </si>
  <si>
    <t>Hermoso</t>
  </si>
  <si>
    <t>C. Martins Pereira</t>
  </si>
  <si>
    <t>Wan-Bissaka</t>
  </si>
  <si>
    <t>Tomori</t>
  </si>
  <si>
    <t>Botman</t>
  </si>
  <si>
    <t>Rits</t>
  </si>
  <si>
    <t>Baku</t>
  </si>
  <si>
    <t>Leipzig - Forward</t>
  </si>
  <si>
    <t>Vidal</t>
  </si>
  <si>
    <t>Balanta</t>
  </si>
  <si>
    <t>Renato Sanches</t>
  </si>
  <si>
    <t>Zappacosta</t>
  </si>
  <si>
    <t>Laimer</t>
  </si>
  <si>
    <t>Kolovos</t>
  </si>
  <si>
    <t>Rosier</t>
  </si>
  <si>
    <t>Beşiktaş - Defender</t>
  </si>
  <si>
    <t>Correa</t>
  </si>
  <si>
    <t>Gueye</t>
  </si>
  <si>
    <t>McTominay</t>
  </si>
  <si>
    <t>Gavi</t>
  </si>
  <si>
    <t>Weghorst</t>
  </si>
  <si>
    <t>Wolfsburg - Forward</t>
  </si>
  <si>
    <t>Shaw</t>
  </si>
  <si>
    <t>Brandt</t>
  </si>
  <si>
    <t>Sancho</t>
  </si>
  <si>
    <t>Barcelona - Defender</t>
  </si>
  <si>
    <t>Malen</t>
  </si>
  <si>
    <t>Dortmund - Forward</t>
  </si>
  <si>
    <t>Romagnoli</t>
  </si>
  <si>
    <t>Gnabry</t>
  </si>
  <si>
    <t>Zaidu</t>
  </si>
  <si>
    <t>Hefti</t>
  </si>
  <si>
    <t>Forsberg</t>
  </si>
  <si>
    <t>Batshuayi</t>
  </si>
  <si>
    <t>Beşiktaş - Forward</t>
  </si>
  <si>
    <t>Bentancur</t>
  </si>
  <si>
    <t>Ricardo Esgaio</t>
  </si>
  <si>
    <t>Lemar</t>
  </si>
  <si>
    <t>Bennacer</t>
  </si>
  <si>
    <t>De Pena</t>
  </si>
  <si>
    <t>Jordi Alba</t>
  </si>
  <si>
    <t>Shakhtar Donetsk - Forward</t>
  </si>
  <si>
    <t>Merih Demiral</t>
  </si>
  <si>
    <t>Roussillon</t>
  </si>
  <si>
    <t>Matviyenko</t>
  </si>
  <si>
    <t>Zenit - Goalkeeper</t>
  </si>
  <si>
    <t>Loftus-Cheek</t>
  </si>
  <si>
    <t>Chelsea - Forward</t>
  </si>
  <si>
    <t>Hummels</t>
  </si>
  <si>
    <t>Klostermann</t>
  </si>
  <si>
    <t>Ismaily</t>
  </si>
  <si>
    <t>Larin</t>
  </si>
  <si>
    <t>Varane</t>
  </si>
  <si>
    <t>Jesus</t>
  </si>
  <si>
    <t>Pepe</t>
  </si>
  <si>
    <t>Fernandinho</t>
  </si>
  <si>
    <t>Pogba</t>
  </si>
  <si>
    <t>Okafor</t>
  </si>
  <si>
    <t>Ghezzal</t>
  </si>
  <si>
    <t>Lenglet</t>
  </si>
  <si>
    <t>Tsimikas</t>
  </si>
  <si>
    <t>Taarabt</t>
  </si>
  <si>
    <t>Pedrinho</t>
  </si>
  <si>
    <t>Siebatcheu</t>
  </si>
  <si>
    <t>Vranckx</t>
  </si>
  <si>
    <t>Chiesa</t>
  </si>
  <si>
    <t>Gvardiol</t>
  </si>
  <si>
    <t>Tonali</t>
  </si>
  <si>
    <t>Sobol</t>
  </si>
  <si>
    <t>Brooks</t>
  </si>
  <si>
    <t>Trigueros</t>
  </si>
  <si>
    <t>Mbabu</t>
  </si>
  <si>
    <t>Solet</t>
  </si>
  <si>
    <t>Christiansen</t>
  </si>
  <si>
    <t>Herrera</t>
  </si>
  <si>
    <t>Garmash</t>
  </si>
  <si>
    <t>Firmino</t>
  </si>
  <si>
    <t>L. Nmecha</t>
  </si>
  <si>
    <t>Solomon</t>
  </si>
  <si>
    <t>Sevilla - Forward</t>
  </si>
  <si>
    <t>Lukaku</t>
  </si>
  <si>
    <t>Paredes</t>
  </si>
  <si>
    <t>Calabria</t>
  </si>
  <si>
    <t>Lovren</t>
  </si>
  <si>
    <t>Dahlin</t>
  </si>
  <si>
    <t>Malmö - Goalkeeper</t>
  </si>
  <si>
    <t>Evanilson</t>
  </si>
  <si>
    <t>Welinton</t>
  </si>
  <si>
    <t>Bruno</t>
  </si>
  <si>
    <t>Moreno</t>
  </si>
  <si>
    <t>Montero</t>
  </si>
  <si>
    <t>Vrsaljko</t>
  </si>
  <si>
    <t>Greenwood</t>
  </si>
  <si>
    <t>Azmoun</t>
  </si>
  <si>
    <t>Malinovskyi</t>
  </si>
  <si>
    <t>Oxlade-Chamberlain</t>
  </si>
  <si>
    <t>Karavaev</t>
  </si>
  <si>
    <t>Sowah</t>
  </si>
  <si>
    <t>Simakan</t>
  </si>
  <si>
    <t>Camavinga</t>
  </si>
  <si>
    <t>Lukebakio</t>
  </si>
  <si>
    <t>Milan - Forward</t>
  </si>
  <si>
    <t>Sutormin</t>
  </si>
  <si>
    <t>Alex Telles</t>
  </si>
  <si>
    <t>Adams</t>
  </si>
  <si>
    <t>Hudson-Odoi</t>
  </si>
  <si>
    <t>Uribe</t>
  </si>
  <si>
    <t>De Sciglio</t>
  </si>
  <si>
    <t>M. Olsson</t>
  </si>
  <si>
    <t>Dimarco</t>
  </si>
  <si>
    <t>Capaldo</t>
  </si>
  <si>
    <t>Peña</t>
  </si>
  <si>
    <t>Dzyuba</t>
  </si>
  <si>
    <t>Larsson</t>
  </si>
  <si>
    <t>Chukwueze</t>
  </si>
  <si>
    <t>Rakip</t>
  </si>
  <si>
    <t>Rieder</t>
  </si>
  <si>
    <t>Rafa Mir</t>
  </si>
  <si>
    <t>Kampl</t>
  </si>
  <si>
    <t>Verissimo</t>
  </si>
  <si>
    <t>Kjær</t>
  </si>
  <si>
    <t>Faivre</t>
  </si>
  <si>
    <t>Young Boys - Goalkeeper</t>
  </si>
  <si>
    <t>Tătăruşanu</t>
  </si>
  <si>
    <t>Milan - Goalkeeper</t>
  </si>
  <si>
    <t>Maignan</t>
  </si>
  <si>
    <t>Trubin</t>
  </si>
  <si>
    <t>Shakhtar Donetsk - Goalkeeper</t>
  </si>
  <si>
    <t>Navas</t>
  </si>
  <si>
    <t>Von Ballmoos</t>
  </si>
  <si>
    <t>Fassnacht</t>
  </si>
  <si>
    <t>Alan Patrick</t>
  </si>
  <si>
    <t>Pyatov</t>
  </si>
  <si>
    <t>Arthur</t>
  </si>
  <si>
    <t>Kenan Karaman</t>
  </si>
  <si>
    <t>Wijnaldum</t>
  </si>
  <si>
    <t>Giroud</t>
  </si>
  <si>
    <t>Pjanic</t>
  </si>
  <si>
    <t>Mehmet Topal</t>
  </si>
  <si>
    <t>Di María</t>
  </si>
  <si>
    <t>Djimsiti</t>
  </si>
  <si>
    <t>Dia</t>
  </si>
  <si>
    <t>Steffen</t>
  </si>
  <si>
    <t>Onana</t>
  </si>
  <si>
    <t>Rashford</t>
  </si>
  <si>
    <t>Kuzyaev</t>
  </si>
  <si>
    <t>Marcos Antônio</t>
  </si>
  <si>
    <t>Dybala</t>
  </si>
  <si>
    <t>Weah</t>
  </si>
  <si>
    <t>Meraş</t>
  </si>
  <si>
    <t>Krunić</t>
  </si>
  <si>
    <t>Iličić</t>
  </si>
  <si>
    <t>Nico González</t>
  </si>
  <si>
    <t>Eric García</t>
  </si>
  <si>
    <t>Werner</t>
  </si>
  <si>
    <t>Gomez</t>
  </si>
  <si>
    <t>Gudmundsson</t>
  </si>
  <si>
    <t>Sierro</t>
  </si>
  <si>
    <t>André Almeida</t>
  </si>
  <si>
    <t>Šeško</t>
  </si>
  <si>
    <t>Tolisso</t>
  </si>
  <si>
    <t>Dalot</t>
  </si>
  <si>
    <t>Klaassen</t>
  </si>
  <si>
    <t>Adamu</t>
  </si>
  <si>
    <t>Dest</t>
  </si>
  <si>
    <t>Suso</t>
  </si>
  <si>
    <t>Stepanenko</t>
  </si>
  <si>
    <t>Diawara</t>
  </si>
  <si>
    <t>Moi Gómez</t>
  </si>
  <si>
    <t>Rieks</t>
  </si>
  <si>
    <t>Pašalić</t>
  </si>
  <si>
    <t>Trippier</t>
  </si>
  <si>
    <t>Mingueza</t>
  </si>
  <si>
    <t>Bozdoğan</t>
  </si>
  <si>
    <t>Nuno Santos</t>
  </si>
  <si>
    <t>Vitinha</t>
  </si>
  <si>
    <t>Kalulu</t>
  </si>
  <si>
    <t>Minamino</t>
  </si>
  <si>
    <t>Dahoud</t>
  </si>
  <si>
    <t>Corona</t>
  </si>
  <si>
    <t>Nianzou</t>
  </si>
  <si>
    <t>Milner</t>
  </si>
  <si>
    <t>Pessina</t>
  </si>
  <si>
    <t>Koopmeiners</t>
  </si>
  <si>
    <t>Szoboszlai</t>
  </si>
  <si>
    <t>Asensio</t>
  </si>
  <si>
    <t>Marlos</t>
  </si>
  <si>
    <t>Ugarte</t>
  </si>
  <si>
    <t>Yakhshiboev</t>
  </si>
  <si>
    <t>Munir</t>
  </si>
  <si>
    <t>Van de Beek</t>
  </si>
  <si>
    <t>Bornauw</t>
  </si>
  <si>
    <t>Neres</t>
  </si>
  <si>
    <t>Haaland</t>
  </si>
  <si>
    <t>Bruno Tabata</t>
  </si>
  <si>
    <t>Delaney</t>
  </si>
  <si>
    <t>Darmian</t>
  </si>
  <si>
    <t>Schulz</t>
  </si>
  <si>
    <t>Matić</t>
  </si>
  <si>
    <t>Gerhardt</t>
  </si>
  <si>
    <t>Kryvtsov</t>
  </si>
  <si>
    <t>Necip Uysal</t>
  </si>
  <si>
    <t>Chilwell</t>
  </si>
  <si>
    <t>Origi</t>
  </si>
  <si>
    <t>Moisander</t>
  </si>
  <si>
    <t>Montiel</t>
  </si>
  <si>
    <t>Jones</t>
  </si>
  <si>
    <t>Alex Teixeira</t>
  </si>
  <si>
    <t>Haidara</t>
  </si>
  <si>
    <t>Guerreiro</t>
  </si>
  <si>
    <t>N. Williams</t>
  </si>
  <si>
    <t>Vlahović</t>
  </si>
  <si>
    <t>Morato</t>
  </si>
  <si>
    <t>Morton</t>
  </si>
  <si>
    <t>Bürgy</t>
  </si>
  <si>
    <t>Vida</t>
  </si>
  <si>
    <t>Bailly</t>
  </si>
  <si>
    <t>Leo Jardim</t>
  </si>
  <si>
    <t>M. Kerzhakov</t>
  </si>
  <si>
    <t>Mudryk</t>
  </si>
  <si>
    <t>L. de Jong</t>
  </si>
  <si>
    <t>Rugani</t>
  </si>
  <si>
    <t>Chalobah</t>
  </si>
  <si>
    <t>Elanga</t>
  </si>
  <si>
    <t>Paulo Otávio</t>
  </si>
  <si>
    <t>Wolf</t>
  </si>
  <si>
    <t>Pongračić</t>
  </si>
  <si>
    <t>Sergi Roberto</t>
  </si>
  <si>
    <t>Kean</t>
  </si>
  <si>
    <t>Gomes</t>
  </si>
  <si>
    <t>Óliver Torres</t>
  </si>
  <si>
    <t>Lefort</t>
  </si>
  <si>
    <t>Diallo</t>
  </si>
  <si>
    <t>Ricca</t>
  </si>
  <si>
    <t>Tiago Tomás</t>
  </si>
  <si>
    <t>Van Der Brempt</t>
  </si>
  <si>
    <t>Tymchyk</t>
  </si>
  <si>
    <t>Ibrahimović</t>
  </si>
  <si>
    <t>Saúl Ñíguez</t>
  </si>
  <si>
    <t>Pedri</t>
  </si>
  <si>
    <t>Pizzi</t>
  </si>
  <si>
    <t>Vormer</t>
  </si>
  <si>
    <t>Hutchinson</t>
  </si>
  <si>
    <t>Yansané</t>
  </si>
  <si>
    <t>Alexis Sánchez</t>
  </si>
  <si>
    <t>Meite</t>
  </si>
  <si>
    <t>Fábio Cardoso</t>
  </si>
  <si>
    <t>Fati</t>
  </si>
  <si>
    <t>Mostovoy</t>
  </si>
  <si>
    <t>Poulsen</t>
  </si>
  <si>
    <t>D'Ambrosio</t>
  </si>
  <si>
    <t>Schuurs</t>
  </si>
  <si>
    <t>Toni Martínez</t>
  </si>
  <si>
    <t>Matheus Cunha</t>
  </si>
  <si>
    <t>T. Hazard</t>
  </si>
  <si>
    <t>Tagliafico</t>
  </si>
  <si>
    <t>Draxler</t>
  </si>
  <si>
    <t>Rıdvan Yılmaz</t>
  </si>
  <si>
    <t>Sabitzer</t>
  </si>
  <si>
    <t>Daniel Bragança</t>
  </si>
  <si>
    <t>Diogo Gonçalves</t>
  </si>
  <si>
    <t>Wendell</t>
  </si>
  <si>
    <t>Mechele</t>
  </si>
  <si>
    <t>Muriel</t>
  </si>
  <si>
    <t>Aurier</t>
  </si>
  <si>
    <t>Reinier</t>
  </si>
  <si>
    <t>Marcano</t>
  </si>
  <si>
    <t>Sarr</t>
  </si>
  <si>
    <t>Rekik</t>
  </si>
  <si>
    <t>Vecino</t>
  </si>
  <si>
    <t>Lewicki</t>
  </si>
  <si>
    <t>Dembélé</t>
  </si>
  <si>
    <t>Lamela</t>
  </si>
  <si>
    <t>Waldschmidt</t>
  </si>
  <si>
    <t>Rebić</t>
  </si>
  <si>
    <t>Lingard</t>
  </si>
  <si>
    <t>Abubakari</t>
  </si>
  <si>
    <t>Brobbey</t>
  </si>
  <si>
    <t>Messias Junior</t>
  </si>
  <si>
    <t>Lázaro</t>
  </si>
  <si>
    <t>Maceiras</t>
  </si>
  <si>
    <t>Jović</t>
  </si>
  <si>
    <t>Salih Uçan</t>
  </si>
  <si>
    <t>Coutinho</t>
  </si>
  <si>
    <t>Erokhin</t>
  </si>
  <si>
    <t>Shkurin</t>
  </si>
  <si>
    <t>Dynamo Kyiv - Forward</t>
  </si>
  <si>
    <t>Slimani</t>
  </si>
  <si>
    <t>Demir</t>
  </si>
  <si>
    <t>Gosens</t>
  </si>
  <si>
    <t>Traoré</t>
  </si>
  <si>
    <t>Tigges</t>
  </si>
  <si>
    <t>Ranocchia</t>
  </si>
  <si>
    <t>Nikolov</t>
  </si>
  <si>
    <t>Zagadou</t>
  </si>
  <si>
    <t>Mata</t>
  </si>
  <si>
    <t>Barkley</t>
  </si>
  <si>
    <t>Andriyevskiy</t>
  </si>
  <si>
    <t>Vitinho</t>
  </si>
  <si>
    <t>Marcelo</t>
  </si>
  <si>
    <t>Mario Gaspar</t>
  </si>
  <si>
    <t>Verbič</t>
  </si>
  <si>
    <t>Ballo</t>
  </si>
  <si>
    <t>Phillips</t>
  </si>
  <si>
    <t>Philipp</t>
  </si>
  <si>
    <t>Hateboer</t>
  </si>
  <si>
    <t>N'Koudou</t>
  </si>
  <si>
    <t>Egan-Riley</t>
  </si>
  <si>
    <t>Shabanov</t>
  </si>
  <si>
    <t>Bondar</t>
  </si>
  <si>
    <t>Lustenberger</t>
  </si>
  <si>
    <t>Serdar Saatçı</t>
  </si>
  <si>
    <t>Vitão</t>
  </si>
  <si>
    <t>Ulreich</t>
  </si>
  <si>
    <t>Martínez</t>
  </si>
  <si>
    <t>Pervan</t>
  </si>
  <si>
    <t>Kepa</t>
  </si>
  <si>
    <t>João Virginia</t>
  </si>
  <si>
    <t>Günok</t>
  </si>
  <si>
    <t>Celeadnic</t>
  </si>
  <si>
    <t>Boyko</t>
  </si>
  <si>
    <t>Perin</t>
  </si>
  <si>
    <t>Nanasi</t>
  </si>
  <si>
    <t>Florenzi</t>
  </si>
  <si>
    <t>Olmo</t>
  </si>
  <si>
    <t>Fábio Vieira</t>
  </si>
  <si>
    <t>E. Hazard</t>
  </si>
  <si>
    <t>Bondarenko</t>
  </si>
  <si>
    <t>Piątkowski</t>
  </si>
  <si>
    <t>Nalić</t>
  </si>
  <si>
    <t>Korniienko</t>
  </si>
  <si>
    <t>En-Nesyri</t>
  </si>
  <si>
    <t>Supryaha</t>
  </si>
  <si>
    <t>De Winter</t>
  </si>
  <si>
    <t>Kulusevski</t>
  </si>
  <si>
    <t>Augustinsson</t>
  </si>
  <si>
    <t>Radeljić</t>
  </si>
  <si>
    <t>Jovane Cabral</t>
  </si>
  <si>
    <t>Marc Roca</t>
  </si>
  <si>
    <t>Kanga</t>
  </si>
  <si>
    <t>Cavani</t>
  </si>
  <si>
    <t>Gökhan Töre</t>
  </si>
  <si>
    <t>Emre Can</t>
  </si>
  <si>
    <t>Alcácer</t>
  </si>
  <si>
    <t>Esteves</t>
  </si>
  <si>
    <t>Rensch</t>
  </si>
  <si>
    <t>Ferran Torres</t>
  </si>
  <si>
    <t>Kehrer</t>
  </si>
  <si>
    <t>Krugovoi</t>
  </si>
  <si>
    <t>Dost</t>
  </si>
  <si>
    <t>Martial</t>
  </si>
  <si>
    <t>Gagliardini</t>
  </si>
  <si>
    <t>Miguel Gutiérrez</t>
  </si>
  <si>
    <t>Rúben Vinagre</t>
  </si>
  <si>
    <t>Mambimbi</t>
  </si>
  <si>
    <t>Moriba</t>
  </si>
  <si>
    <t>Passlack</t>
  </si>
  <si>
    <t>Elliott</t>
  </si>
  <si>
    <t>Bakayoko</t>
  </si>
  <si>
    <t>Pezzella</t>
  </si>
  <si>
    <t>Sudakov</t>
  </si>
  <si>
    <t>Sandra</t>
  </si>
  <si>
    <t>Mbamba-Muanda</t>
  </si>
  <si>
    <t>Shepeliev</t>
  </si>
  <si>
    <t>Richards</t>
  </si>
  <si>
    <t>Julien</t>
  </si>
  <si>
    <t>Oğuzhan Özyakup</t>
  </si>
  <si>
    <t>Daramy</t>
  </si>
  <si>
    <t>Henrichs</t>
  </si>
  <si>
    <t>Choupo-Moting</t>
  </si>
  <si>
    <t>Yusuf Yazıcı</t>
  </si>
  <si>
    <t>Icardi</t>
  </si>
  <si>
    <t>McAtee</t>
  </si>
  <si>
    <t>Lovato</t>
  </si>
  <si>
    <t>Palmer</t>
  </si>
  <si>
    <t>Paulo Bernardo</t>
  </si>
  <si>
    <t>Kjærgaard</t>
  </si>
  <si>
    <t>Taylor</t>
  </si>
  <si>
    <t>Ceballos</t>
  </si>
  <si>
    <t>Francisco Conceição</t>
  </si>
  <si>
    <t>F. Nmecha</t>
  </si>
  <si>
    <t>Pepê</t>
  </si>
  <si>
    <t>Al. Miranchuk</t>
  </si>
  <si>
    <t>Edwards</t>
  </si>
  <si>
    <t>Radonjić</t>
  </si>
  <si>
    <t>Mengi</t>
  </si>
  <si>
    <t>Wesley</t>
  </si>
  <si>
    <t>Mandi</t>
  </si>
  <si>
    <t>Kudus</t>
  </si>
  <si>
    <t>Novoa</t>
  </si>
  <si>
    <t>Lihadji</t>
  </si>
  <si>
    <t>Bernardo</t>
  </si>
  <si>
    <t>Tijani</t>
  </si>
  <si>
    <t>Ben Arfa</t>
  </si>
  <si>
    <t>Óscar Rodríguez</t>
  </si>
  <si>
    <t>Shoretire</t>
  </si>
  <si>
    <t>Heaton</t>
  </si>
  <si>
    <t>Stanišić</t>
  </si>
  <si>
    <t>Knauff</t>
  </si>
  <si>
    <t>Maldini</t>
  </si>
  <si>
    <t>Moukoko</t>
  </si>
  <si>
    <t>Iván Romero</t>
  </si>
  <si>
    <t>Flávio Nazinho</t>
  </si>
  <si>
    <t>Balde</t>
  </si>
  <si>
    <t>Tillman</t>
  </si>
  <si>
    <t>Ricard Puig</t>
  </si>
  <si>
    <t>Berkay Vardar</t>
  </si>
  <si>
    <t>Carson</t>
  </si>
  <si>
    <t>Eric Ramirez</t>
  </si>
  <si>
    <t>Cojocaru</t>
  </si>
  <si>
    <t>Javi Serrano</t>
  </si>
  <si>
    <t>Agüero</t>
  </si>
  <si>
    <t>Ramsey</t>
  </si>
  <si>
    <t>Kravtsov</t>
  </si>
  <si>
    <t>Bradarić</t>
  </si>
  <si>
    <t>Mariano Díaz</t>
  </si>
  <si>
    <t>Ozdoev</t>
  </si>
  <si>
    <t>Bruno Costa</t>
  </si>
  <si>
    <t>Raba</t>
  </si>
  <si>
    <t>Iborra</t>
  </si>
  <si>
    <t>Bonnah</t>
  </si>
  <si>
    <t>Sensi</t>
  </si>
  <si>
    <t>Lednev</t>
  </si>
  <si>
    <t>Zhegrova</t>
  </si>
  <si>
    <t>Seferović</t>
  </si>
  <si>
    <t>Zakaria</t>
  </si>
  <si>
    <t>Dário Essugo</t>
  </si>
  <si>
    <t>Vallejo</t>
  </si>
  <si>
    <t>Spielmann</t>
  </si>
  <si>
    <t>Izquierdo</t>
  </si>
  <si>
    <t>Bale</t>
  </si>
  <si>
    <t>Chiellini</t>
  </si>
  <si>
    <t>Dina Ebimbe</t>
  </si>
  <si>
    <t>Sulejmani</t>
  </si>
  <si>
    <t>-</t>
  </si>
  <si>
    <t>Blanco</t>
  </si>
  <si>
    <t>Delap</t>
  </si>
  <si>
    <t>Mbete</t>
  </si>
  <si>
    <t>Kolarov</t>
  </si>
  <si>
    <t>Šimić</t>
  </si>
  <si>
    <t>Guindo</t>
  </si>
  <si>
    <t>Dentinho</t>
  </si>
  <si>
    <t>Shevchenko</t>
  </si>
  <si>
    <t>Maier</t>
  </si>
  <si>
    <t>Luca Pellegrini</t>
  </si>
  <si>
    <t>Kuznetsov</t>
  </si>
  <si>
    <t>Eile</t>
  </si>
  <si>
    <t>Ginczek</t>
  </si>
  <si>
    <t>Savage</t>
  </si>
  <si>
    <t>Iqbal</t>
  </si>
  <si>
    <t>Da Graca</t>
  </si>
  <si>
    <t>Miretti</t>
  </si>
  <si>
    <t>Gil Dias</t>
  </si>
  <si>
    <t>Rodrigo Ribeiro</t>
  </si>
  <si>
    <t>Cojocari</t>
  </si>
  <si>
    <t>Woltman</t>
  </si>
  <si>
    <t>Bradley</t>
  </si>
  <si>
    <t>Maouassa</t>
  </si>
  <si>
    <t>Zesiger</t>
  </si>
  <si>
    <t>Lisandro Martinez</t>
  </si>
  <si>
    <t>Kohn</t>
  </si>
  <si>
    <t>Handanovic</t>
  </si>
  <si>
    <t>Mbappe</t>
  </si>
  <si>
    <t>Ruben Dias</t>
  </si>
  <si>
    <t>Gundogan</t>
  </si>
  <si>
    <t>Estupinan</t>
  </si>
  <si>
    <t>Brozovic</t>
  </si>
  <si>
    <t>Tadic</t>
  </si>
  <si>
    <t>Andre</t>
  </si>
  <si>
    <t>Adan</t>
  </si>
  <si>
    <t>Szczesny</t>
  </si>
  <si>
    <t>Manchester United</t>
  </si>
  <si>
    <t>Nunez</t>
  </si>
  <si>
    <t>Thiago Alcantara</t>
  </si>
  <si>
    <t>Zeki Celik</t>
  </si>
  <si>
    <t>Lautaro Martinez</t>
  </si>
  <si>
    <t>Gimenez</t>
  </si>
  <si>
    <t>Joao Felix</t>
  </si>
  <si>
    <t>Wober</t>
  </si>
  <si>
    <t>Lucas Hernandez</t>
  </si>
  <si>
    <t>Jurrien Timber</t>
  </si>
  <si>
    <t>Goncalo Inacio</t>
  </si>
  <si>
    <t>Alvarez</t>
  </si>
  <si>
    <t>Dzeko</t>
  </si>
  <si>
    <t>Sebastien Thill</t>
  </si>
  <si>
    <t>Dodo</t>
  </si>
  <si>
    <t>Grbic</t>
  </si>
  <si>
    <t>Poland</t>
  </si>
  <si>
    <t>Senegal</t>
  </si>
  <si>
    <t>Scotland</t>
  </si>
  <si>
    <t>Mozambique</t>
  </si>
  <si>
    <t>Uruguay</t>
  </si>
  <si>
    <t>Slovakia</t>
  </si>
  <si>
    <t>Italy</t>
  </si>
  <si>
    <t>Denmark</t>
  </si>
  <si>
    <t>Morocco</t>
  </si>
  <si>
    <t>United States</t>
  </si>
  <si>
    <t>Canada</t>
  </si>
  <si>
    <t>Mali</t>
  </si>
  <si>
    <t>Ivory Coast</t>
  </si>
  <si>
    <t>Ecuador</t>
  </si>
  <si>
    <t>Serbia</t>
  </si>
  <si>
    <t>Cameroon</t>
  </si>
  <si>
    <t>Turkey</t>
  </si>
  <si>
    <t>Central African Republic</t>
  </si>
  <si>
    <t>Mexico</t>
  </si>
  <si>
    <t>Bosnia-Herzegovina</t>
  </si>
  <si>
    <t>Luxembourg</t>
  </si>
  <si>
    <t>Moldova</t>
  </si>
  <si>
    <t>Ukraine</t>
  </si>
  <si>
    <t>Russia</t>
  </si>
  <si>
    <t>Peru</t>
  </si>
  <si>
    <t>Switzerland</t>
  </si>
  <si>
    <t>Joao Palinha</t>
  </si>
  <si>
    <t>Tiago Djalo</t>
  </si>
  <si>
    <t>Perisic</t>
  </si>
  <si>
    <t>Burak Yilmaz</t>
  </si>
  <si>
    <t>Sucic</t>
  </si>
  <si>
    <t>Sule</t>
  </si>
  <si>
    <t>Colak</t>
  </si>
  <si>
    <t>Malmo</t>
  </si>
  <si>
    <t>Joao Mario</t>
  </si>
  <si>
    <t>Keita</t>
  </si>
  <si>
    <t>Angola</t>
  </si>
  <si>
    <t>Sweden</t>
  </si>
  <si>
    <t>Nigeria</t>
  </si>
  <si>
    <t>Iran</t>
  </si>
  <si>
    <t>Ghana</t>
  </si>
  <si>
    <t>Congo</t>
  </si>
  <si>
    <t>Guinea</t>
  </si>
  <si>
    <t xml:space="preserve">Goretzka </t>
  </si>
  <si>
    <t>Otavio</t>
  </si>
  <si>
    <t>Kounde</t>
  </si>
  <si>
    <t>Savic</t>
  </si>
  <si>
    <t>Ersin Destanoglu</t>
  </si>
  <si>
    <t>Besiktas</t>
  </si>
  <si>
    <t>Gulacsi</t>
  </si>
  <si>
    <t>Onguene</t>
  </si>
  <si>
    <t>Maehle</t>
  </si>
  <si>
    <t>Angelino</t>
  </si>
  <si>
    <t>Kante</t>
  </si>
  <si>
    <t>Kovacic</t>
  </si>
  <si>
    <t>Lindelof</t>
  </si>
  <si>
    <t>Hakan Calhanoglu</t>
  </si>
  <si>
    <t>Ahmedhodzic</t>
  </si>
  <si>
    <t>Andre Silva</t>
  </si>
  <si>
    <t>Pique</t>
  </si>
  <si>
    <t>Mckennie</t>
  </si>
  <si>
    <t>Acuna</t>
  </si>
  <si>
    <t>Tete</t>
  </si>
  <si>
    <t>Montenegro</t>
  </si>
  <si>
    <t>Hungary</t>
  </si>
  <si>
    <t>Norway</t>
  </si>
  <si>
    <t xml:space="preserve"> Brazil</t>
  </si>
  <si>
    <t>Chile</t>
  </si>
  <si>
    <t>T. Hernandez</t>
  </si>
  <si>
    <t>Goncalo Ramos</t>
  </si>
  <si>
    <t>Luis Neto</t>
  </si>
  <si>
    <t>Pulisic</t>
  </si>
  <si>
    <t>Ronald Araujo</t>
  </si>
  <si>
    <t>Kedziora</t>
  </si>
  <si>
    <t>Toloi</t>
  </si>
  <si>
    <t>Krisyuk</t>
  </si>
  <si>
    <t>Castaneda</t>
  </si>
  <si>
    <t>Birmancevic</t>
  </si>
  <si>
    <t>Brahim Diaz</t>
  </si>
  <si>
    <t>Lucas Vazquez</t>
  </si>
  <si>
    <t>Luis Suarez</t>
  </si>
  <si>
    <t>Jesus Navas</t>
  </si>
  <si>
    <t>Pedro Goncalves</t>
  </si>
  <si>
    <t>Jordan</t>
  </si>
  <si>
    <t>Ake</t>
  </si>
  <si>
    <t>Kessie</t>
  </si>
  <si>
    <t>Grujic</t>
  </si>
  <si>
    <t>Orban</t>
  </si>
  <si>
    <t>Sergio Oliveira</t>
  </si>
  <si>
    <t>What happens when a name has a hyphen in it like this one? Should we remove it?</t>
  </si>
  <si>
    <t>Ikone</t>
  </si>
  <si>
    <t>Rafael Leao</t>
  </si>
  <si>
    <t>Bernandeschi</t>
  </si>
  <si>
    <t>Pena</t>
  </si>
  <si>
    <t>Rakitic</t>
  </si>
  <si>
    <t>Nsakala</t>
  </si>
  <si>
    <t>Israel</t>
  </si>
  <si>
    <t>North Macedonia</t>
  </si>
  <si>
    <t>Kjaer</t>
  </si>
  <si>
    <t>Tatarusanu</t>
  </si>
  <si>
    <t>Romania</t>
  </si>
  <si>
    <t>Costa 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</si>
</sst>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07"/>
  <sheetViews>
    <sheetView tabSelected="1" zoomScale="99" zoomScaleNormal="99" workbookViewId="0">
      <pane ySplit="1" topLeftCell="A2" activePane="bottomLeft" state="frozen"/>
      <selection pane="bottomLeft" activeCell="P6" sqref="P6"/>
    </sheetView>
  </sheetViews>
  <sheetFormatPr defaultColWidth="9.109375" defaultRowHeight="14.4" x14ac:dyDescent="0.3"/>
  <cols>
    <col min="1" max="1" width="7.44140625" style="2" bestFit="1" customWidth="1"/>
    <col min="2" max="2" width="19.33203125" style="2" customWidth="1"/>
    <col min="3" max="3" width="24.33203125" style="2" customWidth="1"/>
    <col min="4" max="4" width="11.44140625" style="2" bestFit="1" customWidth="1"/>
    <col min="5" max="5" width="4.44140625" style="2" bestFit="1" customWidth="1"/>
    <col min="6" max="6" width="18.33203125" style="2" bestFit="1" customWidth="1"/>
    <col min="7" max="7" width="13.5546875" style="2" bestFit="1" customWidth="1"/>
    <col min="8" max="8" width="8.5546875" style="2" bestFit="1" customWidth="1"/>
    <col min="9" max="9" width="8.6640625" style="2" bestFit="1" customWidth="1"/>
    <col min="10" max="10" width="6" style="2" bestFit="1" customWidth="1"/>
    <col min="11" max="11" width="7" style="2" bestFit="1" customWidth="1"/>
    <col min="12" max="12" width="8.6640625" style="2" bestFit="1" customWidth="1"/>
    <col min="13" max="13" width="7.6640625" style="4" bestFit="1" customWidth="1"/>
    <col min="14" max="14" width="6.109375" style="4" bestFit="1" customWidth="1"/>
    <col min="15" max="16384" width="9.109375" style="2"/>
  </cols>
  <sheetData>
    <row r="1" spans="1:15" s="1" customFormat="1" x14ac:dyDescent="0.3">
      <c r="A1" s="1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26</v>
      </c>
      <c r="N1" s="5" t="s">
        <v>27</v>
      </c>
    </row>
    <row r="2" spans="1:15" x14ac:dyDescent="0.3">
      <c r="A2" s="2" t="s">
        <v>12</v>
      </c>
      <c r="B2" s="2" t="s">
        <v>13</v>
      </c>
      <c r="C2" s="2" t="s">
        <v>21</v>
      </c>
      <c r="D2" s="2" t="s">
        <v>14</v>
      </c>
      <c r="E2" s="2">
        <v>30</v>
      </c>
      <c r="F2" s="2" t="s">
        <v>15</v>
      </c>
      <c r="G2" s="2" t="s">
        <v>25</v>
      </c>
      <c r="H2" s="2">
        <v>1230</v>
      </c>
      <c r="I2" s="2">
        <v>13</v>
      </c>
      <c r="J2" s="2">
        <v>0</v>
      </c>
      <c r="K2" s="2">
        <v>0</v>
      </c>
      <c r="L2" s="2">
        <v>64.2</v>
      </c>
      <c r="M2" s="4">
        <f>(82.5+66+71.5)/3</f>
        <v>73.333333333333329</v>
      </c>
      <c r="N2" s="4">
        <f>(66)/1</f>
        <v>66</v>
      </c>
      <c r="O2" s="2" cm="1">
        <f t="array" ref="O2:O451">_xlfn.SEQUENCE(450)</f>
        <v>1</v>
      </c>
    </row>
    <row r="3" spans="1:15" x14ac:dyDescent="0.3">
      <c r="A3" s="2" t="s">
        <v>12</v>
      </c>
      <c r="B3" s="2" t="s">
        <v>22</v>
      </c>
      <c r="C3" s="2" t="s">
        <v>28</v>
      </c>
      <c r="D3" s="2" t="s">
        <v>23</v>
      </c>
      <c r="E3" s="2">
        <v>21</v>
      </c>
      <c r="F3" s="2" t="s">
        <v>15</v>
      </c>
      <c r="G3" s="2" t="s">
        <v>25</v>
      </c>
      <c r="H3" s="2">
        <v>1199</v>
      </c>
      <c r="I3" s="2">
        <v>13</v>
      </c>
      <c r="J3" s="2">
        <v>4</v>
      </c>
      <c r="K3" s="2">
        <v>6</v>
      </c>
      <c r="L3" s="2">
        <v>133</v>
      </c>
      <c r="M3" s="4">
        <f>(44+44+55+110)/4</f>
        <v>63.25</v>
      </c>
      <c r="N3" s="4">
        <f>(110)/1</f>
        <v>110</v>
      </c>
      <c r="O3" s="2">
        <v>2</v>
      </c>
    </row>
    <row r="4" spans="1:15" x14ac:dyDescent="0.3">
      <c r="A4" s="2" t="s">
        <v>12</v>
      </c>
      <c r="B4" s="2" t="s">
        <v>17</v>
      </c>
      <c r="C4" s="2" t="s">
        <v>28</v>
      </c>
      <c r="D4" s="2" t="s">
        <v>14</v>
      </c>
      <c r="E4" s="2">
        <v>29</v>
      </c>
      <c r="F4" s="2" t="s">
        <v>16</v>
      </c>
      <c r="G4" s="2" t="s">
        <v>29</v>
      </c>
      <c r="H4" s="2">
        <v>1170</v>
      </c>
      <c r="I4" s="2">
        <v>13</v>
      </c>
      <c r="J4" s="2">
        <v>0</v>
      </c>
      <c r="K4" s="2">
        <v>0</v>
      </c>
      <c r="L4" s="2">
        <v>68.8</v>
      </c>
      <c r="M4" s="4">
        <f>(71.5+66+66)/3</f>
        <v>67.833333333333329</v>
      </c>
      <c r="N4" s="4">
        <f>(55)/1</f>
        <v>55</v>
      </c>
      <c r="O4" s="2">
        <v>3</v>
      </c>
    </row>
    <row r="5" spans="1:15" x14ac:dyDescent="0.3">
      <c r="A5" s="2" t="s">
        <v>12</v>
      </c>
      <c r="B5" s="2" t="s">
        <v>18</v>
      </c>
      <c r="C5" s="2" t="s">
        <v>30</v>
      </c>
      <c r="D5" s="2" t="s">
        <v>23</v>
      </c>
      <c r="E5" s="2">
        <v>34</v>
      </c>
      <c r="F5" s="2" t="s">
        <v>15</v>
      </c>
      <c r="G5" s="2" t="s">
        <v>25</v>
      </c>
      <c r="H5" s="2">
        <v>1106</v>
      </c>
      <c r="I5" s="2">
        <v>12</v>
      </c>
      <c r="J5" s="2">
        <v>15</v>
      </c>
      <c r="K5" s="2">
        <v>1</v>
      </c>
      <c r="L5" s="2">
        <v>121.5</v>
      </c>
      <c r="M5" s="4">
        <f>(27.5+27.5+27.5)/3</f>
        <v>27.5</v>
      </c>
      <c r="N5" s="4">
        <f>(33)/1</f>
        <v>33</v>
      </c>
      <c r="O5" s="2">
        <v>4</v>
      </c>
    </row>
    <row r="6" spans="1:15" x14ac:dyDescent="0.3">
      <c r="A6" s="2" t="s">
        <v>12</v>
      </c>
      <c r="B6" s="2" t="s">
        <v>20</v>
      </c>
      <c r="C6" s="2" t="s">
        <v>25</v>
      </c>
      <c r="D6" s="2" t="s">
        <v>24</v>
      </c>
      <c r="E6" s="2">
        <v>25</v>
      </c>
      <c r="F6" s="2" t="s">
        <v>19</v>
      </c>
      <c r="G6" s="2" t="s">
        <v>25</v>
      </c>
      <c r="H6" s="2">
        <v>1080</v>
      </c>
      <c r="I6" s="2">
        <v>12</v>
      </c>
      <c r="J6" s="2">
        <v>1</v>
      </c>
      <c r="K6" s="2">
        <v>0</v>
      </c>
      <c r="L6" s="2">
        <v>124.2</v>
      </c>
      <c r="M6" s="4">
        <f>(55+55+55)/3</f>
        <v>55</v>
      </c>
      <c r="N6" s="4">
        <f>(55)/1</f>
        <v>55</v>
      </c>
      <c r="O6" s="2">
        <v>5</v>
      </c>
    </row>
    <row r="7" spans="1:15" x14ac:dyDescent="0.3">
      <c r="A7" s="2" t="s">
        <v>12</v>
      </c>
      <c r="B7" s="2" t="s">
        <v>31</v>
      </c>
      <c r="C7" s="2" t="s">
        <v>37</v>
      </c>
      <c r="D7" s="2" t="s">
        <v>14</v>
      </c>
      <c r="E7" s="2">
        <v>30</v>
      </c>
      <c r="F7" s="2" t="s">
        <v>19</v>
      </c>
      <c r="G7" s="2" t="s">
        <v>25</v>
      </c>
      <c r="H7" s="2">
        <v>1080</v>
      </c>
      <c r="I7" s="2">
        <v>12</v>
      </c>
      <c r="J7" s="2">
        <v>0</v>
      </c>
      <c r="K7" s="2">
        <v>0</v>
      </c>
      <c r="L7" s="2">
        <v>61.2</v>
      </c>
      <c r="M7" s="4">
        <f>(4.4+4.4+6.6)/3</f>
        <v>5.1333333333333337</v>
      </c>
      <c r="N7" s="4">
        <f>(6.6)/1</f>
        <v>6.6</v>
      </c>
      <c r="O7" s="2">
        <v>6</v>
      </c>
    </row>
    <row r="8" spans="1:15" x14ac:dyDescent="0.3">
      <c r="A8" s="2" t="s">
        <v>12</v>
      </c>
      <c r="B8" s="2" t="s">
        <v>34</v>
      </c>
      <c r="C8" s="2" t="s">
        <v>38</v>
      </c>
      <c r="D8" s="2" t="s">
        <v>35</v>
      </c>
      <c r="E8" s="2">
        <v>36</v>
      </c>
      <c r="F8" s="2" t="s">
        <v>15</v>
      </c>
      <c r="G8" s="2" t="s">
        <v>25</v>
      </c>
      <c r="H8" s="2">
        <v>1077</v>
      </c>
      <c r="I8" s="2">
        <v>13</v>
      </c>
      <c r="J8" s="2">
        <v>0</v>
      </c>
      <c r="K8" s="2">
        <v>4</v>
      </c>
      <c r="L8" s="2">
        <v>124.5</v>
      </c>
      <c r="M8" s="4">
        <f>(11+11+11)/3</f>
        <v>11</v>
      </c>
      <c r="N8" s="4">
        <f>(11)/1</f>
        <v>11</v>
      </c>
      <c r="O8" s="2">
        <v>7</v>
      </c>
    </row>
    <row r="9" spans="1:15" x14ac:dyDescent="0.3">
      <c r="A9" s="2" t="s">
        <v>12</v>
      </c>
      <c r="B9" s="2" t="s">
        <v>36</v>
      </c>
      <c r="C9" s="2" t="s">
        <v>28</v>
      </c>
      <c r="D9" s="2" t="s">
        <v>24</v>
      </c>
      <c r="E9" s="2">
        <v>24</v>
      </c>
      <c r="F9" s="2" t="s">
        <v>15</v>
      </c>
      <c r="G9" s="2" t="s">
        <v>25</v>
      </c>
      <c r="H9" s="2">
        <v>1076</v>
      </c>
      <c r="I9" s="2">
        <v>12</v>
      </c>
      <c r="J9" s="2">
        <v>0</v>
      </c>
      <c r="K9" s="2">
        <v>0</v>
      </c>
      <c r="L9" s="2">
        <v>110.4</v>
      </c>
      <c r="M9" s="4">
        <f>(33+44+66)/3</f>
        <v>47.666666666666664</v>
      </c>
      <c r="N9" s="4">
        <f>(66)/1</f>
        <v>66</v>
      </c>
      <c r="O9" s="2">
        <v>8</v>
      </c>
    </row>
    <row r="10" spans="1:15" x14ac:dyDescent="0.3">
      <c r="A10" s="2" t="s">
        <v>12</v>
      </c>
      <c r="B10" s="2" t="s">
        <v>32</v>
      </c>
      <c r="C10" s="2" t="s">
        <v>25</v>
      </c>
      <c r="D10" s="2" t="s">
        <v>35</v>
      </c>
      <c r="E10" s="2">
        <v>33</v>
      </c>
      <c r="F10" s="2" t="s">
        <v>19</v>
      </c>
      <c r="G10" s="2" t="s">
        <v>25</v>
      </c>
      <c r="H10" s="2">
        <v>1055</v>
      </c>
      <c r="I10" s="2">
        <v>12</v>
      </c>
      <c r="J10" s="2">
        <v>1</v>
      </c>
      <c r="K10" s="2">
        <v>3</v>
      </c>
      <c r="L10" s="2">
        <v>130.9</v>
      </c>
      <c r="M10" s="4">
        <f>(11+11+9.9+9.9)/4</f>
        <v>10.45</v>
      </c>
      <c r="N10" s="4">
        <f>(9.9)/1</f>
        <v>9.9</v>
      </c>
      <c r="O10" s="2">
        <v>9</v>
      </c>
    </row>
    <row r="11" spans="1:15" x14ac:dyDescent="0.3">
      <c r="A11" s="2" t="s">
        <v>12</v>
      </c>
      <c r="B11" s="2" t="s">
        <v>33</v>
      </c>
      <c r="C11" s="2" t="s">
        <v>30</v>
      </c>
      <c r="D11" s="2" t="s">
        <v>35</v>
      </c>
      <c r="E11" s="2">
        <v>33</v>
      </c>
      <c r="F11" s="2" t="s">
        <v>19</v>
      </c>
      <c r="G11" s="2" t="s">
        <v>25</v>
      </c>
      <c r="H11" s="2">
        <v>1046</v>
      </c>
      <c r="I11" s="2">
        <v>12</v>
      </c>
      <c r="J11" s="2">
        <v>2</v>
      </c>
      <c r="K11" s="2">
        <v>4</v>
      </c>
      <c r="L11" s="2">
        <v>130.9</v>
      </c>
      <c r="M11" s="4">
        <f>(2.2+2.75)/2</f>
        <v>2.4750000000000001</v>
      </c>
      <c r="N11" s="4">
        <f>(3.3+3.3)/2</f>
        <v>3.3</v>
      </c>
      <c r="O11" s="2">
        <v>10</v>
      </c>
    </row>
    <row r="12" spans="1:15" x14ac:dyDescent="0.3">
      <c r="A12" s="2" t="s">
        <v>12</v>
      </c>
      <c r="B12" s="2" t="s">
        <v>39</v>
      </c>
      <c r="C12" s="2" t="s">
        <v>25</v>
      </c>
      <c r="D12" s="2" t="s">
        <v>24</v>
      </c>
      <c r="E12" s="2">
        <v>36</v>
      </c>
      <c r="F12" s="2" t="s">
        <v>19</v>
      </c>
      <c r="G12" s="2" t="s">
        <v>25</v>
      </c>
      <c r="H12" s="2">
        <v>1045</v>
      </c>
      <c r="I12" s="2">
        <v>12</v>
      </c>
      <c r="J12" s="2">
        <v>0</v>
      </c>
      <c r="K12" s="2">
        <v>0</v>
      </c>
      <c r="L12" s="2">
        <v>115.7</v>
      </c>
      <c r="M12" s="4">
        <f>(2.75+2.75+2.75)/3</f>
        <v>2.75</v>
      </c>
      <c r="N12" s="4">
        <f>(3.3)/1</f>
        <v>3.3</v>
      </c>
      <c r="O12" s="2">
        <v>11</v>
      </c>
    </row>
    <row r="13" spans="1:15" x14ac:dyDescent="0.3">
      <c r="A13" s="2" t="s">
        <v>12</v>
      </c>
      <c r="B13" s="2" t="s">
        <v>40</v>
      </c>
      <c r="C13" s="2" t="s">
        <v>45</v>
      </c>
      <c r="D13" s="2" t="s">
        <v>24</v>
      </c>
      <c r="E13" s="2">
        <v>30</v>
      </c>
      <c r="F13" s="2" t="s">
        <v>15</v>
      </c>
      <c r="G13" s="2" t="s">
        <v>25</v>
      </c>
      <c r="H13" s="2">
        <v>1040</v>
      </c>
      <c r="I13" s="2">
        <v>12</v>
      </c>
      <c r="J13" s="2">
        <v>1</v>
      </c>
      <c r="K13" s="2">
        <v>0</v>
      </c>
      <c r="L13" s="2">
        <v>112.3</v>
      </c>
      <c r="M13" s="4">
        <f>(60.5+60.5+60.5)/3</f>
        <v>60.5</v>
      </c>
      <c r="N13" s="4">
        <f>(60.5)/1</f>
        <v>60.5</v>
      </c>
      <c r="O13" s="2">
        <v>12</v>
      </c>
    </row>
    <row r="14" spans="1:15" x14ac:dyDescent="0.3">
      <c r="A14" s="2" t="s">
        <v>12</v>
      </c>
      <c r="B14" s="2" t="s">
        <v>41</v>
      </c>
      <c r="C14" s="2" t="s">
        <v>46</v>
      </c>
      <c r="D14" s="2" t="s">
        <v>23</v>
      </c>
      <c r="E14" s="2">
        <v>30</v>
      </c>
      <c r="F14" s="2" t="s">
        <v>16</v>
      </c>
      <c r="G14" s="2" t="s">
        <v>29</v>
      </c>
      <c r="H14" s="2">
        <v>1008</v>
      </c>
      <c r="I14" s="2">
        <v>13</v>
      </c>
      <c r="J14" s="2">
        <v>8</v>
      </c>
      <c r="K14" s="2">
        <v>2</v>
      </c>
      <c r="L14" s="2">
        <v>112</v>
      </c>
      <c r="M14" s="4">
        <f>(121+110+110)/3</f>
        <v>113.66666666666667</v>
      </c>
      <c r="N14" s="4">
        <f>(99)/1</f>
        <v>99</v>
      </c>
      <c r="O14" s="2">
        <v>13</v>
      </c>
    </row>
    <row r="15" spans="1:15" x14ac:dyDescent="0.3">
      <c r="A15" s="2" t="s">
        <v>12</v>
      </c>
      <c r="B15" s="2" t="s">
        <v>42</v>
      </c>
      <c r="C15" s="2" t="s">
        <v>28</v>
      </c>
      <c r="D15" s="2" t="s">
        <v>14</v>
      </c>
      <c r="E15" s="2">
        <v>28</v>
      </c>
      <c r="F15" s="2" t="s">
        <v>44</v>
      </c>
      <c r="G15" s="2" t="s">
        <v>29</v>
      </c>
      <c r="H15" s="2">
        <v>1003</v>
      </c>
      <c r="I15" s="2">
        <v>11</v>
      </c>
      <c r="J15" s="2">
        <v>0</v>
      </c>
      <c r="K15" s="2">
        <v>0</v>
      </c>
      <c r="L15" s="2">
        <v>51.6</v>
      </c>
      <c r="M15" s="4">
        <f>(61.6+55+55)/3</f>
        <v>57.199999999999996</v>
      </c>
      <c r="N15" s="4">
        <f>(49.5)/1</f>
        <v>49.5</v>
      </c>
      <c r="O15" s="2">
        <v>14</v>
      </c>
    </row>
    <row r="16" spans="1:15" x14ac:dyDescent="0.3">
      <c r="A16" s="2" t="s">
        <v>12</v>
      </c>
      <c r="B16" s="2" t="s">
        <v>43</v>
      </c>
      <c r="C16" s="2" t="s">
        <v>47</v>
      </c>
      <c r="D16" s="2" t="s">
        <v>35</v>
      </c>
      <c r="E16" s="2">
        <v>31</v>
      </c>
      <c r="F16" s="2" t="s">
        <v>44</v>
      </c>
      <c r="G16" s="2" t="s">
        <v>29</v>
      </c>
      <c r="H16" s="2">
        <v>986</v>
      </c>
      <c r="I16" s="2">
        <v>12</v>
      </c>
      <c r="J16" s="2">
        <v>7</v>
      </c>
      <c r="K16" s="2">
        <v>2</v>
      </c>
      <c r="L16" s="2">
        <v>120.1</v>
      </c>
      <c r="M16" s="4">
        <f>(46.2+46.2+44)/3</f>
        <v>45.466666666666669</v>
      </c>
      <c r="N16" s="4">
        <f>(38.5)/1</f>
        <v>38.5</v>
      </c>
      <c r="O16" s="2">
        <v>15</v>
      </c>
    </row>
    <row r="17" spans="1:15" x14ac:dyDescent="0.3">
      <c r="A17" s="2" t="s">
        <v>12</v>
      </c>
      <c r="B17" s="2" t="s">
        <v>48</v>
      </c>
      <c r="C17" s="2" t="s">
        <v>25</v>
      </c>
      <c r="D17" s="2" t="s">
        <v>24</v>
      </c>
      <c r="E17" s="2">
        <v>30</v>
      </c>
      <c r="F17" s="2" t="s">
        <v>15</v>
      </c>
      <c r="G17" s="2" t="s">
        <v>25</v>
      </c>
      <c r="H17" s="2">
        <v>959</v>
      </c>
      <c r="I17" s="2">
        <v>11</v>
      </c>
      <c r="J17" s="2">
        <v>0</v>
      </c>
      <c r="K17" s="2">
        <v>1</v>
      </c>
      <c r="L17" s="2">
        <v>112.8</v>
      </c>
      <c r="M17" s="4">
        <f>(44+33+27.5+22)/4</f>
        <v>31.625</v>
      </c>
      <c r="N17" s="4">
        <f>(19.8+19.8)/2</f>
        <v>19.8</v>
      </c>
      <c r="O17" s="2">
        <v>16</v>
      </c>
    </row>
    <row r="18" spans="1:15" x14ac:dyDescent="0.3">
      <c r="A18" s="2" t="s">
        <v>12</v>
      </c>
      <c r="B18" s="2" t="s">
        <v>49</v>
      </c>
      <c r="C18" s="2" t="s">
        <v>28</v>
      </c>
      <c r="D18" s="2" t="s">
        <v>35</v>
      </c>
      <c r="E18" s="2">
        <v>30</v>
      </c>
      <c r="F18" s="2" t="s">
        <v>15</v>
      </c>
      <c r="G18" s="2" t="s">
        <v>25</v>
      </c>
      <c r="H18" s="2">
        <v>914</v>
      </c>
      <c r="I18" s="2">
        <v>11</v>
      </c>
      <c r="J18" s="2">
        <v>0</v>
      </c>
      <c r="K18" s="2">
        <v>0</v>
      </c>
      <c r="L18" s="2">
        <v>107.6</v>
      </c>
      <c r="M18" s="4">
        <f>(77+77+66)/3</f>
        <v>73.333333333333329</v>
      </c>
      <c r="N18" s="4">
        <f>(55+44)/2</f>
        <v>49.5</v>
      </c>
      <c r="O18" s="2">
        <v>17</v>
      </c>
    </row>
    <row r="19" spans="1:15" x14ac:dyDescent="0.3">
      <c r="A19" s="2" t="s">
        <v>12</v>
      </c>
      <c r="B19" s="2" t="s">
        <v>53</v>
      </c>
      <c r="C19" s="2" t="s">
        <v>54</v>
      </c>
      <c r="D19" s="2" t="s">
        <v>23</v>
      </c>
      <c r="E19" s="2">
        <v>25</v>
      </c>
      <c r="F19" s="2" t="s">
        <v>50</v>
      </c>
      <c r="G19" s="2" t="s">
        <v>55</v>
      </c>
      <c r="H19" s="2">
        <v>908</v>
      </c>
      <c r="I19" s="2">
        <v>13</v>
      </c>
      <c r="J19" s="2">
        <v>4</v>
      </c>
      <c r="K19" s="2">
        <v>1</v>
      </c>
      <c r="L19" s="2">
        <v>111.4</v>
      </c>
      <c r="M19" s="4">
        <f>(19.8+19.8+27.5+44)/4</f>
        <v>27.774999999999999</v>
      </c>
      <c r="N19" s="4">
        <f>(49.5+71.5)/2</f>
        <v>60.5</v>
      </c>
      <c r="O19" s="2">
        <v>18</v>
      </c>
    </row>
    <row r="20" spans="1:15" x14ac:dyDescent="0.3">
      <c r="A20" s="2" t="s">
        <v>12</v>
      </c>
      <c r="B20" s="2" t="s">
        <v>51</v>
      </c>
      <c r="C20" s="2" t="s">
        <v>56</v>
      </c>
      <c r="D20" s="2" t="s">
        <v>35</v>
      </c>
      <c r="E20" s="2">
        <v>25</v>
      </c>
      <c r="F20" s="2" t="s">
        <v>19</v>
      </c>
      <c r="G20" s="2" t="s">
        <v>25</v>
      </c>
      <c r="H20" s="2">
        <v>906</v>
      </c>
      <c r="I20" s="2">
        <v>11</v>
      </c>
      <c r="J20" s="2">
        <v>6</v>
      </c>
      <c r="K20" s="2">
        <v>2</v>
      </c>
      <c r="L20" s="2">
        <v>107.8</v>
      </c>
      <c r="M20" s="4">
        <f>(13.2+16.5+27.5+44)/4</f>
        <v>25.3</v>
      </c>
      <c r="N20" s="4">
        <f>(55+55)/2</f>
        <v>55</v>
      </c>
      <c r="O20" s="2">
        <v>19</v>
      </c>
    </row>
    <row r="21" spans="1:15" x14ac:dyDescent="0.3">
      <c r="A21" s="2" t="s">
        <v>12</v>
      </c>
      <c r="B21" s="2" t="s">
        <v>52</v>
      </c>
      <c r="C21" s="2" t="s">
        <v>57</v>
      </c>
      <c r="D21" s="2" t="s">
        <v>35</v>
      </c>
      <c r="E21" s="2">
        <v>32</v>
      </c>
      <c r="F21" s="2" t="s">
        <v>15</v>
      </c>
      <c r="G21" s="2" t="s">
        <v>25</v>
      </c>
      <c r="H21" s="2">
        <v>902</v>
      </c>
      <c r="I21" s="2">
        <v>12</v>
      </c>
      <c r="J21" s="2">
        <v>2</v>
      </c>
      <c r="K21" s="2">
        <v>0</v>
      </c>
      <c r="L21" s="2">
        <v>116.5</v>
      </c>
      <c r="M21" s="4">
        <f>(55+44+33+27.5)/4</f>
        <v>39.875</v>
      </c>
      <c r="N21" s="4">
        <f>(22)/1</f>
        <v>22</v>
      </c>
      <c r="O21" s="2">
        <v>20</v>
      </c>
    </row>
    <row r="22" spans="1:15" x14ac:dyDescent="0.3">
      <c r="A22" s="2" t="s">
        <v>12</v>
      </c>
      <c r="B22" s="2" t="s">
        <v>59</v>
      </c>
      <c r="C22" s="2" t="s">
        <v>21</v>
      </c>
      <c r="D22" s="2" t="s">
        <v>24</v>
      </c>
      <c r="E22" s="2">
        <v>35</v>
      </c>
      <c r="F22" s="2" t="s">
        <v>58</v>
      </c>
      <c r="G22" s="2" t="s">
        <v>55</v>
      </c>
      <c r="H22" s="2">
        <v>900</v>
      </c>
      <c r="I22" s="2">
        <v>10</v>
      </c>
      <c r="J22" s="2">
        <v>0</v>
      </c>
      <c r="K22" s="2">
        <v>1</v>
      </c>
      <c r="L22" s="2">
        <v>97.9</v>
      </c>
      <c r="M22" s="4">
        <f>(11+7.6+6.6+4.4)/4</f>
        <v>7.4</v>
      </c>
      <c r="N22" s="4">
        <f>(3.3+2.2)/2</f>
        <v>2.75</v>
      </c>
      <c r="O22" s="2">
        <v>21</v>
      </c>
    </row>
    <row r="23" spans="1:15" x14ac:dyDescent="0.3">
      <c r="A23" s="2" t="s">
        <v>12</v>
      </c>
      <c r="B23" s="2" t="s">
        <v>60</v>
      </c>
      <c r="C23" s="2" t="s">
        <v>65</v>
      </c>
      <c r="D23" s="2" t="s">
        <v>14</v>
      </c>
      <c r="E23" s="2">
        <v>28</v>
      </c>
      <c r="F23" s="2" t="s">
        <v>58</v>
      </c>
      <c r="G23" s="2" t="s">
        <v>55</v>
      </c>
      <c r="H23" s="2">
        <v>900</v>
      </c>
      <c r="I23" s="2">
        <v>10</v>
      </c>
      <c r="J23" s="2">
        <v>0</v>
      </c>
      <c r="K23" s="2">
        <v>0</v>
      </c>
      <c r="L23" s="2">
        <v>55.4</v>
      </c>
      <c r="M23" s="4">
        <f>(19.8+16.5+13.2+16.5)/4</f>
        <v>16.5</v>
      </c>
      <c r="N23" s="4">
        <f>(16.5)/1</f>
        <v>16.5</v>
      </c>
      <c r="O23" s="2">
        <v>22</v>
      </c>
    </row>
    <row r="24" spans="1:15" x14ac:dyDescent="0.3">
      <c r="A24" s="2" t="s">
        <v>12</v>
      </c>
      <c r="B24" s="2" t="s">
        <v>61</v>
      </c>
      <c r="C24" s="2" t="s">
        <v>66</v>
      </c>
      <c r="D24" s="2" t="s">
        <v>14</v>
      </c>
      <c r="E24" s="2">
        <v>29</v>
      </c>
      <c r="F24" s="2" t="s">
        <v>64</v>
      </c>
      <c r="G24" s="2" t="s">
        <v>25</v>
      </c>
      <c r="H24" s="2">
        <v>900</v>
      </c>
      <c r="I24" s="2">
        <v>10</v>
      </c>
      <c r="J24" s="2">
        <v>0</v>
      </c>
      <c r="K24" s="2">
        <v>0</v>
      </c>
      <c r="L24" s="2">
        <v>52.7</v>
      </c>
      <c r="M24" s="4">
        <f>(99+77+66)/3</f>
        <v>80.666666666666671</v>
      </c>
      <c r="N24" s="4">
        <f>(49.5)/1</f>
        <v>49.5</v>
      </c>
      <c r="O24" s="2">
        <v>23</v>
      </c>
    </row>
    <row r="25" spans="1:15" x14ac:dyDescent="0.3">
      <c r="A25" s="2" t="s">
        <v>12</v>
      </c>
      <c r="B25" s="2" t="s">
        <v>62</v>
      </c>
      <c r="C25" s="2" t="s">
        <v>37</v>
      </c>
      <c r="D25" s="2" t="s">
        <v>24</v>
      </c>
      <c r="E25" s="2">
        <v>24</v>
      </c>
      <c r="F25" s="2" t="s">
        <v>19</v>
      </c>
      <c r="G25" s="2" t="s">
        <v>25</v>
      </c>
      <c r="H25" s="2">
        <v>891</v>
      </c>
      <c r="I25" s="2">
        <v>10</v>
      </c>
      <c r="J25" s="2">
        <v>0</v>
      </c>
      <c r="K25" s="2">
        <v>0</v>
      </c>
      <c r="L25" s="2">
        <v>98.7</v>
      </c>
      <c r="M25" s="4">
        <f>(11+13.2+16.5+22)/4</f>
        <v>15.675000000000001</v>
      </c>
      <c r="N25" s="4">
        <f>(27.5)/1</f>
        <v>27.5</v>
      </c>
      <c r="O25" s="2">
        <v>24</v>
      </c>
    </row>
    <row r="26" spans="1:15" x14ac:dyDescent="0.3">
      <c r="A26" s="2" t="s">
        <v>12</v>
      </c>
      <c r="B26" s="2" t="s">
        <v>63</v>
      </c>
      <c r="C26" s="2" t="s">
        <v>55</v>
      </c>
      <c r="D26" s="2" t="s">
        <v>35</v>
      </c>
      <c r="E26" s="2">
        <v>27</v>
      </c>
      <c r="F26" s="2" t="s">
        <v>44</v>
      </c>
      <c r="G26" s="2" t="s">
        <v>29</v>
      </c>
      <c r="H26" s="2">
        <v>878</v>
      </c>
      <c r="I26" s="2">
        <v>11</v>
      </c>
      <c r="J26" s="2">
        <v>3</v>
      </c>
      <c r="K26" s="2">
        <v>3</v>
      </c>
      <c r="L26" s="2">
        <v>120.3</v>
      </c>
      <c r="M26" s="4">
        <f>(77+77+82.5)/3</f>
        <v>78.833333333333329</v>
      </c>
      <c r="N26" s="4">
        <f>(88)/1</f>
        <v>88</v>
      </c>
      <c r="O26" s="2">
        <v>25</v>
      </c>
    </row>
    <row r="27" spans="1:15" x14ac:dyDescent="0.3">
      <c r="A27" s="2" t="s">
        <v>12</v>
      </c>
      <c r="B27" s="2" t="s">
        <v>68</v>
      </c>
      <c r="C27" s="2" t="s">
        <v>863</v>
      </c>
      <c r="D27" s="2" t="s">
        <v>23</v>
      </c>
      <c r="E27" s="2">
        <v>33</v>
      </c>
      <c r="F27" s="2" t="s">
        <v>67</v>
      </c>
      <c r="G27" s="2" t="s">
        <v>57</v>
      </c>
      <c r="H27" s="2">
        <v>876</v>
      </c>
      <c r="I27" s="2">
        <v>10</v>
      </c>
      <c r="J27" s="2">
        <v>13</v>
      </c>
      <c r="K27" s="2">
        <v>3</v>
      </c>
      <c r="L27" s="2">
        <v>99.7</v>
      </c>
      <c r="M27" s="4">
        <f>(66+66+55)/3</f>
        <v>62.333333333333336</v>
      </c>
      <c r="N27" s="4">
        <f>(49.5)/1</f>
        <v>49.5</v>
      </c>
      <c r="O27" s="2">
        <v>26</v>
      </c>
    </row>
    <row r="28" spans="1:15" x14ac:dyDescent="0.3">
      <c r="A28" s="2" t="s">
        <v>12</v>
      </c>
      <c r="B28" s="2" t="s">
        <v>69</v>
      </c>
      <c r="C28" s="2" t="s">
        <v>30</v>
      </c>
      <c r="D28" s="2" t="s">
        <v>24</v>
      </c>
      <c r="E28" s="2">
        <v>27</v>
      </c>
      <c r="F28" s="2" t="s">
        <v>15</v>
      </c>
      <c r="G28" s="2" t="s">
        <v>25</v>
      </c>
      <c r="H28" s="2">
        <v>867</v>
      </c>
      <c r="I28" s="2">
        <v>10</v>
      </c>
      <c r="J28" s="2">
        <v>0</v>
      </c>
      <c r="K28" s="2">
        <v>2</v>
      </c>
      <c r="L28" s="2">
        <v>96.3</v>
      </c>
      <c r="M28" s="4">
        <f>(44+55+55+55)/4</f>
        <v>52.25</v>
      </c>
      <c r="N28" s="4">
        <f>(44)/1</f>
        <v>44</v>
      </c>
      <c r="O28" s="2">
        <v>27</v>
      </c>
    </row>
    <row r="29" spans="1:15" x14ac:dyDescent="0.3">
      <c r="A29" s="2" t="s">
        <v>12</v>
      </c>
      <c r="B29" s="2" t="s">
        <v>71</v>
      </c>
      <c r="C29" s="2" t="s">
        <v>25</v>
      </c>
      <c r="D29" s="2" t="s">
        <v>24</v>
      </c>
      <c r="E29" s="2">
        <v>26</v>
      </c>
      <c r="F29" s="2" t="s">
        <v>58</v>
      </c>
      <c r="G29" s="2" t="s">
        <v>55</v>
      </c>
      <c r="H29" s="2">
        <v>863</v>
      </c>
      <c r="I29" s="2">
        <v>10</v>
      </c>
      <c r="J29" s="2">
        <v>0</v>
      </c>
      <c r="K29" s="2">
        <v>3</v>
      </c>
      <c r="L29" s="2">
        <v>107.7</v>
      </c>
      <c r="M29" s="4">
        <f>(30.8+24.2+24.2+22)/4</f>
        <v>25.3</v>
      </c>
      <c r="N29" s="4">
        <f>(22)/1</f>
        <v>22</v>
      </c>
      <c r="O29" s="2">
        <v>28</v>
      </c>
    </row>
    <row r="30" spans="1:15" x14ac:dyDescent="0.3">
      <c r="A30" s="2" t="s">
        <v>12</v>
      </c>
      <c r="B30" s="2" t="s">
        <v>73</v>
      </c>
      <c r="C30" s="2" t="s">
        <v>28</v>
      </c>
      <c r="D30" s="2" t="s">
        <v>35</v>
      </c>
      <c r="E30" s="2">
        <v>28</v>
      </c>
      <c r="F30" s="2" t="s">
        <v>16</v>
      </c>
      <c r="G30" s="2" t="s">
        <v>29</v>
      </c>
      <c r="H30" s="2">
        <v>849</v>
      </c>
      <c r="I30" s="2">
        <v>13</v>
      </c>
      <c r="J30" s="2">
        <v>1</v>
      </c>
      <c r="K30" s="2">
        <v>0</v>
      </c>
      <c r="L30" s="2">
        <v>105.5</v>
      </c>
      <c r="M30" s="4">
        <f>(66+66+66)/3</f>
        <v>66</v>
      </c>
      <c r="N30" s="4">
        <f>(66)/1</f>
        <v>66</v>
      </c>
      <c r="O30" s="2">
        <v>29</v>
      </c>
    </row>
    <row r="31" spans="1:15" x14ac:dyDescent="0.3">
      <c r="A31" s="2" t="s">
        <v>12</v>
      </c>
      <c r="B31" s="2" t="s">
        <v>76</v>
      </c>
      <c r="C31" s="2" t="s">
        <v>25</v>
      </c>
      <c r="D31" s="2" t="s">
        <v>35</v>
      </c>
      <c r="E31" s="2">
        <v>26</v>
      </c>
      <c r="F31" s="2" t="s">
        <v>44</v>
      </c>
      <c r="G31" s="2" t="s">
        <v>29</v>
      </c>
      <c r="H31" s="2">
        <v>842</v>
      </c>
      <c r="I31" s="2">
        <v>10</v>
      </c>
      <c r="J31" s="2">
        <v>0</v>
      </c>
      <c r="K31" s="2">
        <v>0</v>
      </c>
      <c r="L31" s="2">
        <v>114.6</v>
      </c>
      <c r="M31" s="4">
        <f>(77+77+77)/3</f>
        <v>77</v>
      </c>
      <c r="N31" s="4">
        <f>(88)/1</f>
        <v>88</v>
      </c>
      <c r="O31" s="2">
        <v>30</v>
      </c>
    </row>
    <row r="32" spans="1:15" x14ac:dyDescent="0.3">
      <c r="A32" s="2" t="s">
        <v>12</v>
      </c>
      <c r="B32" s="2" t="s">
        <v>84</v>
      </c>
      <c r="C32" s="2" t="s">
        <v>55</v>
      </c>
      <c r="D32" s="2" t="s">
        <v>24</v>
      </c>
      <c r="E32" s="2">
        <v>28</v>
      </c>
      <c r="F32" s="2" t="s">
        <v>44</v>
      </c>
      <c r="G32" s="2" t="s">
        <v>29</v>
      </c>
      <c r="H32" s="2">
        <v>840</v>
      </c>
      <c r="I32" s="2">
        <v>9</v>
      </c>
      <c r="J32" s="2">
        <v>2</v>
      </c>
      <c r="K32" s="2">
        <v>3</v>
      </c>
      <c r="L32" s="2">
        <v>100.3</v>
      </c>
      <c r="M32" s="4">
        <f>(55+60.5+66)/3</f>
        <v>60.5</v>
      </c>
      <c r="N32" s="4">
        <f>(71.5)/1</f>
        <v>71.5</v>
      </c>
      <c r="O32" s="2">
        <v>31</v>
      </c>
    </row>
    <row r="33" spans="1:15" x14ac:dyDescent="0.3">
      <c r="A33" s="2" t="s">
        <v>12</v>
      </c>
      <c r="B33" s="2" t="s">
        <v>85</v>
      </c>
      <c r="C33" s="2" t="s">
        <v>57</v>
      </c>
      <c r="D33" s="2" t="s">
        <v>24</v>
      </c>
      <c r="E33" s="2">
        <v>29</v>
      </c>
      <c r="F33" s="2" t="s">
        <v>79</v>
      </c>
      <c r="G33" s="2" t="s">
        <v>29</v>
      </c>
      <c r="H33" s="2">
        <v>840</v>
      </c>
      <c r="I33" s="2">
        <v>9</v>
      </c>
      <c r="J33" s="2">
        <v>1</v>
      </c>
      <c r="K33" s="2">
        <v>0</v>
      </c>
      <c r="L33" s="2">
        <v>88.4</v>
      </c>
      <c r="M33" s="4">
        <f>(27.5+30.8+38.5+38.5)/4</f>
        <v>33.825000000000003</v>
      </c>
      <c r="N33" s="4">
        <f>(44)/1</f>
        <v>44</v>
      </c>
      <c r="O33" s="2">
        <v>32</v>
      </c>
    </row>
    <row r="34" spans="1:15" x14ac:dyDescent="0.3">
      <c r="A34" s="2" t="s">
        <v>12</v>
      </c>
      <c r="B34" s="2" t="s">
        <v>69</v>
      </c>
      <c r="C34" s="2" t="s">
        <v>864</v>
      </c>
      <c r="D34" s="2" t="s">
        <v>14</v>
      </c>
      <c r="E34" s="2">
        <v>30</v>
      </c>
      <c r="F34" s="2" t="s">
        <v>79</v>
      </c>
      <c r="G34" s="2" t="s">
        <v>29</v>
      </c>
      <c r="H34" s="2">
        <v>840</v>
      </c>
      <c r="I34" s="2">
        <v>9</v>
      </c>
      <c r="J34" s="2">
        <v>0</v>
      </c>
      <c r="K34" s="2">
        <v>0</v>
      </c>
      <c r="L34" s="2">
        <v>57.4</v>
      </c>
      <c r="M34" s="4">
        <f>(27.5+27.5+33+35.2)/4</f>
        <v>30.8</v>
      </c>
      <c r="N34" s="4">
        <f>(35.2)</f>
        <v>35.200000000000003</v>
      </c>
      <c r="O34" s="2">
        <v>33</v>
      </c>
    </row>
    <row r="35" spans="1:15" x14ac:dyDescent="0.3">
      <c r="A35" s="2" t="s">
        <v>12</v>
      </c>
      <c r="B35" s="2" t="s">
        <v>82</v>
      </c>
      <c r="C35" s="2" t="s">
        <v>865</v>
      </c>
      <c r="D35" s="2" t="s">
        <v>24</v>
      </c>
      <c r="E35" s="2">
        <v>28</v>
      </c>
      <c r="F35" s="2" t="s">
        <v>16</v>
      </c>
      <c r="G35" s="2" t="s">
        <v>29</v>
      </c>
      <c r="H35" s="2">
        <v>826</v>
      </c>
      <c r="I35" s="2">
        <v>10</v>
      </c>
      <c r="J35" s="2">
        <v>0</v>
      </c>
      <c r="K35" s="2">
        <v>2</v>
      </c>
      <c r="L35" s="2">
        <v>97.7</v>
      </c>
      <c r="M35" s="4">
        <f>(77+71.5+71.5)/3</f>
        <v>73.333333333333329</v>
      </c>
      <c r="N35" s="4">
        <f>(71.5)/1</f>
        <v>71.5</v>
      </c>
      <c r="O35" s="2">
        <v>34</v>
      </c>
    </row>
    <row r="36" spans="1:15" x14ac:dyDescent="0.3">
      <c r="A36" s="2" t="s">
        <v>12</v>
      </c>
      <c r="B36" s="2" t="s">
        <v>86</v>
      </c>
      <c r="C36" s="2" t="s">
        <v>864</v>
      </c>
      <c r="D36" s="2" t="s">
        <v>35</v>
      </c>
      <c r="E36" s="2">
        <v>30</v>
      </c>
      <c r="F36" s="2" t="s">
        <v>16</v>
      </c>
      <c r="G36" s="2" t="s">
        <v>29</v>
      </c>
      <c r="H36" s="2">
        <v>822</v>
      </c>
      <c r="I36" s="2">
        <v>13</v>
      </c>
      <c r="J36" s="2">
        <v>5</v>
      </c>
      <c r="K36" s="2">
        <v>1</v>
      </c>
      <c r="L36" s="2">
        <v>100.3</v>
      </c>
      <c r="M36" s="4">
        <f>(110+93.5+88)/3</f>
        <v>97.166666666666671</v>
      </c>
      <c r="N36" s="4">
        <f>(77)/1</f>
        <v>77</v>
      </c>
      <c r="O36" s="2">
        <v>35</v>
      </c>
    </row>
    <row r="37" spans="1:15" x14ac:dyDescent="0.3">
      <c r="A37" s="2" t="s">
        <v>12</v>
      </c>
      <c r="B37" s="2" t="s">
        <v>88</v>
      </c>
      <c r="C37" s="2" t="s">
        <v>866</v>
      </c>
      <c r="D37" s="2" t="s">
        <v>24</v>
      </c>
      <c r="E37" s="2">
        <v>28</v>
      </c>
      <c r="F37" s="2" t="s">
        <v>64</v>
      </c>
      <c r="G37" s="2" t="s">
        <v>25</v>
      </c>
      <c r="H37" s="2">
        <v>816</v>
      </c>
      <c r="I37" s="2">
        <v>10</v>
      </c>
      <c r="J37" s="2">
        <v>0</v>
      </c>
      <c r="K37" s="2">
        <v>0</v>
      </c>
      <c r="L37" s="2">
        <v>88.8</v>
      </c>
      <c r="M37" s="4">
        <f>(6.6+9.9+7.7+11)/4</f>
        <v>8.8000000000000007</v>
      </c>
      <c r="N37" s="4">
        <f>(16.5+24.2)/2</f>
        <v>20.350000000000001</v>
      </c>
      <c r="O37" s="2">
        <v>36</v>
      </c>
    </row>
    <row r="38" spans="1:15" x14ac:dyDescent="0.3">
      <c r="A38" s="2" t="s">
        <v>12</v>
      </c>
      <c r="B38" s="2" t="s">
        <v>90</v>
      </c>
      <c r="C38" s="2" t="s">
        <v>56</v>
      </c>
      <c r="D38" s="2" t="s">
        <v>24</v>
      </c>
      <c r="E38" s="2">
        <v>31</v>
      </c>
      <c r="F38" s="2" t="s">
        <v>16</v>
      </c>
      <c r="G38" s="2" t="s">
        <v>29</v>
      </c>
      <c r="H38" s="2">
        <v>810</v>
      </c>
      <c r="I38" s="2">
        <v>9</v>
      </c>
      <c r="J38" s="2">
        <v>0</v>
      </c>
      <c r="K38" s="2">
        <v>1</v>
      </c>
      <c r="L38" s="2">
        <v>82.8</v>
      </c>
      <c r="M38" s="4">
        <f>(77+60.5+60.5)/3</f>
        <v>66</v>
      </c>
      <c r="N38" s="4">
        <f>(60.5)/1</f>
        <v>60.5</v>
      </c>
      <c r="O38" s="2">
        <v>37</v>
      </c>
    </row>
    <row r="39" spans="1:15" x14ac:dyDescent="0.3">
      <c r="A39" s="2" t="s">
        <v>12</v>
      </c>
      <c r="B39" s="2" t="s">
        <v>91</v>
      </c>
      <c r="C39" s="2" t="s">
        <v>57</v>
      </c>
      <c r="D39" s="2" t="s">
        <v>14</v>
      </c>
      <c r="E39" s="2">
        <v>36</v>
      </c>
      <c r="F39" s="2" t="s">
        <v>67</v>
      </c>
      <c r="G39" s="2" t="s">
        <v>57</v>
      </c>
      <c r="H39" s="2">
        <v>810</v>
      </c>
      <c r="I39" s="2">
        <v>9</v>
      </c>
      <c r="J39" s="2">
        <v>0</v>
      </c>
      <c r="K39" s="2">
        <v>1</v>
      </c>
      <c r="L39" s="2">
        <v>51.2</v>
      </c>
      <c r="M39" s="4">
        <f>(19.8+19.8+15.4)/3</f>
        <v>18.333333333333332</v>
      </c>
      <c r="N39" s="4">
        <f>(16.5)/1</f>
        <v>16.5</v>
      </c>
      <c r="O39" s="2">
        <v>38</v>
      </c>
    </row>
    <row r="40" spans="1:15" x14ac:dyDescent="0.3">
      <c r="A40" s="2" t="s">
        <v>12</v>
      </c>
      <c r="B40" s="2" t="s">
        <v>93</v>
      </c>
      <c r="C40" s="2" t="s">
        <v>57</v>
      </c>
      <c r="D40" s="2" t="s">
        <v>35</v>
      </c>
      <c r="E40" s="2">
        <v>26</v>
      </c>
      <c r="F40" s="2" t="s">
        <v>58</v>
      </c>
      <c r="G40" s="2" t="s">
        <v>55</v>
      </c>
      <c r="H40" s="2">
        <v>810</v>
      </c>
      <c r="I40" s="2">
        <v>9</v>
      </c>
      <c r="J40" s="2">
        <v>0</v>
      </c>
      <c r="K40" s="2">
        <v>0</v>
      </c>
      <c r="L40" s="2">
        <v>112</v>
      </c>
      <c r="M40" s="4">
        <f>(18.7+22+22+24.2)/4</f>
        <v>21.725000000000001</v>
      </c>
      <c r="N40" s="4">
        <f>(24.2)/1</f>
        <v>24.2</v>
      </c>
      <c r="O40" s="2">
        <v>39</v>
      </c>
    </row>
    <row r="41" spans="1:15" x14ac:dyDescent="0.3">
      <c r="A41" s="2" t="s">
        <v>12</v>
      </c>
      <c r="B41" s="2" t="s">
        <v>95</v>
      </c>
      <c r="C41" s="2" t="s">
        <v>37</v>
      </c>
      <c r="D41" s="2" t="s">
        <v>24</v>
      </c>
      <c r="E41" s="2">
        <v>34</v>
      </c>
      <c r="F41" s="2" t="s">
        <v>58</v>
      </c>
      <c r="G41" s="2" t="s">
        <v>55</v>
      </c>
      <c r="H41" s="2">
        <v>810</v>
      </c>
      <c r="I41" s="2">
        <v>9</v>
      </c>
      <c r="J41" s="2">
        <v>0</v>
      </c>
      <c r="K41" s="2">
        <v>0</v>
      </c>
      <c r="L41" s="2">
        <v>91.2</v>
      </c>
      <c r="M41" s="4">
        <f>(8.8+8.8+6.6)/3</f>
        <v>8.0666666666666682</v>
      </c>
      <c r="N41" s="4">
        <f>(4.95+3.85)/2</f>
        <v>4.4000000000000004</v>
      </c>
      <c r="O41" s="2">
        <v>40</v>
      </c>
    </row>
    <row r="42" spans="1:15" x14ac:dyDescent="0.3">
      <c r="A42" s="2" t="s">
        <v>12</v>
      </c>
      <c r="B42" s="2" t="s">
        <v>96</v>
      </c>
      <c r="C42" s="2" t="s">
        <v>867</v>
      </c>
      <c r="D42" s="2" t="s">
        <v>35</v>
      </c>
      <c r="E42" s="2">
        <v>23</v>
      </c>
      <c r="F42" s="2" t="s">
        <v>15</v>
      </c>
      <c r="G42" s="2" t="s">
        <v>25</v>
      </c>
      <c r="H42" s="2">
        <v>804</v>
      </c>
      <c r="I42" s="2">
        <v>11</v>
      </c>
      <c r="J42" s="2">
        <v>0</v>
      </c>
      <c r="K42" s="2">
        <v>1</v>
      </c>
      <c r="L42" s="2">
        <v>96.7</v>
      </c>
      <c r="M42" s="4">
        <f>(77+71.5+71.5)/3</f>
        <v>73.333333333333329</v>
      </c>
      <c r="N42" s="4">
        <f>(77)/1</f>
        <v>77</v>
      </c>
      <c r="O42" s="2">
        <v>41</v>
      </c>
    </row>
    <row r="43" spans="1:15" x14ac:dyDescent="0.3">
      <c r="A43" s="2" t="s">
        <v>12</v>
      </c>
      <c r="B43" s="2" t="s">
        <v>100</v>
      </c>
      <c r="C43" s="2" t="s">
        <v>57</v>
      </c>
      <c r="D43" s="2" t="s">
        <v>35</v>
      </c>
      <c r="E43" s="2">
        <v>26</v>
      </c>
      <c r="F43" s="2" t="s">
        <v>67</v>
      </c>
      <c r="G43" s="2" t="s">
        <v>57</v>
      </c>
      <c r="H43" s="2">
        <v>798</v>
      </c>
      <c r="I43" s="2">
        <v>10</v>
      </c>
      <c r="J43" s="2">
        <v>6</v>
      </c>
      <c r="K43" s="2">
        <v>6</v>
      </c>
      <c r="L43" s="2">
        <v>94</v>
      </c>
      <c r="M43" s="4">
        <f>(66+77+66+77)/4</f>
        <v>71.5</v>
      </c>
      <c r="N43" s="4">
        <f>(66)/1</f>
        <v>66</v>
      </c>
      <c r="O43" s="2">
        <v>42</v>
      </c>
    </row>
    <row r="44" spans="1:15" x14ac:dyDescent="0.3">
      <c r="A44" s="2" t="s">
        <v>12</v>
      </c>
      <c r="B44" s="2" t="s">
        <v>101</v>
      </c>
      <c r="C44" s="2" t="s">
        <v>29</v>
      </c>
      <c r="D44" s="2" t="s">
        <v>24</v>
      </c>
      <c r="E44" s="2">
        <v>23</v>
      </c>
      <c r="F44" s="2" t="s">
        <v>16</v>
      </c>
      <c r="G44" s="2" t="s">
        <v>29</v>
      </c>
      <c r="H44" s="2">
        <v>794</v>
      </c>
      <c r="I44" s="2">
        <v>9</v>
      </c>
      <c r="J44" s="2">
        <v>0</v>
      </c>
      <c r="K44" s="2">
        <v>4</v>
      </c>
      <c r="L44" s="2">
        <v>86.8</v>
      </c>
      <c r="M44" s="4">
        <f>(111+82.5+88)/3</f>
        <v>93.833333333333329</v>
      </c>
      <c r="N44" s="4">
        <f>(88)/1</f>
        <v>88</v>
      </c>
      <c r="O44" s="2">
        <v>43</v>
      </c>
    </row>
    <row r="45" spans="1:15" x14ac:dyDescent="0.3">
      <c r="A45" s="2" t="s">
        <v>12</v>
      </c>
      <c r="B45" s="2" t="s">
        <v>99</v>
      </c>
      <c r="C45" s="2" t="s">
        <v>25</v>
      </c>
      <c r="D45" s="2" t="s">
        <v>24</v>
      </c>
      <c r="E45" s="2">
        <v>28</v>
      </c>
      <c r="F45" s="2" t="s">
        <v>44</v>
      </c>
      <c r="G45" s="2" t="s">
        <v>29</v>
      </c>
      <c r="H45" s="2">
        <v>794</v>
      </c>
      <c r="I45" s="2">
        <v>9</v>
      </c>
      <c r="J45" s="2">
        <v>0</v>
      </c>
      <c r="K45" s="2">
        <v>0</v>
      </c>
      <c r="L45" s="2">
        <v>90.9</v>
      </c>
      <c r="M45" s="4">
        <f>(55+49.5+49.5)/3</f>
        <v>51.333333333333336</v>
      </c>
      <c r="N45" s="4">
        <f>(49.5)/1</f>
        <v>49.5</v>
      </c>
      <c r="O45" s="2">
        <v>44</v>
      </c>
    </row>
    <row r="46" spans="1:15" x14ac:dyDescent="0.3">
      <c r="A46" s="2" t="s">
        <v>12</v>
      </c>
      <c r="B46" s="2" t="s">
        <v>102</v>
      </c>
      <c r="C46" s="2" t="s">
        <v>57</v>
      </c>
      <c r="D46" s="2" t="s">
        <v>23</v>
      </c>
      <c r="E46" s="2">
        <v>32</v>
      </c>
      <c r="F46" s="2" t="s">
        <v>67</v>
      </c>
      <c r="G46" s="2" t="s">
        <v>57</v>
      </c>
      <c r="H46" s="2">
        <v>778</v>
      </c>
      <c r="I46" s="2">
        <v>10</v>
      </c>
      <c r="J46" s="2">
        <v>4</v>
      </c>
      <c r="K46" s="2">
        <v>3</v>
      </c>
      <c r="L46" s="2">
        <v>98.5</v>
      </c>
      <c r="M46" s="4">
        <f>(38.5+33+27.5)/3</f>
        <v>33</v>
      </c>
      <c r="N46" s="4">
        <f>(24.2)/1</f>
        <v>24.2</v>
      </c>
      <c r="O46" s="2">
        <v>45</v>
      </c>
    </row>
    <row r="47" spans="1:15" x14ac:dyDescent="0.3">
      <c r="A47" s="2" t="s">
        <v>12</v>
      </c>
      <c r="B47" s="2" t="s">
        <v>103</v>
      </c>
      <c r="C47" s="2" t="s">
        <v>30</v>
      </c>
      <c r="D47" s="2" t="s">
        <v>24</v>
      </c>
      <c r="E47" s="2">
        <v>26</v>
      </c>
      <c r="F47" s="2" t="s">
        <v>67</v>
      </c>
      <c r="G47" s="2" t="s">
        <v>57</v>
      </c>
      <c r="H47" s="2">
        <v>764</v>
      </c>
      <c r="I47" s="2">
        <v>10</v>
      </c>
      <c r="J47" s="2">
        <v>0</v>
      </c>
      <c r="K47" s="2">
        <v>1</v>
      </c>
      <c r="L47" s="2">
        <v>96.7</v>
      </c>
      <c r="M47" s="4">
        <f>(38.5+38.5+33)/3</f>
        <v>36.666666666666664</v>
      </c>
      <c r="N47" s="4">
        <f>(33)/1</f>
        <v>33</v>
      </c>
      <c r="O47" s="2">
        <v>46</v>
      </c>
    </row>
    <row r="48" spans="1:15" x14ac:dyDescent="0.3">
      <c r="A48" s="2" t="s">
        <v>12</v>
      </c>
      <c r="B48" s="2" t="s">
        <v>105</v>
      </c>
      <c r="C48" s="2" t="s">
        <v>28</v>
      </c>
      <c r="D48" s="2" t="s">
        <v>24</v>
      </c>
      <c r="E48" s="2">
        <v>37</v>
      </c>
      <c r="F48" s="2" t="s">
        <v>79</v>
      </c>
      <c r="G48" s="2" t="s">
        <v>29</v>
      </c>
      <c r="H48" s="2">
        <v>757</v>
      </c>
      <c r="I48" s="2">
        <v>9</v>
      </c>
      <c r="J48" s="2">
        <v>0</v>
      </c>
      <c r="K48" s="2">
        <v>1</v>
      </c>
      <c r="L48" s="2">
        <v>71.7</v>
      </c>
      <c r="M48" s="4">
        <f>(3.85+3.3+2.75)/3</f>
        <v>3.3000000000000003</v>
      </c>
      <c r="N48" s="4">
        <f>(2.75)/1</f>
        <v>2.75</v>
      </c>
      <c r="O48" s="2">
        <v>47</v>
      </c>
    </row>
    <row r="49" spans="1:15" x14ac:dyDescent="0.3">
      <c r="A49" s="2" t="s">
        <v>12</v>
      </c>
      <c r="B49" s="2" t="s">
        <v>106</v>
      </c>
      <c r="C49" s="2" t="s">
        <v>21</v>
      </c>
      <c r="D49" s="2" t="s">
        <v>35</v>
      </c>
      <c r="E49" s="2">
        <v>31</v>
      </c>
      <c r="F49" s="2" t="s">
        <v>44</v>
      </c>
      <c r="G49" s="2" t="s">
        <v>29</v>
      </c>
      <c r="H49" s="2">
        <v>734</v>
      </c>
      <c r="I49" s="2">
        <v>10</v>
      </c>
      <c r="J49" s="2">
        <v>2</v>
      </c>
      <c r="K49" s="2">
        <v>4</v>
      </c>
      <c r="L49" s="2">
        <v>95.5</v>
      </c>
      <c r="M49" s="4">
        <f>(110+110+99)/3</f>
        <v>106.33333333333333</v>
      </c>
      <c r="N49" s="4">
        <f>(93.5)/1</f>
        <v>93.5</v>
      </c>
      <c r="O49" s="2">
        <v>48</v>
      </c>
    </row>
    <row r="50" spans="1:15" x14ac:dyDescent="0.3">
      <c r="A50" s="2" t="s">
        <v>12</v>
      </c>
      <c r="B50" s="2" t="s">
        <v>109</v>
      </c>
      <c r="C50" s="2" t="s">
        <v>30</v>
      </c>
      <c r="D50" s="2" t="s">
        <v>24</v>
      </c>
      <c r="E50" s="2">
        <v>23</v>
      </c>
      <c r="F50" s="2" t="s">
        <v>16</v>
      </c>
      <c r="G50" s="2" t="s">
        <v>29</v>
      </c>
      <c r="H50" s="2">
        <v>720</v>
      </c>
      <c r="I50" s="2">
        <v>8</v>
      </c>
      <c r="J50" s="2">
        <v>2</v>
      </c>
      <c r="K50" s="2">
        <v>0</v>
      </c>
      <c r="L50" s="2">
        <v>78.5</v>
      </c>
      <c r="M50" s="4">
        <f>(38.5+38.5+33)/3</f>
        <v>36.666666666666664</v>
      </c>
      <c r="N50" s="4">
        <f>(44)/1</f>
        <v>44</v>
      </c>
      <c r="O50" s="2">
        <v>49</v>
      </c>
    </row>
    <row r="51" spans="1:15" x14ac:dyDescent="0.3">
      <c r="A51" s="2" t="s">
        <v>12</v>
      </c>
      <c r="B51" s="2" t="s">
        <v>110</v>
      </c>
      <c r="C51" s="2" t="s">
        <v>868</v>
      </c>
      <c r="D51" s="2" t="s">
        <v>24</v>
      </c>
      <c r="E51" s="2">
        <v>27</v>
      </c>
      <c r="F51" s="2" t="s">
        <v>107</v>
      </c>
      <c r="G51" s="2" t="s">
        <v>869</v>
      </c>
      <c r="H51" s="2">
        <v>720</v>
      </c>
      <c r="I51" s="2">
        <v>8</v>
      </c>
      <c r="J51" s="2">
        <v>1</v>
      </c>
      <c r="K51" s="2">
        <v>0</v>
      </c>
      <c r="L51" s="2">
        <v>85.1</v>
      </c>
      <c r="M51" s="4">
        <f>(60.5+66+71.5)/3</f>
        <v>66</v>
      </c>
      <c r="N51" s="4">
        <f>(71.5)/1</f>
        <v>71.5</v>
      </c>
      <c r="O51" s="2">
        <v>50</v>
      </c>
    </row>
    <row r="52" spans="1:15" x14ac:dyDescent="0.3">
      <c r="A52" s="2" t="s">
        <v>12</v>
      </c>
      <c r="B52" s="2" t="s">
        <v>117</v>
      </c>
      <c r="C52" s="2" t="s">
        <v>870</v>
      </c>
      <c r="D52" s="2" t="s">
        <v>24</v>
      </c>
      <c r="E52" s="2">
        <v>25</v>
      </c>
      <c r="F52" s="2" t="s">
        <v>116</v>
      </c>
      <c r="G52" s="2" t="s">
        <v>45</v>
      </c>
      <c r="H52" s="2">
        <v>720</v>
      </c>
      <c r="I52" s="2">
        <v>8</v>
      </c>
      <c r="J52" s="2">
        <v>0</v>
      </c>
      <c r="K52" s="2">
        <v>1</v>
      </c>
      <c r="L52" s="2">
        <v>85.5</v>
      </c>
      <c r="M52" s="4">
        <f>(9.35+13.2+14.3)/3</f>
        <v>12.283333333333331</v>
      </c>
      <c r="N52" s="4">
        <f>(16.5+16.5)/2</f>
        <v>16.5</v>
      </c>
      <c r="O52" s="2">
        <v>51</v>
      </c>
    </row>
    <row r="53" spans="1:15" x14ac:dyDescent="0.3">
      <c r="A53" s="2" t="s">
        <v>12</v>
      </c>
      <c r="B53" s="2" t="s">
        <v>835</v>
      </c>
      <c r="C53" s="2" t="s">
        <v>37</v>
      </c>
      <c r="D53" s="2" t="s">
        <v>24</v>
      </c>
      <c r="E53" s="2">
        <v>24</v>
      </c>
      <c r="F53" s="2" t="s">
        <v>119</v>
      </c>
      <c r="G53" s="2" t="s">
        <v>56</v>
      </c>
      <c r="H53" s="2">
        <v>720</v>
      </c>
      <c r="I53" s="2">
        <v>8</v>
      </c>
      <c r="J53" s="2">
        <v>0</v>
      </c>
      <c r="K53" s="2">
        <v>1</v>
      </c>
      <c r="L53" s="2">
        <v>83.3</v>
      </c>
      <c r="M53" s="4">
        <f>(24.2+25.3+27.5)/3</f>
        <v>25.666666666666668</v>
      </c>
      <c r="N53" s="4">
        <f>(35.2+35.2)/2</f>
        <v>35.200000000000003</v>
      </c>
      <c r="O53" s="2">
        <v>52</v>
      </c>
    </row>
    <row r="54" spans="1:15" x14ac:dyDescent="0.3">
      <c r="A54" s="2" t="s">
        <v>12</v>
      </c>
      <c r="B54" s="2" t="s">
        <v>122</v>
      </c>
      <c r="C54" s="2" t="s">
        <v>28</v>
      </c>
      <c r="D54" s="2" t="s">
        <v>24</v>
      </c>
      <c r="E54" s="2">
        <v>28</v>
      </c>
      <c r="F54" s="2" t="s">
        <v>121</v>
      </c>
      <c r="G54" s="2" t="s">
        <v>30</v>
      </c>
      <c r="H54" s="2">
        <v>720</v>
      </c>
      <c r="I54" s="2">
        <v>8</v>
      </c>
      <c r="J54" s="2">
        <v>0</v>
      </c>
      <c r="K54" s="2">
        <v>1</v>
      </c>
      <c r="L54" s="2">
        <v>78.5</v>
      </c>
      <c r="M54" s="4">
        <f>(82.5+82.5)/2</f>
        <v>82.5</v>
      </c>
      <c r="N54" s="4">
        <f>77/1</f>
        <v>77</v>
      </c>
      <c r="O54" s="2">
        <v>53</v>
      </c>
    </row>
    <row r="55" spans="1:15" x14ac:dyDescent="0.3">
      <c r="A55" s="2" t="s">
        <v>12</v>
      </c>
      <c r="B55" s="2" t="s">
        <v>125</v>
      </c>
      <c r="C55" s="2" t="s">
        <v>55</v>
      </c>
      <c r="D55" s="2" t="s">
        <v>24</v>
      </c>
      <c r="E55" s="2">
        <v>38</v>
      </c>
      <c r="F55" s="2" t="s">
        <v>124</v>
      </c>
      <c r="G55" s="2" t="s">
        <v>30</v>
      </c>
      <c r="H55" s="2">
        <v>720</v>
      </c>
      <c r="I55" s="2">
        <v>8</v>
      </c>
      <c r="J55" s="2">
        <v>0</v>
      </c>
      <c r="K55" s="2">
        <v>0</v>
      </c>
      <c r="L55" s="2">
        <v>81.3</v>
      </c>
      <c r="M55" s="4">
        <f>(1.32+1.65+1.65+1.1)/4</f>
        <v>1.4299999999999997</v>
      </c>
      <c r="N55" s="4">
        <f>0.88/1</f>
        <v>0.88</v>
      </c>
      <c r="O55" s="2">
        <v>54</v>
      </c>
    </row>
    <row r="56" spans="1:15" x14ac:dyDescent="0.3">
      <c r="A56" s="2" t="s">
        <v>12</v>
      </c>
      <c r="B56" s="2" t="s">
        <v>836</v>
      </c>
      <c r="C56" s="2" t="s">
        <v>57</v>
      </c>
      <c r="D56" s="2" t="s">
        <v>14</v>
      </c>
      <c r="E56" s="2">
        <v>24</v>
      </c>
      <c r="F56" s="2" t="s">
        <v>116</v>
      </c>
      <c r="G56" s="2" t="s">
        <v>45</v>
      </c>
      <c r="H56" s="2">
        <v>720</v>
      </c>
      <c r="I56" s="2">
        <v>8</v>
      </c>
      <c r="J56" s="2">
        <v>0</v>
      </c>
      <c r="K56" s="2">
        <v>0</v>
      </c>
      <c r="L56" s="2">
        <v>43.8</v>
      </c>
      <c r="M56" s="4">
        <f>(0.33+0.44+0.44+1.43+1.65)/5</f>
        <v>0.85799999999999987</v>
      </c>
      <c r="N56" s="4">
        <f>(2.2+3.3)/2</f>
        <v>2.75</v>
      </c>
      <c r="O56" s="2">
        <v>55</v>
      </c>
    </row>
    <row r="57" spans="1:15" x14ac:dyDescent="0.3">
      <c r="A57" s="2" t="s">
        <v>12</v>
      </c>
      <c r="B57" s="2" t="s">
        <v>837</v>
      </c>
      <c r="C57" s="2" t="s">
        <v>66</v>
      </c>
      <c r="D57" s="2" t="s">
        <v>14</v>
      </c>
      <c r="E57" s="2">
        <v>38</v>
      </c>
      <c r="F57" s="2" t="s">
        <v>107</v>
      </c>
      <c r="G57" s="2" t="s">
        <v>869</v>
      </c>
      <c r="H57" s="2">
        <v>720</v>
      </c>
      <c r="I57" s="2">
        <v>8</v>
      </c>
      <c r="J57" s="2">
        <v>0</v>
      </c>
      <c r="K57" s="2">
        <v>0</v>
      </c>
      <c r="L57" s="2">
        <v>32</v>
      </c>
      <c r="M57" s="4">
        <f>(2.75+2.75)/2</f>
        <v>2.75</v>
      </c>
      <c r="N57" s="4">
        <f>(2.2)/1</f>
        <v>2.2000000000000002</v>
      </c>
      <c r="O57" s="2">
        <v>56</v>
      </c>
    </row>
    <row r="58" spans="1:15" x14ac:dyDescent="0.3">
      <c r="A58" s="2" t="s">
        <v>12</v>
      </c>
      <c r="B58" s="2" t="s">
        <v>127</v>
      </c>
      <c r="C58" s="2" t="s">
        <v>871</v>
      </c>
      <c r="D58" s="2" t="s">
        <v>24</v>
      </c>
      <c r="E58" s="2">
        <v>23</v>
      </c>
      <c r="F58" s="2" t="s">
        <v>121</v>
      </c>
      <c r="G58" s="2" t="s">
        <v>30</v>
      </c>
      <c r="H58" s="2">
        <v>718</v>
      </c>
      <c r="I58" s="2">
        <v>8</v>
      </c>
      <c r="J58" s="2">
        <v>0</v>
      </c>
      <c r="K58" s="2">
        <v>0</v>
      </c>
      <c r="L58" s="2">
        <v>85.3</v>
      </c>
      <c r="M58" s="4">
        <f>(66+77+77)/3</f>
        <v>73.333333333333329</v>
      </c>
      <c r="N58" s="4">
        <f>(71.5)/1</f>
        <v>71.5</v>
      </c>
      <c r="O58" s="2">
        <v>57</v>
      </c>
    </row>
    <row r="59" spans="1:15" x14ac:dyDescent="0.3">
      <c r="A59" s="2" t="s">
        <v>12</v>
      </c>
      <c r="B59" s="2" t="s">
        <v>128</v>
      </c>
      <c r="C59" s="2" t="s">
        <v>45</v>
      </c>
      <c r="D59" s="2" t="s">
        <v>24</v>
      </c>
      <c r="E59" s="2">
        <v>36</v>
      </c>
      <c r="F59" s="2" t="s">
        <v>116</v>
      </c>
      <c r="G59" s="2" t="s">
        <v>45</v>
      </c>
      <c r="H59" s="2">
        <v>716</v>
      </c>
      <c r="I59" s="2">
        <v>8</v>
      </c>
      <c r="J59" s="2">
        <v>0</v>
      </c>
      <c r="K59" s="2">
        <v>0</v>
      </c>
      <c r="L59" s="2">
        <v>84.2</v>
      </c>
      <c r="M59" s="4">
        <f>(0.88+0.88+0.66)/3</f>
        <v>0.80666666666666664</v>
      </c>
      <c r="N59" s="4">
        <f>(0.66)/1</f>
        <v>0.66</v>
      </c>
      <c r="O59" s="2">
        <v>58</v>
      </c>
    </row>
    <row r="60" spans="1:15" x14ac:dyDescent="0.3">
      <c r="A60" s="2" t="s">
        <v>12</v>
      </c>
      <c r="B60" s="2" t="s">
        <v>129</v>
      </c>
      <c r="C60" s="2" t="s">
        <v>28</v>
      </c>
      <c r="D60" s="2" t="s">
        <v>24</v>
      </c>
      <c r="E60" s="2">
        <v>29</v>
      </c>
      <c r="F60" s="2" t="s">
        <v>58</v>
      </c>
      <c r="G60" s="2" t="s">
        <v>55</v>
      </c>
      <c r="H60" s="2">
        <v>715</v>
      </c>
      <c r="I60" s="2">
        <v>9</v>
      </c>
      <c r="J60" s="2">
        <v>1</v>
      </c>
      <c r="K60" s="2">
        <v>0</v>
      </c>
      <c r="L60" s="2">
        <v>85.7</v>
      </c>
      <c r="M60" s="4">
        <f>(3.3+3.3+4.4)/3</f>
        <v>3.6666666666666665</v>
      </c>
      <c r="N60" s="4">
        <f>(5.5)/1</f>
        <v>5.5</v>
      </c>
      <c r="O60" s="2">
        <v>59</v>
      </c>
    </row>
    <row r="61" spans="1:15" x14ac:dyDescent="0.3">
      <c r="A61" s="2" t="s">
        <v>12</v>
      </c>
      <c r="B61" s="2" t="s">
        <v>130</v>
      </c>
      <c r="C61" s="2" t="s">
        <v>872</v>
      </c>
      <c r="D61" s="2" t="s">
        <v>35</v>
      </c>
      <c r="E61" s="2">
        <v>21</v>
      </c>
      <c r="F61" s="2" t="s">
        <v>116</v>
      </c>
      <c r="G61" s="2" t="s">
        <v>45</v>
      </c>
      <c r="H61" s="2">
        <v>715</v>
      </c>
      <c r="I61" s="2">
        <v>8</v>
      </c>
      <c r="J61" s="2">
        <v>0</v>
      </c>
      <c r="K61" s="2">
        <v>2</v>
      </c>
      <c r="L61" s="2">
        <v>103.5</v>
      </c>
      <c r="M61" s="4">
        <f>(11+13.2)/2</f>
        <v>12.1</v>
      </c>
      <c r="N61" s="4">
        <f>(22+27.5)/2</f>
        <v>24.75</v>
      </c>
      <c r="O61" s="2">
        <v>60</v>
      </c>
    </row>
    <row r="62" spans="1:15" x14ac:dyDescent="0.3">
      <c r="A62" s="2" t="s">
        <v>12</v>
      </c>
      <c r="B62" s="2" t="s">
        <v>132</v>
      </c>
      <c r="C62" s="2" t="s">
        <v>55</v>
      </c>
      <c r="D62" s="2" t="s">
        <v>23</v>
      </c>
      <c r="E62" s="2">
        <v>29</v>
      </c>
      <c r="F62" s="2" t="s">
        <v>58</v>
      </c>
      <c r="G62" s="2" t="s">
        <v>55</v>
      </c>
      <c r="H62" s="2">
        <v>704</v>
      </c>
      <c r="I62" s="2">
        <v>9</v>
      </c>
      <c r="J62" s="2">
        <v>1</v>
      </c>
      <c r="K62" s="2">
        <v>1</v>
      </c>
      <c r="L62" s="2">
        <v>85.7</v>
      </c>
      <c r="M62" s="4">
        <f>(25.3+25.3+26.4+30.8)/4</f>
        <v>26.95</v>
      </c>
      <c r="N62" s="4">
        <f>(27.5+22)/2</f>
        <v>24.75</v>
      </c>
      <c r="O62" s="2">
        <v>61</v>
      </c>
    </row>
    <row r="63" spans="1:15" x14ac:dyDescent="0.3">
      <c r="A63" s="2" t="s">
        <v>12</v>
      </c>
      <c r="B63" s="2" t="s">
        <v>134</v>
      </c>
      <c r="C63" s="2" t="s">
        <v>56</v>
      </c>
      <c r="D63" s="2" t="s">
        <v>35</v>
      </c>
      <c r="E63" s="2">
        <v>20</v>
      </c>
      <c r="F63" s="2" t="s">
        <v>119</v>
      </c>
      <c r="G63" s="2" t="s">
        <v>56</v>
      </c>
      <c r="H63" s="2">
        <v>703</v>
      </c>
      <c r="I63" s="2">
        <v>8</v>
      </c>
      <c r="J63" s="2">
        <v>0</v>
      </c>
      <c r="K63" s="2">
        <v>1</v>
      </c>
      <c r="L63" s="2">
        <v>89.1</v>
      </c>
      <c r="M63" s="4">
        <f>(24.2+30.8+36.2)/3</f>
        <v>30.400000000000002</v>
      </c>
      <c r="N63" s="4">
        <f>(38.5+38.5)/2</f>
        <v>38.5</v>
      </c>
      <c r="O63" s="2">
        <v>62</v>
      </c>
    </row>
    <row r="64" spans="1:15" x14ac:dyDescent="0.3">
      <c r="A64" s="2" t="s">
        <v>12</v>
      </c>
      <c r="B64" s="2" t="s">
        <v>136</v>
      </c>
      <c r="C64" s="2" t="s">
        <v>57</v>
      </c>
      <c r="D64" s="2" t="s">
        <v>35</v>
      </c>
      <c r="E64" s="2">
        <v>27</v>
      </c>
      <c r="F64" s="2" t="s">
        <v>67</v>
      </c>
      <c r="G64" s="2" t="s">
        <v>57</v>
      </c>
      <c r="H64" s="2">
        <v>702</v>
      </c>
      <c r="I64" s="2">
        <v>8</v>
      </c>
      <c r="J64" s="2">
        <v>0</v>
      </c>
      <c r="K64" s="2">
        <v>0</v>
      </c>
      <c r="L64" s="2">
        <v>96.4</v>
      </c>
      <c r="M64" s="4">
        <f>(99+99+93.5)/3</f>
        <v>97.166666666666671</v>
      </c>
      <c r="N64" s="4">
        <f>(88)/1</f>
        <v>88</v>
      </c>
      <c r="O64" s="2">
        <v>63</v>
      </c>
    </row>
    <row r="65" spans="1:15" x14ac:dyDescent="0.3">
      <c r="A65" s="2" t="s">
        <v>12</v>
      </c>
      <c r="B65" s="2" t="s">
        <v>137</v>
      </c>
      <c r="C65" s="2" t="s">
        <v>25</v>
      </c>
      <c r="D65" s="2" t="s">
        <v>35</v>
      </c>
      <c r="E65" s="2">
        <v>27</v>
      </c>
      <c r="F65" s="2" t="s">
        <v>64</v>
      </c>
      <c r="G65" s="2" t="s">
        <v>25</v>
      </c>
      <c r="H65" s="2">
        <v>700</v>
      </c>
      <c r="I65" s="2">
        <v>9</v>
      </c>
      <c r="J65" s="2">
        <v>0</v>
      </c>
      <c r="K65" s="2">
        <v>0</v>
      </c>
      <c r="L65" s="2">
        <v>83.6</v>
      </c>
      <c r="M65" s="4">
        <f>(55+77+88+66)/4</f>
        <v>71.5</v>
      </c>
      <c r="N65" s="4">
        <f>(49.5)/1</f>
        <v>49.5</v>
      </c>
      <c r="O65" s="2">
        <v>64</v>
      </c>
    </row>
    <row r="66" spans="1:15" x14ac:dyDescent="0.3">
      <c r="A66" s="2" t="s">
        <v>12</v>
      </c>
      <c r="B66" s="2" t="s">
        <v>139</v>
      </c>
      <c r="C66" s="2" t="s">
        <v>25</v>
      </c>
      <c r="D66" s="2" t="s">
        <v>24</v>
      </c>
      <c r="E66" s="2">
        <v>32</v>
      </c>
      <c r="F66" s="2" t="s">
        <v>79</v>
      </c>
      <c r="G66" s="2" t="s">
        <v>29</v>
      </c>
      <c r="H66" s="2">
        <v>679</v>
      </c>
      <c r="I66" s="2">
        <v>9</v>
      </c>
      <c r="J66" s="2">
        <v>1</v>
      </c>
      <c r="K66" s="2">
        <v>1</v>
      </c>
      <c r="L66" s="2">
        <v>82</v>
      </c>
      <c r="M66" s="4">
        <f>(18.7+14.3+12.1)/3</f>
        <v>15.033333333333333</v>
      </c>
      <c r="N66" s="4">
        <f>(9.3)/1</f>
        <v>9.3000000000000007</v>
      </c>
      <c r="O66" s="2">
        <v>65</v>
      </c>
    </row>
    <row r="67" spans="1:15" x14ac:dyDescent="0.3">
      <c r="A67" s="2" t="s">
        <v>12</v>
      </c>
      <c r="B67" s="2" t="s">
        <v>140</v>
      </c>
      <c r="C67" s="2" t="s">
        <v>873</v>
      </c>
      <c r="D67" s="2" t="s">
        <v>23</v>
      </c>
      <c r="E67" s="2">
        <v>22</v>
      </c>
      <c r="F67" s="2" t="s">
        <v>124</v>
      </c>
      <c r="G67" s="2" t="s">
        <v>30</v>
      </c>
      <c r="H67" s="2">
        <v>679</v>
      </c>
      <c r="I67" s="2">
        <v>8</v>
      </c>
      <c r="J67" s="2">
        <v>3</v>
      </c>
      <c r="K67" s="2">
        <v>0</v>
      </c>
      <c r="L67" s="2">
        <v>86.1</v>
      </c>
      <c r="M67" s="4">
        <f>(38.5+55)/2</f>
        <v>46.75</v>
      </c>
      <c r="N67" s="4">
        <f>(49.5)/1</f>
        <v>49.5</v>
      </c>
      <c r="O67" s="2">
        <v>66</v>
      </c>
    </row>
    <row r="68" spans="1:15" x14ac:dyDescent="0.3">
      <c r="A68" s="2" t="s">
        <v>12</v>
      </c>
      <c r="B68" s="2" t="s">
        <v>838</v>
      </c>
      <c r="C68" s="2" t="s">
        <v>30</v>
      </c>
      <c r="D68" s="2" t="s">
        <v>23</v>
      </c>
      <c r="E68" s="2">
        <v>23</v>
      </c>
      <c r="F68" s="2" t="s">
        <v>121</v>
      </c>
      <c r="G68" s="2" t="s">
        <v>30</v>
      </c>
      <c r="H68" s="2">
        <v>673</v>
      </c>
      <c r="I68" s="2">
        <v>8</v>
      </c>
      <c r="J68" s="2">
        <v>6</v>
      </c>
      <c r="K68" s="2">
        <v>4</v>
      </c>
      <c r="L68" s="2">
        <v>65.2</v>
      </c>
      <c r="M68" s="4">
        <f>(176+176+176)/3</f>
        <v>176</v>
      </c>
      <c r="N68" s="4">
        <f>(176)/1</f>
        <v>176</v>
      </c>
      <c r="O68" s="2">
        <v>67</v>
      </c>
    </row>
    <row r="69" spans="1:15" x14ac:dyDescent="0.3">
      <c r="A69" s="2" t="s">
        <v>12</v>
      </c>
      <c r="B69" s="2" t="s">
        <v>143</v>
      </c>
      <c r="C69" s="2" t="s">
        <v>57</v>
      </c>
      <c r="D69" s="2" t="s">
        <v>35</v>
      </c>
      <c r="E69" s="2">
        <v>23</v>
      </c>
      <c r="F69" s="2" t="s">
        <v>79</v>
      </c>
      <c r="G69" s="2" t="s">
        <v>29</v>
      </c>
      <c r="H69" s="2">
        <v>672</v>
      </c>
      <c r="I69" s="2">
        <v>9</v>
      </c>
      <c r="J69" s="2">
        <v>3</v>
      </c>
      <c r="K69" s="2">
        <v>0</v>
      </c>
      <c r="L69" s="2">
        <v>86.3</v>
      </c>
      <c r="M69" s="4">
        <f>(77+77+77)/3</f>
        <v>77</v>
      </c>
      <c r="N69" s="4">
        <f>77/1</f>
        <v>77</v>
      </c>
      <c r="O69" s="2">
        <v>68</v>
      </c>
    </row>
    <row r="70" spans="1:15" x14ac:dyDescent="0.3">
      <c r="A70" s="2" t="s">
        <v>12</v>
      </c>
      <c r="B70" s="2" t="s">
        <v>145</v>
      </c>
      <c r="C70" s="2" t="s">
        <v>874</v>
      </c>
      <c r="D70" s="2" t="s">
        <v>35</v>
      </c>
      <c r="E70" s="2">
        <v>22</v>
      </c>
      <c r="F70" s="2" t="s">
        <v>116</v>
      </c>
      <c r="G70" s="2" t="s">
        <v>45</v>
      </c>
      <c r="H70" s="2">
        <v>672</v>
      </c>
      <c r="I70" s="2">
        <v>8</v>
      </c>
      <c r="J70" s="2">
        <v>0</v>
      </c>
      <c r="K70" s="2">
        <v>0</v>
      </c>
      <c r="L70" s="2">
        <v>80.900000000000006</v>
      </c>
      <c r="M70" s="4">
        <f>(11+17.6+25.3)/3</f>
        <v>17.966666666666669</v>
      </c>
      <c r="N70" s="4">
        <f>(29.7)/1</f>
        <v>29.7</v>
      </c>
      <c r="O70" s="2">
        <v>69</v>
      </c>
    </row>
    <row r="71" spans="1:15" x14ac:dyDescent="0.3">
      <c r="A71" s="2" t="s">
        <v>12</v>
      </c>
      <c r="B71" s="2" t="s">
        <v>146</v>
      </c>
      <c r="C71" s="2" t="s">
        <v>875</v>
      </c>
      <c r="D71" s="2" t="s">
        <v>23</v>
      </c>
      <c r="E71" s="2">
        <v>28</v>
      </c>
      <c r="F71" s="2" t="s">
        <v>119</v>
      </c>
      <c r="G71" s="2" t="s">
        <v>56</v>
      </c>
      <c r="H71" s="2">
        <v>668</v>
      </c>
      <c r="I71" s="2">
        <v>8</v>
      </c>
      <c r="J71" s="2">
        <v>11</v>
      </c>
      <c r="K71" s="2">
        <v>1</v>
      </c>
      <c r="L71" s="2">
        <v>82.2</v>
      </c>
      <c r="M71" s="4">
        <f>(29.7)/1</f>
        <v>29.7</v>
      </c>
      <c r="N71" s="4">
        <f>(33+38.5)/2</f>
        <v>35.75</v>
      </c>
      <c r="O71" s="2">
        <v>70</v>
      </c>
    </row>
    <row r="72" spans="1:15" x14ac:dyDescent="0.3">
      <c r="A72" s="2" t="s">
        <v>12</v>
      </c>
      <c r="B72" s="2" t="s">
        <v>148</v>
      </c>
      <c r="C72" s="2" t="s">
        <v>29</v>
      </c>
      <c r="D72" s="2" t="s">
        <v>35</v>
      </c>
      <c r="E72" s="2">
        <v>32</v>
      </c>
      <c r="F72" s="2" t="s">
        <v>16</v>
      </c>
      <c r="G72" s="2" t="s">
        <v>29</v>
      </c>
      <c r="H72" s="2">
        <v>666</v>
      </c>
      <c r="I72" s="2">
        <v>12</v>
      </c>
      <c r="J72" s="2">
        <v>1</v>
      </c>
      <c r="K72" s="2">
        <v>2</v>
      </c>
      <c r="L72" s="2">
        <v>85.7</v>
      </c>
      <c r="M72" s="4">
        <f>(24.2+22+19.8)/3</f>
        <v>22</v>
      </c>
      <c r="N72" s="4">
        <f>(16.5)/1</f>
        <v>16.5</v>
      </c>
      <c r="O72" s="2">
        <v>71</v>
      </c>
    </row>
    <row r="73" spans="1:15" x14ac:dyDescent="0.3">
      <c r="A73" s="2" t="s">
        <v>12</v>
      </c>
      <c r="B73" s="2" t="s">
        <v>149</v>
      </c>
      <c r="C73" s="2" t="s">
        <v>869</v>
      </c>
      <c r="D73" s="2" t="s">
        <v>24</v>
      </c>
      <c r="E73" s="2">
        <v>23</v>
      </c>
      <c r="F73" s="2" t="s">
        <v>107</v>
      </c>
      <c r="G73" s="2" t="s">
        <v>869</v>
      </c>
      <c r="H73" s="2">
        <v>666</v>
      </c>
      <c r="I73" s="2">
        <v>8</v>
      </c>
      <c r="J73" s="2">
        <v>0</v>
      </c>
      <c r="K73" s="2">
        <v>0</v>
      </c>
      <c r="L73" s="2">
        <v>76.599999999999994</v>
      </c>
      <c r="M73" s="4">
        <f>(60.5+66+66)/3</f>
        <v>64.166666666666671</v>
      </c>
      <c r="N73" s="4">
        <f>(66)/1</f>
        <v>66</v>
      </c>
      <c r="O73" s="2">
        <v>72</v>
      </c>
    </row>
    <row r="74" spans="1:15" x14ac:dyDescent="0.3">
      <c r="A74" s="2" t="s">
        <v>12</v>
      </c>
      <c r="B74" s="2" t="s">
        <v>150</v>
      </c>
      <c r="C74" s="2" t="s">
        <v>25</v>
      </c>
      <c r="D74" s="2" t="s">
        <v>35</v>
      </c>
      <c r="E74" s="2">
        <v>30</v>
      </c>
      <c r="F74" s="2" t="s">
        <v>64</v>
      </c>
      <c r="G74" s="2" t="s">
        <v>25</v>
      </c>
      <c r="H74" s="2">
        <v>665</v>
      </c>
      <c r="I74" s="2">
        <v>9</v>
      </c>
      <c r="J74" s="2">
        <v>0</v>
      </c>
      <c r="K74" s="2">
        <v>1</v>
      </c>
      <c r="L74" s="2">
        <v>91.2</v>
      </c>
      <c r="M74" s="4">
        <f>(66+66+44)/3</f>
        <v>58.666666666666664</v>
      </c>
      <c r="N74" s="4">
        <f>(38.5+27.5)/2</f>
        <v>33</v>
      </c>
      <c r="O74" s="2">
        <v>73</v>
      </c>
    </row>
    <row r="75" spans="1:15" x14ac:dyDescent="0.3">
      <c r="A75" s="2" t="s">
        <v>12</v>
      </c>
      <c r="B75" s="2" t="s">
        <v>839</v>
      </c>
      <c r="C75" s="2" t="s">
        <v>55</v>
      </c>
      <c r="D75" s="2" t="s">
        <v>24</v>
      </c>
      <c r="E75" s="2">
        <v>25</v>
      </c>
      <c r="F75" s="2" t="s">
        <v>44</v>
      </c>
      <c r="G75" s="2" t="s">
        <v>29</v>
      </c>
      <c r="H75" s="2">
        <v>664</v>
      </c>
      <c r="I75" s="2">
        <v>8</v>
      </c>
      <c r="J75" s="2">
        <v>0</v>
      </c>
      <c r="K75" s="2">
        <v>0</v>
      </c>
      <c r="L75" s="2">
        <v>83.1</v>
      </c>
      <c r="M75" s="4">
        <f>(77+82.5+82.5)/3</f>
        <v>80.666666666666671</v>
      </c>
      <c r="N75" s="4">
        <f>(82.5)/1</f>
        <v>82.5</v>
      </c>
      <c r="O75" s="2">
        <v>74</v>
      </c>
    </row>
    <row r="76" spans="1:15" x14ac:dyDescent="0.3">
      <c r="A76" s="2" t="s">
        <v>12</v>
      </c>
      <c r="B76" s="2" t="s">
        <v>151</v>
      </c>
      <c r="C76" s="2" t="s">
        <v>871</v>
      </c>
      <c r="D76" s="2" t="s">
        <v>24</v>
      </c>
      <c r="E76" s="2">
        <v>24</v>
      </c>
      <c r="F76" s="2" t="s">
        <v>119</v>
      </c>
      <c r="G76" s="2" t="s">
        <v>56</v>
      </c>
      <c r="H76" s="2">
        <v>661</v>
      </c>
      <c r="I76" s="2">
        <v>8</v>
      </c>
      <c r="J76" s="2">
        <v>0</v>
      </c>
      <c r="K76" s="2">
        <v>2</v>
      </c>
      <c r="L76" s="2">
        <v>81.5</v>
      </c>
      <c r="M76" s="4">
        <f>(16.5+18.7+18.7+19.8)/4</f>
        <v>18.425000000000001</v>
      </c>
      <c r="N76" s="4">
        <f>(22+22)/2</f>
        <v>22</v>
      </c>
      <c r="O76" s="2">
        <v>75</v>
      </c>
    </row>
    <row r="77" spans="1:15" x14ac:dyDescent="0.3">
      <c r="A77" s="2" t="s">
        <v>12</v>
      </c>
      <c r="B77" s="2" t="s">
        <v>840</v>
      </c>
      <c r="C77" s="2" t="s">
        <v>57</v>
      </c>
      <c r="D77" s="2" t="s">
        <v>35</v>
      </c>
      <c r="E77" s="2">
        <v>31</v>
      </c>
      <c r="F77" s="2" t="s">
        <v>44</v>
      </c>
      <c r="G77" s="2" t="s">
        <v>29</v>
      </c>
      <c r="H77" s="2">
        <v>660</v>
      </c>
      <c r="I77" s="2">
        <v>10</v>
      </c>
      <c r="J77" s="2">
        <v>0</v>
      </c>
      <c r="K77" s="2">
        <v>2</v>
      </c>
      <c r="L77" s="2">
        <v>86.4</v>
      </c>
      <c r="M77" s="4">
        <f>(44+44+38.5)/3</f>
        <v>42.166666666666664</v>
      </c>
      <c r="N77" s="4">
        <f>(27.5)/1</f>
        <v>27.5</v>
      </c>
      <c r="O77" s="2">
        <v>76</v>
      </c>
    </row>
    <row r="78" spans="1:15" x14ac:dyDescent="0.3">
      <c r="A78" s="2" t="s">
        <v>12</v>
      </c>
      <c r="B78" s="2" t="s">
        <v>152</v>
      </c>
      <c r="C78" s="2" t="s">
        <v>30</v>
      </c>
      <c r="D78" s="2" t="s">
        <v>24</v>
      </c>
      <c r="E78" s="2">
        <v>23</v>
      </c>
      <c r="F78" s="2" t="s">
        <v>67</v>
      </c>
      <c r="G78" s="2" t="s">
        <v>57</v>
      </c>
      <c r="H78" s="2">
        <v>660</v>
      </c>
      <c r="I78" s="2">
        <v>8</v>
      </c>
      <c r="J78" s="2">
        <v>0</v>
      </c>
      <c r="K78" s="2">
        <v>0</v>
      </c>
      <c r="L78" s="2">
        <v>82.3</v>
      </c>
      <c r="M78" s="4">
        <f>(66+66+60.5)/3</f>
        <v>64.166666666666671</v>
      </c>
      <c r="N78" s="4">
        <f>(49.5+44)/2</f>
        <v>46.75</v>
      </c>
      <c r="O78" s="2">
        <v>77</v>
      </c>
    </row>
    <row r="79" spans="1:15" x14ac:dyDescent="0.3">
      <c r="A79" s="2" t="s">
        <v>12</v>
      </c>
      <c r="B79" s="2" t="s">
        <v>153</v>
      </c>
      <c r="C79" s="2" t="s">
        <v>29</v>
      </c>
      <c r="D79" s="2" t="s">
        <v>35</v>
      </c>
      <c r="E79" s="2">
        <v>22</v>
      </c>
      <c r="F79" s="2" t="s">
        <v>44</v>
      </c>
      <c r="G79" s="2" t="s">
        <v>29</v>
      </c>
      <c r="H79" s="2">
        <v>658</v>
      </c>
      <c r="I79" s="2">
        <v>11</v>
      </c>
      <c r="J79" s="2">
        <v>3</v>
      </c>
      <c r="K79" s="2">
        <v>2</v>
      </c>
      <c r="L79" s="2">
        <v>89.1</v>
      </c>
      <c r="M79" s="4">
        <f>(77+88+93.5)/3</f>
        <v>86.166666666666671</v>
      </c>
      <c r="N79" s="4">
        <f>(99+99)/2</f>
        <v>99</v>
      </c>
      <c r="O79" s="2">
        <v>78</v>
      </c>
    </row>
    <row r="80" spans="1:15" x14ac:dyDescent="0.3">
      <c r="A80" s="2" t="s">
        <v>12</v>
      </c>
      <c r="B80" s="2" t="s">
        <v>154</v>
      </c>
      <c r="C80" s="2" t="s">
        <v>45</v>
      </c>
      <c r="D80" s="2" t="s">
        <v>35</v>
      </c>
      <c r="E80" s="2">
        <v>21</v>
      </c>
      <c r="F80" s="2" t="s">
        <v>116</v>
      </c>
      <c r="G80" s="2" t="s">
        <v>45</v>
      </c>
      <c r="H80" s="2">
        <v>649</v>
      </c>
      <c r="I80" s="2">
        <v>8</v>
      </c>
      <c r="J80" s="2">
        <v>0</v>
      </c>
      <c r="K80" s="2">
        <v>1</v>
      </c>
      <c r="L80" s="2">
        <v>85.3</v>
      </c>
      <c r="M80" s="4">
        <f>(3.3+7.7+16.5)/3</f>
        <v>9.1666666666666661</v>
      </c>
      <c r="N80" s="4">
        <f>(22)/1</f>
        <v>22</v>
      </c>
      <c r="O80" s="2">
        <v>79</v>
      </c>
    </row>
    <row r="81" spans="1:15" x14ac:dyDescent="0.3">
      <c r="A81" s="2" t="s">
        <v>12</v>
      </c>
      <c r="B81" s="2" t="s">
        <v>841</v>
      </c>
      <c r="C81" s="2" t="s">
        <v>876</v>
      </c>
      <c r="D81" s="2" t="s">
        <v>24</v>
      </c>
      <c r="E81" s="2">
        <v>24</v>
      </c>
      <c r="F81" s="2" t="s">
        <v>19</v>
      </c>
      <c r="G81" s="2" t="s">
        <v>25</v>
      </c>
      <c r="H81" s="2">
        <v>645</v>
      </c>
      <c r="I81" s="2">
        <v>10</v>
      </c>
      <c r="J81" s="2">
        <v>0</v>
      </c>
      <c r="K81" s="2">
        <v>0</v>
      </c>
      <c r="L81" s="2">
        <v>76.400000000000006</v>
      </c>
      <c r="M81" s="4">
        <f>(15.4+13.2+13.2+16.5+16.5)/5</f>
        <v>14.959999999999999</v>
      </c>
      <c r="N81" s="4">
        <f>(22)/1</f>
        <v>22</v>
      </c>
      <c r="O81" s="2">
        <v>80</v>
      </c>
    </row>
    <row r="82" spans="1:15" x14ac:dyDescent="0.3">
      <c r="A82" s="2" t="s">
        <v>12</v>
      </c>
      <c r="B82" s="2" t="s">
        <v>155</v>
      </c>
      <c r="C82" s="2" t="s">
        <v>29</v>
      </c>
      <c r="D82" s="2" t="s">
        <v>24</v>
      </c>
      <c r="E82" s="2">
        <v>28</v>
      </c>
      <c r="F82" s="2" t="s">
        <v>44</v>
      </c>
      <c r="G82" s="2" t="s">
        <v>29</v>
      </c>
      <c r="H82" s="2">
        <v>637</v>
      </c>
      <c r="I82" s="2">
        <v>8</v>
      </c>
      <c r="J82" s="2">
        <v>0</v>
      </c>
      <c r="K82" s="2">
        <v>0</v>
      </c>
      <c r="L82" s="2">
        <v>73.2</v>
      </c>
      <c r="M82" s="4">
        <f>(33+33+30.8)/3</f>
        <v>32.266666666666666</v>
      </c>
      <c r="N82" s="4">
        <f>(30.8)/1</f>
        <v>30.8</v>
      </c>
      <c r="O82" s="2">
        <v>81</v>
      </c>
    </row>
    <row r="83" spans="1:15" x14ac:dyDescent="0.3">
      <c r="A83" s="2" t="s">
        <v>12</v>
      </c>
      <c r="B83" s="2" t="s">
        <v>842</v>
      </c>
      <c r="C83" s="2" t="s">
        <v>38</v>
      </c>
      <c r="D83" s="2" t="s">
        <v>35</v>
      </c>
      <c r="E83" s="2">
        <v>29</v>
      </c>
      <c r="F83" s="2" t="s">
        <v>107</v>
      </c>
      <c r="G83" s="2" t="s">
        <v>869</v>
      </c>
      <c r="H83" s="2">
        <v>635</v>
      </c>
      <c r="I83" s="2">
        <v>8</v>
      </c>
      <c r="J83" s="2">
        <v>1</v>
      </c>
      <c r="K83" s="2">
        <v>0</v>
      </c>
      <c r="L83" s="2">
        <v>89.3</v>
      </c>
      <c r="M83" s="4">
        <f>(44+44+44)/3</f>
        <v>44</v>
      </c>
      <c r="N83" s="4">
        <f>(44)/1</f>
        <v>44</v>
      </c>
      <c r="O83" s="2">
        <v>82</v>
      </c>
    </row>
    <row r="84" spans="1:15" x14ac:dyDescent="0.3">
      <c r="A84" s="2" t="s">
        <v>12</v>
      </c>
      <c r="B84" s="2" t="s">
        <v>157</v>
      </c>
      <c r="C84" s="2" t="s">
        <v>30</v>
      </c>
      <c r="D84" s="2" t="s">
        <v>23</v>
      </c>
      <c r="E84" s="2">
        <v>26</v>
      </c>
      <c r="F84" s="2" t="s">
        <v>67</v>
      </c>
      <c r="G84" s="2" t="s">
        <v>57</v>
      </c>
      <c r="H84" s="2">
        <v>632</v>
      </c>
      <c r="I84" s="2">
        <v>9</v>
      </c>
      <c r="J84" s="2">
        <v>2</v>
      </c>
      <c r="K84" s="2">
        <v>3</v>
      </c>
      <c r="L84" s="2">
        <v>76.3</v>
      </c>
      <c r="M84" s="4">
        <f>(60.5+71.5+71.5+60.5+60.5)/5</f>
        <v>64.900000000000006</v>
      </c>
      <c r="N84" s="4">
        <f>(66+66)/2</f>
        <v>66</v>
      </c>
      <c r="O84" s="2">
        <v>83</v>
      </c>
    </row>
    <row r="85" spans="1:15" x14ac:dyDescent="0.3">
      <c r="A85" s="2" t="s">
        <v>12</v>
      </c>
      <c r="B85" s="2" t="s">
        <v>158</v>
      </c>
      <c r="C85" s="2" t="s">
        <v>37</v>
      </c>
      <c r="D85" s="2" t="s">
        <v>23</v>
      </c>
      <c r="E85" s="2">
        <v>35</v>
      </c>
      <c r="F85" s="2" t="s">
        <v>121</v>
      </c>
      <c r="G85" s="2" t="s">
        <v>30</v>
      </c>
      <c r="H85" s="2">
        <v>630</v>
      </c>
      <c r="I85" s="2">
        <v>7</v>
      </c>
      <c r="J85" s="2">
        <v>5</v>
      </c>
      <c r="K85" s="2">
        <v>0</v>
      </c>
      <c r="L85" s="2">
        <v>58.7</v>
      </c>
      <c r="M85" s="4">
        <f>(88+88+66)/3</f>
        <v>80.666666666666671</v>
      </c>
      <c r="N85" s="4">
        <f>(55)/1</f>
        <v>55</v>
      </c>
      <c r="O85" s="2">
        <v>84</v>
      </c>
    </row>
    <row r="86" spans="1:15" x14ac:dyDescent="0.3">
      <c r="A86" s="2" t="s">
        <v>12</v>
      </c>
      <c r="B86" s="2" t="s">
        <v>843</v>
      </c>
      <c r="C86" s="2" t="s">
        <v>877</v>
      </c>
      <c r="D86" s="2" t="s">
        <v>23</v>
      </c>
      <c r="E86" s="2">
        <v>33</v>
      </c>
      <c r="F86" s="2" t="s">
        <v>119</v>
      </c>
      <c r="G86" s="2" t="s">
        <v>56</v>
      </c>
      <c r="H86" s="2">
        <v>630</v>
      </c>
      <c r="I86" s="2">
        <v>7</v>
      </c>
      <c r="J86" s="2">
        <v>2</v>
      </c>
      <c r="K86" s="2">
        <v>2</v>
      </c>
      <c r="L86" s="2">
        <v>78.900000000000006</v>
      </c>
      <c r="M86" s="4">
        <f>(19.8+17.6)/2</f>
        <v>18.700000000000003</v>
      </c>
      <c r="N86" s="4">
        <f>(16.5+14.3+13.2)/3</f>
        <v>14.666666666666666</v>
      </c>
      <c r="O86" s="2">
        <v>85</v>
      </c>
    </row>
    <row r="87" spans="1:15" x14ac:dyDescent="0.3">
      <c r="A87" s="2" t="s">
        <v>12</v>
      </c>
      <c r="B87" s="2" t="s">
        <v>844</v>
      </c>
      <c r="C87" s="2" t="s">
        <v>30</v>
      </c>
      <c r="D87" s="2" t="s">
        <v>35</v>
      </c>
      <c r="E87" s="2">
        <v>31</v>
      </c>
      <c r="F87" s="2" t="s">
        <v>124</v>
      </c>
      <c r="G87" s="2" t="s">
        <v>30</v>
      </c>
      <c r="H87" s="2">
        <v>630</v>
      </c>
      <c r="I87" s="2">
        <v>7</v>
      </c>
      <c r="J87" s="2">
        <v>0</v>
      </c>
      <c r="K87" s="2">
        <v>0</v>
      </c>
      <c r="L87" s="2">
        <v>80</v>
      </c>
      <c r="M87" s="4">
        <f>(15.4+16.5+16.5+16.5)/4</f>
        <v>16.225000000000001</v>
      </c>
      <c r="N87" s="4">
        <f>(13.2)/1</f>
        <v>13.2</v>
      </c>
      <c r="O87" s="2">
        <v>86</v>
      </c>
    </row>
    <row r="88" spans="1:15" x14ac:dyDescent="0.3">
      <c r="A88" s="2" t="s">
        <v>12</v>
      </c>
      <c r="B88" s="2" t="s">
        <v>160</v>
      </c>
      <c r="C88" s="2" t="s">
        <v>878</v>
      </c>
      <c r="D88" s="2" t="s">
        <v>24</v>
      </c>
      <c r="E88" s="2">
        <v>30</v>
      </c>
      <c r="F88" s="2" t="s">
        <v>16</v>
      </c>
      <c r="G88" s="2" t="s">
        <v>29</v>
      </c>
      <c r="H88" s="2">
        <v>630</v>
      </c>
      <c r="I88" s="2">
        <v>7</v>
      </c>
      <c r="J88" s="2">
        <v>0</v>
      </c>
      <c r="K88" s="2">
        <v>0</v>
      </c>
      <c r="L88" s="2">
        <v>66.2</v>
      </c>
      <c r="M88" s="4">
        <f>(27.5+19.8+19.8)/3</f>
        <v>22.366666666666664</v>
      </c>
      <c r="N88" s="4">
        <f>(19.8)/1</f>
        <v>19.8</v>
      </c>
      <c r="O88" s="2">
        <v>87</v>
      </c>
    </row>
    <row r="89" spans="1:15" x14ac:dyDescent="0.3">
      <c r="A89" s="2" t="s">
        <v>12</v>
      </c>
      <c r="B89" s="2" t="s">
        <v>161</v>
      </c>
      <c r="C89" s="2" t="s">
        <v>30</v>
      </c>
      <c r="D89" s="2" t="s">
        <v>24</v>
      </c>
      <c r="E89" s="2">
        <v>26</v>
      </c>
      <c r="F89" s="2" t="s">
        <v>121</v>
      </c>
      <c r="G89" s="2" t="s">
        <v>30</v>
      </c>
      <c r="H89" s="2">
        <v>630</v>
      </c>
      <c r="I89" s="2">
        <v>7</v>
      </c>
      <c r="J89" s="2">
        <v>0</v>
      </c>
      <c r="K89" s="2">
        <v>0</v>
      </c>
      <c r="L89" s="2">
        <v>64.400000000000006</v>
      </c>
      <c r="M89" s="4">
        <f>(44+44+44)/3</f>
        <v>44</v>
      </c>
      <c r="N89" s="4">
        <f>(44)/1</f>
        <v>44</v>
      </c>
      <c r="O89" s="2">
        <v>88</v>
      </c>
    </row>
    <row r="90" spans="1:15" x14ac:dyDescent="0.3">
      <c r="A90" s="2" t="s">
        <v>12</v>
      </c>
      <c r="B90" s="2" t="s">
        <v>845</v>
      </c>
      <c r="C90" s="2" t="s">
        <v>25</v>
      </c>
      <c r="D90" s="2" t="s">
        <v>14</v>
      </c>
      <c r="E90" s="2">
        <v>35</v>
      </c>
      <c r="F90" s="2" t="s">
        <v>162</v>
      </c>
      <c r="G90" s="2" t="s">
        <v>55</v>
      </c>
      <c r="H90" s="2">
        <v>630</v>
      </c>
      <c r="I90" s="2">
        <v>7</v>
      </c>
      <c r="J90" s="2">
        <v>0</v>
      </c>
      <c r="K90" s="2">
        <v>0</v>
      </c>
      <c r="L90" s="2">
        <v>36.299999999999997</v>
      </c>
      <c r="M90" s="4">
        <f>(2.75+3.3+3.3)/3</f>
        <v>3.1166666666666667</v>
      </c>
      <c r="N90" s="4">
        <f>(2.75)/1</f>
        <v>2.75</v>
      </c>
      <c r="O90" s="2">
        <v>89</v>
      </c>
    </row>
    <row r="91" spans="1:15" x14ac:dyDescent="0.3">
      <c r="A91" s="2" t="s">
        <v>12</v>
      </c>
      <c r="B91" s="2" t="s">
        <v>846</v>
      </c>
      <c r="C91" s="2" t="s">
        <v>863</v>
      </c>
      <c r="D91" s="2" t="s">
        <v>14</v>
      </c>
      <c r="E91" s="2">
        <v>32</v>
      </c>
      <c r="F91" s="2" t="s">
        <v>164</v>
      </c>
      <c r="G91" s="2" t="s">
        <v>869</v>
      </c>
      <c r="H91" s="2">
        <v>630</v>
      </c>
      <c r="I91" s="2">
        <v>7</v>
      </c>
      <c r="J91" s="2">
        <v>0</v>
      </c>
      <c r="K91" s="2">
        <v>0</v>
      </c>
      <c r="L91" s="2">
        <v>31.4</v>
      </c>
      <c r="M91" s="4">
        <f>(27.5+16.5+16.5)/3</f>
        <v>20.166666666666668</v>
      </c>
      <c r="N91" s="4">
        <f>(16.5)/1</f>
        <v>16.5</v>
      </c>
      <c r="O91" s="2">
        <v>90</v>
      </c>
    </row>
    <row r="92" spans="1:15" x14ac:dyDescent="0.3">
      <c r="A92" s="2" t="s">
        <v>12</v>
      </c>
      <c r="B92" s="2" t="s">
        <v>167</v>
      </c>
      <c r="C92" s="2" t="s">
        <v>25</v>
      </c>
      <c r="D92" s="2" t="s">
        <v>14</v>
      </c>
      <c r="E92" s="2">
        <v>31</v>
      </c>
      <c r="F92" s="2" t="s">
        <v>847</v>
      </c>
      <c r="G92" s="2" t="s">
        <v>29</v>
      </c>
      <c r="H92" s="2">
        <v>630</v>
      </c>
      <c r="I92" s="2">
        <v>7</v>
      </c>
      <c r="J92" s="2">
        <v>0</v>
      </c>
      <c r="K92" s="2">
        <v>0</v>
      </c>
      <c r="L92" s="2">
        <v>26.4</v>
      </c>
      <c r="M92" s="4">
        <f>(24.2+19.8+19.8)/3</f>
        <v>21.266666666666666</v>
      </c>
      <c r="N92" s="4">
        <f>(16.5+16.5)/2</f>
        <v>16.5</v>
      </c>
      <c r="O92" s="2">
        <v>91</v>
      </c>
    </row>
    <row r="93" spans="1:15" x14ac:dyDescent="0.3">
      <c r="A93" s="2" t="s">
        <v>12</v>
      </c>
      <c r="B93" s="2" t="s">
        <v>169</v>
      </c>
      <c r="C93" s="2" t="s">
        <v>56</v>
      </c>
      <c r="D93" s="2" t="s">
        <v>23</v>
      </c>
      <c r="E93" s="2">
        <v>30</v>
      </c>
      <c r="F93" s="2" t="s">
        <v>119</v>
      </c>
      <c r="G93" s="2" t="s">
        <v>56</v>
      </c>
      <c r="H93" s="2">
        <v>628</v>
      </c>
      <c r="I93" s="2">
        <v>8</v>
      </c>
      <c r="J93" s="2">
        <v>3</v>
      </c>
      <c r="K93" s="2">
        <v>1</v>
      </c>
      <c r="L93" s="2">
        <v>79.8</v>
      </c>
      <c r="M93" s="4">
        <f>(13.2+13.2+15.4)/3</f>
        <v>13.933333333333332</v>
      </c>
      <c r="N93" s="4">
        <f>(16.5+15.4)/2</f>
        <v>15.95</v>
      </c>
      <c r="O93" s="2">
        <v>92</v>
      </c>
    </row>
    <row r="94" spans="1:15" x14ac:dyDescent="0.3">
      <c r="A94" s="2" t="s">
        <v>12</v>
      </c>
      <c r="B94" s="2" t="s">
        <v>170</v>
      </c>
      <c r="C94" s="2" t="s">
        <v>56</v>
      </c>
      <c r="D94" s="2" t="s">
        <v>24</v>
      </c>
      <c r="E94" s="2">
        <v>22</v>
      </c>
      <c r="F94" s="2" t="s">
        <v>164</v>
      </c>
      <c r="G94" s="2" t="s">
        <v>869</v>
      </c>
      <c r="H94" s="2">
        <v>627</v>
      </c>
      <c r="I94" s="2">
        <v>7</v>
      </c>
      <c r="J94" s="2">
        <v>0</v>
      </c>
      <c r="K94" s="2">
        <v>0</v>
      </c>
      <c r="L94" s="2">
        <v>71.5</v>
      </c>
      <c r="M94" s="4">
        <f>(82.5+77+71.5)/3</f>
        <v>77</v>
      </c>
      <c r="N94" s="4">
        <f>(77+77)/2</f>
        <v>77</v>
      </c>
      <c r="O94" s="2">
        <v>93</v>
      </c>
    </row>
    <row r="95" spans="1:15" x14ac:dyDescent="0.3">
      <c r="A95" s="2" t="s">
        <v>12</v>
      </c>
      <c r="B95" s="2" t="s">
        <v>848</v>
      </c>
      <c r="C95" s="2" t="s">
        <v>867</v>
      </c>
      <c r="D95" s="2" t="s">
        <v>23</v>
      </c>
      <c r="E95" s="2">
        <v>23</v>
      </c>
      <c r="F95" s="2" t="s">
        <v>58</v>
      </c>
      <c r="G95" s="2" t="s">
        <v>55</v>
      </c>
      <c r="H95" s="2">
        <v>613</v>
      </c>
      <c r="I95" s="2">
        <v>10</v>
      </c>
      <c r="J95" s="2">
        <v>6</v>
      </c>
      <c r="K95" s="2">
        <v>0</v>
      </c>
      <c r="L95" s="2">
        <v>72.400000000000006</v>
      </c>
      <c r="M95" s="4">
        <f>(27.5+22+22+35.2)/4</f>
        <v>26.675000000000001</v>
      </c>
      <c r="N95" s="4">
        <f>(44+60.5)/2</f>
        <v>52.25</v>
      </c>
      <c r="O95" s="2">
        <v>94</v>
      </c>
    </row>
    <row r="96" spans="1:15" x14ac:dyDescent="0.3">
      <c r="A96" s="2" t="s">
        <v>12</v>
      </c>
      <c r="B96" s="2" t="s">
        <v>172</v>
      </c>
      <c r="C96" s="2" t="s">
        <v>28</v>
      </c>
      <c r="D96" s="2" t="s">
        <v>24</v>
      </c>
      <c r="E96" s="2">
        <v>27</v>
      </c>
      <c r="F96" s="2" t="s">
        <v>162</v>
      </c>
      <c r="G96" s="2" t="s">
        <v>55</v>
      </c>
      <c r="H96" s="2">
        <v>611</v>
      </c>
      <c r="I96" s="2">
        <v>8</v>
      </c>
      <c r="J96" s="2">
        <v>0</v>
      </c>
      <c r="K96" s="2">
        <v>0</v>
      </c>
      <c r="L96" s="2">
        <v>75.3</v>
      </c>
      <c r="M96" s="4">
        <f>(2.75+2.75+4.4)/3</f>
        <v>3.3000000000000003</v>
      </c>
      <c r="N96" s="4">
        <f>(5.5+8.8)/2</f>
        <v>7.15</v>
      </c>
      <c r="O96" s="2">
        <v>95</v>
      </c>
    </row>
    <row r="97" spans="1:15" x14ac:dyDescent="0.3">
      <c r="A97" s="2" t="s">
        <v>12</v>
      </c>
      <c r="B97" s="2" t="s">
        <v>174</v>
      </c>
      <c r="C97" s="2" t="s">
        <v>55</v>
      </c>
      <c r="D97" s="2" t="s">
        <v>23</v>
      </c>
      <c r="E97" s="2">
        <v>37</v>
      </c>
      <c r="F97" s="2" t="s">
        <v>847</v>
      </c>
      <c r="G97" s="2" t="s">
        <v>29</v>
      </c>
      <c r="H97" s="2">
        <v>611</v>
      </c>
      <c r="I97" s="2">
        <v>7</v>
      </c>
      <c r="J97" s="2">
        <v>6</v>
      </c>
      <c r="K97" s="2">
        <v>0</v>
      </c>
      <c r="L97" s="2">
        <v>59.2</v>
      </c>
      <c r="M97" s="4">
        <f>(55+49.5+38.5)/3</f>
        <v>47.666666666666664</v>
      </c>
      <c r="N97" s="4">
        <f>(33)/1</f>
        <v>33</v>
      </c>
      <c r="O97" s="2">
        <v>96</v>
      </c>
    </row>
    <row r="98" spans="1:15" x14ac:dyDescent="0.3">
      <c r="A98" s="2" t="s">
        <v>12</v>
      </c>
      <c r="B98" s="2" t="s">
        <v>176</v>
      </c>
      <c r="C98" s="2" t="s">
        <v>57</v>
      </c>
      <c r="D98" s="2" t="s">
        <v>23</v>
      </c>
      <c r="E98" s="2">
        <v>20</v>
      </c>
      <c r="F98" s="2" t="s">
        <v>116</v>
      </c>
      <c r="G98" s="2" t="s">
        <v>45</v>
      </c>
      <c r="H98" s="2">
        <v>607</v>
      </c>
      <c r="I98" s="2">
        <v>8</v>
      </c>
      <c r="J98" s="2">
        <v>3</v>
      </c>
      <c r="K98" s="2">
        <v>1</v>
      </c>
      <c r="L98" s="2">
        <v>69.2</v>
      </c>
      <c r="M98" s="4">
        <f>(11+22+38.5)/3</f>
        <v>23.833333333333332</v>
      </c>
      <c r="N98" s="4">
        <f>(38.5)/1</f>
        <v>38.5</v>
      </c>
      <c r="O98" s="2">
        <v>97</v>
      </c>
    </row>
    <row r="99" spans="1:15" x14ac:dyDescent="0.3">
      <c r="A99" s="2" t="s">
        <v>12</v>
      </c>
      <c r="B99" s="2" t="s">
        <v>849</v>
      </c>
      <c r="C99" s="2" t="s">
        <v>25</v>
      </c>
      <c r="D99" s="2" t="s">
        <v>35</v>
      </c>
      <c r="E99" s="2">
        <v>31</v>
      </c>
      <c r="F99" s="2" t="s">
        <v>16</v>
      </c>
      <c r="G99" s="2" t="s">
        <v>29</v>
      </c>
      <c r="H99" s="2">
        <v>604</v>
      </c>
      <c r="I99" s="2">
        <v>10</v>
      </c>
      <c r="J99" s="2">
        <v>1</v>
      </c>
      <c r="K99" s="2">
        <v>0</v>
      </c>
      <c r="L99" s="2">
        <v>77.900000000000006</v>
      </c>
      <c r="M99" s="4">
        <f>(38+33+27.5+24.2)/4</f>
        <v>30.675000000000001</v>
      </c>
      <c r="N99" s="4">
        <f>(22)/1</f>
        <v>22</v>
      </c>
      <c r="O99" s="2">
        <v>98</v>
      </c>
    </row>
    <row r="100" spans="1:15" x14ac:dyDescent="0.3">
      <c r="A100" s="2" t="s">
        <v>12</v>
      </c>
      <c r="B100" s="2" t="s">
        <v>178</v>
      </c>
      <c r="C100" s="2" t="s">
        <v>870</v>
      </c>
      <c r="D100" s="2" t="s">
        <v>24</v>
      </c>
      <c r="E100" s="2">
        <v>26</v>
      </c>
      <c r="F100" s="2" t="s">
        <v>79</v>
      </c>
      <c r="G100" s="2" t="s">
        <v>29</v>
      </c>
      <c r="H100" s="2">
        <v>603</v>
      </c>
      <c r="I100" s="2">
        <v>8</v>
      </c>
      <c r="J100" s="2">
        <v>1</v>
      </c>
      <c r="K100" s="2">
        <v>1</v>
      </c>
      <c r="L100" s="2">
        <v>62.6</v>
      </c>
      <c r="M100" s="4">
        <f>(30.8+33+38.5+38.5)/4</f>
        <v>35.200000000000003</v>
      </c>
      <c r="N100" s="4">
        <f>(38.5)/1</f>
        <v>38.5</v>
      </c>
      <c r="O100" s="2">
        <v>99</v>
      </c>
    </row>
    <row r="101" spans="1:15" x14ac:dyDescent="0.3">
      <c r="A101" s="2" t="s">
        <v>12</v>
      </c>
      <c r="B101" s="2" t="s">
        <v>850</v>
      </c>
      <c r="C101" s="2" t="s">
        <v>879</v>
      </c>
      <c r="D101" s="2" t="s">
        <v>24</v>
      </c>
      <c r="E101" s="2">
        <v>25</v>
      </c>
      <c r="F101" s="2" t="s">
        <v>124</v>
      </c>
      <c r="G101" s="2" t="s">
        <v>30</v>
      </c>
      <c r="H101" s="2">
        <v>591</v>
      </c>
      <c r="I101" s="2">
        <v>7</v>
      </c>
      <c r="J101" s="2">
        <v>0</v>
      </c>
      <c r="K101" s="2">
        <v>1</v>
      </c>
      <c r="L101" s="2">
        <v>71.3</v>
      </c>
      <c r="M101" s="4">
        <f>(22+18.7)/2</f>
        <v>20.350000000000001</v>
      </c>
      <c r="N101" s="4">
        <f>(19.8+19.8)/2</f>
        <v>19.8</v>
      </c>
      <c r="O101" s="2">
        <v>100</v>
      </c>
    </row>
    <row r="102" spans="1:15" x14ac:dyDescent="0.3">
      <c r="A102" s="2" t="s">
        <v>12</v>
      </c>
      <c r="B102" s="2" t="s">
        <v>851</v>
      </c>
      <c r="C102" s="2" t="s">
        <v>37</v>
      </c>
      <c r="D102" s="2" t="s">
        <v>23</v>
      </c>
      <c r="E102" s="2">
        <v>24</v>
      </c>
      <c r="F102" s="2" t="s">
        <v>107</v>
      </c>
      <c r="G102" s="2" t="s">
        <v>869</v>
      </c>
      <c r="H102" s="2">
        <v>587</v>
      </c>
      <c r="I102" s="2">
        <v>8</v>
      </c>
      <c r="J102" s="2">
        <v>1</v>
      </c>
      <c r="K102" s="2">
        <v>0</v>
      </c>
      <c r="L102" s="2">
        <v>67.400000000000006</v>
      </c>
      <c r="M102" s="4">
        <f>(88+88)/2</f>
        <v>88</v>
      </c>
      <c r="N102" s="4">
        <f>(77+82.5)/2</f>
        <v>79.75</v>
      </c>
      <c r="O102" s="2">
        <v>101</v>
      </c>
    </row>
    <row r="103" spans="1:15" x14ac:dyDescent="0.3">
      <c r="A103" s="2" t="s">
        <v>12</v>
      </c>
      <c r="B103" s="2" t="s">
        <v>852</v>
      </c>
      <c r="C103" s="2" t="s">
        <v>867</v>
      </c>
      <c r="D103" s="2" t="s">
        <v>24</v>
      </c>
      <c r="E103" s="2">
        <v>27</v>
      </c>
      <c r="F103" s="2" t="s">
        <v>64</v>
      </c>
      <c r="G103" s="2" t="s">
        <v>25</v>
      </c>
      <c r="H103" s="2">
        <v>585</v>
      </c>
      <c r="I103" s="2">
        <v>7</v>
      </c>
      <c r="J103" s="2">
        <v>0</v>
      </c>
      <c r="K103" s="2">
        <v>0</v>
      </c>
      <c r="L103" s="2">
        <v>63.3</v>
      </c>
      <c r="M103" s="4">
        <f>(71.5+66+66+55)/4</f>
        <v>64.625</v>
      </c>
      <c r="N103" s="4">
        <f>(55)/1</f>
        <v>55</v>
      </c>
      <c r="O103" s="2">
        <v>102</v>
      </c>
    </row>
    <row r="104" spans="1:15" x14ac:dyDescent="0.3">
      <c r="A104" s="2" t="s">
        <v>12</v>
      </c>
      <c r="B104" s="2" t="s">
        <v>180</v>
      </c>
      <c r="C104" s="2" t="s">
        <v>55</v>
      </c>
      <c r="D104" s="2" t="s">
        <v>23</v>
      </c>
      <c r="E104" s="2">
        <v>29</v>
      </c>
      <c r="F104" s="2" t="s">
        <v>162</v>
      </c>
      <c r="G104" s="2" t="s">
        <v>55</v>
      </c>
      <c r="H104" s="2">
        <v>582</v>
      </c>
      <c r="I104" s="2">
        <v>8</v>
      </c>
      <c r="J104" s="2">
        <v>3</v>
      </c>
      <c r="K104" s="2">
        <v>1</v>
      </c>
      <c r="L104" s="2">
        <v>68.2</v>
      </c>
      <c r="M104" s="4">
        <f>(16.5+16.5+14.3+14.3)/4</f>
        <v>15.399999999999999</v>
      </c>
      <c r="N104" s="4">
        <f>(14.3)/1</f>
        <v>14.3</v>
      </c>
      <c r="O104" s="2">
        <v>103</v>
      </c>
    </row>
    <row r="105" spans="1:15" x14ac:dyDescent="0.3">
      <c r="A105" s="2" t="s">
        <v>12</v>
      </c>
      <c r="B105" s="2" t="s">
        <v>182</v>
      </c>
      <c r="C105" s="2" t="s">
        <v>29</v>
      </c>
      <c r="D105" s="2" t="s">
        <v>23</v>
      </c>
      <c r="E105" s="2">
        <v>27</v>
      </c>
      <c r="F105" s="2" t="s">
        <v>44</v>
      </c>
      <c r="G105" s="2" t="s">
        <v>29</v>
      </c>
      <c r="H105" s="2">
        <v>581</v>
      </c>
      <c r="I105" s="2">
        <v>12</v>
      </c>
      <c r="J105" s="2">
        <v>3</v>
      </c>
      <c r="K105" s="2">
        <v>2</v>
      </c>
      <c r="L105" s="2">
        <v>71.099999999999994</v>
      </c>
      <c r="M105" s="4">
        <f>(110+99+93.5)/3</f>
        <v>100.83333333333333</v>
      </c>
      <c r="N105" s="4">
        <f>(77)/1</f>
        <v>77</v>
      </c>
      <c r="O105" s="2">
        <v>104</v>
      </c>
    </row>
    <row r="106" spans="1:15" x14ac:dyDescent="0.3">
      <c r="A106" s="2" t="s">
        <v>12</v>
      </c>
      <c r="B106" s="2" t="s">
        <v>184</v>
      </c>
      <c r="C106" s="2" t="s">
        <v>55</v>
      </c>
      <c r="D106" s="2" t="s">
        <v>24</v>
      </c>
      <c r="E106" s="2">
        <v>20</v>
      </c>
      <c r="F106" s="2" t="s">
        <v>121</v>
      </c>
      <c r="G106" s="2" t="s">
        <v>30</v>
      </c>
      <c r="H106" s="2">
        <v>581</v>
      </c>
      <c r="I106" s="2">
        <v>8</v>
      </c>
      <c r="J106" s="2">
        <v>0</v>
      </c>
      <c r="K106" s="2">
        <v>0</v>
      </c>
      <c r="L106" s="2">
        <v>62.2</v>
      </c>
      <c r="M106" s="4">
        <f>(18.7+27.5+44+44)/4</f>
        <v>33.549999999999997</v>
      </c>
      <c r="N106" s="4">
        <f>(44)/1</f>
        <v>44</v>
      </c>
      <c r="O106" s="2">
        <v>105</v>
      </c>
    </row>
    <row r="107" spans="1:15" x14ac:dyDescent="0.3">
      <c r="A107" s="2" t="s">
        <v>12</v>
      </c>
      <c r="B107" s="2" t="s">
        <v>185</v>
      </c>
      <c r="C107" s="2" t="s">
        <v>869</v>
      </c>
      <c r="D107" s="2" t="s">
        <v>24</v>
      </c>
      <c r="E107" s="2">
        <v>35</v>
      </c>
      <c r="F107" s="2" t="s">
        <v>164</v>
      </c>
      <c r="G107" s="2" t="s">
        <v>869</v>
      </c>
      <c r="H107" s="2">
        <v>580</v>
      </c>
      <c r="I107" s="2">
        <v>7</v>
      </c>
      <c r="J107" s="2">
        <v>0</v>
      </c>
      <c r="K107" s="2">
        <v>0</v>
      </c>
      <c r="L107" s="2">
        <v>60.6</v>
      </c>
      <c r="M107" s="4">
        <f>(11+8.8+8.8)/3</f>
        <v>9.5333333333333332</v>
      </c>
      <c r="N107" s="4">
        <f>(6.6)/1</f>
        <v>6.6</v>
      </c>
      <c r="O107" s="2">
        <v>106</v>
      </c>
    </row>
    <row r="108" spans="1:15" x14ac:dyDescent="0.3">
      <c r="A108" s="2" t="s">
        <v>12</v>
      </c>
      <c r="B108" s="2" t="s">
        <v>186</v>
      </c>
      <c r="C108" s="2" t="s">
        <v>55</v>
      </c>
      <c r="D108" s="2" t="s">
        <v>23</v>
      </c>
      <c r="E108" s="2">
        <v>25</v>
      </c>
      <c r="F108" s="2" t="s">
        <v>16</v>
      </c>
      <c r="G108" s="2" t="s">
        <v>29</v>
      </c>
      <c r="H108" s="2">
        <v>578</v>
      </c>
      <c r="I108" s="2">
        <v>11</v>
      </c>
      <c r="J108" s="2">
        <v>1</v>
      </c>
      <c r="K108" s="2">
        <v>1</v>
      </c>
      <c r="L108" s="2">
        <v>73.900000000000006</v>
      </c>
      <c r="M108" s="4">
        <f>(44+49.5+66)/3</f>
        <v>53.166666666666664</v>
      </c>
      <c r="N108" s="4">
        <f>(66)/1</f>
        <v>66</v>
      </c>
      <c r="O108" s="2">
        <v>107</v>
      </c>
    </row>
    <row r="109" spans="1:15" x14ac:dyDescent="0.3">
      <c r="A109" s="2" t="s">
        <v>12</v>
      </c>
      <c r="B109" s="2" t="s">
        <v>187</v>
      </c>
      <c r="C109" s="2" t="s">
        <v>880</v>
      </c>
      <c r="D109" s="2" t="s">
        <v>35</v>
      </c>
      <c r="E109" s="2">
        <v>29</v>
      </c>
      <c r="F109" s="2" t="s">
        <v>64</v>
      </c>
      <c r="G109" s="2" t="s">
        <v>25</v>
      </c>
      <c r="H109" s="2">
        <v>578</v>
      </c>
      <c r="I109" s="2">
        <v>9</v>
      </c>
      <c r="J109" s="2">
        <v>0</v>
      </c>
      <c r="K109" s="2">
        <v>0</v>
      </c>
      <c r="L109" s="2">
        <v>71.3</v>
      </c>
      <c r="M109" s="4">
        <f>(16.5+16.5+16.5)/3</f>
        <v>16.5</v>
      </c>
      <c r="N109" s="4">
        <f>(22)/1</f>
        <v>22</v>
      </c>
      <c r="O109" s="2">
        <v>108</v>
      </c>
    </row>
    <row r="110" spans="1:15" x14ac:dyDescent="0.3">
      <c r="A110" s="2" t="s">
        <v>12</v>
      </c>
      <c r="B110" s="2" t="s">
        <v>188</v>
      </c>
      <c r="C110" s="2" t="s">
        <v>37</v>
      </c>
      <c r="D110" s="2" t="s">
        <v>35</v>
      </c>
      <c r="E110" s="2">
        <v>28</v>
      </c>
      <c r="F110" s="2" t="s">
        <v>64</v>
      </c>
      <c r="G110" s="2" t="s">
        <v>25</v>
      </c>
      <c r="H110" s="2">
        <v>577</v>
      </c>
      <c r="I110" s="2">
        <v>9</v>
      </c>
      <c r="J110" s="2">
        <v>1</v>
      </c>
      <c r="K110" s="2">
        <v>0</v>
      </c>
      <c r="L110" s="2">
        <v>74.5</v>
      </c>
      <c r="M110" s="4">
        <f>(41.8+41.8+44+44)/4</f>
        <v>42.9</v>
      </c>
      <c r="N110" s="4">
        <f>(44)/1</f>
        <v>44</v>
      </c>
      <c r="O110" s="2">
        <v>109</v>
      </c>
    </row>
    <row r="111" spans="1:15" x14ac:dyDescent="0.3">
      <c r="A111" s="2" t="s">
        <v>12</v>
      </c>
      <c r="B111" s="2" t="s">
        <v>189</v>
      </c>
      <c r="C111" s="2" t="s">
        <v>28</v>
      </c>
      <c r="D111" s="2" t="s">
        <v>23</v>
      </c>
      <c r="E111" s="2">
        <v>22</v>
      </c>
      <c r="F111" s="2" t="s">
        <v>119</v>
      </c>
      <c r="G111" s="2" t="s">
        <v>56</v>
      </c>
      <c r="H111" s="2">
        <v>577</v>
      </c>
      <c r="I111" s="2">
        <v>7</v>
      </c>
      <c r="J111" s="2">
        <v>2</v>
      </c>
      <c r="K111" s="2">
        <v>5</v>
      </c>
      <c r="L111" s="2">
        <v>65.099999999999994</v>
      </c>
      <c r="M111" s="4">
        <f>(27.5+27.5)/2</f>
        <v>27.5</v>
      </c>
      <c r="N111" s="4">
        <f>(38.5+38.5)/2</f>
        <v>38.5</v>
      </c>
      <c r="O111" s="2">
        <v>110</v>
      </c>
    </row>
    <row r="112" spans="1:15" x14ac:dyDescent="0.3">
      <c r="A112" s="2" t="s">
        <v>12</v>
      </c>
      <c r="B112" s="2" t="s">
        <v>190</v>
      </c>
      <c r="C112" s="2" t="s">
        <v>29</v>
      </c>
      <c r="D112" s="2" t="s">
        <v>24</v>
      </c>
      <c r="E112" s="2">
        <v>32</v>
      </c>
      <c r="F112" s="2" t="s">
        <v>44</v>
      </c>
      <c r="G112" s="2" t="s">
        <v>29</v>
      </c>
      <c r="H112" s="2">
        <v>577</v>
      </c>
      <c r="I112" s="2">
        <v>7</v>
      </c>
      <c r="J112" s="2">
        <v>1</v>
      </c>
      <c r="K112" s="2">
        <v>0</v>
      </c>
      <c r="L112" s="2">
        <v>64.099999999999994</v>
      </c>
      <c r="M112" s="4">
        <f>(38.5+30.8+27.5)/3</f>
        <v>32.266666666666666</v>
      </c>
      <c r="N112" s="4">
        <f>(19.8)/1</f>
        <v>19.8</v>
      </c>
      <c r="O112" s="2">
        <v>111</v>
      </c>
    </row>
    <row r="113" spans="1:15" x14ac:dyDescent="0.3">
      <c r="A113" s="2" t="s">
        <v>12</v>
      </c>
      <c r="B113" s="2" t="s">
        <v>191</v>
      </c>
      <c r="C113" s="2" t="s">
        <v>25</v>
      </c>
      <c r="D113" s="2" t="s">
        <v>24</v>
      </c>
      <c r="E113" s="2">
        <v>32</v>
      </c>
      <c r="F113" s="2" t="s">
        <v>15</v>
      </c>
      <c r="G113" s="2" t="s">
        <v>25</v>
      </c>
      <c r="H113" s="2">
        <v>574</v>
      </c>
      <c r="I113" s="2">
        <v>9</v>
      </c>
      <c r="J113" s="2">
        <v>0</v>
      </c>
      <c r="K113" s="2">
        <v>0</v>
      </c>
      <c r="L113" s="2">
        <v>61.9</v>
      </c>
      <c r="M113" s="4">
        <f>(11+11+8.8+7.7)/4</f>
        <v>9.625</v>
      </c>
      <c r="N113" s="4">
        <f>(7.7)/1</f>
        <v>7.7</v>
      </c>
      <c r="O113" s="2">
        <v>112</v>
      </c>
    </row>
    <row r="114" spans="1:15" x14ac:dyDescent="0.3">
      <c r="A114" s="2" t="s">
        <v>12</v>
      </c>
      <c r="B114" s="2" t="s">
        <v>853</v>
      </c>
      <c r="C114" s="2" t="s">
        <v>55</v>
      </c>
      <c r="D114" s="2" t="s">
        <v>23</v>
      </c>
      <c r="E114" s="2">
        <v>22</v>
      </c>
      <c r="F114" s="2" t="s">
        <v>64</v>
      </c>
      <c r="G114" s="2" t="s">
        <v>25</v>
      </c>
      <c r="H114" s="2">
        <v>573</v>
      </c>
      <c r="I114" s="2">
        <v>8</v>
      </c>
      <c r="J114" s="2">
        <v>1</v>
      </c>
      <c r="K114" s="2">
        <v>1</v>
      </c>
      <c r="L114" s="2">
        <v>68.5</v>
      </c>
      <c r="M114" s="4">
        <f>(110+88+88+77+66)/5</f>
        <v>85.8</v>
      </c>
      <c r="N114" s="4">
        <f>(77+77)/2</f>
        <v>77</v>
      </c>
      <c r="O114" s="2">
        <v>113</v>
      </c>
    </row>
    <row r="115" spans="1:15" x14ac:dyDescent="0.3">
      <c r="A115" s="2" t="s">
        <v>12</v>
      </c>
      <c r="B115" s="2" t="s">
        <v>854</v>
      </c>
      <c r="C115" s="2" t="s">
        <v>45</v>
      </c>
      <c r="D115" s="2" t="s">
        <v>24</v>
      </c>
      <c r="E115" s="2">
        <v>24</v>
      </c>
      <c r="F115" s="2" t="s">
        <v>116</v>
      </c>
      <c r="G115" s="2" t="s">
        <v>45</v>
      </c>
      <c r="H115" s="2">
        <v>573</v>
      </c>
      <c r="I115" s="2">
        <v>7</v>
      </c>
      <c r="J115" s="2">
        <v>1</v>
      </c>
      <c r="K115" s="2">
        <v>0</v>
      </c>
      <c r="L115" s="2">
        <v>66.5</v>
      </c>
      <c r="M115" s="4">
        <f>(8.8+8.8)/2</f>
        <v>8.8000000000000007</v>
      </c>
      <c r="N115" s="4">
        <f>(13.2)/1</f>
        <v>13.2</v>
      </c>
      <c r="O115" s="2">
        <v>114</v>
      </c>
    </row>
    <row r="116" spans="1:15" x14ac:dyDescent="0.3">
      <c r="A116" s="2" t="s">
        <v>12</v>
      </c>
      <c r="B116" s="2" t="s">
        <v>193</v>
      </c>
      <c r="C116" s="2" t="s">
        <v>56</v>
      </c>
      <c r="D116" s="2" t="s">
        <v>24</v>
      </c>
      <c r="E116" s="2">
        <v>32</v>
      </c>
      <c r="F116" s="2" t="s">
        <v>119</v>
      </c>
      <c r="G116" s="2" t="s">
        <v>56</v>
      </c>
      <c r="H116" s="2">
        <v>572</v>
      </c>
      <c r="I116" s="2">
        <v>8</v>
      </c>
      <c r="J116" s="2">
        <v>1</v>
      </c>
      <c r="K116" s="2">
        <v>1</v>
      </c>
      <c r="L116" s="2">
        <v>70.900000000000006</v>
      </c>
      <c r="M116" s="4">
        <f>(16.5+16.5+14.85)/3</f>
        <v>15.950000000000001</v>
      </c>
      <c r="N116" s="4">
        <f>(14.85+11+9.9)/3</f>
        <v>11.916666666666666</v>
      </c>
      <c r="O116" s="2">
        <v>115</v>
      </c>
    </row>
    <row r="117" spans="1:15" x14ac:dyDescent="0.3">
      <c r="A117" s="2" t="s">
        <v>12</v>
      </c>
      <c r="B117" s="2" t="s">
        <v>855</v>
      </c>
      <c r="C117" s="2" t="s">
        <v>30</v>
      </c>
      <c r="D117" s="2" t="s">
        <v>24</v>
      </c>
      <c r="E117" s="2">
        <v>26</v>
      </c>
      <c r="F117" s="2" t="s">
        <v>67</v>
      </c>
      <c r="G117" s="2" t="s">
        <v>57</v>
      </c>
      <c r="H117" s="2">
        <v>572</v>
      </c>
      <c r="I117" s="2">
        <v>8</v>
      </c>
      <c r="J117" s="2">
        <v>0</v>
      </c>
      <c r="K117" s="2">
        <v>0</v>
      </c>
      <c r="L117" s="2">
        <v>69.400000000000006</v>
      </c>
      <c r="M117" s="4">
        <f>(49.5+49.5+55)/3</f>
        <v>51.333333333333336</v>
      </c>
      <c r="N117" s="4">
        <f>(55)/1</f>
        <v>55</v>
      </c>
      <c r="O117" s="2">
        <v>116</v>
      </c>
    </row>
    <row r="118" spans="1:15" x14ac:dyDescent="0.3">
      <c r="A118" s="2" t="s">
        <v>12</v>
      </c>
      <c r="B118" s="2" t="s">
        <v>856</v>
      </c>
      <c r="C118" s="2" t="s">
        <v>56</v>
      </c>
      <c r="D118" s="2" t="s">
        <v>35</v>
      </c>
      <c r="E118" s="2">
        <v>21</v>
      </c>
      <c r="F118" s="2" t="s">
        <v>119</v>
      </c>
      <c r="G118" s="2" t="s">
        <v>56</v>
      </c>
      <c r="H118" s="2">
        <v>570</v>
      </c>
      <c r="I118" s="2">
        <v>8</v>
      </c>
      <c r="J118" s="2">
        <v>0</v>
      </c>
      <c r="K118" s="2">
        <v>0</v>
      </c>
      <c r="L118" s="2">
        <v>64.900000000000006</v>
      </c>
      <c r="M118" s="4">
        <f>(9.9+12.1+18.7)/3</f>
        <v>13.566666666666668</v>
      </c>
      <c r="N118" s="4">
        <f>(33+38.5)/2</f>
        <v>35.75</v>
      </c>
      <c r="O118" s="2">
        <v>117</v>
      </c>
    </row>
    <row r="119" spans="1:15" x14ac:dyDescent="0.3">
      <c r="A119" s="2" t="s">
        <v>12</v>
      </c>
      <c r="B119" s="2" t="s">
        <v>194</v>
      </c>
      <c r="C119" s="2" t="s">
        <v>869</v>
      </c>
      <c r="D119" s="2" t="s">
        <v>35</v>
      </c>
      <c r="E119" s="2">
        <v>30</v>
      </c>
      <c r="F119" s="2" t="s">
        <v>79</v>
      </c>
      <c r="G119" s="2" t="s">
        <v>29</v>
      </c>
      <c r="H119" s="2">
        <v>561</v>
      </c>
      <c r="I119" s="2">
        <v>8</v>
      </c>
      <c r="J119" s="2">
        <v>2</v>
      </c>
      <c r="K119" s="2">
        <v>2</v>
      </c>
      <c r="L119" s="2">
        <v>68.7</v>
      </c>
      <c r="M119" s="4">
        <f>(49.5+44+49.5+49.5)/4</f>
        <v>48.125</v>
      </c>
      <c r="N119" s="4">
        <f>(44)/1</f>
        <v>44</v>
      </c>
      <c r="O119" s="2">
        <v>118</v>
      </c>
    </row>
    <row r="120" spans="1:15" x14ac:dyDescent="0.3">
      <c r="A120" s="2" t="s">
        <v>12</v>
      </c>
      <c r="B120" s="2" t="s">
        <v>857</v>
      </c>
      <c r="C120" s="2" t="s">
        <v>55</v>
      </c>
      <c r="D120" s="2" t="s">
        <v>24</v>
      </c>
      <c r="E120" s="2">
        <v>20</v>
      </c>
      <c r="F120" s="2" t="s">
        <v>162</v>
      </c>
      <c r="G120" s="2" t="s">
        <v>55</v>
      </c>
      <c r="H120" s="2">
        <v>561</v>
      </c>
      <c r="I120" s="2">
        <v>7</v>
      </c>
      <c r="J120" s="2">
        <v>0</v>
      </c>
      <c r="K120" s="2">
        <v>1</v>
      </c>
      <c r="L120" s="2">
        <v>60.7</v>
      </c>
      <c r="M120" s="4">
        <f>(3.3+6.6+9.9+17.6)/4</f>
        <v>9.35</v>
      </c>
      <c r="N120" s="4">
        <f>(19.8+25.3)/2</f>
        <v>22.55</v>
      </c>
      <c r="O120" s="2">
        <v>119</v>
      </c>
    </row>
    <row r="121" spans="1:15" x14ac:dyDescent="0.3">
      <c r="A121" s="2" t="s">
        <v>12</v>
      </c>
      <c r="B121" s="2" t="s">
        <v>858</v>
      </c>
      <c r="C121" s="2" t="s">
        <v>881</v>
      </c>
      <c r="D121" s="2" t="s">
        <v>35</v>
      </c>
      <c r="E121" s="2">
        <v>24</v>
      </c>
      <c r="F121" s="2" t="s">
        <v>119</v>
      </c>
      <c r="G121" s="2" t="s">
        <v>56</v>
      </c>
      <c r="H121" s="2">
        <v>558</v>
      </c>
      <c r="I121" s="2">
        <v>7</v>
      </c>
      <c r="J121" s="2">
        <v>0</v>
      </c>
      <c r="K121" s="2">
        <v>0</v>
      </c>
      <c r="L121" s="2">
        <v>73</v>
      </c>
      <c r="M121" s="4">
        <f>(13.2+15.4+18.7)/3</f>
        <v>15.766666666666666</v>
      </c>
      <c r="N121" s="4">
        <f>(22+24.2)/2</f>
        <v>23.1</v>
      </c>
      <c r="O121" s="2">
        <v>120</v>
      </c>
    </row>
    <row r="122" spans="1:15" x14ac:dyDescent="0.3">
      <c r="A122" s="2" t="s">
        <v>12</v>
      </c>
      <c r="B122" s="2" t="s">
        <v>195</v>
      </c>
      <c r="C122" s="2" t="s">
        <v>28</v>
      </c>
      <c r="D122" s="2" t="s">
        <v>24</v>
      </c>
      <c r="E122" s="2">
        <v>31</v>
      </c>
      <c r="F122" s="2" t="s">
        <v>164</v>
      </c>
      <c r="G122" s="2" t="s">
        <v>869</v>
      </c>
      <c r="H122" s="2">
        <v>553</v>
      </c>
      <c r="I122" s="2">
        <v>7</v>
      </c>
      <c r="J122" s="2">
        <v>1</v>
      </c>
      <c r="K122" s="2">
        <v>0</v>
      </c>
      <c r="L122" s="2">
        <v>69</v>
      </c>
      <c r="M122" s="4">
        <f>(22+13.2)/2</f>
        <v>17.600000000000001</v>
      </c>
      <c r="N122" s="4">
        <f>(9.9+6.6)/2</f>
        <v>8.25</v>
      </c>
      <c r="O122" s="2">
        <v>121</v>
      </c>
    </row>
    <row r="123" spans="1:15" x14ac:dyDescent="0.3">
      <c r="A123" s="2" t="s">
        <v>12</v>
      </c>
      <c r="B123" s="2" t="s">
        <v>196</v>
      </c>
      <c r="C123" s="2" t="s">
        <v>25</v>
      </c>
      <c r="D123" s="2" t="s">
        <v>24</v>
      </c>
      <c r="E123" s="2">
        <v>31</v>
      </c>
      <c r="F123" s="2" t="s">
        <v>79</v>
      </c>
      <c r="G123" s="2" t="s">
        <v>29</v>
      </c>
      <c r="H123" s="2">
        <v>548</v>
      </c>
      <c r="I123" s="2">
        <v>8</v>
      </c>
      <c r="J123" s="2">
        <v>0</v>
      </c>
      <c r="K123" s="2">
        <v>0</v>
      </c>
      <c r="L123" s="2">
        <v>68.900000000000006</v>
      </c>
      <c r="M123" s="4">
        <f>(14.3+13.2+16.5+16.5)/4</f>
        <v>15.125</v>
      </c>
      <c r="N123" s="4">
        <f>(13.2)/1</f>
        <v>13.2</v>
      </c>
      <c r="O123" s="2">
        <v>122</v>
      </c>
    </row>
    <row r="124" spans="1:15" x14ac:dyDescent="0.3">
      <c r="A124" s="2" t="s">
        <v>12</v>
      </c>
      <c r="B124" s="2" t="s">
        <v>197</v>
      </c>
      <c r="C124" s="2" t="s">
        <v>28</v>
      </c>
      <c r="D124" s="2" t="s">
        <v>23</v>
      </c>
      <c r="E124" s="2">
        <v>26</v>
      </c>
      <c r="F124" s="2" t="s">
        <v>58</v>
      </c>
      <c r="G124" s="2" t="s">
        <v>55</v>
      </c>
      <c r="H124" s="2">
        <v>543</v>
      </c>
      <c r="I124" s="2">
        <v>9</v>
      </c>
      <c r="J124" s="2">
        <v>0</v>
      </c>
      <c r="K124" s="2">
        <v>0</v>
      </c>
      <c r="L124" s="2">
        <v>67.099999999999994</v>
      </c>
      <c r="M124" s="4">
        <f>(27.5+22+22+19.8+19.8)/5</f>
        <v>22.22</v>
      </c>
      <c r="N124" s="4">
        <f>(16.5)/1</f>
        <v>16.5</v>
      </c>
      <c r="O124" s="2">
        <v>123</v>
      </c>
    </row>
    <row r="125" spans="1:15" x14ac:dyDescent="0.3">
      <c r="A125" s="2" t="s">
        <v>12</v>
      </c>
      <c r="B125" s="2" t="s">
        <v>859</v>
      </c>
      <c r="C125" s="2" t="s">
        <v>882</v>
      </c>
      <c r="D125" s="2" t="s">
        <v>23</v>
      </c>
      <c r="E125" s="2">
        <v>36</v>
      </c>
      <c r="F125" s="2" t="s">
        <v>107</v>
      </c>
      <c r="G125" s="2" t="s">
        <v>869</v>
      </c>
      <c r="H125" s="2">
        <v>541</v>
      </c>
      <c r="I125" s="2">
        <v>7</v>
      </c>
      <c r="J125" s="2">
        <v>3</v>
      </c>
      <c r="K125" s="2">
        <v>1</v>
      </c>
      <c r="L125" s="2">
        <v>64.599999999999994</v>
      </c>
      <c r="M125" s="4">
        <f>(5.5+4.4+4.4)/3</f>
        <v>4.7666666666666666</v>
      </c>
      <c r="N125" s="4">
        <f>(4.4)/1</f>
        <v>4.4000000000000004</v>
      </c>
      <c r="O125" s="2">
        <v>124</v>
      </c>
    </row>
    <row r="126" spans="1:15" x14ac:dyDescent="0.3">
      <c r="A126" s="2" t="s">
        <v>12</v>
      </c>
      <c r="B126" s="2" t="s">
        <v>199</v>
      </c>
      <c r="C126" s="2" t="s">
        <v>21</v>
      </c>
      <c r="D126" s="2" t="s">
        <v>35</v>
      </c>
      <c r="E126" s="2">
        <v>29</v>
      </c>
      <c r="F126" s="2" t="s">
        <v>198</v>
      </c>
      <c r="G126" s="2" t="s">
        <v>21</v>
      </c>
      <c r="H126" s="2">
        <v>540</v>
      </c>
      <c r="I126" s="2">
        <v>6</v>
      </c>
      <c r="J126" s="2">
        <v>3</v>
      </c>
      <c r="K126" s="2">
        <v>1</v>
      </c>
      <c r="L126" s="2">
        <v>69.400000000000006</v>
      </c>
      <c r="M126" s="4">
        <f>(14.3+17.6)/2</f>
        <v>15.950000000000001</v>
      </c>
      <c r="N126" s="4">
        <f>(17.6+17.6)/2</f>
        <v>17.600000000000001</v>
      </c>
      <c r="O126" s="2">
        <v>125</v>
      </c>
    </row>
    <row r="127" spans="1:15" x14ac:dyDescent="0.3">
      <c r="A127" s="2" t="s">
        <v>12</v>
      </c>
      <c r="B127" s="2" t="s">
        <v>860</v>
      </c>
      <c r="C127" s="2" t="s">
        <v>883</v>
      </c>
      <c r="D127" s="2" t="s">
        <v>35</v>
      </c>
      <c r="E127" s="2">
        <v>28</v>
      </c>
      <c r="F127" s="2" t="s">
        <v>201</v>
      </c>
      <c r="G127" s="2" t="s">
        <v>884</v>
      </c>
      <c r="H127" s="2">
        <v>540</v>
      </c>
      <c r="I127" s="2">
        <v>6</v>
      </c>
      <c r="J127" s="2">
        <v>2</v>
      </c>
      <c r="K127" s="2">
        <v>1</v>
      </c>
      <c r="L127" s="2">
        <v>76.8</v>
      </c>
      <c r="M127" s="4">
        <f>(0.44+1.1+2.2)/3</f>
        <v>1.2466666666666668</v>
      </c>
      <c r="N127" s="4">
        <f>(2.2)/1</f>
        <v>2.2000000000000002</v>
      </c>
      <c r="O127" s="2">
        <v>126</v>
      </c>
    </row>
    <row r="128" spans="1:15" x14ac:dyDescent="0.3">
      <c r="A128" s="2" t="s">
        <v>12</v>
      </c>
      <c r="B128" s="2" t="s">
        <v>203</v>
      </c>
      <c r="C128" s="2" t="s">
        <v>867</v>
      </c>
      <c r="D128" s="2" t="s">
        <v>24</v>
      </c>
      <c r="E128" s="2">
        <v>31</v>
      </c>
      <c r="F128" s="2" t="s">
        <v>162</v>
      </c>
      <c r="G128" s="2" t="s">
        <v>55</v>
      </c>
      <c r="H128" s="2">
        <v>540</v>
      </c>
      <c r="I128" s="2">
        <v>6</v>
      </c>
      <c r="J128" s="2">
        <v>2</v>
      </c>
      <c r="K128" s="2">
        <v>0</v>
      </c>
      <c r="L128" s="2">
        <v>50.9</v>
      </c>
      <c r="M128" s="4">
        <f>(11+15.4+15.4)/3</f>
        <v>13.933333333333332</v>
      </c>
      <c r="N128" s="4">
        <f>(14.3+8.8)/2</f>
        <v>11.55</v>
      </c>
      <c r="O128" s="2">
        <v>127</v>
      </c>
    </row>
    <row r="129" spans="1:15" x14ac:dyDescent="0.3">
      <c r="A129" s="2" t="s">
        <v>12</v>
      </c>
      <c r="B129" s="2" t="s">
        <v>205</v>
      </c>
      <c r="C129" s="2" t="s">
        <v>57</v>
      </c>
      <c r="D129" s="2" t="s">
        <v>35</v>
      </c>
      <c r="E129" s="2">
        <v>28</v>
      </c>
      <c r="F129" s="2" t="s">
        <v>204</v>
      </c>
      <c r="G129" s="2" t="s">
        <v>57</v>
      </c>
      <c r="H129" s="2">
        <v>540</v>
      </c>
      <c r="I129" s="2">
        <v>6</v>
      </c>
      <c r="J129" s="2">
        <v>0</v>
      </c>
      <c r="K129" s="2">
        <v>3</v>
      </c>
      <c r="L129" s="2">
        <v>67.3</v>
      </c>
      <c r="M129" s="4">
        <f>(20.9+20.9+18.7)/3</f>
        <v>20.166666666666668</v>
      </c>
      <c r="N129" s="4">
        <f>(18.7)/1</f>
        <v>18.7</v>
      </c>
      <c r="O129" s="2">
        <v>128</v>
      </c>
    </row>
    <row r="130" spans="1:15" x14ac:dyDescent="0.3">
      <c r="A130" s="2" t="s">
        <v>12</v>
      </c>
      <c r="B130" s="2" t="s">
        <v>207</v>
      </c>
      <c r="C130" s="2" t="s">
        <v>28</v>
      </c>
      <c r="D130" s="2" t="s">
        <v>24</v>
      </c>
      <c r="E130" s="2">
        <v>28</v>
      </c>
      <c r="F130" s="2" t="s">
        <v>201</v>
      </c>
      <c r="G130" s="2" t="s">
        <v>884</v>
      </c>
      <c r="H130" s="2">
        <v>540</v>
      </c>
      <c r="I130" s="2">
        <v>6</v>
      </c>
      <c r="J130" s="2">
        <v>0</v>
      </c>
      <c r="K130" s="2">
        <v>3</v>
      </c>
      <c r="L130" s="2">
        <v>63.2</v>
      </c>
      <c r="M130" s="4">
        <f>(0.66+2.2+2.2)/3</f>
        <v>1.6866666666666668</v>
      </c>
      <c r="N130" s="4">
        <f>(2.2)/1</f>
        <v>2.2000000000000002</v>
      </c>
      <c r="O130" s="2">
        <v>129</v>
      </c>
    </row>
    <row r="131" spans="1:15" x14ac:dyDescent="0.3">
      <c r="A131" s="2" t="s">
        <v>12</v>
      </c>
      <c r="B131" s="2" t="s">
        <v>210</v>
      </c>
      <c r="C131" s="2" t="s">
        <v>885</v>
      </c>
      <c r="D131" s="2" t="s">
        <v>24</v>
      </c>
      <c r="E131" s="2">
        <v>19</v>
      </c>
      <c r="F131" s="2" t="s">
        <v>209</v>
      </c>
      <c r="G131" s="2" t="s">
        <v>885</v>
      </c>
      <c r="H131" s="2">
        <v>540</v>
      </c>
      <c r="I131" s="2">
        <v>6</v>
      </c>
      <c r="J131" s="2">
        <v>0</v>
      </c>
      <c r="K131" s="2">
        <v>0</v>
      </c>
      <c r="L131" s="2">
        <v>67.099999999999994</v>
      </c>
      <c r="M131" s="4">
        <f>(4.4+6.6+12.1+14.3)/4</f>
        <v>9.3500000000000014</v>
      </c>
      <c r="N131" s="4">
        <f>(16.5)/1</f>
        <v>16.5</v>
      </c>
      <c r="O131" s="2">
        <v>130</v>
      </c>
    </row>
    <row r="132" spans="1:15" x14ac:dyDescent="0.3">
      <c r="A132" s="2" t="s">
        <v>12</v>
      </c>
      <c r="B132" s="2" t="s">
        <v>213</v>
      </c>
      <c r="C132" s="2" t="s">
        <v>28</v>
      </c>
      <c r="D132" s="2" t="s">
        <v>35</v>
      </c>
      <c r="E132" s="2">
        <v>35</v>
      </c>
      <c r="F132" s="2" t="s">
        <v>212</v>
      </c>
      <c r="G132" s="2" t="s">
        <v>25</v>
      </c>
      <c r="H132" s="2">
        <v>540</v>
      </c>
      <c r="I132" s="2">
        <v>6</v>
      </c>
      <c r="J132" s="2">
        <v>0</v>
      </c>
      <c r="K132" s="2">
        <v>0</v>
      </c>
      <c r="L132" s="2">
        <v>66.599999999999994</v>
      </c>
      <c r="M132" s="4">
        <f>(4.4+4.4+4.4)/3</f>
        <v>4.4000000000000004</v>
      </c>
      <c r="N132" s="4">
        <f>(4.4)/1</f>
        <v>4.4000000000000004</v>
      </c>
      <c r="O132" s="2">
        <v>131</v>
      </c>
    </row>
    <row r="133" spans="1:15" x14ac:dyDescent="0.3">
      <c r="A133" s="2" t="s">
        <v>12</v>
      </c>
      <c r="B133" s="2" t="s">
        <v>215</v>
      </c>
      <c r="C133" s="2" t="s">
        <v>28</v>
      </c>
      <c r="D133" s="2" t="s">
        <v>24</v>
      </c>
      <c r="E133" s="2">
        <v>23</v>
      </c>
      <c r="F133" s="2" t="s">
        <v>201</v>
      </c>
      <c r="G133" s="2" t="s">
        <v>884</v>
      </c>
      <c r="H133" s="2">
        <v>540</v>
      </c>
      <c r="I133" s="2">
        <v>6</v>
      </c>
      <c r="J133" s="2">
        <v>0</v>
      </c>
      <c r="K133" s="2">
        <v>0</v>
      </c>
      <c r="L133" s="2">
        <v>64.599999999999994</v>
      </c>
      <c r="M133" s="4">
        <f>(0.55+0.88+1.1)/3</f>
        <v>0.84333333333333338</v>
      </c>
      <c r="N133" s="4">
        <f>(1.32)/1</f>
        <v>1.32</v>
      </c>
      <c r="O133" s="2">
        <v>132</v>
      </c>
    </row>
    <row r="134" spans="1:15" x14ac:dyDescent="0.3">
      <c r="A134" s="2" t="s">
        <v>12</v>
      </c>
      <c r="B134" s="2" t="s">
        <v>861</v>
      </c>
      <c r="C134" s="2" t="s">
        <v>28</v>
      </c>
      <c r="D134" s="2" t="s">
        <v>24</v>
      </c>
      <c r="E134" s="2">
        <v>23</v>
      </c>
      <c r="F134" s="2" t="s">
        <v>216</v>
      </c>
      <c r="G134" s="2" t="s">
        <v>885</v>
      </c>
      <c r="H134" s="2">
        <v>540</v>
      </c>
      <c r="I134" s="2">
        <v>6</v>
      </c>
      <c r="J134" s="2">
        <v>0</v>
      </c>
      <c r="K134" s="2">
        <v>0</v>
      </c>
      <c r="L134" s="2">
        <v>64.5</v>
      </c>
      <c r="M134" s="4">
        <f>(19.8+22+22)/3</f>
        <v>21.266666666666666</v>
      </c>
      <c r="N134" s="4">
        <f>(22)/1</f>
        <v>22</v>
      </c>
      <c r="O134" s="2">
        <v>133</v>
      </c>
    </row>
    <row r="135" spans="1:15" x14ac:dyDescent="0.3">
      <c r="A135" s="2" t="s">
        <v>12</v>
      </c>
      <c r="B135" s="2" t="s">
        <v>219</v>
      </c>
      <c r="C135" s="2" t="s">
        <v>54</v>
      </c>
      <c r="D135" s="2" t="s">
        <v>35</v>
      </c>
      <c r="E135" s="2">
        <v>28</v>
      </c>
      <c r="F135" s="2" t="s">
        <v>218</v>
      </c>
      <c r="G135" s="2" t="s">
        <v>886</v>
      </c>
      <c r="H135" s="2">
        <v>540</v>
      </c>
      <c r="I135" s="2">
        <v>6</v>
      </c>
      <c r="J135" s="2">
        <v>0</v>
      </c>
      <c r="K135" s="2">
        <v>0</v>
      </c>
      <c r="L135" s="2">
        <v>61.5</v>
      </c>
      <c r="M135" s="4">
        <f>(16.5+19.8+22)/3</f>
        <v>19.433333333333334</v>
      </c>
      <c r="N135" s="4">
        <f>(22)/1</f>
        <v>22</v>
      </c>
      <c r="O135" s="2">
        <v>134</v>
      </c>
    </row>
    <row r="136" spans="1:15" x14ac:dyDescent="0.3">
      <c r="A136" s="2" t="s">
        <v>12</v>
      </c>
      <c r="B136" s="2" t="s">
        <v>221</v>
      </c>
      <c r="C136" s="2" t="s">
        <v>30</v>
      </c>
      <c r="D136" s="2" t="s">
        <v>24</v>
      </c>
      <c r="E136" s="2">
        <v>22</v>
      </c>
      <c r="F136" s="2" t="s">
        <v>204</v>
      </c>
      <c r="G136" s="2" t="s">
        <v>57</v>
      </c>
      <c r="H136" s="2">
        <v>540</v>
      </c>
      <c r="I136" s="2">
        <v>6</v>
      </c>
      <c r="J136" s="2">
        <v>0</v>
      </c>
      <c r="K136" s="2">
        <v>0</v>
      </c>
      <c r="L136" s="2">
        <v>61.3</v>
      </c>
      <c r="M136" s="4">
        <f>(18.7+27.5+30.8+27.5)/4</f>
        <v>26.125</v>
      </c>
      <c r="N136" s="4">
        <f>(22+22)/2</f>
        <v>22</v>
      </c>
      <c r="O136" s="2">
        <v>135</v>
      </c>
    </row>
    <row r="137" spans="1:15" x14ac:dyDescent="0.3">
      <c r="A137" s="2" t="s">
        <v>12</v>
      </c>
      <c r="B137" s="2" t="s">
        <v>223</v>
      </c>
      <c r="C137" s="2" t="s">
        <v>865</v>
      </c>
      <c r="D137" s="2" t="s">
        <v>24</v>
      </c>
      <c r="E137" s="2">
        <v>27</v>
      </c>
      <c r="F137" s="2" t="s">
        <v>198</v>
      </c>
      <c r="G137" s="2" t="s">
        <v>21</v>
      </c>
      <c r="H137" s="2">
        <v>540</v>
      </c>
      <c r="I137" s="2">
        <v>6</v>
      </c>
      <c r="J137" s="2">
        <v>0</v>
      </c>
      <c r="K137" s="2">
        <v>0</v>
      </c>
      <c r="L137" s="2">
        <v>61</v>
      </c>
      <c r="M137" s="4">
        <f>(1.1+1.76+3.85+5.5)/4</f>
        <v>3.0525000000000002</v>
      </c>
      <c r="N137" s="4">
        <f>(6.6+5.5)/2</f>
        <v>6.05</v>
      </c>
      <c r="O137" s="2">
        <v>136</v>
      </c>
    </row>
    <row r="138" spans="1:15" x14ac:dyDescent="0.3">
      <c r="A138" s="2" t="s">
        <v>12</v>
      </c>
      <c r="B138" s="2" t="s">
        <v>225</v>
      </c>
      <c r="C138" s="2" t="s">
        <v>54</v>
      </c>
      <c r="D138" s="2" t="s">
        <v>24</v>
      </c>
      <c r="E138" s="2">
        <v>27</v>
      </c>
      <c r="F138" s="2" t="s">
        <v>201</v>
      </c>
      <c r="G138" s="2" t="s">
        <v>884</v>
      </c>
      <c r="H138" s="2">
        <v>540</v>
      </c>
      <c r="I138" s="2">
        <v>6</v>
      </c>
      <c r="J138" s="2">
        <v>0</v>
      </c>
      <c r="K138" s="2">
        <v>0</v>
      </c>
      <c r="L138" s="2">
        <v>53.3</v>
      </c>
      <c r="M138" s="4">
        <f>(0.66+1.32+1.87)/3</f>
        <v>1.2833333333333334</v>
      </c>
      <c r="N138" s="4">
        <f>(2.75)/1</f>
        <v>2.75</v>
      </c>
      <c r="O138" s="2">
        <v>137</v>
      </c>
    </row>
    <row r="139" spans="1:15" x14ac:dyDescent="0.3">
      <c r="A139" s="2" t="s">
        <v>12</v>
      </c>
      <c r="B139" s="2" t="s">
        <v>226</v>
      </c>
      <c r="C139" s="2" t="s">
        <v>887</v>
      </c>
      <c r="D139" s="2" t="s">
        <v>24</v>
      </c>
      <c r="E139" s="2">
        <v>27</v>
      </c>
      <c r="F139" s="2" t="s">
        <v>201</v>
      </c>
      <c r="G139" s="2" t="s">
        <v>884</v>
      </c>
      <c r="H139" s="2">
        <v>540</v>
      </c>
      <c r="I139" s="2">
        <v>6</v>
      </c>
      <c r="J139" s="2">
        <v>0</v>
      </c>
      <c r="K139" s="2">
        <v>0</v>
      </c>
      <c r="L139" s="2">
        <v>53</v>
      </c>
      <c r="M139" s="4">
        <f>(0.55+1.32+1.65)/3</f>
        <v>1.1733333333333333</v>
      </c>
      <c r="N139" s="4">
        <f>(1.65)/1</f>
        <v>1.65</v>
      </c>
      <c r="O139" s="2">
        <v>138</v>
      </c>
    </row>
    <row r="140" spans="1:15" x14ac:dyDescent="0.3">
      <c r="A140" s="2" t="s">
        <v>12</v>
      </c>
      <c r="B140" s="2" t="s">
        <v>227</v>
      </c>
      <c r="C140" s="2" t="s">
        <v>871</v>
      </c>
      <c r="D140" s="2" t="s">
        <v>14</v>
      </c>
      <c r="E140" s="2">
        <v>31</v>
      </c>
      <c r="F140" s="2" t="s">
        <v>212</v>
      </c>
      <c r="G140" s="2" t="s">
        <v>25</v>
      </c>
      <c r="H140" s="2">
        <v>540</v>
      </c>
      <c r="I140" s="2">
        <v>6</v>
      </c>
      <c r="J140" s="2">
        <v>0</v>
      </c>
      <c r="K140" s="2">
        <v>0</v>
      </c>
      <c r="L140" s="2">
        <v>37.200000000000003</v>
      </c>
      <c r="M140" s="4">
        <f>(16.5+19.8+19.8+16.5)/4</f>
        <v>18.149999999999999</v>
      </c>
      <c r="N140" s="4">
        <f>(19.8)/1</f>
        <v>19.8</v>
      </c>
      <c r="O140" s="2">
        <v>139</v>
      </c>
    </row>
    <row r="141" spans="1:15" x14ac:dyDescent="0.3">
      <c r="A141" s="2" t="s">
        <v>12</v>
      </c>
      <c r="B141" s="2" t="s">
        <v>229</v>
      </c>
      <c r="C141" s="2" t="s">
        <v>888</v>
      </c>
      <c r="D141" s="2" t="s">
        <v>14</v>
      </c>
      <c r="E141" s="2">
        <v>24</v>
      </c>
      <c r="F141" s="2" t="s">
        <v>228</v>
      </c>
      <c r="G141" s="2" t="s">
        <v>57</v>
      </c>
      <c r="H141" s="2">
        <v>540</v>
      </c>
      <c r="I141" s="2">
        <v>6</v>
      </c>
      <c r="J141" s="2">
        <v>0</v>
      </c>
      <c r="K141" s="2">
        <v>0</v>
      </c>
      <c r="L141" s="2">
        <v>35.4</v>
      </c>
      <c r="M141" s="4">
        <f>(8.8+14.3+19.8+22)/4</f>
        <v>16.225000000000001</v>
      </c>
      <c r="N141" s="4">
        <f>(24.2)/1</f>
        <v>24.2</v>
      </c>
      <c r="O141" s="2">
        <v>140</v>
      </c>
    </row>
    <row r="142" spans="1:15" x14ac:dyDescent="0.3">
      <c r="A142" s="2" t="s">
        <v>12</v>
      </c>
      <c r="B142" s="2" t="s">
        <v>230</v>
      </c>
      <c r="C142" s="2" t="s">
        <v>21</v>
      </c>
      <c r="D142" s="2" t="s">
        <v>14</v>
      </c>
      <c r="E142" s="2">
        <v>34</v>
      </c>
      <c r="F142" s="2" t="s">
        <v>198</v>
      </c>
      <c r="G142" s="2" t="s">
        <v>21</v>
      </c>
      <c r="H142" s="2">
        <v>540</v>
      </c>
      <c r="I142" s="2">
        <v>6</v>
      </c>
      <c r="J142" s="2">
        <v>0</v>
      </c>
      <c r="K142" s="2">
        <v>0</v>
      </c>
      <c r="L142" s="2">
        <v>33.200000000000003</v>
      </c>
      <c r="M142" s="4">
        <f>(8.8)/1</f>
        <v>8.8000000000000007</v>
      </c>
      <c r="N142" s="4">
        <f>(7.15+3.85)/2</f>
        <v>5.5</v>
      </c>
      <c r="O142" s="2">
        <v>141</v>
      </c>
    </row>
    <row r="143" spans="1:15" x14ac:dyDescent="0.3">
      <c r="A143" s="2" t="s">
        <v>12</v>
      </c>
      <c r="B143" s="2" t="s">
        <v>232</v>
      </c>
      <c r="C143" s="2" t="s">
        <v>37</v>
      </c>
      <c r="D143" s="2" t="s">
        <v>14</v>
      </c>
      <c r="E143" s="2">
        <v>28</v>
      </c>
      <c r="F143" s="2" t="s">
        <v>231</v>
      </c>
      <c r="G143" s="2" t="s">
        <v>869</v>
      </c>
      <c r="H143" s="2">
        <v>540</v>
      </c>
      <c r="I143" s="2">
        <v>6</v>
      </c>
      <c r="J143" s="2">
        <v>0</v>
      </c>
      <c r="K143" s="2">
        <v>0</v>
      </c>
      <c r="L143" s="2">
        <v>32.700000000000003</v>
      </c>
      <c r="M143" s="4">
        <f>(22+22)/2</f>
        <v>22</v>
      </c>
      <c r="N143" s="4">
        <f>(19.8)/1</f>
        <v>19.8</v>
      </c>
      <c r="O143" s="2">
        <v>142</v>
      </c>
    </row>
    <row r="144" spans="1:15" x14ac:dyDescent="0.3">
      <c r="A144" s="2" t="s">
        <v>12</v>
      </c>
      <c r="B144" s="2" t="s">
        <v>233</v>
      </c>
      <c r="C144" s="2" t="s">
        <v>56</v>
      </c>
      <c r="D144" s="2" t="s">
        <v>14</v>
      </c>
      <c r="E144" s="2">
        <v>38</v>
      </c>
      <c r="F144" s="2" t="s">
        <v>119</v>
      </c>
      <c r="G144" s="2" t="s">
        <v>56</v>
      </c>
      <c r="H144" s="2">
        <v>540</v>
      </c>
      <c r="I144" s="2">
        <v>6</v>
      </c>
      <c r="J144" s="2">
        <v>0</v>
      </c>
      <c r="K144" s="2">
        <v>0</v>
      </c>
      <c r="L144" s="2">
        <v>32.700000000000003</v>
      </c>
      <c r="M144" s="4">
        <f>(0.275)/1</f>
        <v>0.27500000000000002</v>
      </c>
      <c r="N144" s="4">
        <f>(0.275+0.275)/2</f>
        <v>0.27500000000000002</v>
      </c>
      <c r="O144" s="2">
        <v>143</v>
      </c>
    </row>
    <row r="145" spans="1:15" x14ac:dyDescent="0.3">
      <c r="A145" s="2" t="s">
        <v>12</v>
      </c>
      <c r="B145" s="2" t="s">
        <v>862</v>
      </c>
      <c r="C145" s="2" t="s">
        <v>38</v>
      </c>
      <c r="D145" s="2" t="s">
        <v>14</v>
      </c>
      <c r="E145" s="2">
        <v>26</v>
      </c>
      <c r="F145" s="2" t="s">
        <v>124</v>
      </c>
      <c r="G145" s="2" t="s">
        <v>30</v>
      </c>
      <c r="H145" s="2">
        <v>540</v>
      </c>
      <c r="I145" s="2">
        <v>6</v>
      </c>
      <c r="J145" s="2">
        <v>0</v>
      </c>
      <c r="K145" s="2">
        <v>0</v>
      </c>
      <c r="L145" s="2">
        <v>31.9</v>
      </c>
      <c r="M145" s="4">
        <f>(7.7+3.85+4.95)/3</f>
        <v>5.5</v>
      </c>
      <c r="N145" s="4">
        <f>(3.85+3.85)/2</f>
        <v>3.85</v>
      </c>
      <c r="O145" s="2">
        <v>144</v>
      </c>
    </row>
    <row r="146" spans="1:15" x14ac:dyDescent="0.3">
      <c r="A146" s="2" t="s">
        <v>12</v>
      </c>
      <c r="B146" s="2" t="s">
        <v>236</v>
      </c>
      <c r="C146" s="2" t="s">
        <v>55</v>
      </c>
      <c r="D146" s="2" t="s">
        <v>14</v>
      </c>
      <c r="E146" s="2">
        <v>22</v>
      </c>
      <c r="F146" s="2" t="s">
        <v>50</v>
      </c>
      <c r="G146" s="2" t="s">
        <v>55</v>
      </c>
      <c r="H146" s="2">
        <v>540</v>
      </c>
      <c r="I146" s="2">
        <v>6</v>
      </c>
      <c r="J146" s="2">
        <v>0</v>
      </c>
      <c r="K146" s="2">
        <v>0</v>
      </c>
      <c r="L146" s="2">
        <v>31.7</v>
      </c>
      <c r="M146" s="4">
        <f>(6.6+6.6+11+17.6)/4</f>
        <v>10.45</v>
      </c>
      <c r="N146" s="4">
        <f>(27.5)/1</f>
        <v>27.5</v>
      </c>
      <c r="O146" s="2">
        <v>145</v>
      </c>
    </row>
    <row r="147" spans="1:15" x14ac:dyDescent="0.3">
      <c r="A147" s="2" t="s">
        <v>12</v>
      </c>
      <c r="B147" s="2" t="s">
        <v>238</v>
      </c>
      <c r="C147" s="2" t="s">
        <v>57</v>
      </c>
      <c r="D147" s="2" t="s">
        <v>14</v>
      </c>
      <c r="E147" s="2">
        <v>30</v>
      </c>
      <c r="F147" s="2" t="s">
        <v>237</v>
      </c>
      <c r="G147" s="2" t="s">
        <v>25</v>
      </c>
      <c r="H147" s="2">
        <v>540</v>
      </c>
      <c r="I147" s="2">
        <v>6</v>
      </c>
      <c r="J147" s="2">
        <v>0</v>
      </c>
      <c r="K147" s="2">
        <v>0</v>
      </c>
      <c r="L147" s="2">
        <v>29</v>
      </c>
      <c r="M147" s="4">
        <f>(82.5+66+60.5+49.5)/4</f>
        <v>64.625</v>
      </c>
      <c r="N147" s="4">
        <f>(33)/1</f>
        <v>33</v>
      </c>
      <c r="O147" s="2">
        <v>146</v>
      </c>
    </row>
    <row r="148" spans="1:15" x14ac:dyDescent="0.3">
      <c r="A148" s="2" t="s">
        <v>12</v>
      </c>
      <c r="B148" s="2" t="s">
        <v>239</v>
      </c>
      <c r="C148" s="2" t="s">
        <v>869</v>
      </c>
      <c r="D148" s="2" t="s">
        <v>35</v>
      </c>
      <c r="E148" s="2">
        <v>24</v>
      </c>
      <c r="F148" s="2" t="s">
        <v>164</v>
      </c>
      <c r="G148" s="2" t="s">
        <v>869</v>
      </c>
      <c r="H148" s="2">
        <v>539</v>
      </c>
      <c r="I148" s="2">
        <v>7</v>
      </c>
      <c r="J148" s="2">
        <v>0</v>
      </c>
      <c r="K148" s="2">
        <v>0</v>
      </c>
      <c r="L148" s="2">
        <v>69.8</v>
      </c>
      <c r="M148" s="4">
        <f>(38.5+38.5)/2</f>
        <v>38.5</v>
      </c>
      <c r="N148" s="4">
        <f>(38.5)/1</f>
        <v>38.5</v>
      </c>
      <c r="O148" s="2">
        <v>147</v>
      </c>
    </row>
    <row r="149" spans="1:15" x14ac:dyDescent="0.3">
      <c r="A149" s="2" t="s">
        <v>12</v>
      </c>
      <c r="B149" s="2" t="s">
        <v>241</v>
      </c>
      <c r="C149" s="2" t="s">
        <v>28</v>
      </c>
      <c r="D149" s="2" t="s">
        <v>24</v>
      </c>
      <c r="E149" s="2">
        <v>29</v>
      </c>
      <c r="F149" s="2" t="s">
        <v>212</v>
      </c>
      <c r="G149" s="2" t="s">
        <v>25</v>
      </c>
      <c r="H149" s="2">
        <v>539</v>
      </c>
      <c r="I149" s="2">
        <v>6</v>
      </c>
      <c r="J149" s="2">
        <v>0</v>
      </c>
      <c r="K149" s="2">
        <v>0</v>
      </c>
      <c r="L149" s="2">
        <v>58.7</v>
      </c>
      <c r="M149" s="4">
        <f>(55+49.5+49.5)/3</f>
        <v>51.333333333333336</v>
      </c>
      <c r="N149" s="4">
        <f>(44)/1</f>
        <v>44</v>
      </c>
      <c r="O149" s="2">
        <v>148</v>
      </c>
    </row>
    <row r="150" spans="1:15" x14ac:dyDescent="0.3">
      <c r="A150" s="2" t="s">
        <v>12</v>
      </c>
      <c r="B150" s="2" t="s">
        <v>243</v>
      </c>
      <c r="C150" s="2" t="s">
        <v>29</v>
      </c>
      <c r="D150" s="2" t="s">
        <v>35</v>
      </c>
      <c r="E150" s="2">
        <v>23</v>
      </c>
      <c r="F150" s="2" t="s">
        <v>79</v>
      </c>
      <c r="G150" s="2" t="s">
        <v>29</v>
      </c>
      <c r="H150" s="2">
        <v>538</v>
      </c>
      <c r="I150" s="2">
        <v>7</v>
      </c>
      <c r="J150" s="2">
        <v>1</v>
      </c>
      <c r="K150" s="2">
        <v>2</v>
      </c>
      <c r="L150" s="2">
        <v>60.3</v>
      </c>
      <c r="M150" s="4">
        <f>(66+82.5+82.5)/3</f>
        <v>77</v>
      </c>
      <c r="N150" s="4">
        <f>(82.5)/1</f>
        <v>82.5</v>
      </c>
      <c r="O150" s="2">
        <v>149</v>
      </c>
    </row>
    <row r="151" spans="1:15" x14ac:dyDescent="0.3">
      <c r="A151" s="2" t="s">
        <v>12</v>
      </c>
      <c r="B151" s="2" t="s">
        <v>244</v>
      </c>
      <c r="C151" s="2" t="s">
        <v>30</v>
      </c>
      <c r="D151" s="2" t="s">
        <v>35</v>
      </c>
      <c r="E151" s="2">
        <v>27</v>
      </c>
      <c r="F151" s="2" t="s">
        <v>164</v>
      </c>
      <c r="G151" s="2" t="s">
        <v>869</v>
      </c>
      <c r="H151" s="2">
        <v>536</v>
      </c>
      <c r="I151" s="2">
        <v>7</v>
      </c>
      <c r="J151" s="2">
        <v>0</v>
      </c>
      <c r="K151" s="2">
        <v>0</v>
      </c>
      <c r="L151" s="2">
        <v>67.599999999999994</v>
      </c>
      <c r="M151" s="4">
        <f>(33+24.2)/2</f>
        <v>28.6</v>
      </c>
      <c r="N151" s="4">
        <f>(19.8+18.7)/2</f>
        <v>19.25</v>
      </c>
      <c r="O151" s="2">
        <v>150</v>
      </c>
    </row>
    <row r="152" spans="1:15" x14ac:dyDescent="0.3">
      <c r="A152" s="2" t="s">
        <v>12</v>
      </c>
      <c r="B152" s="2" t="s">
        <v>245</v>
      </c>
      <c r="C152" s="2" t="s">
        <v>885</v>
      </c>
      <c r="D152" s="2" t="s">
        <v>35</v>
      </c>
      <c r="E152" s="2">
        <v>31</v>
      </c>
      <c r="F152" s="2" t="s">
        <v>209</v>
      </c>
      <c r="G152" s="2" t="s">
        <v>885</v>
      </c>
      <c r="H152" s="2">
        <v>536</v>
      </c>
      <c r="I152" s="2">
        <v>6</v>
      </c>
      <c r="J152" s="2">
        <v>0</v>
      </c>
      <c r="K152" s="2">
        <v>0</v>
      </c>
      <c r="L152" s="2">
        <v>69.099999999999994</v>
      </c>
      <c r="M152" s="4">
        <f>(3.85+4.4+5.5)/3</f>
        <v>4.583333333333333</v>
      </c>
      <c r="N152" s="4">
        <f>(5.5)/1</f>
        <v>5.5</v>
      </c>
      <c r="O152" s="2">
        <v>151</v>
      </c>
    </row>
    <row r="153" spans="1:15" x14ac:dyDescent="0.3">
      <c r="A153" s="2" t="s">
        <v>12</v>
      </c>
      <c r="B153" s="2" t="s">
        <v>247</v>
      </c>
      <c r="C153" s="2" t="s">
        <v>29</v>
      </c>
      <c r="D153" s="2" t="s">
        <v>24</v>
      </c>
      <c r="E153" s="2">
        <v>29</v>
      </c>
      <c r="F153" s="2" t="s">
        <v>847</v>
      </c>
      <c r="G153" s="2" t="s">
        <v>29</v>
      </c>
      <c r="H153" s="2">
        <v>534</v>
      </c>
      <c r="I153" s="2">
        <v>6</v>
      </c>
      <c r="J153" s="2">
        <v>1</v>
      </c>
      <c r="K153" s="2">
        <v>0</v>
      </c>
      <c r="L153" s="2">
        <v>49.3</v>
      </c>
      <c r="M153" s="4">
        <f>(44+49.5+55+52.8)/4</f>
        <v>50.325000000000003</v>
      </c>
      <c r="N153" s="4">
        <f>(44+41.8)/2</f>
        <v>42.9</v>
      </c>
      <c r="O153" s="2">
        <v>152</v>
      </c>
    </row>
    <row r="154" spans="1:15" x14ac:dyDescent="0.3">
      <c r="A154" s="2" t="s">
        <v>12</v>
      </c>
      <c r="B154" s="2" t="s">
        <v>889</v>
      </c>
      <c r="C154" s="2" t="s">
        <v>55</v>
      </c>
      <c r="D154" s="2" t="s">
        <v>35</v>
      </c>
      <c r="E154" s="2">
        <v>27</v>
      </c>
      <c r="F154" s="2" t="s">
        <v>162</v>
      </c>
      <c r="G154" s="2" t="s">
        <v>55</v>
      </c>
      <c r="H154" s="2">
        <v>534</v>
      </c>
      <c r="I154" s="2">
        <v>6</v>
      </c>
      <c r="J154" s="2">
        <v>0</v>
      </c>
      <c r="K154" s="2">
        <v>0</v>
      </c>
      <c r="L154" s="2">
        <v>66.400000000000006</v>
      </c>
      <c r="M154" s="4">
        <f>(15.4+16.5+19.8+23.1+28.6)/5</f>
        <v>20.68</v>
      </c>
      <c r="N154" s="4">
        <f>(27.5)/1</f>
        <v>27.5</v>
      </c>
      <c r="O154" s="2">
        <v>153</v>
      </c>
    </row>
    <row r="155" spans="1:15" x14ac:dyDescent="0.3">
      <c r="A155" s="2" t="s">
        <v>12</v>
      </c>
      <c r="B155" s="2" t="s">
        <v>890</v>
      </c>
      <c r="C155" s="2" t="s">
        <v>55</v>
      </c>
      <c r="D155" s="2" t="s">
        <v>24</v>
      </c>
      <c r="E155" s="2">
        <v>22</v>
      </c>
      <c r="F155" s="2" t="s">
        <v>124</v>
      </c>
      <c r="G155" s="2" t="s">
        <v>30</v>
      </c>
      <c r="H155" s="2">
        <v>533</v>
      </c>
      <c r="I155" s="2">
        <v>7</v>
      </c>
      <c r="J155" s="2">
        <v>0</v>
      </c>
      <c r="K155" s="2">
        <v>0</v>
      </c>
      <c r="L155" s="2">
        <v>60.5</v>
      </c>
      <c r="M155" s="4">
        <f>(5.5+11)/2</f>
        <v>8.25</v>
      </c>
      <c r="N155" s="4">
        <f>(13.2+13.2)/2</f>
        <v>13.2</v>
      </c>
      <c r="O155" s="2">
        <v>154</v>
      </c>
    </row>
    <row r="156" spans="1:15" x14ac:dyDescent="0.3">
      <c r="A156" s="2" t="s">
        <v>12</v>
      </c>
      <c r="B156" s="2" t="s">
        <v>251</v>
      </c>
      <c r="C156" s="2" t="s">
        <v>878</v>
      </c>
      <c r="D156" s="2" t="s">
        <v>35</v>
      </c>
      <c r="E156" s="2">
        <v>28</v>
      </c>
      <c r="F156" s="2" t="s">
        <v>250</v>
      </c>
      <c r="G156" s="2" t="s">
        <v>888</v>
      </c>
      <c r="H156" s="2">
        <v>532</v>
      </c>
      <c r="I156" s="2">
        <v>6</v>
      </c>
      <c r="J156" s="2">
        <v>1</v>
      </c>
      <c r="K156" s="2">
        <v>1</v>
      </c>
      <c r="L156" s="2">
        <v>57.2</v>
      </c>
      <c r="M156" s="4">
        <f>(4.18+4.95+4.95)/3</f>
        <v>4.6933333333333325</v>
      </c>
      <c r="N156" s="4">
        <f>(5.17)/1</f>
        <v>5.17</v>
      </c>
      <c r="O156" s="2">
        <v>155</v>
      </c>
    </row>
    <row r="157" spans="1:15" x14ac:dyDescent="0.3">
      <c r="A157" s="2" t="s">
        <v>12</v>
      </c>
      <c r="B157" s="2" t="s">
        <v>891</v>
      </c>
      <c r="C157" s="2" t="s">
        <v>38</v>
      </c>
      <c r="D157" s="2" t="s">
        <v>35</v>
      </c>
      <c r="E157" s="2">
        <v>33</v>
      </c>
      <c r="F157" s="2" t="s">
        <v>107</v>
      </c>
      <c r="G157" s="2" t="s">
        <v>869</v>
      </c>
      <c r="H157" s="2">
        <v>531</v>
      </c>
      <c r="I157" s="2">
        <v>8</v>
      </c>
      <c r="J157" s="2">
        <v>0</v>
      </c>
      <c r="K157" s="2">
        <v>1</v>
      </c>
      <c r="L157" s="2">
        <v>65.5</v>
      </c>
      <c r="M157" s="4">
        <f>(11+11)/2</f>
        <v>11</v>
      </c>
      <c r="N157" s="4">
        <f>(11)/1</f>
        <v>11</v>
      </c>
      <c r="O157" s="2">
        <v>156</v>
      </c>
    </row>
    <row r="158" spans="1:15" x14ac:dyDescent="0.3">
      <c r="A158" s="2" t="s">
        <v>12</v>
      </c>
      <c r="B158" s="2" t="s">
        <v>254</v>
      </c>
      <c r="C158" s="2" t="s">
        <v>30</v>
      </c>
      <c r="D158" s="2" t="s">
        <v>35</v>
      </c>
      <c r="E158" s="2">
        <v>24</v>
      </c>
      <c r="F158" s="2" t="s">
        <v>253</v>
      </c>
      <c r="G158" s="2" t="s">
        <v>57</v>
      </c>
      <c r="H158" s="2">
        <v>531</v>
      </c>
      <c r="I158" s="2">
        <v>6</v>
      </c>
      <c r="J158" s="2">
        <v>7</v>
      </c>
      <c r="K158" s="2">
        <v>0</v>
      </c>
      <c r="L158" s="2">
        <v>62.8</v>
      </c>
      <c r="M158" s="4">
        <f>(36.3+44+47.3+51.7+60.5)/5</f>
        <v>47.96</v>
      </c>
      <c r="N158" s="4">
        <f>(71.5+88)/2</f>
        <v>79.75</v>
      </c>
      <c r="O158" s="2">
        <v>157</v>
      </c>
    </row>
    <row r="159" spans="1:15" x14ac:dyDescent="0.3">
      <c r="A159" s="2" t="s">
        <v>12</v>
      </c>
      <c r="B159" s="2" t="s">
        <v>256</v>
      </c>
      <c r="C159" s="2" t="s">
        <v>874</v>
      </c>
      <c r="D159" s="2" t="s">
        <v>23</v>
      </c>
      <c r="E159" s="2">
        <v>27</v>
      </c>
      <c r="F159" s="2" t="s">
        <v>201</v>
      </c>
      <c r="G159" s="2" t="s">
        <v>884</v>
      </c>
      <c r="H159" s="2">
        <v>530</v>
      </c>
      <c r="I159" s="2">
        <v>6</v>
      </c>
      <c r="J159" s="2">
        <v>2</v>
      </c>
      <c r="K159" s="2">
        <v>1</v>
      </c>
      <c r="L159" s="2">
        <v>64.400000000000006</v>
      </c>
      <c r="M159" s="4">
        <f>(0.66+2.75+3.3)/3</f>
        <v>2.2366666666666668</v>
      </c>
      <c r="N159" s="4">
        <f>(3.3)/1</f>
        <v>3.3</v>
      </c>
      <c r="O159" s="2">
        <v>158</v>
      </c>
    </row>
    <row r="160" spans="1:15" x14ac:dyDescent="0.3">
      <c r="A160" s="2" t="s">
        <v>12</v>
      </c>
      <c r="B160" s="2" t="s">
        <v>892</v>
      </c>
      <c r="C160" s="2" t="s">
        <v>879</v>
      </c>
      <c r="D160" s="2" t="s">
        <v>23</v>
      </c>
      <c r="E160" s="2">
        <v>37</v>
      </c>
      <c r="F160" s="2" t="s">
        <v>124</v>
      </c>
      <c r="G160" s="2" t="s">
        <v>30</v>
      </c>
      <c r="H160" s="2">
        <v>529</v>
      </c>
      <c r="I160" s="2">
        <v>7</v>
      </c>
      <c r="J160" s="2">
        <v>3</v>
      </c>
      <c r="K160" s="2">
        <v>0</v>
      </c>
      <c r="L160" s="2">
        <v>56.2</v>
      </c>
      <c r="M160" s="4">
        <f>(2+3.08+2.53)/3</f>
        <v>2.5366666666666666</v>
      </c>
      <c r="N160" s="4">
        <f>(1.65)/1</f>
        <v>1.65</v>
      </c>
      <c r="O160" s="2">
        <v>159</v>
      </c>
    </row>
    <row r="161" spans="1:15" x14ac:dyDescent="0.3">
      <c r="A161" s="2" t="s">
        <v>12</v>
      </c>
      <c r="B161" s="2" t="s">
        <v>258</v>
      </c>
      <c r="C161" s="2" t="s">
        <v>25</v>
      </c>
      <c r="D161" s="2" t="s">
        <v>24</v>
      </c>
      <c r="E161" s="2">
        <v>23</v>
      </c>
      <c r="F161" s="2" t="s">
        <v>162</v>
      </c>
      <c r="G161" s="2" t="s">
        <v>55</v>
      </c>
      <c r="H161" s="2">
        <v>529</v>
      </c>
      <c r="I161" s="2">
        <v>7</v>
      </c>
      <c r="J161" s="2">
        <v>1</v>
      </c>
      <c r="K161" s="2">
        <v>0</v>
      </c>
      <c r="L161" s="2">
        <v>60.9</v>
      </c>
      <c r="M161" s="4">
        <f>(12.1+18.7+22+27.5)/4</f>
        <v>20.074999999999999</v>
      </c>
      <c r="N161" s="4">
        <f>(27.5)/1</f>
        <v>27.5</v>
      </c>
      <c r="O161" s="2">
        <v>160</v>
      </c>
    </row>
    <row r="162" spans="1:15" x14ac:dyDescent="0.3">
      <c r="A162" s="2" t="s">
        <v>12</v>
      </c>
      <c r="B162" s="2" t="s">
        <v>259</v>
      </c>
      <c r="C162" s="2" t="s">
        <v>56</v>
      </c>
      <c r="D162" s="2" t="s">
        <v>23</v>
      </c>
      <c r="E162" s="2">
        <v>23</v>
      </c>
      <c r="F162" s="2" t="s">
        <v>198</v>
      </c>
      <c r="G162" s="2" t="s">
        <v>21</v>
      </c>
      <c r="H162" s="2">
        <v>528</v>
      </c>
      <c r="I162" s="2">
        <v>6</v>
      </c>
      <c r="J162" s="2">
        <v>0</v>
      </c>
      <c r="K162" s="2">
        <v>1</v>
      </c>
      <c r="L162" s="2">
        <v>68.900000000000006</v>
      </c>
      <c r="M162" s="4">
        <f>(8.8+22+24.2+27.5)/4</f>
        <v>20.625</v>
      </c>
      <c r="N162" s="4">
        <f>(27.5+24.2+20.9)/3</f>
        <v>24.2</v>
      </c>
      <c r="O162" s="2">
        <v>161</v>
      </c>
    </row>
    <row r="163" spans="1:15" x14ac:dyDescent="0.3">
      <c r="A163" s="2" t="s">
        <v>12</v>
      </c>
      <c r="B163" s="2" t="s">
        <v>261</v>
      </c>
      <c r="C163" s="2" t="s">
        <v>899</v>
      </c>
      <c r="D163" s="2" t="s">
        <v>24</v>
      </c>
      <c r="E163" s="2">
        <v>29</v>
      </c>
      <c r="F163" s="2" t="s">
        <v>198</v>
      </c>
      <c r="G163" s="2" t="s">
        <v>21</v>
      </c>
      <c r="H163" s="2">
        <v>528</v>
      </c>
      <c r="I163" s="2">
        <v>6</v>
      </c>
      <c r="J163" s="2">
        <v>0</v>
      </c>
      <c r="K163" s="2">
        <v>0</v>
      </c>
      <c r="L163" s="2">
        <v>59.9</v>
      </c>
      <c r="M163" s="4">
        <f>(11+11)/2</f>
        <v>11</v>
      </c>
      <c r="N163" s="4">
        <f>(8.8+8.8)/2</f>
        <v>8.8000000000000007</v>
      </c>
      <c r="O163" s="2">
        <v>162</v>
      </c>
    </row>
    <row r="164" spans="1:15" x14ac:dyDescent="0.3">
      <c r="A164" s="2" t="s">
        <v>12</v>
      </c>
      <c r="B164" s="2" t="s">
        <v>262</v>
      </c>
      <c r="C164" s="2" t="s">
        <v>888</v>
      </c>
      <c r="D164" s="2" t="s">
        <v>35</v>
      </c>
      <c r="E164" s="2">
        <v>30</v>
      </c>
      <c r="F164" s="2" t="s">
        <v>231</v>
      </c>
      <c r="G164" s="2" t="s">
        <v>869</v>
      </c>
      <c r="H164" s="2">
        <v>526</v>
      </c>
      <c r="I164" s="2">
        <v>6</v>
      </c>
      <c r="J164" s="2">
        <v>1</v>
      </c>
      <c r="K164" s="2">
        <v>1</v>
      </c>
      <c r="L164" s="2">
        <v>71.599999999999994</v>
      </c>
      <c r="M164" s="4">
        <f>(27.5+26.4)/2</f>
        <v>26.95</v>
      </c>
      <c r="N164" s="4">
        <f>(22)/1</f>
        <v>22</v>
      </c>
      <c r="O164" s="2">
        <v>163</v>
      </c>
    </row>
    <row r="165" spans="1:15" x14ac:dyDescent="0.3">
      <c r="A165" s="2" t="s">
        <v>12</v>
      </c>
      <c r="B165" s="2" t="s">
        <v>264</v>
      </c>
      <c r="C165" s="2" t="s">
        <v>56</v>
      </c>
      <c r="D165" s="2" t="s">
        <v>23</v>
      </c>
      <c r="E165" s="2">
        <v>28</v>
      </c>
      <c r="F165" s="2" t="s">
        <v>237</v>
      </c>
      <c r="G165" s="2" t="s">
        <v>25</v>
      </c>
      <c r="H165" s="2">
        <v>525</v>
      </c>
      <c r="I165" s="2">
        <v>6</v>
      </c>
      <c r="J165" s="2">
        <v>0</v>
      </c>
      <c r="K165" s="2">
        <v>0</v>
      </c>
      <c r="L165" s="2">
        <v>64.400000000000006</v>
      </c>
      <c r="M165" s="4">
        <f>(49.5+49.5)/2</f>
        <v>49.5</v>
      </c>
      <c r="N165" s="4">
        <f>(38.5)/1</f>
        <v>38.5</v>
      </c>
      <c r="O165" s="2">
        <v>164</v>
      </c>
    </row>
    <row r="166" spans="1:15" x14ac:dyDescent="0.3">
      <c r="A166" s="2" t="s">
        <v>12</v>
      </c>
      <c r="B166" s="2" t="s">
        <v>266</v>
      </c>
      <c r="C166" s="2" t="s">
        <v>25</v>
      </c>
      <c r="D166" s="2" t="s">
        <v>23</v>
      </c>
      <c r="E166" s="2">
        <v>30</v>
      </c>
      <c r="F166" s="2" t="s">
        <v>19</v>
      </c>
      <c r="G166" s="2" t="s">
        <v>25</v>
      </c>
      <c r="H166" s="2">
        <v>524</v>
      </c>
      <c r="I166" s="2">
        <v>7</v>
      </c>
      <c r="J166" s="2">
        <v>2</v>
      </c>
      <c r="K166" s="2">
        <v>4</v>
      </c>
      <c r="L166" s="2">
        <v>65.7</v>
      </c>
      <c r="M166" s="4">
        <f>(33+38.5+44+44)/4</f>
        <v>39.875</v>
      </c>
      <c r="N166" s="4">
        <f>(44)/1</f>
        <v>44</v>
      </c>
      <c r="O166" s="2">
        <v>165</v>
      </c>
    </row>
    <row r="167" spans="1:15" x14ac:dyDescent="0.3">
      <c r="A167" s="2" t="s">
        <v>12</v>
      </c>
      <c r="B167" s="2" t="s">
        <v>268</v>
      </c>
      <c r="C167" s="2" t="s">
        <v>37</v>
      </c>
      <c r="D167" s="2" t="s">
        <v>35</v>
      </c>
      <c r="E167" s="2">
        <v>26</v>
      </c>
      <c r="F167" s="2" t="s">
        <v>19</v>
      </c>
      <c r="G167" s="2" t="s">
        <v>25</v>
      </c>
      <c r="H167" s="2">
        <v>524</v>
      </c>
      <c r="I167" s="2">
        <v>6</v>
      </c>
      <c r="J167" s="2">
        <v>0</v>
      </c>
      <c r="K167" s="2">
        <v>0</v>
      </c>
      <c r="L167" s="2">
        <v>68.400000000000006</v>
      </c>
      <c r="M167" s="4">
        <f>(33+29.7+24.2+24.2)/4</f>
        <v>27.775000000000002</v>
      </c>
      <c r="N167" s="4">
        <f>(24.2)/1</f>
        <v>24.2</v>
      </c>
      <c r="O167" s="2">
        <v>166</v>
      </c>
    </row>
    <row r="168" spans="1:15" x14ac:dyDescent="0.3">
      <c r="A168" s="2" t="s">
        <v>12</v>
      </c>
      <c r="B168" s="2" t="s">
        <v>269</v>
      </c>
      <c r="C168" s="2" t="s">
        <v>56</v>
      </c>
      <c r="D168" s="2" t="s">
        <v>35</v>
      </c>
      <c r="E168" s="2">
        <v>25</v>
      </c>
      <c r="F168" s="2" t="s">
        <v>237</v>
      </c>
      <c r="G168" s="2" t="s">
        <v>25</v>
      </c>
      <c r="H168" s="2">
        <v>523</v>
      </c>
      <c r="I168" s="2">
        <v>6</v>
      </c>
      <c r="J168" s="2">
        <v>0</v>
      </c>
      <c r="K168" s="2">
        <v>0</v>
      </c>
      <c r="L168" s="2">
        <v>69</v>
      </c>
      <c r="M168" s="4">
        <f>(71.5+88+99+77)/4</f>
        <v>83.875</v>
      </c>
      <c r="N168" s="4">
        <f>(66)/1</f>
        <v>66</v>
      </c>
      <c r="O168" s="2">
        <v>167</v>
      </c>
    </row>
    <row r="169" spans="1:15" x14ac:dyDescent="0.3">
      <c r="A169" s="2" t="s">
        <v>12</v>
      </c>
      <c r="B169" s="2" t="s">
        <v>271</v>
      </c>
      <c r="C169" s="2" t="s">
        <v>25</v>
      </c>
      <c r="D169" s="2" t="s">
        <v>23</v>
      </c>
      <c r="E169" s="2">
        <v>29</v>
      </c>
      <c r="F169" s="2" t="s">
        <v>164</v>
      </c>
      <c r="G169" s="2" t="s">
        <v>869</v>
      </c>
      <c r="H169" s="2">
        <v>520</v>
      </c>
      <c r="I169" s="2">
        <v>7</v>
      </c>
      <c r="J169" s="2">
        <v>2</v>
      </c>
      <c r="K169" s="2">
        <v>0</v>
      </c>
      <c r="L169" s="2">
        <v>60.2</v>
      </c>
      <c r="M169" s="4">
        <f>(49.5+38.5)/2</f>
        <v>44</v>
      </c>
      <c r="N169" s="4">
        <f>(33+27.5)/2</f>
        <v>30.25</v>
      </c>
      <c r="O169" s="2">
        <v>168</v>
      </c>
    </row>
    <row r="170" spans="1:15" x14ac:dyDescent="0.3">
      <c r="A170" s="2" t="s">
        <v>12</v>
      </c>
      <c r="B170" s="2" t="s">
        <v>273</v>
      </c>
      <c r="C170" s="2" t="s">
        <v>55</v>
      </c>
      <c r="D170" s="2" t="s">
        <v>35</v>
      </c>
      <c r="E170" s="2">
        <v>28</v>
      </c>
      <c r="F170" s="2" t="s">
        <v>847</v>
      </c>
      <c r="G170" s="2" t="s">
        <v>29</v>
      </c>
      <c r="H170" s="2">
        <v>520</v>
      </c>
      <c r="I170" s="2">
        <v>7</v>
      </c>
      <c r="J170" s="2">
        <v>0</v>
      </c>
      <c r="K170" s="2">
        <v>7</v>
      </c>
      <c r="L170" s="2">
        <v>58.4</v>
      </c>
      <c r="M170" s="4">
        <f>(99+99+99)/3</f>
        <v>99</v>
      </c>
      <c r="N170" s="4">
        <f>(93.5)/1</f>
        <v>93.5</v>
      </c>
      <c r="O170" s="2">
        <v>169</v>
      </c>
    </row>
    <row r="171" spans="1:15" x14ac:dyDescent="0.3">
      <c r="A171" s="2" t="s">
        <v>12</v>
      </c>
      <c r="B171" s="2" t="s">
        <v>275</v>
      </c>
      <c r="C171" s="2" t="s">
        <v>30</v>
      </c>
      <c r="D171" s="2" t="s">
        <v>23</v>
      </c>
      <c r="E171" s="2">
        <v>31</v>
      </c>
      <c r="F171" s="2" t="s">
        <v>64</v>
      </c>
      <c r="G171" s="2" t="s">
        <v>25</v>
      </c>
      <c r="H171" s="2">
        <v>518</v>
      </c>
      <c r="I171" s="2">
        <v>9</v>
      </c>
      <c r="J171" s="2">
        <v>4</v>
      </c>
      <c r="K171" s="2">
        <v>2</v>
      </c>
      <c r="L171" s="2">
        <v>64.3</v>
      </c>
      <c r="M171" s="4">
        <f>(66+66+55+55)/4</f>
        <v>60.5</v>
      </c>
      <c r="N171" s="4">
        <f>(38.5)/1</f>
        <v>38.5</v>
      </c>
      <c r="O171" s="2">
        <v>170</v>
      </c>
    </row>
    <row r="172" spans="1:15" x14ac:dyDescent="0.3">
      <c r="A172" s="2" t="s">
        <v>12</v>
      </c>
      <c r="B172" s="2" t="s">
        <v>893</v>
      </c>
      <c r="C172" s="2" t="s">
        <v>38</v>
      </c>
      <c r="D172" s="2" t="s">
        <v>35</v>
      </c>
      <c r="E172" s="2">
        <v>20</v>
      </c>
      <c r="F172" s="2" t="s">
        <v>116</v>
      </c>
      <c r="G172" s="2" t="s">
        <v>45</v>
      </c>
      <c r="H172" s="2">
        <v>516</v>
      </c>
      <c r="I172" s="2">
        <v>8</v>
      </c>
      <c r="J172" s="2">
        <v>1</v>
      </c>
      <c r="K172" s="2">
        <v>0</v>
      </c>
      <c r="L172" s="2">
        <v>65.400000000000006</v>
      </c>
      <c r="M172" s="4">
        <f>(3.3+8.25+14.85)/3</f>
        <v>8.7999999999999989</v>
      </c>
      <c r="N172" s="4">
        <f>(22)/1</f>
        <v>22</v>
      </c>
      <c r="O172" s="2">
        <v>171</v>
      </c>
    </row>
    <row r="173" spans="1:15" x14ac:dyDescent="0.3">
      <c r="A173" s="2" t="s">
        <v>12</v>
      </c>
      <c r="B173" s="2" t="s">
        <v>894</v>
      </c>
      <c r="C173" s="2" t="s">
        <v>57</v>
      </c>
      <c r="D173" s="2" t="s">
        <v>24</v>
      </c>
      <c r="E173" s="2">
        <v>27</v>
      </c>
      <c r="F173" s="2" t="s">
        <v>67</v>
      </c>
      <c r="G173" s="2" t="s">
        <v>57</v>
      </c>
      <c r="H173" s="2">
        <v>515</v>
      </c>
      <c r="I173" s="2">
        <v>7</v>
      </c>
      <c r="J173" s="2">
        <v>0</v>
      </c>
      <c r="K173" s="2">
        <v>0</v>
      </c>
      <c r="L173" s="2">
        <v>61.4</v>
      </c>
      <c r="M173" s="4">
        <f>(40.7+38.5+38.5)/3</f>
        <v>39.233333333333334</v>
      </c>
      <c r="N173" s="4">
        <f>(38.5)/1</f>
        <v>38.5</v>
      </c>
      <c r="O173" s="2">
        <v>172</v>
      </c>
    </row>
    <row r="174" spans="1:15" x14ac:dyDescent="0.3">
      <c r="A174" s="2" t="s">
        <v>12</v>
      </c>
      <c r="B174" s="2" t="s">
        <v>276</v>
      </c>
      <c r="C174" s="2" t="s">
        <v>885</v>
      </c>
      <c r="D174" s="2" t="s">
        <v>23</v>
      </c>
      <c r="E174" s="2">
        <v>26</v>
      </c>
      <c r="F174" s="2" t="s">
        <v>58</v>
      </c>
      <c r="G174" s="2" t="s">
        <v>55</v>
      </c>
      <c r="H174" s="2">
        <v>514</v>
      </c>
      <c r="I174" s="2">
        <v>10</v>
      </c>
      <c r="J174" s="2">
        <v>3</v>
      </c>
      <c r="K174" s="2">
        <v>0</v>
      </c>
      <c r="L174" s="2">
        <v>66.5</v>
      </c>
      <c r="M174" s="4">
        <f>(14.3+16.5+19.25+19.25)/4</f>
        <v>17.324999999999999</v>
      </c>
      <c r="N174" s="4">
        <f>(17.6+16.5)/2</f>
        <v>17.05</v>
      </c>
      <c r="O174" s="2">
        <v>173</v>
      </c>
    </row>
    <row r="175" spans="1:15" x14ac:dyDescent="0.3">
      <c r="A175" s="2" t="s">
        <v>12</v>
      </c>
      <c r="B175" s="2" t="s">
        <v>277</v>
      </c>
      <c r="C175" s="2" t="s">
        <v>25</v>
      </c>
      <c r="D175" s="2" t="s">
        <v>23</v>
      </c>
      <c r="E175" s="2">
        <v>30</v>
      </c>
      <c r="F175" s="2" t="s">
        <v>162</v>
      </c>
      <c r="G175" s="2" t="s">
        <v>55</v>
      </c>
      <c r="H175" s="2">
        <v>510</v>
      </c>
      <c r="I175" s="2">
        <v>8</v>
      </c>
      <c r="J175" s="2">
        <v>2</v>
      </c>
      <c r="K175" s="2">
        <v>0</v>
      </c>
      <c r="L175" s="2">
        <v>66.599999999999994</v>
      </c>
      <c r="M175" s="4">
        <f>(24.2+27.5+27.5)/3</f>
        <v>26.400000000000002</v>
      </c>
      <c r="N175" s="4">
        <f>(27.5)/1</f>
        <v>27.5</v>
      </c>
      <c r="O175" s="2">
        <v>174</v>
      </c>
    </row>
    <row r="176" spans="1:15" x14ac:dyDescent="0.3">
      <c r="A176" s="2" t="s">
        <v>12</v>
      </c>
      <c r="B176" s="2" t="s">
        <v>278</v>
      </c>
      <c r="C176" s="2" t="s">
        <v>55</v>
      </c>
      <c r="D176" s="2" t="s">
        <v>35</v>
      </c>
      <c r="E176" s="2">
        <v>24</v>
      </c>
      <c r="F176" s="2" t="s">
        <v>162</v>
      </c>
      <c r="G176" s="2" t="s">
        <v>55</v>
      </c>
      <c r="H176" s="2">
        <v>509</v>
      </c>
      <c r="I176" s="2">
        <v>6</v>
      </c>
      <c r="J176" s="2">
        <v>0</v>
      </c>
      <c r="K176" s="2">
        <v>2</v>
      </c>
      <c r="L176" s="2">
        <v>64.3</v>
      </c>
      <c r="M176" s="4">
        <f>(5.5+5.5+11+24.2)/4</f>
        <v>11.55</v>
      </c>
      <c r="N176" s="4">
        <f>(33+38.5)/2</f>
        <v>35.75</v>
      </c>
      <c r="O176" s="2">
        <v>175</v>
      </c>
    </row>
    <row r="177" spans="1:15" x14ac:dyDescent="0.3">
      <c r="A177" s="2" t="s">
        <v>12</v>
      </c>
      <c r="B177" s="2" t="s">
        <v>279</v>
      </c>
      <c r="C177" s="2" t="s">
        <v>28</v>
      </c>
      <c r="D177" s="2" t="s">
        <v>23</v>
      </c>
      <c r="E177" s="2">
        <v>21</v>
      </c>
      <c r="F177" s="2" t="s">
        <v>15</v>
      </c>
      <c r="G177" s="2" t="s">
        <v>25</v>
      </c>
      <c r="H177" s="2">
        <v>505</v>
      </c>
      <c r="I177" s="2">
        <v>11</v>
      </c>
      <c r="J177" s="2">
        <v>5</v>
      </c>
      <c r="K177" s="2">
        <v>2</v>
      </c>
      <c r="L177" s="2">
        <v>65.7</v>
      </c>
      <c r="M177" s="4">
        <f>(49.5+38.5+44)/3</f>
        <v>44</v>
      </c>
      <c r="N177" s="4">
        <f>(66)/1</f>
        <v>66</v>
      </c>
      <c r="O177" s="2">
        <v>176</v>
      </c>
    </row>
    <row r="178" spans="1:15" x14ac:dyDescent="0.3">
      <c r="A178" s="2" t="s">
        <v>12</v>
      </c>
      <c r="B178" s="2" t="s">
        <v>280</v>
      </c>
      <c r="C178" s="2" t="s">
        <v>29</v>
      </c>
      <c r="D178" s="2" t="s">
        <v>24</v>
      </c>
      <c r="E178" s="2">
        <v>22</v>
      </c>
      <c r="F178" s="2" t="s">
        <v>79</v>
      </c>
      <c r="G178" s="2" t="s">
        <v>29</v>
      </c>
      <c r="H178" s="2">
        <v>505</v>
      </c>
      <c r="I178" s="2">
        <v>6</v>
      </c>
      <c r="J178" s="2">
        <v>1</v>
      </c>
      <c r="K178" s="2">
        <v>0</v>
      </c>
      <c r="L178" s="2">
        <v>54.6</v>
      </c>
      <c r="M178" s="4">
        <f>(44+44+49.5+60.5)/4</f>
        <v>49.5</v>
      </c>
      <c r="N178" s="4">
        <f>(66)/1</f>
        <v>66</v>
      </c>
      <c r="O178" s="2">
        <v>177</v>
      </c>
    </row>
    <row r="179" spans="1:15" x14ac:dyDescent="0.3">
      <c r="A179" s="2" t="s">
        <v>12</v>
      </c>
      <c r="B179" s="2" t="s">
        <v>281</v>
      </c>
      <c r="C179" s="2" t="s">
        <v>888</v>
      </c>
      <c r="D179" s="2" t="s">
        <v>35</v>
      </c>
      <c r="E179" s="2">
        <v>25</v>
      </c>
      <c r="F179" s="2" t="s">
        <v>250</v>
      </c>
      <c r="G179" s="2" t="s">
        <v>888</v>
      </c>
      <c r="H179" s="2">
        <v>504</v>
      </c>
      <c r="I179" s="2">
        <v>6</v>
      </c>
      <c r="J179" s="2">
        <v>0</v>
      </c>
      <c r="K179" s="2">
        <v>1</v>
      </c>
      <c r="L179" s="2">
        <v>53.9</v>
      </c>
      <c r="M179" s="4">
        <f>(3.85)/1</f>
        <v>3.85</v>
      </c>
      <c r="N179" s="4">
        <f>(3.85+3.85)/2</f>
        <v>3.85</v>
      </c>
      <c r="O179" s="2">
        <v>178</v>
      </c>
    </row>
    <row r="180" spans="1:15" x14ac:dyDescent="0.3">
      <c r="A180" s="2" t="s">
        <v>12</v>
      </c>
      <c r="B180" s="2" t="s">
        <v>282</v>
      </c>
      <c r="C180" s="2" t="s">
        <v>29</v>
      </c>
      <c r="D180" s="2" t="s">
        <v>35</v>
      </c>
      <c r="E180" s="2">
        <v>19</v>
      </c>
      <c r="F180" s="2" t="s">
        <v>228</v>
      </c>
      <c r="G180" s="2" t="s">
        <v>57</v>
      </c>
      <c r="H180" s="2">
        <v>503</v>
      </c>
      <c r="I180" s="2">
        <v>6</v>
      </c>
      <c r="J180" s="2">
        <v>1</v>
      </c>
      <c r="K180" s="2">
        <v>3</v>
      </c>
      <c r="L180" s="2">
        <v>62.3</v>
      </c>
      <c r="M180" s="4">
        <f>(38.5+60.5+77+82.5)/4</f>
        <v>64.625</v>
      </c>
      <c r="N180" s="4">
        <f>(88)/1</f>
        <v>88</v>
      </c>
      <c r="O180" s="2">
        <v>179</v>
      </c>
    </row>
    <row r="181" spans="1:15" x14ac:dyDescent="0.3">
      <c r="A181" s="2" t="s">
        <v>12</v>
      </c>
      <c r="B181" s="2" t="s">
        <v>284</v>
      </c>
      <c r="C181" s="2" t="s">
        <v>885</v>
      </c>
      <c r="D181" s="2" t="s">
        <v>24</v>
      </c>
      <c r="E181" s="2">
        <v>25</v>
      </c>
      <c r="F181" s="2" t="s">
        <v>44</v>
      </c>
      <c r="G181" s="2" t="s">
        <v>29</v>
      </c>
      <c r="H181" s="2">
        <v>501</v>
      </c>
      <c r="I181" s="2">
        <v>8</v>
      </c>
      <c r="J181" s="2">
        <v>0</v>
      </c>
      <c r="K181" s="2">
        <v>1</v>
      </c>
      <c r="L181" s="2">
        <v>64.400000000000006</v>
      </c>
      <c r="M181" s="4">
        <f>(22+27.5+30.8+27.5)/4</f>
        <v>26.95</v>
      </c>
      <c r="N181" s="4">
        <f>(27.5)/1</f>
        <v>27.5</v>
      </c>
      <c r="O181" s="2">
        <v>180</v>
      </c>
    </row>
    <row r="182" spans="1:15" x14ac:dyDescent="0.3">
      <c r="A182" s="2" t="s">
        <v>12</v>
      </c>
      <c r="B182" s="2" t="s">
        <v>285</v>
      </c>
      <c r="C182" s="2" t="s">
        <v>21</v>
      </c>
      <c r="D182" s="2" t="s">
        <v>23</v>
      </c>
      <c r="E182" s="2">
        <v>21</v>
      </c>
      <c r="F182" s="2" t="s">
        <v>198</v>
      </c>
      <c r="G182" s="2" t="s">
        <v>21</v>
      </c>
      <c r="H182" s="2">
        <v>500</v>
      </c>
      <c r="I182" s="2">
        <v>6</v>
      </c>
      <c r="J182" s="2">
        <v>0</v>
      </c>
      <c r="K182" s="2">
        <v>1</v>
      </c>
      <c r="L182" s="2">
        <v>58.5</v>
      </c>
      <c r="M182" s="4">
        <f>(17.6+17.6+27.5)/3</f>
        <v>20.900000000000002</v>
      </c>
      <c r="N182" s="4">
        <f>(29.7+33)/2</f>
        <v>31.35</v>
      </c>
      <c r="O182" s="2">
        <v>181</v>
      </c>
    </row>
    <row r="183" spans="1:15" x14ac:dyDescent="0.3">
      <c r="A183" s="2" t="s">
        <v>12</v>
      </c>
      <c r="B183" s="2" t="s">
        <v>895</v>
      </c>
      <c r="C183" s="2" t="s">
        <v>38</v>
      </c>
      <c r="D183" s="2" t="s">
        <v>23</v>
      </c>
      <c r="E183" s="2">
        <v>28</v>
      </c>
      <c r="F183" s="2" t="s">
        <v>896</v>
      </c>
      <c r="G183" s="2" t="s">
        <v>900</v>
      </c>
      <c r="H183" s="2">
        <v>500</v>
      </c>
      <c r="I183" s="2">
        <v>6</v>
      </c>
      <c r="J183" s="2">
        <v>0</v>
      </c>
      <c r="K183" s="2">
        <v>0</v>
      </c>
      <c r="L183" s="2">
        <v>63</v>
      </c>
      <c r="M183" s="4">
        <f>(3.3+3.3+3.85+3.85)/4</f>
        <v>3.5749999999999997</v>
      </c>
      <c r="N183" s="4">
        <f>(3.3)/1</f>
        <v>3.3</v>
      </c>
      <c r="O183" s="2">
        <v>182</v>
      </c>
    </row>
    <row r="184" spans="1:15" x14ac:dyDescent="0.3">
      <c r="A184" s="2" t="s">
        <v>12</v>
      </c>
      <c r="B184" s="2" t="s">
        <v>288</v>
      </c>
      <c r="C184" s="2" t="s">
        <v>57</v>
      </c>
      <c r="D184" s="2" t="s">
        <v>35</v>
      </c>
      <c r="E184" s="2">
        <v>33</v>
      </c>
      <c r="F184" s="2" t="s">
        <v>228</v>
      </c>
      <c r="G184" s="2" t="s">
        <v>57</v>
      </c>
      <c r="H184" s="2">
        <v>499</v>
      </c>
      <c r="I184" s="2">
        <v>6</v>
      </c>
      <c r="J184" s="2">
        <v>3</v>
      </c>
      <c r="K184" s="2">
        <v>1</v>
      </c>
      <c r="L184" s="2">
        <v>62.7</v>
      </c>
      <c r="M184" s="4">
        <f>(16.5+14.3+14.3)/3</f>
        <v>15.033333333333333</v>
      </c>
      <c r="N184" s="4">
        <f>(12.1)/1</f>
        <v>12.1</v>
      </c>
      <c r="O184" s="2">
        <v>183</v>
      </c>
    </row>
    <row r="185" spans="1:15" x14ac:dyDescent="0.3">
      <c r="A185" s="2" t="s">
        <v>12</v>
      </c>
      <c r="B185" s="2" t="s">
        <v>289</v>
      </c>
      <c r="C185" s="2" t="s">
        <v>885</v>
      </c>
      <c r="D185" s="2" t="s">
        <v>24</v>
      </c>
      <c r="E185" s="2">
        <v>33</v>
      </c>
      <c r="F185" s="2" t="s">
        <v>218</v>
      </c>
      <c r="G185" s="2" t="s">
        <v>886</v>
      </c>
      <c r="H185" s="2">
        <v>497</v>
      </c>
      <c r="I185" s="2">
        <v>6</v>
      </c>
      <c r="J185" s="2">
        <v>1</v>
      </c>
      <c r="K185" s="2">
        <v>2</v>
      </c>
      <c r="L185" s="2">
        <v>52.3</v>
      </c>
      <c r="M185" s="4">
        <f>(6.6+6.6)/2</f>
        <v>6.6</v>
      </c>
      <c r="N185" s="4">
        <f>(6.6+4.95)/2</f>
        <v>5.7750000000000004</v>
      </c>
      <c r="O185" s="2">
        <v>184</v>
      </c>
    </row>
    <row r="186" spans="1:15" x14ac:dyDescent="0.3">
      <c r="A186" s="2" t="s">
        <v>12</v>
      </c>
      <c r="B186" s="2" t="s">
        <v>291</v>
      </c>
      <c r="C186" s="2" t="s">
        <v>869</v>
      </c>
      <c r="D186" s="2" t="s">
        <v>35</v>
      </c>
      <c r="E186" s="2">
        <v>25</v>
      </c>
      <c r="F186" s="2" t="s">
        <v>107</v>
      </c>
      <c r="G186" s="2" t="s">
        <v>869</v>
      </c>
      <c r="H186" s="2">
        <v>496</v>
      </c>
      <c r="I186" s="2">
        <v>6</v>
      </c>
      <c r="J186" s="2">
        <v>0</v>
      </c>
      <c r="K186" s="2">
        <v>0</v>
      </c>
      <c r="L186" s="2">
        <v>65.400000000000006</v>
      </c>
      <c r="M186" s="4">
        <f>(66+71.5+77)/3</f>
        <v>71.5</v>
      </c>
      <c r="N186" s="4">
        <f>(77)/1</f>
        <v>77</v>
      </c>
      <c r="O186" s="2">
        <v>185</v>
      </c>
    </row>
    <row r="187" spans="1:15" x14ac:dyDescent="0.3">
      <c r="A187" s="2" t="s">
        <v>12</v>
      </c>
      <c r="B187" s="2" t="s">
        <v>292</v>
      </c>
      <c r="C187" s="2" t="s">
        <v>901</v>
      </c>
      <c r="D187" s="2" t="s">
        <v>35</v>
      </c>
      <c r="E187" s="2">
        <v>26</v>
      </c>
      <c r="F187" s="2" t="s">
        <v>896</v>
      </c>
      <c r="G187" s="2" t="s">
        <v>900</v>
      </c>
      <c r="H187" s="2">
        <v>496</v>
      </c>
      <c r="I187" s="2">
        <v>6</v>
      </c>
      <c r="J187" s="2">
        <v>0</v>
      </c>
      <c r="K187" s="2">
        <v>0</v>
      </c>
      <c r="L187" s="2">
        <v>60.1</v>
      </c>
      <c r="M187" s="4">
        <f>(0.66+0.88+0.88)/3</f>
        <v>0.80666666666666664</v>
      </c>
      <c r="N187" s="4">
        <f>(1.65+2.2)/2</f>
        <v>1.925</v>
      </c>
      <c r="O187" s="2">
        <v>186</v>
      </c>
    </row>
    <row r="188" spans="1:15" x14ac:dyDescent="0.3">
      <c r="A188" s="2" t="s">
        <v>12</v>
      </c>
      <c r="B188" s="2" t="s">
        <v>294</v>
      </c>
      <c r="C188" s="2" t="s">
        <v>902</v>
      </c>
      <c r="D188" s="2" t="s">
        <v>23</v>
      </c>
      <c r="E188" s="2">
        <v>30</v>
      </c>
      <c r="F188" s="2" t="s">
        <v>50</v>
      </c>
      <c r="G188" s="2" t="s">
        <v>55</v>
      </c>
      <c r="H188" s="2">
        <v>494</v>
      </c>
      <c r="I188" s="2">
        <v>6</v>
      </c>
      <c r="J188" s="2">
        <v>1</v>
      </c>
      <c r="K188" s="2">
        <v>1</v>
      </c>
      <c r="L188" s="2">
        <v>60.6</v>
      </c>
      <c r="M188" s="4">
        <f>(13.2+17.6+16.5)/3</f>
        <v>15.766666666666666</v>
      </c>
      <c r="N188" s="4">
        <f>(18.7+22)/2</f>
        <v>20.350000000000001</v>
      </c>
      <c r="O188" s="2">
        <v>187</v>
      </c>
    </row>
    <row r="189" spans="1:15" x14ac:dyDescent="0.3">
      <c r="A189" s="2" t="s">
        <v>12</v>
      </c>
      <c r="B189" s="2" t="s">
        <v>897</v>
      </c>
      <c r="C189" s="2" t="s">
        <v>55</v>
      </c>
      <c r="D189" s="2" t="s">
        <v>35</v>
      </c>
      <c r="E189" s="2">
        <v>29</v>
      </c>
      <c r="F189" s="2" t="s">
        <v>58</v>
      </c>
      <c r="G189" s="2" t="s">
        <v>55</v>
      </c>
      <c r="H189" s="2">
        <v>493</v>
      </c>
      <c r="I189" s="2">
        <v>8</v>
      </c>
      <c r="J189" s="2">
        <v>0</v>
      </c>
      <c r="K189" s="2">
        <v>4</v>
      </c>
      <c r="L189" s="2">
        <v>66</v>
      </c>
      <c r="M189" s="4">
        <f>(14.3+13.2+15.4)/3</f>
        <v>14.299999999999999</v>
      </c>
      <c r="N189" s="4">
        <f>(13.2+11)/2</f>
        <v>12.1</v>
      </c>
      <c r="O189" s="2">
        <v>188</v>
      </c>
    </row>
    <row r="190" spans="1:15" x14ac:dyDescent="0.3">
      <c r="A190" s="2" t="s">
        <v>12</v>
      </c>
      <c r="B190" s="2" t="s">
        <v>296</v>
      </c>
      <c r="C190" s="2" t="s">
        <v>903</v>
      </c>
      <c r="D190" s="2" t="s">
        <v>35</v>
      </c>
      <c r="E190" s="2">
        <v>22</v>
      </c>
      <c r="F190" s="2" t="s">
        <v>201</v>
      </c>
      <c r="G190" s="2" t="s">
        <v>884</v>
      </c>
      <c r="H190" s="2">
        <v>491</v>
      </c>
      <c r="I190" s="2">
        <v>6</v>
      </c>
      <c r="J190" s="2">
        <v>0</v>
      </c>
      <c r="K190" s="2">
        <v>0</v>
      </c>
      <c r="L190" s="2">
        <v>59.7</v>
      </c>
      <c r="M190" s="4">
        <f>(0.385+1.21+1.21)/3</f>
        <v>0.93499999999999994</v>
      </c>
      <c r="N190" s="4">
        <f>(1.21)/1</f>
        <v>1.21</v>
      </c>
      <c r="O190" s="2">
        <v>189</v>
      </c>
    </row>
    <row r="191" spans="1:15" x14ac:dyDescent="0.3">
      <c r="A191" s="2" t="s">
        <v>12</v>
      </c>
      <c r="B191" s="2" t="s">
        <v>297</v>
      </c>
      <c r="C191" s="2" t="s">
        <v>885</v>
      </c>
      <c r="D191" s="2" t="s">
        <v>35</v>
      </c>
      <c r="E191" s="2">
        <v>24</v>
      </c>
      <c r="F191" s="2" t="s">
        <v>209</v>
      </c>
      <c r="G191" s="2" t="s">
        <v>885</v>
      </c>
      <c r="H191" s="2">
        <v>490</v>
      </c>
      <c r="I191" s="2">
        <v>6</v>
      </c>
      <c r="J191" s="2">
        <v>0</v>
      </c>
      <c r="K191" s="2">
        <v>1</v>
      </c>
      <c r="L191" s="2">
        <v>65.8</v>
      </c>
      <c r="M191" s="4">
        <f>(26.4+27.5+27.5)/3</f>
        <v>27.133333333333336</v>
      </c>
      <c r="N191" s="4">
        <f>(27.5)/1</f>
        <v>27.5</v>
      </c>
      <c r="O191" s="2">
        <v>190</v>
      </c>
    </row>
    <row r="192" spans="1:15" x14ac:dyDescent="0.3">
      <c r="A192" s="2" t="s">
        <v>12</v>
      </c>
      <c r="B192" s="2" t="s">
        <v>298</v>
      </c>
      <c r="C192" s="2" t="s">
        <v>904</v>
      </c>
      <c r="D192" s="2" t="s">
        <v>23</v>
      </c>
      <c r="E192" s="2">
        <v>25</v>
      </c>
      <c r="F192" s="2" t="s">
        <v>250</v>
      </c>
      <c r="G192" s="2" t="s">
        <v>888</v>
      </c>
      <c r="H192" s="2">
        <v>489</v>
      </c>
      <c r="I192" s="2">
        <v>6</v>
      </c>
      <c r="J192" s="2">
        <v>1</v>
      </c>
      <c r="K192" s="2">
        <v>0</v>
      </c>
      <c r="L192" s="2">
        <v>49.1</v>
      </c>
      <c r="M192" s="4">
        <f>(3.3+4.4+5.5)/3</f>
        <v>4.3999999999999995</v>
      </c>
      <c r="N192" s="4">
        <f>(5.5+5.5)/2</f>
        <v>5.5</v>
      </c>
      <c r="O192" s="2">
        <v>191</v>
      </c>
    </row>
    <row r="193" spans="1:15" x14ac:dyDescent="0.3">
      <c r="A193" s="2" t="s">
        <v>12</v>
      </c>
      <c r="B193" s="2" t="s">
        <v>898</v>
      </c>
      <c r="C193" s="2" t="s">
        <v>905</v>
      </c>
      <c r="D193" s="2" t="s">
        <v>35</v>
      </c>
      <c r="E193" s="2">
        <v>27</v>
      </c>
      <c r="F193" s="2" t="s">
        <v>16</v>
      </c>
      <c r="G193" s="2" t="s">
        <v>29</v>
      </c>
      <c r="H193" s="2">
        <v>487</v>
      </c>
      <c r="I193" s="2">
        <v>10</v>
      </c>
      <c r="J193" s="2">
        <v>1</v>
      </c>
      <c r="K193" s="2">
        <v>2</v>
      </c>
      <c r="L193" s="2">
        <v>61.5</v>
      </c>
      <c r="M193" s="4">
        <f>(41.8+35.2+33)/3</f>
        <v>36.666666666666664</v>
      </c>
      <c r="N193" s="4">
        <f>(27.5)/1</f>
        <v>27.5</v>
      </c>
      <c r="O193" s="2">
        <v>192</v>
      </c>
    </row>
    <row r="194" spans="1:15" x14ac:dyDescent="0.3">
      <c r="A194" s="2" t="s">
        <v>12</v>
      </c>
      <c r="B194" s="2" t="s">
        <v>300</v>
      </c>
      <c r="C194" s="2" t="s">
        <v>56</v>
      </c>
      <c r="D194" s="2" t="s">
        <v>24</v>
      </c>
      <c r="E194" s="2">
        <v>30</v>
      </c>
      <c r="F194" s="2" t="s">
        <v>107</v>
      </c>
      <c r="G194" s="2" t="s">
        <v>869</v>
      </c>
      <c r="H194" s="2">
        <v>487</v>
      </c>
      <c r="I194" s="2">
        <v>6</v>
      </c>
      <c r="J194" s="2">
        <v>1</v>
      </c>
      <c r="K194" s="2">
        <v>0</v>
      </c>
      <c r="L194" s="2">
        <v>55.4</v>
      </c>
      <c r="M194" s="4">
        <f>(55+49.5)/2</f>
        <v>52.25</v>
      </c>
      <c r="N194" s="4">
        <f>(38.5+30.8)/2</f>
        <v>34.65</v>
      </c>
      <c r="O194" s="2">
        <v>193</v>
      </c>
    </row>
    <row r="195" spans="1:15" x14ac:dyDescent="0.3">
      <c r="A195" s="2" t="s">
        <v>12</v>
      </c>
      <c r="B195" s="2" t="s">
        <v>301</v>
      </c>
      <c r="C195" s="2" t="s">
        <v>25</v>
      </c>
      <c r="D195" s="2" t="s">
        <v>35</v>
      </c>
      <c r="E195" s="2">
        <v>34</v>
      </c>
      <c r="F195" s="2" t="s">
        <v>237</v>
      </c>
      <c r="G195" s="2" t="s">
        <v>25</v>
      </c>
      <c r="H195" s="2">
        <v>487</v>
      </c>
      <c r="I195" s="2">
        <v>6</v>
      </c>
      <c r="J195" s="2">
        <v>0</v>
      </c>
      <c r="K195" s="2">
        <v>0</v>
      </c>
      <c r="L195" s="2">
        <v>63.9</v>
      </c>
      <c r="M195" s="4">
        <f>(11+9.9+9.9)/3</f>
        <v>10.266666666666666</v>
      </c>
      <c r="N195" s="4">
        <f>(9.9)/1</f>
        <v>9.9</v>
      </c>
      <c r="O195" s="2">
        <v>194</v>
      </c>
    </row>
    <row r="196" spans="1:15" x14ac:dyDescent="0.3">
      <c r="A196" s="2" t="s">
        <v>12</v>
      </c>
      <c r="B196" s="2" t="s">
        <v>302</v>
      </c>
      <c r="C196" s="2" t="s">
        <v>885</v>
      </c>
      <c r="D196" s="2" t="s">
        <v>35</v>
      </c>
      <c r="E196" s="2">
        <v>23</v>
      </c>
      <c r="F196" s="2" t="s">
        <v>209</v>
      </c>
      <c r="G196" s="2" t="s">
        <v>885</v>
      </c>
      <c r="H196" s="2">
        <v>486</v>
      </c>
      <c r="I196" s="2">
        <v>6</v>
      </c>
      <c r="J196" s="2">
        <v>0</v>
      </c>
      <c r="K196" s="2">
        <v>0</v>
      </c>
      <c r="L196" s="2">
        <v>68.7</v>
      </c>
      <c r="M196" s="4">
        <f>(5.5+8.8+11)/3</f>
        <v>8.4333333333333336</v>
      </c>
      <c r="N196" s="4">
        <f>(11)/1</f>
        <v>11</v>
      </c>
      <c r="O196" s="2">
        <v>195</v>
      </c>
    </row>
    <row r="197" spans="1:15" x14ac:dyDescent="0.3">
      <c r="A197" s="2" t="s">
        <v>12</v>
      </c>
      <c r="B197" s="2" t="s">
        <v>303</v>
      </c>
      <c r="C197" s="2" t="s">
        <v>30</v>
      </c>
      <c r="D197" s="2" t="s">
        <v>24</v>
      </c>
      <c r="E197" s="2">
        <v>24</v>
      </c>
      <c r="F197" s="2" t="s">
        <v>253</v>
      </c>
      <c r="G197" s="2" t="s">
        <v>57</v>
      </c>
      <c r="H197" s="2">
        <v>484</v>
      </c>
      <c r="I197" s="2">
        <v>6</v>
      </c>
      <c r="J197" s="2">
        <v>1</v>
      </c>
      <c r="K197" s="2">
        <v>1</v>
      </c>
      <c r="L197" s="2">
        <v>57</v>
      </c>
      <c r="M197" s="4">
        <f>(25.3+27.5+27.5)/3</f>
        <v>26.766666666666666</v>
      </c>
      <c r="N197" s="4">
        <f>(22)/1</f>
        <v>22</v>
      </c>
      <c r="O197" s="2">
        <v>196</v>
      </c>
    </row>
    <row r="198" spans="1:15" x14ac:dyDescent="0.3">
      <c r="A198" s="2" t="s">
        <v>12</v>
      </c>
      <c r="B198" s="2" t="s">
        <v>305</v>
      </c>
      <c r="C198" s="2" t="s">
        <v>28</v>
      </c>
      <c r="D198" s="2" t="s">
        <v>35</v>
      </c>
      <c r="E198" s="2">
        <v>25</v>
      </c>
      <c r="F198" s="2" t="s">
        <v>218</v>
      </c>
      <c r="G198" s="2" t="s">
        <v>886</v>
      </c>
      <c r="H198" s="2">
        <v>484</v>
      </c>
      <c r="I198" s="2">
        <v>6</v>
      </c>
      <c r="J198" s="2">
        <v>1</v>
      </c>
      <c r="K198" s="2">
        <v>0</v>
      </c>
      <c r="L198" s="2">
        <v>59.1</v>
      </c>
      <c r="M198" s="4">
        <f>(16.5+18.7+19.8+20.9)/4</f>
        <v>18.975000000000001</v>
      </c>
      <c r="N198" s="4">
        <f>(20.9)/1</f>
        <v>20.9</v>
      </c>
      <c r="O198" s="2">
        <v>197</v>
      </c>
    </row>
    <row r="199" spans="1:15" x14ac:dyDescent="0.3">
      <c r="A199" s="2" t="s">
        <v>12</v>
      </c>
      <c r="B199" s="2" t="s">
        <v>306</v>
      </c>
      <c r="C199" s="2" t="s">
        <v>21</v>
      </c>
      <c r="D199" s="2" t="s">
        <v>24</v>
      </c>
      <c r="E199" s="2">
        <v>31</v>
      </c>
      <c r="F199" s="2" t="s">
        <v>228</v>
      </c>
      <c r="G199" s="2" t="s">
        <v>57</v>
      </c>
      <c r="H199" s="2">
        <v>484</v>
      </c>
      <c r="I199" s="2">
        <v>6</v>
      </c>
      <c r="J199" s="2">
        <v>0</v>
      </c>
      <c r="K199" s="2">
        <v>1</v>
      </c>
      <c r="L199" s="2">
        <v>65.599999999999994</v>
      </c>
      <c r="M199" s="4">
        <f>(19.8+13.2+13.2+9.9)/4</f>
        <v>14.025</v>
      </c>
      <c r="N199" s="4">
        <f>(7.15)/1</f>
        <v>7.15</v>
      </c>
      <c r="O199" s="2">
        <v>198</v>
      </c>
    </row>
    <row r="200" spans="1:15" x14ac:dyDescent="0.3">
      <c r="A200" s="2" t="s">
        <v>12</v>
      </c>
      <c r="B200" s="2" t="s">
        <v>308</v>
      </c>
      <c r="C200" s="2" t="s">
        <v>56</v>
      </c>
      <c r="D200" s="2" t="s">
        <v>35</v>
      </c>
      <c r="E200" s="2">
        <v>31</v>
      </c>
      <c r="F200" s="2" t="s">
        <v>231</v>
      </c>
      <c r="G200" s="2" t="s">
        <v>869</v>
      </c>
      <c r="H200" s="2">
        <v>484</v>
      </c>
      <c r="I200" s="2">
        <v>6</v>
      </c>
      <c r="J200" s="2">
        <v>0</v>
      </c>
      <c r="K200" s="2">
        <v>0</v>
      </c>
      <c r="L200" s="2">
        <v>62.1</v>
      </c>
      <c r="M200" s="4">
        <f>(25.3+22)/2</f>
        <v>23.65</v>
      </c>
      <c r="N200" s="4">
        <f>(18.7)/1</f>
        <v>18.7</v>
      </c>
      <c r="O200" s="2">
        <v>199</v>
      </c>
    </row>
    <row r="201" spans="1:15" x14ac:dyDescent="0.3">
      <c r="A201" s="2" t="s">
        <v>12</v>
      </c>
      <c r="B201" s="2" t="s">
        <v>309</v>
      </c>
      <c r="C201" s="2" t="s">
        <v>30</v>
      </c>
      <c r="D201" s="2" t="s">
        <v>24</v>
      </c>
      <c r="E201" s="2">
        <v>23</v>
      </c>
      <c r="F201" s="2" t="s">
        <v>198</v>
      </c>
      <c r="G201" s="2" t="s">
        <v>21</v>
      </c>
      <c r="H201" s="2">
        <v>484</v>
      </c>
      <c r="I201" s="2">
        <v>6</v>
      </c>
      <c r="J201" s="2">
        <v>0</v>
      </c>
      <c r="K201" s="2">
        <v>0</v>
      </c>
      <c r="L201" s="2">
        <v>56.8</v>
      </c>
      <c r="M201" s="4">
        <f>(7.7+7.15+5.5+6.6)/4</f>
        <v>6.7375000000000007</v>
      </c>
      <c r="N201" s="4">
        <f>(5.5+7.15+7.7)/3</f>
        <v>6.7833333333333341</v>
      </c>
      <c r="O201" s="2">
        <v>200</v>
      </c>
    </row>
    <row r="202" spans="1:15" x14ac:dyDescent="0.3">
      <c r="A202" s="2" t="s">
        <v>12</v>
      </c>
      <c r="B202" s="2" t="s">
        <v>310</v>
      </c>
      <c r="C202" s="2" t="s">
        <v>28</v>
      </c>
      <c r="D202" s="2" t="s">
        <v>24</v>
      </c>
      <c r="E202" s="2">
        <v>24</v>
      </c>
      <c r="F202" s="2" t="s">
        <v>64</v>
      </c>
      <c r="G202" s="2" t="s">
        <v>25</v>
      </c>
      <c r="H202" s="2">
        <v>478</v>
      </c>
      <c r="I202" s="2">
        <v>10</v>
      </c>
      <c r="J202" s="2">
        <v>1</v>
      </c>
      <c r="K202" s="2">
        <v>2</v>
      </c>
      <c r="L202" s="2">
        <v>61.7</v>
      </c>
      <c r="M202" s="4">
        <f>(40+30+25+20)/4</f>
        <v>28.75</v>
      </c>
      <c r="N202" s="4">
        <f>(25+30+25+20)/4</f>
        <v>25</v>
      </c>
      <c r="O202" s="2">
        <v>201</v>
      </c>
    </row>
    <row r="203" spans="1:15" x14ac:dyDescent="0.3">
      <c r="A203" s="2" t="s">
        <v>12</v>
      </c>
      <c r="B203" s="2" t="s">
        <v>311</v>
      </c>
      <c r="C203" s="2" t="s">
        <v>873</v>
      </c>
      <c r="D203" s="2" t="s">
        <v>35</v>
      </c>
      <c r="E203" s="2">
        <v>22</v>
      </c>
      <c r="F203" s="2" t="s">
        <v>67</v>
      </c>
      <c r="G203" s="2" t="s">
        <v>57</v>
      </c>
      <c r="H203" s="2">
        <v>477</v>
      </c>
      <c r="I203" s="2">
        <v>7</v>
      </c>
      <c r="J203" s="2">
        <v>0</v>
      </c>
      <c r="K203" s="2">
        <v>2</v>
      </c>
      <c r="L203" s="2">
        <v>61.4</v>
      </c>
      <c r="M203" s="4">
        <f>(75+70+70)/3</f>
        <v>71.666666666666671</v>
      </c>
      <c r="N203" s="4">
        <f>(70)/1</f>
        <v>70</v>
      </c>
      <c r="O203" s="2">
        <v>202</v>
      </c>
    </row>
    <row r="204" spans="1:15" x14ac:dyDescent="0.3">
      <c r="A204" s="2" t="s">
        <v>12</v>
      </c>
      <c r="B204" s="2" t="s">
        <v>312</v>
      </c>
      <c r="C204" s="2" t="s">
        <v>28</v>
      </c>
      <c r="D204" s="2" t="s">
        <v>35</v>
      </c>
      <c r="E204" s="2">
        <v>25</v>
      </c>
      <c r="F204" s="2" t="s">
        <v>216</v>
      </c>
      <c r="G204" s="2" t="s">
        <v>885</v>
      </c>
      <c r="H204" s="2">
        <v>473</v>
      </c>
      <c r="I204" s="2">
        <v>6</v>
      </c>
      <c r="J204" s="2">
        <v>0</v>
      </c>
      <c r="K204" s="2">
        <v>0</v>
      </c>
      <c r="L204" s="2">
        <v>62.9</v>
      </c>
      <c r="M204" s="4">
        <f>(6+7+7)/3</f>
        <v>6.666666666666667</v>
      </c>
      <c r="N204" s="4">
        <f>(7)/1</f>
        <v>7</v>
      </c>
      <c r="O204" s="2">
        <v>203</v>
      </c>
    </row>
    <row r="205" spans="1:15" x14ac:dyDescent="0.3">
      <c r="A205" s="2" t="s">
        <v>12</v>
      </c>
      <c r="B205" s="2" t="s">
        <v>314</v>
      </c>
      <c r="C205" s="2" t="s">
        <v>21</v>
      </c>
      <c r="D205" s="2" t="s">
        <v>23</v>
      </c>
      <c r="E205" s="2">
        <v>29</v>
      </c>
      <c r="F205" s="2" t="s">
        <v>64</v>
      </c>
      <c r="G205" s="2" t="s">
        <v>25</v>
      </c>
      <c r="H205" s="2">
        <v>472</v>
      </c>
      <c r="I205" s="2">
        <v>7</v>
      </c>
      <c r="J205" s="2">
        <v>0</v>
      </c>
      <c r="K205" s="2">
        <v>0</v>
      </c>
      <c r="L205" s="2">
        <v>60.1</v>
      </c>
      <c r="M205" s="4">
        <f>(30+35+40+40)/4</f>
        <v>36.25</v>
      </c>
      <c r="N205" s="4">
        <f>(40+30)/2</f>
        <v>35</v>
      </c>
      <c r="O205" s="2">
        <v>204</v>
      </c>
    </row>
    <row r="206" spans="1:15" x14ac:dyDescent="0.3">
      <c r="A206" s="2" t="s">
        <v>12</v>
      </c>
      <c r="B206" s="2" t="s">
        <v>315</v>
      </c>
      <c r="C206" s="2" t="s">
        <v>54</v>
      </c>
      <c r="D206" s="2" t="s">
        <v>35</v>
      </c>
      <c r="E206" s="2">
        <v>34</v>
      </c>
      <c r="F206" s="2" t="s">
        <v>164</v>
      </c>
      <c r="G206" s="2" t="s">
        <v>869</v>
      </c>
      <c r="H206" s="2">
        <v>472</v>
      </c>
      <c r="I206" s="2">
        <v>7</v>
      </c>
      <c r="J206" s="2">
        <v>0</v>
      </c>
      <c r="K206" s="2">
        <v>0</v>
      </c>
      <c r="L206" s="2">
        <v>56.2</v>
      </c>
      <c r="M206" s="4">
        <f>(16+10)/2</f>
        <v>13</v>
      </c>
      <c r="N206" s="4">
        <f>(8)/1</f>
        <v>8</v>
      </c>
      <c r="O206" s="2">
        <v>205</v>
      </c>
    </row>
    <row r="207" spans="1:15" x14ac:dyDescent="0.3">
      <c r="A207" s="2" t="s">
        <v>12</v>
      </c>
      <c r="B207" s="2" t="s">
        <v>316</v>
      </c>
      <c r="C207" s="2" t="s">
        <v>28</v>
      </c>
      <c r="D207" s="2" t="s">
        <v>24</v>
      </c>
      <c r="E207" s="2">
        <v>33</v>
      </c>
      <c r="F207" s="2" t="s">
        <v>64</v>
      </c>
      <c r="G207" s="2" t="s">
        <v>25</v>
      </c>
      <c r="H207" s="2">
        <v>472</v>
      </c>
      <c r="I207" s="2">
        <v>7</v>
      </c>
      <c r="J207" s="2">
        <v>0</v>
      </c>
      <c r="K207" s="2">
        <v>0</v>
      </c>
      <c r="L207" s="2">
        <v>51.4</v>
      </c>
      <c r="M207" s="4">
        <f>(20+15+12+9+8)/5</f>
        <v>12.8</v>
      </c>
      <c r="N207" s="4">
        <f>(7+6+3)/3</f>
        <v>5.333333333333333</v>
      </c>
      <c r="O207" s="2">
        <v>206</v>
      </c>
    </row>
    <row r="208" spans="1:15" x14ac:dyDescent="0.3">
      <c r="A208" s="2" t="s">
        <v>12</v>
      </c>
      <c r="B208" s="2" t="s">
        <v>317</v>
      </c>
      <c r="C208" s="2" t="s">
        <v>21</v>
      </c>
      <c r="D208" s="2" t="s">
        <v>35</v>
      </c>
      <c r="E208" s="2">
        <v>33</v>
      </c>
      <c r="F208" s="2" t="s">
        <v>228</v>
      </c>
      <c r="G208" s="2" t="s">
        <v>57</v>
      </c>
      <c r="H208" s="2">
        <v>471</v>
      </c>
      <c r="I208" s="2">
        <v>6</v>
      </c>
      <c r="J208" s="2">
        <v>0</v>
      </c>
      <c r="K208" s="2">
        <v>0</v>
      </c>
      <c r="L208" s="2">
        <v>59.8</v>
      </c>
      <c r="M208" s="4">
        <f>(12+9+6)/3</f>
        <v>9</v>
      </c>
      <c r="N208" s="4">
        <f>(4+4+5+5)/4</f>
        <v>4.5</v>
      </c>
      <c r="O208" s="2">
        <v>207</v>
      </c>
    </row>
    <row r="209" spans="1:15" x14ac:dyDescent="0.3">
      <c r="A209" s="2" t="s">
        <v>12</v>
      </c>
      <c r="B209" s="2" t="s">
        <v>318</v>
      </c>
      <c r="C209" s="2" t="s">
        <v>28</v>
      </c>
      <c r="D209" s="2" t="s">
        <v>23</v>
      </c>
      <c r="E209" s="2">
        <v>30</v>
      </c>
      <c r="F209" s="2" t="s">
        <v>121</v>
      </c>
      <c r="G209" s="2" t="s">
        <v>30</v>
      </c>
      <c r="H209" s="2">
        <v>468</v>
      </c>
      <c r="I209" s="2">
        <v>6</v>
      </c>
      <c r="J209" s="2">
        <v>0</v>
      </c>
      <c r="K209" s="2">
        <v>1</v>
      </c>
      <c r="L209" s="2">
        <v>55.6</v>
      </c>
      <c r="M209" s="4">
        <f>(110+100+90)/3</f>
        <v>100</v>
      </c>
      <c r="N209" s="4">
        <f>(75+75)/2</f>
        <v>75</v>
      </c>
      <c r="O209" s="2">
        <v>208</v>
      </c>
    </row>
    <row r="210" spans="1:15" x14ac:dyDescent="0.3">
      <c r="A210" s="2" t="s">
        <v>12</v>
      </c>
      <c r="B210" s="2" t="s">
        <v>319</v>
      </c>
      <c r="C210" s="2" t="s">
        <v>30</v>
      </c>
      <c r="D210" s="2" t="s">
        <v>23</v>
      </c>
      <c r="E210" s="2">
        <v>26</v>
      </c>
      <c r="F210" s="2" t="s">
        <v>124</v>
      </c>
      <c r="G210" s="2" t="s">
        <v>30</v>
      </c>
      <c r="H210" s="2">
        <v>468</v>
      </c>
      <c r="I210" s="2">
        <v>6</v>
      </c>
      <c r="J210" s="2">
        <v>0</v>
      </c>
      <c r="K210" s="2">
        <v>0</v>
      </c>
      <c r="L210" s="2">
        <v>58.2</v>
      </c>
      <c r="M210" s="4">
        <f>(25+25+22)/3</f>
        <v>24</v>
      </c>
      <c r="N210" s="4">
        <f>(20+17+18+20)/4</f>
        <v>18.75</v>
      </c>
      <c r="O210" s="2">
        <v>209</v>
      </c>
    </row>
    <row r="211" spans="1:15" x14ac:dyDescent="0.3">
      <c r="A211" s="2" t="s">
        <v>12</v>
      </c>
      <c r="B211" s="2" t="s">
        <v>320</v>
      </c>
      <c r="C211" s="2" t="s">
        <v>56</v>
      </c>
      <c r="D211" s="2" t="s">
        <v>24</v>
      </c>
      <c r="E211" s="2">
        <v>26</v>
      </c>
      <c r="F211" s="2" t="s">
        <v>107</v>
      </c>
      <c r="G211" s="2" t="s">
        <v>869</v>
      </c>
      <c r="H211" s="2">
        <v>467</v>
      </c>
      <c r="I211" s="2">
        <v>7</v>
      </c>
      <c r="J211" s="2">
        <v>0</v>
      </c>
      <c r="K211" s="2">
        <v>1</v>
      </c>
      <c r="L211" s="2">
        <v>60.2</v>
      </c>
      <c r="M211" s="4">
        <f>(18+16+16)/3</f>
        <v>16.666666666666668</v>
      </c>
      <c r="N211" s="4">
        <f>(20+25)/2</f>
        <v>22.5</v>
      </c>
      <c r="O211" s="2">
        <v>210</v>
      </c>
    </row>
    <row r="212" spans="1:15" x14ac:dyDescent="0.3">
      <c r="A212" s="2" t="s">
        <v>12</v>
      </c>
      <c r="B212" s="2" t="s">
        <v>906</v>
      </c>
      <c r="C212" s="2" t="s">
        <v>57</v>
      </c>
      <c r="D212" s="2" t="s">
        <v>35</v>
      </c>
      <c r="E212" s="2">
        <v>27</v>
      </c>
      <c r="F212" s="2" t="s">
        <v>67</v>
      </c>
      <c r="G212" s="2" t="s">
        <v>57</v>
      </c>
      <c r="H212" s="2">
        <v>466</v>
      </c>
      <c r="I212" s="2">
        <v>6</v>
      </c>
      <c r="J212" s="2">
        <v>0</v>
      </c>
      <c r="K212" s="2">
        <v>0</v>
      </c>
      <c r="L212" s="2">
        <v>59.3</v>
      </c>
      <c r="M212" s="4">
        <f>(70+70+70)/3</f>
        <v>70</v>
      </c>
      <c r="N212" s="4">
        <f>(65)/1</f>
        <v>65</v>
      </c>
      <c r="O212" s="2">
        <v>211</v>
      </c>
    </row>
    <row r="213" spans="1:15" x14ac:dyDescent="0.3">
      <c r="A213" s="2" t="s">
        <v>12</v>
      </c>
      <c r="B213" s="2" t="s">
        <v>321</v>
      </c>
      <c r="C213" s="2" t="s">
        <v>54</v>
      </c>
      <c r="D213" s="2" t="s">
        <v>23</v>
      </c>
      <c r="E213" s="2">
        <v>31</v>
      </c>
      <c r="F213" s="2" t="s">
        <v>231</v>
      </c>
      <c r="G213" s="2" t="s">
        <v>869</v>
      </c>
      <c r="H213" s="2">
        <v>464</v>
      </c>
      <c r="I213" s="2">
        <v>6</v>
      </c>
      <c r="J213" s="2">
        <v>3</v>
      </c>
      <c r="K213" s="2">
        <v>3</v>
      </c>
      <c r="L213" s="2">
        <v>50.1</v>
      </c>
      <c r="M213" s="4">
        <f>(33+33)/2</f>
        <v>33</v>
      </c>
      <c r="N213" s="4">
        <f>(30+28)/2</f>
        <v>29</v>
      </c>
      <c r="O213" s="2">
        <v>212</v>
      </c>
    </row>
    <row r="214" spans="1:15" x14ac:dyDescent="0.3">
      <c r="A214" s="2" t="s">
        <v>12</v>
      </c>
      <c r="B214" s="2" t="s">
        <v>323</v>
      </c>
      <c r="C214" s="2" t="s">
        <v>30</v>
      </c>
      <c r="D214" s="2" t="s">
        <v>35</v>
      </c>
      <c r="E214" s="2">
        <v>31</v>
      </c>
      <c r="F214" s="2" t="s">
        <v>19</v>
      </c>
      <c r="G214" s="2" t="s">
        <v>25</v>
      </c>
      <c r="H214" s="2">
        <v>463</v>
      </c>
      <c r="I214" s="2">
        <v>8</v>
      </c>
      <c r="J214" s="2">
        <v>1</v>
      </c>
      <c r="K214" s="2">
        <v>0</v>
      </c>
      <c r="L214" s="2">
        <v>57.6</v>
      </c>
      <c r="M214" s="4">
        <f>(6+5+5)/3</f>
        <v>5.333333333333333</v>
      </c>
      <c r="N214" s="4">
        <f>(5+5)/2</f>
        <v>5</v>
      </c>
      <c r="O214" s="2">
        <v>213</v>
      </c>
    </row>
    <row r="215" spans="1:15" x14ac:dyDescent="0.3">
      <c r="A215" s="2" t="s">
        <v>12</v>
      </c>
      <c r="B215" s="2" t="s">
        <v>324</v>
      </c>
      <c r="C215" s="2" t="s">
        <v>37</v>
      </c>
      <c r="D215" s="2" t="s">
        <v>35</v>
      </c>
      <c r="E215" s="2">
        <v>28</v>
      </c>
      <c r="F215" s="2" t="s">
        <v>212</v>
      </c>
      <c r="G215" s="2" t="s">
        <v>25</v>
      </c>
      <c r="H215" s="2">
        <v>463</v>
      </c>
      <c r="I215" s="2">
        <v>6</v>
      </c>
      <c r="J215" s="2">
        <v>1</v>
      </c>
      <c r="K215" s="2">
        <v>1</v>
      </c>
      <c r="L215" s="2">
        <v>50.6</v>
      </c>
      <c r="M215" s="4">
        <f>(45+40+40+30+30)/5</f>
        <v>37</v>
      </c>
      <c r="N215" s="4">
        <f>(25)/1</f>
        <v>25</v>
      </c>
      <c r="O215" s="2">
        <v>214</v>
      </c>
    </row>
    <row r="216" spans="1:15" x14ac:dyDescent="0.3">
      <c r="A216" s="2" t="s">
        <v>12</v>
      </c>
      <c r="B216" s="2" t="s">
        <v>325</v>
      </c>
      <c r="C216" s="2" t="s">
        <v>888</v>
      </c>
      <c r="D216" s="2" t="s">
        <v>35</v>
      </c>
      <c r="E216" s="2">
        <v>26</v>
      </c>
      <c r="F216" s="2" t="s">
        <v>250</v>
      </c>
      <c r="G216" s="2" t="s">
        <v>888</v>
      </c>
      <c r="H216" s="2">
        <v>462</v>
      </c>
      <c r="I216" s="2">
        <v>6</v>
      </c>
      <c r="J216" s="2">
        <v>0</v>
      </c>
      <c r="K216" s="2">
        <v>0</v>
      </c>
      <c r="L216" s="2">
        <v>42.1</v>
      </c>
      <c r="M216" s="4">
        <f>(2.5+3)/2</f>
        <v>2.75</v>
      </c>
      <c r="N216" s="4">
        <f>(3+2+1.5)/3</f>
        <v>2.1666666666666665</v>
      </c>
      <c r="O216" s="2">
        <v>215</v>
      </c>
    </row>
    <row r="217" spans="1:15" x14ac:dyDescent="0.3">
      <c r="A217" s="2" t="s">
        <v>12</v>
      </c>
      <c r="B217" s="2" t="s">
        <v>326</v>
      </c>
      <c r="C217" s="2" t="s">
        <v>29</v>
      </c>
      <c r="D217" s="2" t="s">
        <v>35</v>
      </c>
      <c r="E217" s="2">
        <v>27</v>
      </c>
      <c r="F217" s="2" t="s">
        <v>44</v>
      </c>
      <c r="G217" s="2" t="s">
        <v>29</v>
      </c>
      <c r="H217" s="2">
        <v>461</v>
      </c>
      <c r="I217" s="2">
        <v>7</v>
      </c>
      <c r="J217" s="2">
        <v>1</v>
      </c>
      <c r="K217" s="2">
        <v>1</v>
      </c>
      <c r="L217" s="2">
        <v>57.1</v>
      </c>
      <c r="M217" s="4">
        <f>(60+65+100+80)/4</f>
        <v>76.25</v>
      </c>
      <c r="N217" s="4">
        <f>(70+70)/2</f>
        <v>70</v>
      </c>
      <c r="O217" s="2">
        <v>216</v>
      </c>
    </row>
    <row r="218" spans="1:15" x14ac:dyDescent="0.3">
      <c r="A218" s="2" t="s">
        <v>12</v>
      </c>
      <c r="B218" s="2" t="s">
        <v>327</v>
      </c>
      <c r="C218" s="2" t="s">
        <v>28</v>
      </c>
      <c r="D218" s="2" t="s">
        <v>35</v>
      </c>
      <c r="E218" s="2">
        <v>25</v>
      </c>
      <c r="F218" s="2" t="s">
        <v>218</v>
      </c>
      <c r="G218" s="2" t="s">
        <v>886</v>
      </c>
      <c r="H218" s="2">
        <v>460</v>
      </c>
      <c r="I218" s="2">
        <v>6</v>
      </c>
      <c r="J218" s="2">
        <v>2</v>
      </c>
      <c r="K218" s="2">
        <v>0</v>
      </c>
      <c r="L218" s="2">
        <v>55.8</v>
      </c>
      <c r="M218" s="4">
        <f>(8.5+11+16)/3</f>
        <v>11.833333333333334</v>
      </c>
      <c r="N218" s="4">
        <f>(18)/1</f>
        <v>18</v>
      </c>
      <c r="O218" s="2">
        <v>217</v>
      </c>
    </row>
    <row r="219" spans="1:15" x14ac:dyDescent="0.3">
      <c r="A219" s="2" t="s">
        <v>12</v>
      </c>
      <c r="B219" s="2" t="s">
        <v>907</v>
      </c>
      <c r="C219" s="2" t="s">
        <v>55</v>
      </c>
      <c r="D219" s="2" t="s">
        <v>35</v>
      </c>
      <c r="E219" s="2">
        <v>27</v>
      </c>
      <c r="F219" s="2" t="s">
        <v>50</v>
      </c>
      <c r="G219" s="2" t="s">
        <v>55</v>
      </c>
      <c r="H219" s="2">
        <v>450</v>
      </c>
      <c r="I219" s="2">
        <v>6</v>
      </c>
      <c r="J219" s="2">
        <v>0</v>
      </c>
      <c r="K219" s="2">
        <v>0</v>
      </c>
      <c r="L219" s="2">
        <v>53.8</v>
      </c>
      <c r="M219" s="4">
        <f>(21+24+25)/3</f>
        <v>23.333333333333332</v>
      </c>
      <c r="N219" s="4">
        <f>(30+30)/2</f>
        <v>30</v>
      </c>
      <c r="O219" s="2">
        <v>218</v>
      </c>
    </row>
    <row r="220" spans="1:15" x14ac:dyDescent="0.3">
      <c r="A220" s="2" t="s">
        <v>12</v>
      </c>
      <c r="B220" s="2" t="s">
        <v>329</v>
      </c>
      <c r="C220" s="2" t="s">
        <v>871</v>
      </c>
      <c r="D220" s="2" t="s">
        <v>24</v>
      </c>
      <c r="E220" s="2">
        <v>32</v>
      </c>
      <c r="F220" s="2" t="s">
        <v>162</v>
      </c>
      <c r="G220" s="2" t="s">
        <v>55</v>
      </c>
      <c r="H220" s="2">
        <v>450</v>
      </c>
      <c r="I220" s="2">
        <v>6</v>
      </c>
      <c r="J220" s="2">
        <v>0</v>
      </c>
      <c r="K220" s="2">
        <v>0</v>
      </c>
      <c r="L220" s="2">
        <v>49.2</v>
      </c>
      <c r="M220" s="4">
        <f>(4+6+5)/3</f>
        <v>5</v>
      </c>
      <c r="N220" s="4">
        <f>(4+2.5+1.8)/3</f>
        <v>2.7666666666666671</v>
      </c>
      <c r="O220" s="2">
        <v>219</v>
      </c>
    </row>
    <row r="221" spans="1:15" x14ac:dyDescent="0.3">
      <c r="A221" s="2" t="s">
        <v>12</v>
      </c>
      <c r="B221" s="2" t="s">
        <v>330</v>
      </c>
      <c r="C221" s="2" t="s">
        <v>37</v>
      </c>
      <c r="D221" s="2" t="s">
        <v>24</v>
      </c>
      <c r="E221" s="2">
        <v>32</v>
      </c>
      <c r="F221" s="2" t="s">
        <v>231</v>
      </c>
      <c r="G221" s="2" t="s">
        <v>869</v>
      </c>
      <c r="H221" s="2">
        <v>450</v>
      </c>
      <c r="I221" s="2">
        <v>5</v>
      </c>
      <c r="J221" s="2">
        <v>1</v>
      </c>
      <c r="K221" s="2">
        <v>1</v>
      </c>
      <c r="L221" s="2">
        <v>50.5</v>
      </c>
      <c r="M221" s="4">
        <f>(10+9)/2</f>
        <v>9.5</v>
      </c>
      <c r="N221" s="4">
        <f>(7.5+2.5)/2</f>
        <v>5</v>
      </c>
      <c r="O221" s="2">
        <v>220</v>
      </c>
    </row>
    <row r="222" spans="1:15" x14ac:dyDescent="0.3">
      <c r="A222" s="2" t="s">
        <v>12</v>
      </c>
      <c r="B222" s="2" t="s">
        <v>931</v>
      </c>
      <c r="C222" s="2" t="s">
        <v>30</v>
      </c>
      <c r="D222" s="2" t="s">
        <v>24</v>
      </c>
      <c r="E222" s="2">
        <v>25</v>
      </c>
      <c r="F222" s="2" t="s">
        <v>332</v>
      </c>
      <c r="G222" s="2" t="s">
        <v>869</v>
      </c>
      <c r="H222" s="2">
        <v>450</v>
      </c>
      <c r="I222" s="2">
        <v>5</v>
      </c>
      <c r="J222" s="2">
        <v>0</v>
      </c>
      <c r="K222" s="2">
        <v>1</v>
      </c>
      <c r="L222" s="2">
        <v>51.4</v>
      </c>
      <c r="M222" s="4">
        <f>(50+48)/2</f>
        <v>49</v>
      </c>
      <c r="N222" s="4">
        <f>(55)/1</f>
        <v>55</v>
      </c>
      <c r="O222" s="2">
        <v>221</v>
      </c>
    </row>
    <row r="223" spans="1:15" x14ac:dyDescent="0.3">
      <c r="A223" s="2" t="s">
        <v>12</v>
      </c>
      <c r="B223" s="2" t="s">
        <v>334</v>
      </c>
      <c r="C223" s="2" t="s">
        <v>28</v>
      </c>
      <c r="D223" s="2" t="s">
        <v>24</v>
      </c>
      <c r="E223" s="2">
        <v>31</v>
      </c>
      <c r="F223" s="2" t="s">
        <v>164</v>
      </c>
      <c r="G223" s="2" t="s">
        <v>869</v>
      </c>
      <c r="H223" s="2">
        <v>450</v>
      </c>
      <c r="I223" s="2">
        <v>5</v>
      </c>
      <c r="J223" s="2">
        <v>0</v>
      </c>
      <c r="K223" s="2">
        <v>1</v>
      </c>
      <c r="L223" s="2">
        <v>49.9</v>
      </c>
      <c r="M223" s="4">
        <f>(20+20+15)/3</f>
        <v>18.333333333333332</v>
      </c>
      <c r="N223" s="4">
        <f>(13)/1</f>
        <v>13</v>
      </c>
      <c r="O223" s="2">
        <v>222</v>
      </c>
    </row>
    <row r="224" spans="1:15" x14ac:dyDescent="0.3">
      <c r="A224" s="2" t="s">
        <v>12</v>
      </c>
      <c r="B224" s="2" t="s">
        <v>335</v>
      </c>
      <c r="C224" s="2" t="s">
        <v>885</v>
      </c>
      <c r="D224" s="2" t="s">
        <v>24</v>
      </c>
      <c r="E224" s="2">
        <v>23</v>
      </c>
      <c r="F224" s="2" t="s">
        <v>209</v>
      </c>
      <c r="G224" s="2" t="s">
        <v>885</v>
      </c>
      <c r="H224" s="2">
        <v>450</v>
      </c>
      <c r="I224" s="2">
        <v>5</v>
      </c>
      <c r="J224" s="2">
        <v>0</v>
      </c>
      <c r="K224" s="2">
        <v>0</v>
      </c>
      <c r="L224" s="2">
        <v>56.4</v>
      </c>
      <c r="M224" s="4">
        <f>(15+17+17)/3</f>
        <v>16.333333333333332</v>
      </c>
      <c r="N224" s="4">
        <f>(18+18+22)/3</f>
        <v>19.333333333333332</v>
      </c>
      <c r="O224" s="2">
        <v>223</v>
      </c>
    </row>
    <row r="225" spans="1:15" x14ac:dyDescent="0.3">
      <c r="A225" s="2" t="s">
        <v>12</v>
      </c>
      <c r="B225" s="2" t="s">
        <v>336</v>
      </c>
      <c r="C225" s="2" t="s">
        <v>885</v>
      </c>
      <c r="D225" s="2" t="s">
        <v>24</v>
      </c>
      <c r="E225" s="2">
        <v>22</v>
      </c>
      <c r="F225" s="2" t="s">
        <v>209</v>
      </c>
      <c r="G225" s="2" t="s">
        <v>885</v>
      </c>
      <c r="H225" s="2">
        <v>450</v>
      </c>
      <c r="I225" s="2">
        <v>5</v>
      </c>
      <c r="J225" s="2">
        <v>0</v>
      </c>
      <c r="K225" s="2">
        <v>0</v>
      </c>
      <c r="L225" s="2">
        <v>54</v>
      </c>
      <c r="M225" s="4">
        <f>(1+2+3)/3</f>
        <v>2</v>
      </c>
      <c r="N225" s="4">
        <f>(3)/1</f>
        <v>3</v>
      </c>
      <c r="O225" s="2">
        <v>224</v>
      </c>
    </row>
    <row r="226" spans="1:15" x14ac:dyDescent="0.3">
      <c r="A226" s="2" t="s">
        <v>12</v>
      </c>
      <c r="B226" s="2" t="s">
        <v>908</v>
      </c>
      <c r="C226" s="2" t="s">
        <v>30</v>
      </c>
      <c r="D226" s="2" t="s">
        <v>24</v>
      </c>
      <c r="E226" s="2">
        <v>23</v>
      </c>
      <c r="F226" s="2" t="s">
        <v>212</v>
      </c>
      <c r="G226" s="2" t="s">
        <v>25</v>
      </c>
      <c r="H226" s="2">
        <v>450</v>
      </c>
      <c r="I226" s="2">
        <v>5</v>
      </c>
      <c r="J226" s="2">
        <v>0</v>
      </c>
      <c r="K226" s="2">
        <v>0</v>
      </c>
      <c r="L226" s="2">
        <v>53.2</v>
      </c>
      <c r="M226" s="4">
        <f>(50+60+60+60)/4</f>
        <v>57.5</v>
      </c>
      <c r="N226" s="4">
        <f>(60+60)/2</f>
        <v>60</v>
      </c>
      <c r="O226" s="2">
        <v>225</v>
      </c>
    </row>
    <row r="227" spans="1:15" x14ac:dyDescent="0.3">
      <c r="A227" s="2" t="s">
        <v>12</v>
      </c>
      <c r="B227" s="2" t="s">
        <v>909</v>
      </c>
      <c r="C227" s="2" t="s">
        <v>926</v>
      </c>
      <c r="D227" s="2" t="s">
        <v>24</v>
      </c>
      <c r="E227" s="2">
        <v>31</v>
      </c>
      <c r="F227" s="2" t="s">
        <v>64</v>
      </c>
      <c r="G227" s="2" t="s">
        <v>25</v>
      </c>
      <c r="H227" s="2">
        <v>450</v>
      </c>
      <c r="I227" s="2">
        <v>5</v>
      </c>
      <c r="J227" s="2">
        <v>0</v>
      </c>
      <c r="K227" s="2">
        <v>0</v>
      </c>
      <c r="L227" s="2">
        <v>51.6</v>
      </c>
      <c r="M227" s="4">
        <f>(25+25+20)/3</f>
        <v>23.333333333333332</v>
      </c>
      <c r="N227" s="4">
        <f>(16+14+9)/3</f>
        <v>13</v>
      </c>
      <c r="O227" s="2">
        <v>226</v>
      </c>
    </row>
    <row r="228" spans="1:15" x14ac:dyDescent="0.3">
      <c r="A228" s="2" t="s">
        <v>12</v>
      </c>
      <c r="B228" s="2" t="s">
        <v>337</v>
      </c>
      <c r="C228" s="2" t="s">
        <v>888</v>
      </c>
      <c r="D228" s="2" t="s">
        <v>24</v>
      </c>
      <c r="E228" s="2">
        <v>27</v>
      </c>
      <c r="F228" s="2" t="s">
        <v>228</v>
      </c>
      <c r="G228" s="2" t="s">
        <v>57</v>
      </c>
      <c r="H228" s="2">
        <v>450</v>
      </c>
      <c r="I228" s="2">
        <v>5</v>
      </c>
      <c r="J228" s="2">
        <v>0</v>
      </c>
      <c r="K228" s="2">
        <v>0</v>
      </c>
      <c r="L228" s="2">
        <v>50.6</v>
      </c>
      <c r="M228" s="4">
        <f>(25+30+30)/3</f>
        <v>28.333333333333332</v>
      </c>
      <c r="N228" s="4">
        <f>(30+30)/2</f>
        <v>30</v>
      </c>
      <c r="O228" s="2">
        <v>227</v>
      </c>
    </row>
    <row r="229" spans="1:15" x14ac:dyDescent="0.3">
      <c r="A229" s="2" t="s">
        <v>12</v>
      </c>
      <c r="B229" s="2" t="s">
        <v>338</v>
      </c>
      <c r="C229" s="2" t="s">
        <v>870</v>
      </c>
      <c r="D229" s="2" t="s">
        <v>24</v>
      </c>
      <c r="E229" s="2">
        <v>34</v>
      </c>
      <c r="F229" s="2" t="s">
        <v>896</v>
      </c>
      <c r="G229" s="2" t="s">
        <v>900</v>
      </c>
      <c r="H229" s="2">
        <v>450</v>
      </c>
      <c r="I229" s="2">
        <v>5</v>
      </c>
      <c r="J229" s="2">
        <v>0</v>
      </c>
      <c r="K229" s="2">
        <v>0</v>
      </c>
      <c r="L229" s="2">
        <v>49.1</v>
      </c>
      <c r="M229" s="4">
        <f>(0.4+0.3)/2</f>
        <v>0.35</v>
      </c>
      <c r="N229" s="4">
        <f>(0.3)/1</f>
        <v>0.3</v>
      </c>
      <c r="O229" s="2">
        <v>228</v>
      </c>
    </row>
    <row r="230" spans="1:15" x14ac:dyDescent="0.3">
      <c r="A230" s="2" t="s">
        <v>12</v>
      </c>
      <c r="B230" s="2" t="s">
        <v>340</v>
      </c>
      <c r="C230" s="2" t="s">
        <v>28</v>
      </c>
      <c r="D230" s="2" t="s">
        <v>24</v>
      </c>
      <c r="E230" s="2">
        <v>27</v>
      </c>
      <c r="F230" s="2" t="s">
        <v>216</v>
      </c>
      <c r="G230" s="2" t="s">
        <v>885</v>
      </c>
      <c r="H230" s="2">
        <v>450</v>
      </c>
      <c r="I230" s="2">
        <v>5</v>
      </c>
      <c r="J230" s="2">
        <v>0</v>
      </c>
      <c r="K230" s="2">
        <v>0</v>
      </c>
      <c r="L230" s="2">
        <v>48.8</v>
      </c>
      <c r="M230" s="4">
        <f>(6.5+10+10)/3</f>
        <v>8.8333333333333339</v>
      </c>
      <c r="N230" s="4">
        <f>(10)/1</f>
        <v>10</v>
      </c>
      <c r="O230" s="2">
        <v>229</v>
      </c>
    </row>
    <row r="231" spans="1:15" x14ac:dyDescent="0.3">
      <c r="A231" s="2" t="s">
        <v>12</v>
      </c>
      <c r="B231" s="2" t="s">
        <v>341</v>
      </c>
      <c r="C231" s="2" t="s">
        <v>904</v>
      </c>
      <c r="D231" s="2" t="s">
        <v>24</v>
      </c>
      <c r="E231" s="2">
        <v>28</v>
      </c>
      <c r="F231" s="2" t="s">
        <v>50</v>
      </c>
      <c r="G231" s="2" t="s">
        <v>55</v>
      </c>
      <c r="H231" s="2">
        <v>450</v>
      </c>
      <c r="I231" s="2">
        <v>5</v>
      </c>
      <c r="J231" s="2">
        <v>0</v>
      </c>
      <c r="K231" s="2">
        <v>0</v>
      </c>
      <c r="L231" s="2">
        <v>46.5</v>
      </c>
      <c r="M231" s="4">
        <f>(11+13+16+15)/4</f>
        <v>13.75</v>
      </c>
      <c r="N231" s="4">
        <f>(17+17)/2</f>
        <v>17</v>
      </c>
      <c r="O231" s="2">
        <v>230</v>
      </c>
    </row>
    <row r="232" spans="1:15" x14ac:dyDescent="0.3">
      <c r="A232" s="2" t="s">
        <v>12</v>
      </c>
      <c r="B232" s="2" t="s">
        <v>343</v>
      </c>
      <c r="C232" s="2" t="s">
        <v>21</v>
      </c>
      <c r="D232" s="2" t="s">
        <v>14</v>
      </c>
      <c r="E232" s="2">
        <v>30</v>
      </c>
      <c r="F232" s="2" t="s">
        <v>204</v>
      </c>
      <c r="G232" s="2" t="s">
        <v>57</v>
      </c>
      <c r="H232" s="2">
        <v>450</v>
      </c>
      <c r="I232" s="2">
        <v>5</v>
      </c>
      <c r="J232" s="2">
        <v>0</v>
      </c>
      <c r="K232" s="2">
        <v>0</v>
      </c>
      <c r="L232" s="2">
        <v>30.8</v>
      </c>
      <c r="M232" s="4">
        <f>(11+14+14)/3</f>
        <v>13</v>
      </c>
      <c r="N232" s="4">
        <f>(11+8)/2</f>
        <v>9.5</v>
      </c>
      <c r="O232" s="2">
        <v>231</v>
      </c>
    </row>
    <row r="233" spans="1:15" x14ac:dyDescent="0.3">
      <c r="A233" s="2" t="s">
        <v>12</v>
      </c>
      <c r="B233" s="2" t="s">
        <v>910</v>
      </c>
      <c r="C233" s="2" t="s">
        <v>879</v>
      </c>
      <c r="D233" s="2" t="s">
        <v>14</v>
      </c>
      <c r="E233" s="2">
        <v>21</v>
      </c>
      <c r="F233" s="2" t="s">
        <v>911</v>
      </c>
      <c r="G233" s="2" t="s">
        <v>879</v>
      </c>
      <c r="H233" s="2">
        <v>450</v>
      </c>
      <c r="I233" s="2">
        <v>5</v>
      </c>
      <c r="J233" s="2">
        <v>0</v>
      </c>
      <c r="K233" s="2">
        <v>0</v>
      </c>
      <c r="L233" s="2">
        <v>29.3</v>
      </c>
      <c r="M233" s="4">
        <f>(3+5.5+8.5)/3</f>
        <v>5.666666666666667</v>
      </c>
      <c r="N233" s="4">
        <f>(9+10+10+9)/4</f>
        <v>9.5</v>
      </c>
      <c r="O233" s="2">
        <v>232</v>
      </c>
    </row>
    <row r="234" spans="1:15" x14ac:dyDescent="0.3">
      <c r="A234" s="2" t="s">
        <v>12</v>
      </c>
      <c r="B234" s="2" t="s">
        <v>347</v>
      </c>
      <c r="C234" s="2" t="s">
        <v>869</v>
      </c>
      <c r="D234" s="2" t="s">
        <v>14</v>
      </c>
      <c r="E234" s="2">
        <v>23</v>
      </c>
      <c r="F234" s="2" t="s">
        <v>121</v>
      </c>
      <c r="G234" s="2" t="s">
        <v>30</v>
      </c>
      <c r="H234" s="2">
        <v>450</v>
      </c>
      <c r="I234" s="2">
        <v>5</v>
      </c>
      <c r="J234" s="2">
        <v>0</v>
      </c>
      <c r="K234" s="2">
        <v>0</v>
      </c>
      <c r="L234" s="2">
        <v>27.5</v>
      </c>
      <c r="M234" s="4">
        <f>(60+65+65)/3</f>
        <v>63.333333333333336</v>
      </c>
      <c r="N234" s="4">
        <f>(50+50)/2</f>
        <v>50</v>
      </c>
      <c r="O234" s="2">
        <v>233</v>
      </c>
    </row>
    <row r="235" spans="1:15" x14ac:dyDescent="0.3">
      <c r="A235" s="2" t="s">
        <v>12</v>
      </c>
      <c r="B235" s="2" t="s">
        <v>912</v>
      </c>
      <c r="C235" s="2" t="s">
        <v>927</v>
      </c>
      <c r="D235" s="2" t="s">
        <v>14</v>
      </c>
      <c r="E235" s="2">
        <v>32</v>
      </c>
      <c r="F235" s="2" t="s">
        <v>253</v>
      </c>
      <c r="G235" s="2" t="s">
        <v>57</v>
      </c>
      <c r="H235" s="2">
        <v>450</v>
      </c>
      <c r="I235" s="2">
        <v>5</v>
      </c>
      <c r="J235" s="2">
        <v>0</v>
      </c>
      <c r="K235" s="2">
        <v>0</v>
      </c>
      <c r="L235" s="2">
        <v>27.2</v>
      </c>
      <c r="M235" s="4">
        <f>(12+13+11)/3</f>
        <v>12</v>
      </c>
      <c r="N235" s="4">
        <f>(8+6)/2</f>
        <v>7</v>
      </c>
      <c r="O235" s="2">
        <v>234</v>
      </c>
    </row>
    <row r="236" spans="1:15" x14ac:dyDescent="0.3">
      <c r="A236" s="2" t="s">
        <v>12</v>
      </c>
      <c r="B236" s="2" t="s">
        <v>350</v>
      </c>
      <c r="C236" s="2" t="s">
        <v>885</v>
      </c>
      <c r="D236" s="2" t="s">
        <v>14</v>
      </c>
      <c r="E236" s="2">
        <v>28</v>
      </c>
      <c r="F236" s="2" t="s">
        <v>209</v>
      </c>
      <c r="G236" s="2" t="s">
        <v>885</v>
      </c>
      <c r="H236" s="2">
        <v>450</v>
      </c>
      <c r="I236" s="2">
        <v>5</v>
      </c>
      <c r="J236" s="2">
        <v>0</v>
      </c>
      <c r="K236" s="2">
        <v>0</v>
      </c>
      <c r="L236" s="2">
        <v>25.6</v>
      </c>
      <c r="M236" s="4">
        <f>(4+5+7.5+9)/4</f>
        <v>6.375</v>
      </c>
      <c r="N236" s="4">
        <f>(9+10)/2</f>
        <v>9.5</v>
      </c>
      <c r="O236" s="2">
        <v>235</v>
      </c>
    </row>
    <row r="237" spans="1:15" x14ac:dyDescent="0.3">
      <c r="A237" s="2" t="s">
        <v>12</v>
      </c>
      <c r="B237" s="2" t="s">
        <v>352</v>
      </c>
      <c r="C237" s="2" t="s">
        <v>65</v>
      </c>
      <c r="D237" s="2" t="s">
        <v>14</v>
      </c>
      <c r="E237" s="2">
        <v>29</v>
      </c>
      <c r="F237" s="2" t="s">
        <v>201</v>
      </c>
      <c r="G237" s="2" t="s">
        <v>884</v>
      </c>
      <c r="H237" s="2">
        <v>450</v>
      </c>
      <c r="I237" s="2">
        <v>5</v>
      </c>
      <c r="J237" s="2">
        <v>0</v>
      </c>
      <c r="K237" s="2">
        <v>0</v>
      </c>
      <c r="L237" s="2">
        <v>22.7</v>
      </c>
      <c r="M237" s="4">
        <f>(0.6+1.5+1.7)/3</f>
        <v>1.2666666666666666</v>
      </c>
      <c r="N237" s="4">
        <f>(1.7+1.8)/2</f>
        <v>1.75</v>
      </c>
      <c r="O237" s="2">
        <v>236</v>
      </c>
    </row>
    <row r="238" spans="1:15" x14ac:dyDescent="0.3">
      <c r="A238" s="2" t="s">
        <v>12</v>
      </c>
      <c r="B238" s="2" t="s">
        <v>354</v>
      </c>
      <c r="C238" s="2" t="s">
        <v>57</v>
      </c>
      <c r="D238" s="2" t="s">
        <v>35</v>
      </c>
      <c r="E238" s="2">
        <v>19</v>
      </c>
      <c r="F238" s="2" t="s">
        <v>67</v>
      </c>
      <c r="G238" s="2" t="s">
        <v>57</v>
      </c>
      <c r="H238" s="2">
        <v>448</v>
      </c>
      <c r="I238" s="2">
        <v>8</v>
      </c>
      <c r="J238" s="2">
        <v>1</v>
      </c>
      <c r="K238" s="2">
        <v>1</v>
      </c>
      <c r="L238" s="2">
        <v>59</v>
      </c>
      <c r="M238" s="4">
        <f>(24+38+50+55)/4</f>
        <v>41.75</v>
      </c>
      <c r="N238" s="4">
        <f>(65+80+100)/3</f>
        <v>81.666666666666671</v>
      </c>
      <c r="O238" s="2">
        <v>237</v>
      </c>
    </row>
    <row r="239" spans="1:15" x14ac:dyDescent="0.3">
      <c r="A239" s="2" t="s">
        <v>12</v>
      </c>
      <c r="B239" s="2" t="s">
        <v>355</v>
      </c>
      <c r="C239" s="2" t="s">
        <v>900</v>
      </c>
      <c r="D239" s="2" t="s">
        <v>24</v>
      </c>
      <c r="E239" s="2">
        <v>26</v>
      </c>
      <c r="F239" s="2" t="s">
        <v>896</v>
      </c>
      <c r="G239" s="2" t="s">
        <v>900</v>
      </c>
      <c r="H239" s="2">
        <v>448</v>
      </c>
      <c r="I239" s="2">
        <v>5</v>
      </c>
      <c r="J239" s="2">
        <v>0</v>
      </c>
      <c r="K239" s="2">
        <v>0</v>
      </c>
      <c r="L239" s="2">
        <v>49.9</v>
      </c>
      <c r="M239" s="4">
        <f>(0.7+0.8+0.9)/3</f>
        <v>0.79999999999999993</v>
      </c>
      <c r="N239" s="4">
        <f>(0.7)/1</f>
        <v>0.7</v>
      </c>
      <c r="O239" s="2">
        <v>238</v>
      </c>
    </row>
    <row r="240" spans="1:15" x14ac:dyDescent="0.3">
      <c r="A240" s="2" t="s">
        <v>12</v>
      </c>
      <c r="B240" s="2" t="s">
        <v>356</v>
      </c>
      <c r="C240" s="2" t="s">
        <v>871</v>
      </c>
      <c r="D240" s="2" t="s">
        <v>35</v>
      </c>
      <c r="E240" s="2">
        <v>29</v>
      </c>
      <c r="F240" s="2" t="s">
        <v>79</v>
      </c>
      <c r="G240" s="2" t="s">
        <v>29</v>
      </c>
      <c r="H240" s="2">
        <v>446</v>
      </c>
      <c r="I240" s="2">
        <v>9</v>
      </c>
      <c r="J240" s="2">
        <v>1</v>
      </c>
      <c r="K240" s="2">
        <v>2</v>
      </c>
      <c r="L240" s="2">
        <v>53.5</v>
      </c>
      <c r="M240" s="4">
        <f>(40+38+35)/3</f>
        <v>37.666666666666664</v>
      </c>
      <c r="N240" s="4">
        <f>(32+28+20+17)/4</f>
        <v>24.25</v>
      </c>
      <c r="O240" s="2">
        <v>239</v>
      </c>
    </row>
    <row r="241" spans="1:15" x14ac:dyDescent="0.3">
      <c r="A241" s="2" t="s">
        <v>12</v>
      </c>
      <c r="B241" s="2" t="s">
        <v>357</v>
      </c>
      <c r="C241" s="2" t="s">
        <v>21</v>
      </c>
      <c r="D241" s="2" t="s">
        <v>35</v>
      </c>
      <c r="E241" s="2">
        <v>23</v>
      </c>
      <c r="F241" s="2" t="s">
        <v>332</v>
      </c>
      <c r="G241" s="2" t="s">
        <v>869</v>
      </c>
      <c r="H241" s="2">
        <v>444</v>
      </c>
      <c r="I241" s="2">
        <v>6</v>
      </c>
      <c r="J241" s="2">
        <v>0</v>
      </c>
      <c r="K241" s="2">
        <v>0</v>
      </c>
      <c r="L241" s="2">
        <v>57.3</v>
      </c>
      <c r="M241" s="4">
        <f>(18+20)/2</f>
        <v>19</v>
      </c>
      <c r="N241" s="4">
        <f>(17)/1</f>
        <v>17</v>
      </c>
      <c r="O241" s="2">
        <v>240</v>
      </c>
    </row>
    <row r="242" spans="1:15" x14ac:dyDescent="0.3">
      <c r="A242" s="2" t="s">
        <v>12</v>
      </c>
      <c r="B242" s="2" t="s">
        <v>359</v>
      </c>
      <c r="C242" s="2" t="s">
        <v>28</v>
      </c>
      <c r="D242" s="2" t="s">
        <v>24</v>
      </c>
      <c r="E242" s="2">
        <v>28</v>
      </c>
      <c r="F242" s="2" t="s">
        <v>218</v>
      </c>
      <c r="G242" s="2" t="s">
        <v>886</v>
      </c>
      <c r="H242" s="2">
        <v>444</v>
      </c>
      <c r="I242" s="2">
        <v>5</v>
      </c>
      <c r="J242" s="2">
        <v>0</v>
      </c>
      <c r="K242" s="2">
        <v>2</v>
      </c>
      <c r="L242" s="2">
        <v>50.5</v>
      </c>
      <c r="M242" s="4">
        <f>(16+16)/2</f>
        <v>16</v>
      </c>
      <c r="N242" s="4">
        <f>(16)/1</f>
        <v>16</v>
      </c>
      <c r="O242" s="2">
        <v>241</v>
      </c>
    </row>
    <row r="243" spans="1:15" x14ac:dyDescent="0.3">
      <c r="A243" s="2" t="s">
        <v>12</v>
      </c>
      <c r="B243" s="2" t="s">
        <v>360</v>
      </c>
      <c r="C243" s="2" t="s">
        <v>886</v>
      </c>
      <c r="D243" s="2" t="s">
        <v>24</v>
      </c>
      <c r="E243" s="2">
        <v>28</v>
      </c>
      <c r="F243" s="2" t="s">
        <v>218</v>
      </c>
      <c r="G243" s="2" t="s">
        <v>886</v>
      </c>
      <c r="H243" s="2">
        <v>444</v>
      </c>
      <c r="I243" s="2">
        <v>5</v>
      </c>
      <c r="J243" s="2">
        <v>0</v>
      </c>
      <c r="K243" s="2">
        <v>0</v>
      </c>
      <c r="L243" s="2">
        <v>50.8</v>
      </c>
      <c r="M243" s="4">
        <f>(2.8+3.5)/2</f>
        <v>3.15</v>
      </c>
      <c r="N243" s="4">
        <f>(4)/1</f>
        <v>4</v>
      </c>
      <c r="O243" s="2">
        <v>242</v>
      </c>
    </row>
    <row r="244" spans="1:15" x14ac:dyDescent="0.3">
      <c r="A244" s="2" t="s">
        <v>12</v>
      </c>
      <c r="B244" s="2" t="s">
        <v>361</v>
      </c>
      <c r="C244" s="2" t="s">
        <v>28</v>
      </c>
      <c r="D244" s="2" t="s">
        <v>35</v>
      </c>
      <c r="E244" s="2">
        <v>33</v>
      </c>
      <c r="F244" s="2" t="s">
        <v>911</v>
      </c>
      <c r="G244" s="2" t="s">
        <v>879</v>
      </c>
      <c r="H244" s="2">
        <v>442</v>
      </c>
      <c r="I244" s="2">
        <v>5</v>
      </c>
      <c r="J244" s="2">
        <v>0</v>
      </c>
      <c r="K244" s="2">
        <v>0</v>
      </c>
      <c r="L244" s="2">
        <v>55.5</v>
      </c>
      <c r="M244" s="4">
        <f>(6.5+7+6.5)/3</f>
        <v>6.666666666666667</v>
      </c>
      <c r="N244" s="4">
        <f>(5.5+4.5+4.2+3.5)/4</f>
        <v>4.4249999999999998</v>
      </c>
      <c r="O244" s="2">
        <v>243</v>
      </c>
    </row>
    <row r="245" spans="1:15" x14ac:dyDescent="0.3">
      <c r="A245" s="2" t="s">
        <v>12</v>
      </c>
      <c r="B245" s="2" t="s">
        <v>363</v>
      </c>
      <c r="C245" s="2" t="s">
        <v>928</v>
      </c>
      <c r="D245" s="2" t="s">
        <v>35</v>
      </c>
      <c r="E245" s="2">
        <v>32</v>
      </c>
      <c r="F245" s="2" t="s">
        <v>896</v>
      </c>
      <c r="G245" s="2" t="s">
        <v>900</v>
      </c>
      <c r="H245" s="2">
        <v>438</v>
      </c>
      <c r="I245" s="2">
        <v>5</v>
      </c>
      <c r="J245" s="2">
        <v>0</v>
      </c>
      <c r="K245" s="2">
        <v>0</v>
      </c>
      <c r="L245" s="2">
        <v>53</v>
      </c>
      <c r="M245" s="4">
        <f>(0.9+0.9)/2</f>
        <v>0.9</v>
      </c>
      <c r="N245" s="4">
        <f>(0.75)/1</f>
        <v>0.75</v>
      </c>
      <c r="O245" s="2">
        <v>244</v>
      </c>
    </row>
    <row r="246" spans="1:15" x14ac:dyDescent="0.3">
      <c r="A246" s="2" t="s">
        <v>12</v>
      </c>
      <c r="B246" s="2" t="s">
        <v>913</v>
      </c>
      <c r="C246" s="2" t="s">
        <v>878</v>
      </c>
      <c r="D246" s="2" t="s">
        <v>24</v>
      </c>
      <c r="E246" s="2">
        <v>24</v>
      </c>
      <c r="F246" s="2" t="s">
        <v>116</v>
      </c>
      <c r="G246" s="2" t="s">
        <v>45</v>
      </c>
      <c r="H246" s="2">
        <v>437</v>
      </c>
      <c r="I246" s="2">
        <v>5</v>
      </c>
      <c r="J246" s="2">
        <v>0</v>
      </c>
      <c r="K246" s="2">
        <v>0</v>
      </c>
      <c r="L246" s="2">
        <v>48.3</v>
      </c>
      <c r="M246" s="4">
        <f>(3.5+2+3.5)/3</f>
        <v>3</v>
      </c>
      <c r="N246" s="4">
        <f>(3.5+3.5)/2</f>
        <v>3.5</v>
      </c>
      <c r="O246" s="2">
        <v>245</v>
      </c>
    </row>
    <row r="247" spans="1:15" x14ac:dyDescent="0.3">
      <c r="A247" s="2" t="s">
        <v>12</v>
      </c>
      <c r="B247" s="2" t="s">
        <v>364</v>
      </c>
      <c r="C247" s="2" t="s">
        <v>885</v>
      </c>
      <c r="D247" s="2" t="s">
        <v>35</v>
      </c>
      <c r="E247" s="2">
        <v>29</v>
      </c>
      <c r="F247" s="2" t="s">
        <v>209</v>
      </c>
      <c r="G247" s="2" t="s">
        <v>885</v>
      </c>
      <c r="H247" s="2">
        <v>436</v>
      </c>
      <c r="I247" s="2">
        <v>5</v>
      </c>
      <c r="J247" s="2">
        <v>0</v>
      </c>
      <c r="K247" s="2">
        <v>0</v>
      </c>
      <c r="L247" s="2">
        <v>58.5</v>
      </c>
      <c r="M247" s="4">
        <f>(4+5+7)/3</f>
        <v>5.333333333333333</v>
      </c>
      <c r="N247" s="4">
        <f>(7)/1</f>
        <v>7</v>
      </c>
      <c r="O247" s="2">
        <v>246</v>
      </c>
    </row>
    <row r="248" spans="1:15" x14ac:dyDescent="0.3">
      <c r="A248" s="2" t="s">
        <v>12</v>
      </c>
      <c r="B248" s="2" t="s">
        <v>365</v>
      </c>
      <c r="C248" s="2" t="s">
        <v>55</v>
      </c>
      <c r="D248" s="2" t="s">
        <v>35</v>
      </c>
      <c r="E248" s="2">
        <v>28</v>
      </c>
      <c r="F248" s="2" t="s">
        <v>124</v>
      </c>
      <c r="G248" s="2" t="s">
        <v>30</v>
      </c>
      <c r="H248" s="2">
        <v>435</v>
      </c>
      <c r="I248" s="2">
        <v>7</v>
      </c>
      <c r="J248" s="2">
        <v>0</v>
      </c>
      <c r="K248" s="2">
        <v>0</v>
      </c>
      <c r="L248" s="2">
        <v>54.1</v>
      </c>
      <c r="M248" s="4">
        <f>(8+9)/2</f>
        <v>8.5</v>
      </c>
      <c r="N248" s="4">
        <f>(9+9)/2</f>
        <v>9</v>
      </c>
      <c r="O248" s="2">
        <v>247</v>
      </c>
    </row>
    <row r="249" spans="1:15" x14ac:dyDescent="0.3">
      <c r="A249" s="2" t="s">
        <v>12</v>
      </c>
      <c r="B249" s="2" t="s">
        <v>914</v>
      </c>
      <c r="C249" s="2" t="s">
        <v>870</v>
      </c>
      <c r="D249" s="2" t="s">
        <v>24</v>
      </c>
      <c r="E249" s="2">
        <v>25</v>
      </c>
      <c r="F249" s="2" t="s">
        <v>231</v>
      </c>
      <c r="G249" s="2" t="s">
        <v>869</v>
      </c>
      <c r="H249" s="2">
        <v>435</v>
      </c>
      <c r="I249" s="2">
        <v>5</v>
      </c>
      <c r="J249" s="2">
        <v>0</v>
      </c>
      <c r="K249" s="2">
        <v>1</v>
      </c>
      <c r="L249" s="2">
        <v>56.4</v>
      </c>
      <c r="M249" s="4">
        <f>(11+13+19+17)/4</f>
        <v>15</v>
      </c>
      <c r="N249" s="4">
        <f>(14)/1</f>
        <v>14</v>
      </c>
      <c r="O249" s="2">
        <v>248</v>
      </c>
    </row>
    <row r="250" spans="1:15" x14ac:dyDescent="0.3">
      <c r="A250" s="2" t="s">
        <v>12</v>
      </c>
      <c r="B250" s="2" t="s">
        <v>366</v>
      </c>
      <c r="C250" s="2" t="s">
        <v>888</v>
      </c>
      <c r="D250" s="2" t="s">
        <v>24</v>
      </c>
      <c r="E250" s="2">
        <v>26</v>
      </c>
      <c r="F250" s="2" t="s">
        <v>250</v>
      </c>
      <c r="G250" s="2" t="s">
        <v>888</v>
      </c>
      <c r="H250" s="2">
        <v>435</v>
      </c>
      <c r="I250" s="2">
        <v>5</v>
      </c>
      <c r="J250" s="2">
        <v>0</v>
      </c>
      <c r="K250" s="2">
        <v>0</v>
      </c>
      <c r="L250" s="2">
        <v>40.200000000000003</v>
      </c>
      <c r="M250" s="4">
        <f>(1.7+2)/2</f>
        <v>1.85</v>
      </c>
      <c r="N250" s="4">
        <f>(3+2)/2</f>
        <v>2.5</v>
      </c>
      <c r="O250" s="2">
        <v>249</v>
      </c>
    </row>
    <row r="251" spans="1:15" x14ac:dyDescent="0.3">
      <c r="A251" s="2" t="s">
        <v>12</v>
      </c>
      <c r="B251" s="2" t="s">
        <v>368</v>
      </c>
      <c r="C251" s="2" t="s">
        <v>28</v>
      </c>
      <c r="D251" s="2" t="s">
        <v>23</v>
      </c>
      <c r="E251" s="2">
        <v>25</v>
      </c>
      <c r="F251" s="2" t="s">
        <v>218</v>
      </c>
      <c r="G251" s="2" t="s">
        <v>886</v>
      </c>
      <c r="H251" s="2">
        <v>434</v>
      </c>
      <c r="I251" s="2">
        <v>6</v>
      </c>
      <c r="J251" s="2">
        <v>0</v>
      </c>
      <c r="K251" s="2">
        <v>1</v>
      </c>
      <c r="L251" s="2">
        <v>48.6</v>
      </c>
      <c r="M251" s="4">
        <f>(22+22)/2</f>
        <v>22</v>
      </c>
      <c r="N251" s="4">
        <f>(22)/1</f>
        <v>22</v>
      </c>
      <c r="O251" s="2">
        <v>250</v>
      </c>
    </row>
    <row r="252" spans="1:15" x14ac:dyDescent="0.3">
      <c r="A252" s="2" t="s">
        <v>12</v>
      </c>
      <c r="B252" s="2" t="s">
        <v>370</v>
      </c>
      <c r="C252" s="2" t="s">
        <v>929</v>
      </c>
      <c r="D252" s="2" t="s">
        <v>35</v>
      </c>
      <c r="E252" s="2">
        <v>29</v>
      </c>
      <c r="F252" s="2" t="s">
        <v>847</v>
      </c>
      <c r="G252" s="2" t="s">
        <v>29</v>
      </c>
      <c r="H252" s="2">
        <v>433</v>
      </c>
      <c r="I252" s="2">
        <v>6</v>
      </c>
      <c r="J252" s="2">
        <v>0</v>
      </c>
      <c r="K252" s="2">
        <v>0</v>
      </c>
      <c r="L252" s="2">
        <v>43.4</v>
      </c>
      <c r="M252" s="4">
        <f>(22+22+22)/3</f>
        <v>22</v>
      </c>
      <c r="N252" s="4">
        <f>(20+20)/2</f>
        <v>20</v>
      </c>
      <c r="O252" s="2">
        <v>251</v>
      </c>
    </row>
    <row r="253" spans="1:15" x14ac:dyDescent="0.3">
      <c r="A253" s="2" t="s">
        <v>12</v>
      </c>
      <c r="B253" s="2" t="s">
        <v>915</v>
      </c>
      <c r="C253" s="2" t="s">
        <v>25</v>
      </c>
      <c r="D253" s="2" t="s">
        <v>24</v>
      </c>
      <c r="E253" s="2">
        <v>25</v>
      </c>
      <c r="F253" s="2" t="s">
        <v>253</v>
      </c>
      <c r="G253" s="2" t="s">
        <v>57</v>
      </c>
      <c r="H253" s="2">
        <v>432</v>
      </c>
      <c r="I253" s="2">
        <v>5</v>
      </c>
      <c r="J253" s="2">
        <v>0</v>
      </c>
      <c r="K253" s="2">
        <v>3</v>
      </c>
      <c r="L253" s="2">
        <v>50.7</v>
      </c>
      <c r="M253" s="4">
        <f>(35+35+30)/3</f>
        <v>33.333333333333336</v>
      </c>
      <c r="N253" s="4">
        <f>(30+20)/2</f>
        <v>25</v>
      </c>
      <c r="O253" s="2">
        <v>252</v>
      </c>
    </row>
    <row r="254" spans="1:15" x14ac:dyDescent="0.3">
      <c r="A254" s="2" t="s">
        <v>12</v>
      </c>
      <c r="B254" s="2" t="s">
        <v>371</v>
      </c>
      <c r="C254" s="2" t="s">
        <v>25</v>
      </c>
      <c r="D254" s="2" t="s">
        <v>35</v>
      </c>
      <c r="E254" s="2">
        <v>26</v>
      </c>
      <c r="F254" s="2" t="s">
        <v>19</v>
      </c>
      <c r="G254" s="2" t="s">
        <v>25</v>
      </c>
      <c r="H254" s="2">
        <v>431</v>
      </c>
      <c r="I254" s="2">
        <v>10</v>
      </c>
      <c r="J254" s="2">
        <v>0</v>
      </c>
      <c r="K254" s="2">
        <v>1</v>
      </c>
      <c r="L254" s="2">
        <v>55.3</v>
      </c>
      <c r="M254" s="4">
        <f>(10+12+20+17)/4</f>
        <v>14.75</v>
      </c>
      <c r="N254" s="4">
        <f>(18+18)/2</f>
        <v>18</v>
      </c>
      <c r="O254" s="2">
        <v>253</v>
      </c>
    </row>
    <row r="255" spans="1:15" x14ac:dyDescent="0.3">
      <c r="A255" s="2" t="s">
        <v>12</v>
      </c>
      <c r="B255" s="2" t="s">
        <v>372</v>
      </c>
      <c r="C255" s="2" t="s">
        <v>25</v>
      </c>
      <c r="D255" s="2" t="s">
        <v>23</v>
      </c>
      <c r="E255" s="2">
        <v>20</v>
      </c>
      <c r="F255" s="2" t="s">
        <v>19</v>
      </c>
      <c r="G255" s="2" t="s">
        <v>25</v>
      </c>
      <c r="H255" s="2">
        <v>431</v>
      </c>
      <c r="I255" s="2">
        <v>7</v>
      </c>
      <c r="J255" s="2">
        <v>1</v>
      </c>
      <c r="K255" s="2">
        <v>0</v>
      </c>
      <c r="L255" s="2">
        <v>54.7</v>
      </c>
      <c r="M255" s="4">
        <f>(5+15+30+30)/4</f>
        <v>20</v>
      </c>
      <c r="N255" s="4">
        <f>(40+40+38)/3</f>
        <v>39.333333333333336</v>
      </c>
      <c r="O255" s="2">
        <v>254</v>
      </c>
    </row>
    <row r="256" spans="1:15" x14ac:dyDescent="0.3">
      <c r="A256" s="2" t="s">
        <v>12</v>
      </c>
      <c r="B256" s="2" t="s">
        <v>373</v>
      </c>
      <c r="C256" s="2" t="s">
        <v>869</v>
      </c>
      <c r="D256" s="2" t="s">
        <v>35</v>
      </c>
      <c r="E256" s="2">
        <v>30</v>
      </c>
      <c r="F256" s="2" t="s">
        <v>121</v>
      </c>
      <c r="G256" s="2" t="s">
        <v>30</v>
      </c>
      <c r="H256" s="2">
        <v>431</v>
      </c>
      <c r="I256" s="2">
        <v>5</v>
      </c>
      <c r="J256" s="2">
        <v>0</v>
      </c>
      <c r="K256" s="2">
        <v>0</v>
      </c>
      <c r="L256" s="2">
        <v>55.7</v>
      </c>
      <c r="M256" s="4">
        <f>(55+55)/2</f>
        <v>55</v>
      </c>
      <c r="N256" s="4">
        <f>(50+50)/2</f>
        <v>50</v>
      </c>
      <c r="O256" s="2">
        <v>255</v>
      </c>
    </row>
    <row r="257" spans="1:15" x14ac:dyDescent="0.3">
      <c r="A257" s="2" t="s">
        <v>12</v>
      </c>
      <c r="B257" s="2" t="s">
        <v>375</v>
      </c>
      <c r="C257" s="2" t="s">
        <v>30</v>
      </c>
      <c r="D257" s="2" t="s">
        <v>35</v>
      </c>
      <c r="E257" s="2">
        <v>32</v>
      </c>
      <c r="F257" s="2" t="s">
        <v>204</v>
      </c>
      <c r="G257" s="2" t="s">
        <v>57</v>
      </c>
      <c r="H257" s="2">
        <v>429</v>
      </c>
      <c r="I257" s="2">
        <v>5</v>
      </c>
      <c r="J257" s="2">
        <v>0</v>
      </c>
      <c r="K257" s="2">
        <v>0</v>
      </c>
      <c r="L257" s="2">
        <v>50.5</v>
      </c>
      <c r="M257" s="4">
        <f>(7+5+4)/3</f>
        <v>5.333333333333333</v>
      </c>
      <c r="N257" s="4">
        <f>(3.5+3)/2</f>
        <v>3.25</v>
      </c>
      <c r="O257" s="2">
        <v>256</v>
      </c>
    </row>
    <row r="258" spans="1:15" x14ac:dyDescent="0.3">
      <c r="A258" s="2" t="s">
        <v>12</v>
      </c>
      <c r="B258" s="2" t="s">
        <v>916</v>
      </c>
      <c r="C258" s="2" t="s">
        <v>30</v>
      </c>
      <c r="D258" s="2" t="s">
        <v>35</v>
      </c>
      <c r="E258" s="2">
        <v>31</v>
      </c>
      <c r="F258" s="2" t="s">
        <v>79</v>
      </c>
      <c r="G258" s="2" t="s">
        <v>29</v>
      </c>
      <c r="H258" s="2">
        <v>427</v>
      </c>
      <c r="I258" s="2">
        <v>6</v>
      </c>
      <c r="J258" s="2">
        <v>0</v>
      </c>
      <c r="K258" s="2">
        <v>1</v>
      </c>
      <c r="L258" s="2">
        <v>52.2</v>
      </c>
      <c r="M258" s="4">
        <f>(55+55+50)/3</f>
        <v>53.333333333333336</v>
      </c>
      <c r="N258" s="4">
        <f>(40+30)/2</f>
        <v>35</v>
      </c>
      <c r="O258" s="2">
        <v>257</v>
      </c>
    </row>
    <row r="259" spans="1:15" x14ac:dyDescent="0.3">
      <c r="A259" s="2" t="s">
        <v>12</v>
      </c>
      <c r="B259" s="2" t="s">
        <v>917</v>
      </c>
      <c r="C259" s="2" t="s">
        <v>38</v>
      </c>
      <c r="D259" s="2" t="s">
        <v>35</v>
      </c>
      <c r="E259" s="2">
        <v>28</v>
      </c>
      <c r="F259" s="2" t="s">
        <v>79</v>
      </c>
      <c r="G259" s="2" t="s">
        <v>29</v>
      </c>
      <c r="H259" s="2">
        <v>426</v>
      </c>
      <c r="I259" s="2">
        <v>6</v>
      </c>
      <c r="J259" s="2">
        <v>0</v>
      </c>
      <c r="K259" s="2">
        <v>0</v>
      </c>
      <c r="L259" s="2">
        <v>50.3</v>
      </c>
      <c r="M259" s="4">
        <f>(45+45+45)/3</f>
        <v>45</v>
      </c>
      <c r="N259" s="4">
        <f>(42+40)/2</f>
        <v>41</v>
      </c>
      <c r="O259" s="2">
        <v>258</v>
      </c>
    </row>
    <row r="260" spans="1:15" x14ac:dyDescent="0.3">
      <c r="A260" s="2" t="s">
        <v>12</v>
      </c>
      <c r="B260" s="2" t="s">
        <v>918</v>
      </c>
      <c r="C260" s="2" t="s">
        <v>900</v>
      </c>
      <c r="D260" s="2" t="s">
        <v>24</v>
      </c>
      <c r="E260" s="2">
        <v>28</v>
      </c>
      <c r="F260" s="2" t="s">
        <v>847</v>
      </c>
      <c r="G260" s="2" t="s">
        <v>29</v>
      </c>
      <c r="H260" s="2">
        <v>426</v>
      </c>
      <c r="I260" s="2">
        <v>5</v>
      </c>
      <c r="J260" s="2">
        <v>0</v>
      </c>
      <c r="K260" s="2">
        <v>0</v>
      </c>
      <c r="L260" s="2">
        <v>37.799999999999997</v>
      </c>
      <c r="M260" s="4">
        <f>(24+24+24)/3</f>
        <v>24</v>
      </c>
      <c r="N260" s="4">
        <f>(22+18+15)/3</f>
        <v>18.333333333333332</v>
      </c>
      <c r="O260" s="2">
        <v>259</v>
      </c>
    </row>
    <row r="261" spans="1:15" x14ac:dyDescent="0.3">
      <c r="A261" s="2" t="s">
        <v>12</v>
      </c>
      <c r="B261" s="2" t="s">
        <v>376</v>
      </c>
      <c r="C261" s="2" t="s">
        <v>25</v>
      </c>
      <c r="D261" s="2" t="s">
        <v>24</v>
      </c>
      <c r="E261" s="2">
        <v>27</v>
      </c>
      <c r="F261" s="2" t="s">
        <v>64</v>
      </c>
      <c r="G261" s="2" t="s">
        <v>25</v>
      </c>
      <c r="H261" s="2">
        <v>425</v>
      </c>
      <c r="I261" s="2">
        <v>6</v>
      </c>
      <c r="J261" s="2">
        <v>0</v>
      </c>
      <c r="K261" s="2">
        <v>0</v>
      </c>
      <c r="L261" s="2">
        <v>47.7</v>
      </c>
      <c r="M261" s="4">
        <f>(30+35+35+30)/4</f>
        <v>32.5</v>
      </c>
      <c r="N261" s="4">
        <f>(25+20+18+14)/4</f>
        <v>19.25</v>
      </c>
      <c r="O261" s="2">
        <v>260</v>
      </c>
    </row>
    <row r="262" spans="1:15" x14ac:dyDescent="0.3">
      <c r="A262" s="2" t="s">
        <v>12</v>
      </c>
      <c r="B262" s="2" t="s">
        <v>377</v>
      </c>
      <c r="C262" s="2" t="s">
        <v>883</v>
      </c>
      <c r="D262" s="2" t="s">
        <v>35</v>
      </c>
      <c r="E262" s="2">
        <v>25</v>
      </c>
      <c r="F262" s="2" t="s">
        <v>250</v>
      </c>
      <c r="G262" s="2" t="s">
        <v>888</v>
      </c>
      <c r="H262" s="2">
        <v>420</v>
      </c>
      <c r="I262" s="2">
        <v>5</v>
      </c>
      <c r="J262" s="2">
        <v>0</v>
      </c>
      <c r="K262" s="2">
        <v>0</v>
      </c>
      <c r="L262" s="2">
        <v>44.5</v>
      </c>
      <c r="M262" s="4">
        <f>(2+3.5)/2</f>
        <v>2.75</v>
      </c>
      <c r="N262" s="4">
        <f>(3.5+5)/2</f>
        <v>4.25</v>
      </c>
      <c r="O262" s="2">
        <v>261</v>
      </c>
    </row>
    <row r="263" spans="1:15" x14ac:dyDescent="0.3">
      <c r="A263" s="2" t="s">
        <v>12</v>
      </c>
      <c r="B263" s="2" t="s">
        <v>919</v>
      </c>
      <c r="C263" s="2" t="s">
        <v>879</v>
      </c>
      <c r="D263" s="2" t="s">
        <v>35</v>
      </c>
      <c r="E263" s="2">
        <v>28</v>
      </c>
      <c r="F263" s="2" t="s">
        <v>107</v>
      </c>
      <c r="G263" s="2" t="s">
        <v>869</v>
      </c>
      <c r="H263" s="2">
        <v>419</v>
      </c>
      <c r="I263" s="2">
        <v>6</v>
      </c>
      <c r="J263" s="2">
        <v>0</v>
      </c>
      <c r="K263" s="2">
        <v>0</v>
      </c>
      <c r="L263" s="2">
        <v>55.2</v>
      </c>
      <c r="M263" s="4">
        <f>(35+30+35)/3</f>
        <v>33.333333333333336</v>
      </c>
      <c r="N263" s="4">
        <f>(35)/1</f>
        <v>35</v>
      </c>
      <c r="O263" s="2">
        <v>262</v>
      </c>
    </row>
    <row r="264" spans="1:15" x14ac:dyDescent="0.3">
      <c r="A264" s="2" t="s">
        <v>12</v>
      </c>
      <c r="B264" s="2" t="s">
        <v>378</v>
      </c>
      <c r="C264" s="2" t="s">
        <v>29</v>
      </c>
      <c r="D264" s="2" t="s">
        <v>24</v>
      </c>
      <c r="E264" s="2">
        <v>24</v>
      </c>
      <c r="F264" s="2" t="s">
        <v>847</v>
      </c>
      <c r="G264" s="2" t="s">
        <v>29</v>
      </c>
      <c r="H264" s="2">
        <v>419</v>
      </c>
      <c r="I264" s="2">
        <v>6</v>
      </c>
      <c r="J264" s="2">
        <v>0</v>
      </c>
      <c r="K264" s="2">
        <v>0</v>
      </c>
      <c r="L264" s="2">
        <v>45.9</v>
      </c>
      <c r="M264" s="4">
        <f>(40+40+38)/3</f>
        <v>39.333333333333336</v>
      </c>
      <c r="N264" s="4">
        <f>(30+25+18+18)/4</f>
        <v>22.75</v>
      </c>
      <c r="O264" s="2">
        <v>263</v>
      </c>
    </row>
    <row r="265" spans="1:15" x14ac:dyDescent="0.3">
      <c r="A265" s="2" t="s">
        <v>12</v>
      </c>
      <c r="B265" s="2" t="s">
        <v>379</v>
      </c>
      <c r="C265" s="2" t="s">
        <v>29</v>
      </c>
      <c r="D265" s="2" t="s">
        <v>24</v>
      </c>
      <c r="E265" s="2">
        <v>24</v>
      </c>
      <c r="F265" s="2" t="s">
        <v>332</v>
      </c>
      <c r="G265" s="2" t="s">
        <v>869</v>
      </c>
      <c r="H265" s="2">
        <v>418</v>
      </c>
      <c r="I265" s="2">
        <v>5</v>
      </c>
      <c r="J265" s="2">
        <v>1</v>
      </c>
      <c r="K265" s="2">
        <v>0</v>
      </c>
      <c r="L265" s="2">
        <v>45.4</v>
      </c>
      <c r="M265" s="4">
        <f>(20+28+40+45)/4</f>
        <v>33.25</v>
      </c>
      <c r="N265" s="4">
        <f>(50)/1</f>
        <v>50</v>
      </c>
      <c r="O265" s="2">
        <v>264</v>
      </c>
    </row>
    <row r="266" spans="1:15" x14ac:dyDescent="0.3">
      <c r="A266" s="2" t="s">
        <v>12</v>
      </c>
      <c r="B266" s="2" t="s">
        <v>380</v>
      </c>
      <c r="C266" s="2" t="s">
        <v>56</v>
      </c>
      <c r="D266" s="2" t="s">
        <v>24</v>
      </c>
      <c r="E266" s="2">
        <v>22</v>
      </c>
      <c r="F266" s="2" t="s">
        <v>124</v>
      </c>
      <c r="G266" s="2" t="s">
        <v>30</v>
      </c>
      <c r="H266" s="2">
        <v>418</v>
      </c>
      <c r="I266" s="2">
        <v>5</v>
      </c>
      <c r="J266" s="2">
        <v>0</v>
      </c>
      <c r="K266" s="2">
        <v>0</v>
      </c>
      <c r="L266" s="2">
        <v>47.4</v>
      </c>
      <c r="M266" s="4">
        <f>(25+28+28+30)/4</f>
        <v>27.75</v>
      </c>
      <c r="N266" s="4">
        <f>(30+35+38)/3</f>
        <v>34.333333333333336</v>
      </c>
      <c r="O266" s="2">
        <v>265</v>
      </c>
    </row>
    <row r="267" spans="1:15" x14ac:dyDescent="0.3">
      <c r="A267" s="2" t="s">
        <v>12</v>
      </c>
      <c r="B267" s="2" t="s">
        <v>381</v>
      </c>
      <c r="C267" s="2" t="s">
        <v>21</v>
      </c>
      <c r="D267" s="2" t="s">
        <v>35</v>
      </c>
      <c r="E267" s="2">
        <v>29</v>
      </c>
      <c r="F267" s="2" t="s">
        <v>198</v>
      </c>
      <c r="G267" s="2" t="s">
        <v>21</v>
      </c>
      <c r="H267" s="2">
        <v>417</v>
      </c>
      <c r="I267" s="2">
        <v>6</v>
      </c>
      <c r="J267" s="2">
        <v>2</v>
      </c>
      <c r="K267" s="2">
        <v>0</v>
      </c>
      <c r="L267" s="2">
        <v>53.9</v>
      </c>
      <c r="M267" s="4">
        <f>(5.5+5.5)/2</f>
        <v>5.5</v>
      </c>
      <c r="N267" s="4">
        <f>(5.5+6+5)/3</f>
        <v>5.5</v>
      </c>
      <c r="O267" s="2">
        <v>266</v>
      </c>
    </row>
    <row r="268" spans="1:15" x14ac:dyDescent="0.3">
      <c r="A268" s="2" t="s">
        <v>12</v>
      </c>
      <c r="B268" s="2" t="s">
        <v>382</v>
      </c>
      <c r="C268" s="2" t="s">
        <v>57</v>
      </c>
      <c r="D268" s="2" t="s">
        <v>35</v>
      </c>
      <c r="E268" s="2">
        <v>24</v>
      </c>
      <c r="F268" s="2" t="s">
        <v>204</v>
      </c>
      <c r="G268" s="2" t="s">
        <v>57</v>
      </c>
      <c r="H268" s="2">
        <v>413</v>
      </c>
      <c r="I268" s="2">
        <v>6</v>
      </c>
      <c r="J268" s="2">
        <v>1</v>
      </c>
      <c r="K268" s="2">
        <v>0</v>
      </c>
      <c r="L268" s="2">
        <v>48.6</v>
      </c>
      <c r="M268" s="4">
        <f>(17+22+25+25)/4</f>
        <v>22.25</v>
      </c>
      <c r="N268" s="4">
        <f>(20+20+16+14)/4</f>
        <v>17.5</v>
      </c>
      <c r="O268" s="2">
        <v>267</v>
      </c>
    </row>
    <row r="269" spans="1:15" x14ac:dyDescent="0.3">
      <c r="A269" s="2" t="s">
        <v>12</v>
      </c>
      <c r="B269" s="2" t="s">
        <v>920</v>
      </c>
      <c r="C269" s="2" t="s">
        <v>882</v>
      </c>
      <c r="D269" s="2" t="s">
        <v>24</v>
      </c>
      <c r="E269" s="2">
        <v>23</v>
      </c>
      <c r="F269" s="2" t="s">
        <v>896</v>
      </c>
      <c r="G269" s="2" t="s">
        <v>900</v>
      </c>
      <c r="H269" s="2">
        <v>413</v>
      </c>
      <c r="I269" s="2">
        <v>5</v>
      </c>
      <c r="J269" s="2">
        <v>0</v>
      </c>
      <c r="K269" s="2">
        <v>0</v>
      </c>
      <c r="L269" s="2">
        <v>46.3</v>
      </c>
      <c r="M269" s="4">
        <f>(4+6+7)/3</f>
        <v>5.666666666666667</v>
      </c>
      <c r="N269" s="4">
        <f>(6+10)/2</f>
        <v>8</v>
      </c>
      <c r="O269" s="2">
        <v>268</v>
      </c>
    </row>
    <row r="270" spans="1:15" x14ac:dyDescent="0.3">
      <c r="A270" s="2" t="s">
        <v>12</v>
      </c>
      <c r="B270" s="2" t="s">
        <v>921</v>
      </c>
      <c r="C270" s="2" t="s">
        <v>55</v>
      </c>
      <c r="D270" s="2" t="s">
        <v>23</v>
      </c>
      <c r="E270" s="2">
        <v>27</v>
      </c>
      <c r="F270" s="2" t="s">
        <v>253</v>
      </c>
      <c r="G270" s="2" t="s">
        <v>57</v>
      </c>
      <c r="H270" s="2">
        <v>410</v>
      </c>
      <c r="I270" s="2">
        <v>6</v>
      </c>
      <c r="J270" s="2">
        <v>3</v>
      </c>
      <c r="K270" s="2">
        <v>2</v>
      </c>
      <c r="L270" s="2">
        <v>47.2</v>
      </c>
      <c r="M270" s="4">
        <f>(37+42+45+40+38)/5</f>
        <v>40.4</v>
      </c>
      <c r="N270" s="4">
        <f>(32+27+24)/3</f>
        <v>27.666666666666668</v>
      </c>
      <c r="O270" s="2">
        <v>269</v>
      </c>
    </row>
    <row r="271" spans="1:15" x14ac:dyDescent="0.3">
      <c r="A271" s="2" t="s">
        <v>12</v>
      </c>
      <c r="B271" s="2" t="s">
        <v>384</v>
      </c>
      <c r="C271" s="2" t="s">
        <v>930</v>
      </c>
      <c r="D271" s="2" t="s">
        <v>35</v>
      </c>
      <c r="E271" s="2">
        <v>35</v>
      </c>
      <c r="F271" s="2" t="s">
        <v>107</v>
      </c>
      <c r="G271" s="2" t="s">
        <v>28</v>
      </c>
      <c r="H271" s="2">
        <v>409</v>
      </c>
      <c r="I271" s="2">
        <v>7</v>
      </c>
      <c r="J271" s="2">
        <v>1</v>
      </c>
      <c r="K271" s="2">
        <v>2</v>
      </c>
      <c r="L271" s="2">
        <v>53.2</v>
      </c>
      <c r="M271" s="4">
        <f>(6+3.5+2.5)/3</f>
        <v>4</v>
      </c>
      <c r="N271" s="4">
        <f>(2+2)/2</f>
        <v>2</v>
      </c>
      <c r="O271" s="2">
        <v>270</v>
      </c>
    </row>
    <row r="272" spans="1:15" x14ac:dyDescent="0.3">
      <c r="A272" s="2" t="s">
        <v>12</v>
      </c>
      <c r="B272" s="2" t="s">
        <v>385</v>
      </c>
      <c r="C272" s="2" t="s">
        <v>54</v>
      </c>
      <c r="D272" s="2" t="s">
        <v>35</v>
      </c>
      <c r="E272" s="2">
        <v>29</v>
      </c>
      <c r="F272" s="2" t="s">
        <v>198</v>
      </c>
      <c r="G272" s="2" t="s">
        <v>21</v>
      </c>
      <c r="H272" s="2">
        <v>407</v>
      </c>
      <c r="I272" s="2">
        <v>5</v>
      </c>
      <c r="J272" s="2">
        <v>0</v>
      </c>
      <c r="K272" s="2">
        <v>0</v>
      </c>
      <c r="L272" s="2">
        <v>50.7</v>
      </c>
      <c r="M272" s="4">
        <f>(4.5+6)/2</f>
        <v>5.25</v>
      </c>
      <c r="N272" s="4">
        <f>(6.5+5+3.7+3)/4</f>
        <v>4.55</v>
      </c>
      <c r="O272" s="2">
        <v>271</v>
      </c>
    </row>
    <row r="273" spans="1:15" x14ac:dyDescent="0.3">
      <c r="A273" s="2" t="s">
        <v>12</v>
      </c>
      <c r="B273" s="2" t="s">
        <v>386</v>
      </c>
      <c r="C273" s="2" t="s">
        <v>55</v>
      </c>
      <c r="D273" s="2" t="s">
        <v>35</v>
      </c>
      <c r="E273" s="2">
        <v>25</v>
      </c>
      <c r="F273" s="2" t="s">
        <v>124</v>
      </c>
      <c r="G273" s="2" t="s">
        <v>30</v>
      </c>
      <c r="H273" s="2">
        <v>407</v>
      </c>
      <c r="I273" s="2">
        <v>5</v>
      </c>
      <c r="J273" s="2">
        <v>0</v>
      </c>
      <c r="K273" s="2">
        <v>0</v>
      </c>
      <c r="L273" s="2">
        <v>49.2</v>
      </c>
      <c r="M273" s="4">
        <f>(28+30+30)/3</f>
        <v>29.333333333333332</v>
      </c>
      <c r="N273" s="4">
        <f>(28+25)/2</f>
        <v>26.5</v>
      </c>
      <c r="O273" s="2">
        <v>272</v>
      </c>
    </row>
    <row r="274" spans="1:15" x14ac:dyDescent="0.3">
      <c r="A274" s="2" t="s">
        <v>12</v>
      </c>
      <c r="B274" s="2" t="s">
        <v>387</v>
      </c>
      <c r="C274" s="2" t="s">
        <v>869</v>
      </c>
      <c r="D274" s="2" t="s">
        <v>24</v>
      </c>
      <c r="E274" s="2">
        <v>30</v>
      </c>
      <c r="F274" s="2" t="s">
        <v>231</v>
      </c>
      <c r="G274" s="2" t="s">
        <v>869</v>
      </c>
      <c r="H274" s="2">
        <v>405</v>
      </c>
      <c r="I274" s="2">
        <v>6</v>
      </c>
      <c r="J274" s="2">
        <v>0</v>
      </c>
      <c r="K274" s="2">
        <v>1</v>
      </c>
      <c r="L274" s="2">
        <v>51</v>
      </c>
      <c r="M274" s="4">
        <f>(8+8+10+10)/4</f>
        <v>9</v>
      </c>
      <c r="N274" s="4">
        <f>(9)/1</f>
        <v>9</v>
      </c>
      <c r="O274" s="2">
        <v>273</v>
      </c>
    </row>
    <row r="275" spans="1:15" x14ac:dyDescent="0.3">
      <c r="A275" s="2" t="s">
        <v>12</v>
      </c>
      <c r="B275" s="2" t="s">
        <v>388</v>
      </c>
      <c r="C275" s="2" t="s">
        <v>45</v>
      </c>
      <c r="D275" s="2" t="s">
        <v>35</v>
      </c>
      <c r="E275" s="2">
        <v>25</v>
      </c>
      <c r="F275" s="2" t="s">
        <v>253</v>
      </c>
      <c r="G275" s="2" t="s">
        <v>57</v>
      </c>
      <c r="H275" s="2">
        <v>405</v>
      </c>
      <c r="I275" s="2">
        <v>6</v>
      </c>
      <c r="J275" s="2">
        <v>0</v>
      </c>
      <c r="K275" s="2">
        <v>1</v>
      </c>
      <c r="L275" s="2">
        <v>49.1</v>
      </c>
      <c r="M275" s="4">
        <f>(26+26+26)/3</f>
        <v>26</v>
      </c>
      <c r="N275" s="4">
        <f>(28+28)/2</f>
        <v>28</v>
      </c>
      <c r="O275" s="2">
        <v>274</v>
      </c>
    </row>
    <row r="276" spans="1:15" x14ac:dyDescent="0.3">
      <c r="A276" s="2" t="s">
        <v>12</v>
      </c>
      <c r="B276" s="2" t="s">
        <v>389</v>
      </c>
      <c r="C276" s="2" t="s">
        <v>65</v>
      </c>
      <c r="D276" s="2" t="s">
        <v>35</v>
      </c>
      <c r="E276" s="2">
        <v>29</v>
      </c>
      <c r="F276" s="2" t="s">
        <v>201</v>
      </c>
      <c r="G276" s="2" t="s">
        <v>884</v>
      </c>
      <c r="H276" s="2">
        <v>405</v>
      </c>
      <c r="I276" s="2">
        <v>6</v>
      </c>
      <c r="J276" s="2">
        <v>0</v>
      </c>
      <c r="K276" s="2">
        <v>0</v>
      </c>
      <c r="L276" s="2">
        <v>49.3</v>
      </c>
      <c r="M276" s="4">
        <f>(0.6+1+1)/3</f>
        <v>0.8666666666666667</v>
      </c>
      <c r="N276" s="4">
        <f>(0.9+0.8+0.7)/3</f>
        <v>0.80000000000000016</v>
      </c>
      <c r="O276" s="2">
        <v>275</v>
      </c>
    </row>
    <row r="277" spans="1:15" x14ac:dyDescent="0.3">
      <c r="A277" s="2" t="s">
        <v>12</v>
      </c>
      <c r="B277" s="2" t="s">
        <v>390</v>
      </c>
      <c r="C277" s="2" t="s">
        <v>30</v>
      </c>
      <c r="D277" s="2" t="s">
        <v>24</v>
      </c>
      <c r="E277" s="2">
        <v>26</v>
      </c>
      <c r="F277" s="2" t="s">
        <v>911</v>
      </c>
      <c r="G277" s="2" t="s">
        <v>879</v>
      </c>
      <c r="H277" s="2">
        <v>405</v>
      </c>
      <c r="I277" s="2">
        <v>5</v>
      </c>
      <c r="J277" s="2">
        <v>0</v>
      </c>
      <c r="K277" s="2">
        <v>0</v>
      </c>
      <c r="L277" s="2">
        <v>46.8</v>
      </c>
      <c r="M277" s="4">
        <f>(6+7.5+7.5)/3</f>
        <v>7</v>
      </c>
      <c r="N277" s="4">
        <f>(7+6.5+6+6.5+7)/5</f>
        <v>6.6</v>
      </c>
      <c r="O277" s="2">
        <v>276</v>
      </c>
    </row>
    <row r="278" spans="1:15" x14ac:dyDescent="0.3">
      <c r="A278" s="2" t="s">
        <v>12</v>
      </c>
      <c r="B278" s="2" t="s">
        <v>392</v>
      </c>
      <c r="C278" s="2" t="s">
        <v>37</v>
      </c>
      <c r="D278" s="2" t="s">
        <v>23</v>
      </c>
      <c r="E278" s="2">
        <v>27</v>
      </c>
      <c r="F278" s="2" t="s">
        <v>64</v>
      </c>
      <c r="G278" s="2" t="s">
        <v>25</v>
      </c>
      <c r="H278" s="2">
        <v>401</v>
      </c>
      <c r="I278" s="2">
        <v>10</v>
      </c>
      <c r="J278" s="2">
        <v>1</v>
      </c>
      <c r="K278" s="2">
        <v>0</v>
      </c>
      <c r="L278" s="2">
        <v>49.6</v>
      </c>
      <c r="M278" s="4">
        <f>(40+40+40)/3</f>
        <v>40</v>
      </c>
      <c r="N278" s="4">
        <f>(45+45+40+40)/4</f>
        <v>42.5</v>
      </c>
      <c r="O278" s="2">
        <v>277</v>
      </c>
    </row>
    <row r="279" spans="1:15" x14ac:dyDescent="0.3">
      <c r="A279" s="2" t="s">
        <v>12</v>
      </c>
      <c r="B279" s="2" t="s">
        <v>393</v>
      </c>
      <c r="C279" s="2" t="s">
        <v>864</v>
      </c>
      <c r="D279" s="2" t="s">
        <v>35</v>
      </c>
      <c r="E279" s="2">
        <v>33</v>
      </c>
      <c r="F279" s="2" t="s">
        <v>121</v>
      </c>
      <c r="G279" s="2" t="s">
        <v>30</v>
      </c>
      <c r="H279" s="2">
        <v>400</v>
      </c>
      <c r="I279" s="2">
        <v>7</v>
      </c>
      <c r="J279" s="2">
        <v>1</v>
      </c>
      <c r="K279" s="2">
        <v>0</v>
      </c>
      <c r="L279" s="2">
        <v>48.1</v>
      </c>
      <c r="M279" s="4">
        <f>(18+15+13)/3</f>
        <v>15.333333333333334</v>
      </c>
      <c r="N279" s="4">
        <f>(12+10+8)/3</f>
        <v>10</v>
      </c>
      <c r="O279" s="2">
        <v>278</v>
      </c>
    </row>
    <row r="280" spans="1:15" x14ac:dyDescent="0.3">
      <c r="A280" s="2" t="s">
        <v>12</v>
      </c>
      <c r="B280" s="2" t="s">
        <v>394</v>
      </c>
      <c r="C280" s="2" t="s">
        <v>865</v>
      </c>
      <c r="D280" s="2" t="s">
        <v>35</v>
      </c>
      <c r="E280" s="2">
        <v>25</v>
      </c>
      <c r="F280" s="2" t="s">
        <v>847</v>
      </c>
      <c r="G280" s="2" t="s">
        <v>29</v>
      </c>
      <c r="H280" s="2">
        <v>400</v>
      </c>
      <c r="I280" s="2">
        <v>5</v>
      </c>
      <c r="J280" s="2">
        <v>0</v>
      </c>
      <c r="K280" s="2">
        <v>0</v>
      </c>
      <c r="L280" s="2">
        <v>53.8</v>
      </c>
      <c r="M280" s="4">
        <f>(30+35+35)/3</f>
        <v>33.333333333333336</v>
      </c>
      <c r="N280" s="4">
        <f>(32+30)/2</f>
        <v>31</v>
      </c>
      <c r="O280" s="2">
        <v>279</v>
      </c>
    </row>
    <row r="281" spans="1:15" x14ac:dyDescent="0.3">
      <c r="A281" s="2" t="s">
        <v>12</v>
      </c>
      <c r="B281" s="2" t="s">
        <v>395</v>
      </c>
      <c r="C281" s="2" t="s">
        <v>25</v>
      </c>
      <c r="D281" s="2" t="s">
        <v>35</v>
      </c>
      <c r="E281" s="2">
        <v>18</v>
      </c>
      <c r="F281" s="2" t="s">
        <v>237</v>
      </c>
      <c r="G281" s="2" t="s">
        <v>25</v>
      </c>
      <c r="H281" s="2">
        <v>398</v>
      </c>
      <c r="I281" s="2">
        <v>6</v>
      </c>
      <c r="J281" s="2">
        <v>0</v>
      </c>
      <c r="K281" s="2">
        <v>0</v>
      </c>
      <c r="L281" s="2">
        <v>54.1</v>
      </c>
      <c r="M281" s="4">
        <f>(25+40)/2</f>
        <v>32.5</v>
      </c>
      <c r="N281" s="4">
        <f>(60+60+70+90)/4</f>
        <v>70</v>
      </c>
      <c r="O281" s="2">
        <v>280</v>
      </c>
    </row>
    <row r="282" spans="1:15" x14ac:dyDescent="0.3">
      <c r="A282" s="2" t="s">
        <v>12</v>
      </c>
      <c r="B282" s="2" t="s">
        <v>396</v>
      </c>
      <c r="C282" s="2" t="s">
        <v>56</v>
      </c>
      <c r="D282" s="2" t="s">
        <v>23</v>
      </c>
      <c r="E282" s="2">
        <v>30</v>
      </c>
      <c r="F282" s="2" t="s">
        <v>204</v>
      </c>
      <c r="G282" s="2" t="s">
        <v>57</v>
      </c>
      <c r="H282" s="2">
        <v>398</v>
      </c>
      <c r="I282" s="2">
        <v>5</v>
      </c>
      <c r="J282" s="2">
        <v>0</v>
      </c>
      <c r="K282" s="2">
        <v>0</v>
      </c>
      <c r="L282" s="2">
        <v>49.4</v>
      </c>
      <c r="M282" s="4">
        <f>(30+30+20)/3</f>
        <v>26.666666666666668</v>
      </c>
      <c r="N282" s="4">
        <f>(17+14+14)/3</f>
        <v>15</v>
      </c>
      <c r="O282" s="2">
        <v>281</v>
      </c>
    </row>
    <row r="283" spans="1:15" x14ac:dyDescent="0.3">
      <c r="A283" s="2" t="s">
        <v>12</v>
      </c>
      <c r="B283" s="2" t="s">
        <v>398</v>
      </c>
      <c r="C283" s="2" t="s">
        <v>29</v>
      </c>
      <c r="D283" s="2" t="s">
        <v>24</v>
      </c>
      <c r="E283" s="2">
        <v>27</v>
      </c>
      <c r="F283" s="2" t="s">
        <v>847</v>
      </c>
      <c r="G283" s="2" t="s">
        <v>29</v>
      </c>
      <c r="H283" s="2">
        <v>397</v>
      </c>
      <c r="I283" s="2">
        <v>5</v>
      </c>
      <c r="J283" s="2">
        <v>0</v>
      </c>
      <c r="K283" s="2">
        <v>2</v>
      </c>
      <c r="L283" s="2">
        <v>36.6</v>
      </c>
      <c r="M283" s="4">
        <f>(25+35+42+42)/4</f>
        <v>36</v>
      </c>
      <c r="N283" s="4">
        <f>(38+30+28)/3</f>
        <v>32</v>
      </c>
      <c r="O283" s="2">
        <v>282</v>
      </c>
    </row>
    <row r="284" spans="1:15" x14ac:dyDescent="0.3">
      <c r="A284" s="2" t="s">
        <v>12</v>
      </c>
      <c r="B284" s="2" t="s">
        <v>399</v>
      </c>
      <c r="C284" s="2" t="s">
        <v>57</v>
      </c>
      <c r="D284" s="2" t="s">
        <v>35</v>
      </c>
      <c r="E284" s="2">
        <v>26</v>
      </c>
      <c r="F284" s="2" t="s">
        <v>228</v>
      </c>
      <c r="G284" s="2" t="s">
        <v>57</v>
      </c>
      <c r="H284" s="2">
        <v>395</v>
      </c>
      <c r="I284" s="2">
        <v>5</v>
      </c>
      <c r="J284" s="2">
        <v>0</v>
      </c>
      <c r="K284" s="2">
        <v>0</v>
      </c>
      <c r="L284" s="2">
        <v>51.8</v>
      </c>
      <c r="M284" s="4">
        <f>(30+25+20+25)/4</f>
        <v>25</v>
      </c>
      <c r="N284" s="4">
        <f>(25+28)/2</f>
        <v>26.5</v>
      </c>
      <c r="O284" s="2">
        <v>283</v>
      </c>
    </row>
    <row r="285" spans="1:15" x14ac:dyDescent="0.3">
      <c r="A285" s="2" t="s">
        <v>12</v>
      </c>
      <c r="B285" s="2" t="s">
        <v>400</v>
      </c>
      <c r="C285" s="2" t="s">
        <v>29</v>
      </c>
      <c r="D285" s="2" t="s">
        <v>24</v>
      </c>
      <c r="E285" s="2">
        <v>22</v>
      </c>
      <c r="F285" s="2" t="s">
        <v>847</v>
      </c>
      <c r="G285" s="2" t="s">
        <v>29</v>
      </c>
      <c r="H285" s="2">
        <v>393</v>
      </c>
      <c r="I285" s="2">
        <v>7</v>
      </c>
      <c r="J285" s="2">
        <v>1</v>
      </c>
      <c r="K285" s="2">
        <v>0</v>
      </c>
      <c r="L285" s="2">
        <v>42</v>
      </c>
      <c r="M285" s="4">
        <f>(100+100+90+85)/4</f>
        <v>93.75</v>
      </c>
      <c r="N285" s="4">
        <f>(80+75+60)/3</f>
        <v>71.666666666666671</v>
      </c>
      <c r="O285" s="2">
        <v>284</v>
      </c>
    </row>
    <row r="286" spans="1:15" x14ac:dyDescent="0.3">
      <c r="A286" s="2" t="s">
        <v>12</v>
      </c>
      <c r="B286" s="2" t="s">
        <v>922</v>
      </c>
      <c r="C286" s="2" t="s">
        <v>25</v>
      </c>
      <c r="D286" s="2" t="s">
        <v>24</v>
      </c>
      <c r="E286" s="2">
        <v>35</v>
      </c>
      <c r="F286" s="2" t="s">
        <v>237</v>
      </c>
      <c r="G286" s="2" t="s">
        <v>25</v>
      </c>
      <c r="H286" s="2">
        <v>393</v>
      </c>
      <c r="I286" s="2">
        <v>5</v>
      </c>
      <c r="J286" s="2">
        <v>1</v>
      </c>
      <c r="K286" s="2">
        <v>0</v>
      </c>
      <c r="L286" s="2">
        <v>44</v>
      </c>
      <c r="M286" s="4">
        <f>(12+10+7.5+5)/4</f>
        <v>8.625</v>
      </c>
      <c r="N286" s="4">
        <f>(5+3+3)/3</f>
        <v>3.6666666666666665</v>
      </c>
      <c r="O286" s="2">
        <v>285</v>
      </c>
    </row>
    <row r="287" spans="1:15" x14ac:dyDescent="0.3">
      <c r="A287" s="2" t="s">
        <v>12</v>
      </c>
      <c r="B287" s="2" t="s">
        <v>402</v>
      </c>
      <c r="C287" s="2" t="s">
        <v>56</v>
      </c>
      <c r="D287" s="2" t="s">
        <v>23</v>
      </c>
      <c r="E287" s="2">
        <v>23</v>
      </c>
      <c r="F287" s="2" t="s">
        <v>228</v>
      </c>
      <c r="G287" s="2" t="s">
        <v>57</v>
      </c>
      <c r="H287" s="2">
        <v>392</v>
      </c>
      <c r="I287" s="2">
        <v>6</v>
      </c>
      <c r="J287" s="2">
        <v>3</v>
      </c>
      <c r="K287" s="2">
        <v>0</v>
      </c>
      <c r="L287" s="2">
        <v>43.7</v>
      </c>
      <c r="M287" s="4">
        <f>(30+30+30)/3</f>
        <v>30</v>
      </c>
      <c r="N287" s="4">
        <f>(27+27+20)/3</f>
        <v>24.666666666666668</v>
      </c>
      <c r="O287" s="2">
        <v>286</v>
      </c>
    </row>
    <row r="288" spans="1:15" x14ac:dyDescent="0.3">
      <c r="A288" s="2" t="s">
        <v>12</v>
      </c>
      <c r="B288" s="2" t="s">
        <v>404</v>
      </c>
      <c r="C288" s="2" t="s">
        <v>869</v>
      </c>
      <c r="D288" s="2" t="s">
        <v>24</v>
      </c>
      <c r="E288" s="2">
        <v>27</v>
      </c>
      <c r="F288" s="2" t="s">
        <v>332</v>
      </c>
      <c r="G288" s="2" t="s">
        <v>869</v>
      </c>
      <c r="H288" s="2">
        <v>392</v>
      </c>
      <c r="I288" s="2">
        <v>5</v>
      </c>
      <c r="J288" s="2">
        <v>0</v>
      </c>
      <c r="K288" s="2">
        <v>0</v>
      </c>
      <c r="L288" s="2">
        <v>44.7</v>
      </c>
      <c r="M288" s="4">
        <f>(30+25+20+20)/4</f>
        <v>23.75</v>
      </c>
      <c r="N288" s="4">
        <f>(17)/1</f>
        <v>17</v>
      </c>
      <c r="O288" s="2">
        <v>287</v>
      </c>
    </row>
    <row r="289" spans="1:15" x14ac:dyDescent="0.3">
      <c r="A289" s="2" t="s">
        <v>12</v>
      </c>
      <c r="B289" s="2" t="s">
        <v>405</v>
      </c>
      <c r="C289" s="2" t="s">
        <v>57</v>
      </c>
      <c r="D289" s="2" t="s">
        <v>23</v>
      </c>
      <c r="E289" s="2">
        <v>27</v>
      </c>
      <c r="F289" s="2" t="s">
        <v>67</v>
      </c>
      <c r="G289" s="2" t="s">
        <v>57</v>
      </c>
      <c r="H289" s="2">
        <v>391</v>
      </c>
      <c r="I289" s="2">
        <v>8</v>
      </c>
      <c r="J289" s="2">
        <v>3</v>
      </c>
      <c r="K289" s="2">
        <v>2</v>
      </c>
      <c r="L289" s="2">
        <v>46.7</v>
      </c>
      <c r="M289" s="4">
        <f>(70+70+70)/3</f>
        <v>70</v>
      </c>
      <c r="N289" s="4">
        <f>(65+65)/2</f>
        <v>65</v>
      </c>
      <c r="O289" s="2">
        <v>288</v>
      </c>
    </row>
    <row r="290" spans="1:15" x14ac:dyDescent="0.3">
      <c r="A290" s="2" t="s">
        <v>12</v>
      </c>
      <c r="B290" s="2" t="s">
        <v>406</v>
      </c>
      <c r="C290" s="2" t="s">
        <v>901</v>
      </c>
      <c r="D290" s="2" t="s">
        <v>24</v>
      </c>
      <c r="E290" s="2">
        <v>25</v>
      </c>
      <c r="F290" s="2" t="s">
        <v>50</v>
      </c>
      <c r="G290" s="2" t="s">
        <v>55</v>
      </c>
      <c r="H290" s="2">
        <v>389</v>
      </c>
      <c r="I290" s="2">
        <v>6</v>
      </c>
      <c r="J290" s="2">
        <v>0</v>
      </c>
      <c r="K290" s="2">
        <v>0</v>
      </c>
      <c r="L290" s="2">
        <v>45.9</v>
      </c>
      <c r="M290" s="4">
        <f>(8+8+6+6)/4</f>
        <v>7</v>
      </c>
      <c r="N290" s="4">
        <f>(8+10+10)/3</f>
        <v>9.3333333333333339</v>
      </c>
      <c r="O290" s="2">
        <v>289</v>
      </c>
    </row>
    <row r="291" spans="1:15" x14ac:dyDescent="0.3">
      <c r="A291" s="2" t="s">
        <v>12</v>
      </c>
      <c r="B291" s="2" t="s">
        <v>923</v>
      </c>
      <c r="C291" s="2" t="s">
        <v>872</v>
      </c>
      <c r="D291" s="2" t="s">
        <v>35</v>
      </c>
      <c r="E291" s="2">
        <v>24</v>
      </c>
      <c r="F291" s="2" t="s">
        <v>164</v>
      </c>
      <c r="G291" s="2" t="s">
        <v>869</v>
      </c>
      <c r="H291" s="2">
        <v>388</v>
      </c>
      <c r="I291" s="2">
        <v>6</v>
      </c>
      <c r="J291" s="2">
        <v>0</v>
      </c>
      <c r="K291" s="2">
        <v>0</v>
      </c>
      <c r="L291" s="2">
        <v>51.9</v>
      </c>
      <c r="M291" s="4">
        <f>(25+25)/2</f>
        <v>25</v>
      </c>
      <c r="N291" s="4">
        <f>(25)/1</f>
        <v>25</v>
      </c>
      <c r="O291" s="2">
        <v>290</v>
      </c>
    </row>
    <row r="292" spans="1:15" x14ac:dyDescent="0.3">
      <c r="A292" s="2" t="s">
        <v>12</v>
      </c>
      <c r="B292" s="2" t="s">
        <v>407</v>
      </c>
      <c r="C292" s="2" t="s">
        <v>888</v>
      </c>
      <c r="D292" s="2" t="s">
        <v>24</v>
      </c>
      <c r="E292" s="2">
        <v>25</v>
      </c>
      <c r="F292" s="2" t="s">
        <v>250</v>
      </c>
      <c r="G292" s="2" t="s">
        <v>888</v>
      </c>
      <c r="H292" s="2">
        <v>386</v>
      </c>
      <c r="I292" s="2">
        <v>6</v>
      </c>
      <c r="J292" s="2">
        <v>1</v>
      </c>
      <c r="K292" s="2">
        <v>1</v>
      </c>
      <c r="L292" s="2">
        <v>38.799999999999997</v>
      </c>
      <c r="M292" s="4">
        <f>(3.5)/1</f>
        <v>3.5</v>
      </c>
      <c r="N292" s="4">
        <f>(3.5+5+5)/3</f>
        <v>4.5</v>
      </c>
      <c r="O292" s="2">
        <v>291</v>
      </c>
    </row>
    <row r="293" spans="1:15" x14ac:dyDescent="0.3">
      <c r="A293" s="2" t="s">
        <v>12</v>
      </c>
      <c r="B293" s="2" t="s">
        <v>408</v>
      </c>
      <c r="C293" s="2" t="s">
        <v>900</v>
      </c>
      <c r="D293" s="2" t="s">
        <v>23</v>
      </c>
      <c r="E293" s="2">
        <v>31</v>
      </c>
      <c r="F293" s="2" t="s">
        <v>253</v>
      </c>
      <c r="G293" s="2" t="s">
        <v>57</v>
      </c>
      <c r="H293" s="2">
        <v>385</v>
      </c>
      <c r="I293" s="2">
        <v>6</v>
      </c>
      <c r="J293" s="2">
        <v>2</v>
      </c>
      <c r="K293" s="2">
        <v>2</v>
      </c>
      <c r="L293" s="2">
        <v>48.2</v>
      </c>
      <c r="M293" s="4">
        <f>(20+20+16)/3</f>
        <v>18.666666666666668</v>
      </c>
      <c r="N293" s="4">
        <f>(11+9)/3</f>
        <v>6.666666666666667</v>
      </c>
      <c r="O293" s="2">
        <v>292</v>
      </c>
    </row>
    <row r="294" spans="1:15" x14ac:dyDescent="0.3">
      <c r="A294" s="2" t="s">
        <v>12</v>
      </c>
      <c r="B294" s="2" t="s">
        <v>409</v>
      </c>
      <c r="C294" s="2" t="s">
        <v>21</v>
      </c>
      <c r="D294" s="2" t="s">
        <v>23</v>
      </c>
      <c r="E294" s="2">
        <v>29</v>
      </c>
      <c r="F294" s="2" t="s">
        <v>911</v>
      </c>
      <c r="G294" s="2" t="s">
        <v>879</v>
      </c>
      <c r="H294" s="2">
        <v>383</v>
      </c>
      <c r="I294" s="2">
        <v>5</v>
      </c>
      <c r="J294" s="2">
        <v>0</v>
      </c>
      <c r="K294" s="2">
        <v>0</v>
      </c>
      <c r="L294" s="2">
        <v>43.5</v>
      </c>
      <c r="M294" s="4">
        <f>(10+10+10)/3</f>
        <v>10</v>
      </c>
      <c r="N294" s="4">
        <f>(10+10+10+9.5+10)/5</f>
        <v>9.9</v>
      </c>
      <c r="O294" s="2">
        <v>293</v>
      </c>
    </row>
    <row r="295" spans="1:15" x14ac:dyDescent="0.3">
      <c r="A295" s="2" t="s">
        <v>12</v>
      </c>
      <c r="B295" s="2" t="s">
        <v>411</v>
      </c>
      <c r="C295" s="2" t="s">
        <v>867</v>
      </c>
      <c r="D295" s="2" t="s">
        <v>35</v>
      </c>
      <c r="E295" s="2">
        <v>25</v>
      </c>
      <c r="F295" s="2" t="s">
        <v>164</v>
      </c>
      <c r="G295" s="2" t="s">
        <v>869</v>
      </c>
      <c r="H295" s="2">
        <v>382</v>
      </c>
      <c r="I295" s="2">
        <v>5</v>
      </c>
      <c r="J295" s="2">
        <v>0</v>
      </c>
      <c r="K295" s="2">
        <v>1</v>
      </c>
      <c r="L295" s="2">
        <v>48.7</v>
      </c>
      <c r="M295" s="4">
        <f>(40+35+30+25)/4</f>
        <v>32.5</v>
      </c>
      <c r="N295" s="4">
        <f>(28+35+40)/3</f>
        <v>34.333333333333336</v>
      </c>
      <c r="O295" s="2">
        <v>294</v>
      </c>
    </row>
    <row r="296" spans="1:15" x14ac:dyDescent="0.3">
      <c r="A296" s="2" t="s">
        <v>12</v>
      </c>
      <c r="B296" s="2" t="s">
        <v>412</v>
      </c>
      <c r="C296" s="2" t="s">
        <v>55</v>
      </c>
      <c r="D296" s="2" t="s">
        <v>24</v>
      </c>
      <c r="E296" s="2">
        <v>29</v>
      </c>
      <c r="F296" s="2" t="s">
        <v>162</v>
      </c>
      <c r="G296" s="2" t="s">
        <v>55</v>
      </c>
      <c r="H296" s="2">
        <v>380</v>
      </c>
      <c r="I296" s="2">
        <v>8</v>
      </c>
      <c r="J296" s="2">
        <v>0</v>
      </c>
      <c r="K296" s="2">
        <v>2</v>
      </c>
      <c r="L296" s="2">
        <v>48.8</v>
      </c>
      <c r="M296" s="4">
        <f>(6+6+6)/3</f>
        <v>6</v>
      </c>
      <c r="N296" s="4">
        <f>(5+3.5)/2</f>
        <v>4.25</v>
      </c>
      <c r="O296" s="2">
        <v>295</v>
      </c>
    </row>
    <row r="297" spans="1:15" x14ac:dyDescent="0.3">
      <c r="A297" s="2" t="s">
        <v>12</v>
      </c>
      <c r="B297" s="2" t="s">
        <v>924</v>
      </c>
      <c r="C297" s="2" t="s">
        <v>37</v>
      </c>
      <c r="D297" s="2" t="s">
        <v>24</v>
      </c>
      <c r="E297" s="2">
        <v>31</v>
      </c>
      <c r="F297" s="2" t="s">
        <v>212</v>
      </c>
      <c r="G297" s="2" t="s">
        <v>25</v>
      </c>
      <c r="H297" s="2">
        <v>379</v>
      </c>
      <c r="I297" s="2">
        <v>5</v>
      </c>
      <c r="J297" s="2">
        <v>0</v>
      </c>
      <c r="K297" s="2">
        <v>0</v>
      </c>
      <c r="L297" s="2">
        <v>43.2</v>
      </c>
      <c r="M297" s="4">
        <f>(14+15+18+15)/4</f>
        <v>15.5</v>
      </c>
      <c r="N297" s="4">
        <f>(18+14)/2</f>
        <v>16</v>
      </c>
      <c r="O297" s="2">
        <v>296</v>
      </c>
    </row>
    <row r="298" spans="1:15" x14ac:dyDescent="0.3">
      <c r="A298" s="2" t="s">
        <v>12</v>
      </c>
      <c r="B298" s="2" t="s">
        <v>413</v>
      </c>
      <c r="C298" s="2" t="s">
        <v>30</v>
      </c>
      <c r="D298" s="2" t="s">
        <v>35</v>
      </c>
      <c r="E298" s="2">
        <v>26</v>
      </c>
      <c r="F298" s="2" t="s">
        <v>64</v>
      </c>
      <c r="G298" s="2" t="s">
        <v>25</v>
      </c>
      <c r="H298" s="2">
        <v>377</v>
      </c>
      <c r="I298" s="2">
        <v>8</v>
      </c>
      <c r="J298" s="2">
        <v>0</v>
      </c>
      <c r="K298" s="2">
        <v>1</v>
      </c>
      <c r="L298" s="2">
        <v>48.9</v>
      </c>
      <c r="M298" s="4">
        <f>(20+25+25+40+40)/5</f>
        <v>30</v>
      </c>
      <c r="N298" s="4">
        <f>(40+35+30)/3</f>
        <v>35</v>
      </c>
      <c r="O298" s="2">
        <v>297</v>
      </c>
    </row>
    <row r="299" spans="1:15" x14ac:dyDescent="0.3">
      <c r="A299" s="2" t="s">
        <v>12</v>
      </c>
      <c r="B299" s="2" t="s">
        <v>414</v>
      </c>
      <c r="C299" s="2" t="s">
        <v>47</v>
      </c>
      <c r="D299" s="2" t="s">
        <v>35</v>
      </c>
      <c r="E299" s="2">
        <v>24</v>
      </c>
      <c r="F299" s="2" t="s">
        <v>332</v>
      </c>
      <c r="G299" s="2" t="s">
        <v>869</v>
      </c>
      <c r="H299" s="2">
        <v>376</v>
      </c>
      <c r="I299" s="2">
        <v>6</v>
      </c>
      <c r="J299" s="2">
        <v>0</v>
      </c>
      <c r="K299" s="2">
        <v>0</v>
      </c>
      <c r="L299" s="2">
        <v>47.1</v>
      </c>
      <c r="M299" s="4">
        <f>(38+30)/2</f>
        <v>34</v>
      </c>
      <c r="N299" s="4">
        <f>(33)/1</f>
        <v>33</v>
      </c>
      <c r="O299" s="2">
        <v>298</v>
      </c>
    </row>
    <row r="300" spans="1:15" x14ac:dyDescent="0.3">
      <c r="A300" s="2" t="s">
        <v>12</v>
      </c>
      <c r="B300" s="2" t="s">
        <v>415</v>
      </c>
      <c r="C300" s="2" t="s">
        <v>867</v>
      </c>
      <c r="D300" s="2" t="s">
        <v>35</v>
      </c>
      <c r="E300" s="2">
        <v>30</v>
      </c>
      <c r="F300" s="2" t="s">
        <v>209</v>
      </c>
      <c r="G300" s="2" t="s">
        <v>885</v>
      </c>
      <c r="H300" s="2">
        <v>375</v>
      </c>
      <c r="I300" s="2">
        <v>6</v>
      </c>
      <c r="J300" s="2">
        <v>0</v>
      </c>
      <c r="K300" s="2">
        <v>0</v>
      </c>
      <c r="L300" s="2">
        <v>49</v>
      </c>
      <c r="M300" s="4">
        <f>(3+3.5+3.5)/3</f>
        <v>3.3333333333333335</v>
      </c>
      <c r="N300" s="4">
        <f>(3.5)/1</f>
        <v>3.5</v>
      </c>
      <c r="O300" s="2">
        <v>299</v>
      </c>
    </row>
    <row r="301" spans="1:15" x14ac:dyDescent="0.3">
      <c r="A301" s="2" t="s">
        <v>12</v>
      </c>
      <c r="B301" s="2" t="s">
        <v>416</v>
      </c>
      <c r="C301" s="2" t="s">
        <v>25</v>
      </c>
      <c r="D301" s="2" t="s">
        <v>24</v>
      </c>
      <c r="E301" s="2">
        <v>33</v>
      </c>
      <c r="F301" s="2" t="s">
        <v>237</v>
      </c>
      <c r="G301" s="2" t="s">
        <v>25</v>
      </c>
      <c r="H301" s="2">
        <v>375</v>
      </c>
      <c r="I301" s="2">
        <v>5</v>
      </c>
      <c r="J301" s="2">
        <v>0</v>
      </c>
      <c r="K301" s="2">
        <v>1</v>
      </c>
      <c r="L301" s="2">
        <v>45.8</v>
      </c>
      <c r="M301" s="4">
        <f>(25+20+15+12)/4</f>
        <v>18</v>
      </c>
      <c r="N301" s="4">
        <f>(9+5)/2</f>
        <v>7</v>
      </c>
      <c r="O301" s="2">
        <v>300</v>
      </c>
    </row>
    <row r="302" spans="1:15" x14ac:dyDescent="0.3">
      <c r="A302" s="2" t="s">
        <v>12</v>
      </c>
      <c r="B302" s="2" t="s">
        <v>925</v>
      </c>
      <c r="C302" s="2" t="s">
        <v>28</v>
      </c>
      <c r="D302" s="2" t="s">
        <v>23</v>
      </c>
      <c r="E302" s="2">
        <v>22</v>
      </c>
      <c r="F302" s="2" t="s">
        <v>216</v>
      </c>
      <c r="G302" s="2" t="s">
        <v>885</v>
      </c>
      <c r="H302" s="2">
        <v>373</v>
      </c>
      <c r="I302" s="2">
        <v>6</v>
      </c>
      <c r="J302" s="2">
        <v>0</v>
      </c>
      <c r="K302" s="2">
        <v>0</v>
      </c>
      <c r="L302" s="2">
        <v>44.5</v>
      </c>
      <c r="M302" s="4">
        <f>(20+20+20)/3</f>
        <v>20</v>
      </c>
      <c r="N302" s="4">
        <f>(22+28+25)/3</f>
        <v>25</v>
      </c>
      <c r="O302" s="2">
        <v>301</v>
      </c>
    </row>
    <row r="303" spans="1:15" x14ac:dyDescent="0.3">
      <c r="A303" s="2" t="s">
        <v>12</v>
      </c>
      <c r="B303" s="2" t="s">
        <v>418</v>
      </c>
      <c r="C303" s="2" t="s">
        <v>879</v>
      </c>
      <c r="D303" s="2" t="s">
        <v>24</v>
      </c>
      <c r="E303" s="2">
        <v>24</v>
      </c>
      <c r="F303" s="2" t="s">
        <v>231</v>
      </c>
      <c r="G303" s="2" t="s">
        <v>869</v>
      </c>
      <c r="H303" s="2">
        <v>370</v>
      </c>
      <c r="I303" s="2">
        <v>6</v>
      </c>
      <c r="J303" s="2">
        <v>1</v>
      </c>
      <c r="K303" s="2">
        <v>0</v>
      </c>
      <c r="L303" s="2">
        <v>42.2</v>
      </c>
      <c r="M303" s="4">
        <f>(28+28)/2</f>
        <v>28</v>
      </c>
      <c r="N303" s="4">
        <f>(30+25+25)/3</f>
        <v>26.666666666666668</v>
      </c>
      <c r="O303" s="2">
        <v>302</v>
      </c>
    </row>
    <row r="304" spans="1:15" x14ac:dyDescent="0.3">
      <c r="A304" s="2" t="s">
        <v>12</v>
      </c>
      <c r="B304" s="2" t="s">
        <v>932</v>
      </c>
      <c r="C304" s="2" t="s">
        <v>55</v>
      </c>
      <c r="D304" s="2" t="s">
        <v>23</v>
      </c>
      <c r="E304" s="2">
        <v>21</v>
      </c>
      <c r="F304" s="2" t="s">
        <v>58</v>
      </c>
      <c r="G304" s="2" t="s">
        <v>55</v>
      </c>
      <c r="H304" s="2">
        <v>369</v>
      </c>
      <c r="I304" s="2">
        <v>7</v>
      </c>
      <c r="J304" s="2">
        <v>1</v>
      </c>
      <c r="K304" s="2">
        <v>1</v>
      </c>
      <c r="L304" s="2">
        <v>52.1</v>
      </c>
      <c r="M304" s="4">
        <f>(7.5+8+8)/3</f>
        <v>7.833333333333333</v>
      </c>
      <c r="N304" s="4">
        <f>(10+14+20+24+30)/5</f>
        <v>19.600000000000001</v>
      </c>
      <c r="O304" s="2">
        <v>303</v>
      </c>
    </row>
    <row r="305" spans="1:15" x14ac:dyDescent="0.3">
      <c r="A305" s="2" t="s">
        <v>12</v>
      </c>
      <c r="B305" s="2" t="s">
        <v>933</v>
      </c>
      <c r="C305" s="2" t="s">
        <v>55</v>
      </c>
      <c r="D305" s="2" t="s">
        <v>24</v>
      </c>
      <c r="E305" s="2">
        <v>34</v>
      </c>
      <c r="F305" s="2" t="s">
        <v>162</v>
      </c>
      <c r="G305" s="2" t="s">
        <v>55</v>
      </c>
      <c r="H305" s="2">
        <v>368</v>
      </c>
      <c r="I305" s="2">
        <v>6</v>
      </c>
      <c r="J305" s="2">
        <v>0</v>
      </c>
      <c r="K305" s="2">
        <v>0</v>
      </c>
      <c r="L305" s="2">
        <v>38.6</v>
      </c>
      <c r="M305" s="4">
        <f>(2+2+2)/3</f>
        <v>2</v>
      </c>
      <c r="N305" s="4">
        <f>(1.5+0.8)/2</f>
        <v>1.1499999999999999</v>
      </c>
      <c r="O305" s="2">
        <v>304</v>
      </c>
    </row>
    <row r="306" spans="1:15" x14ac:dyDescent="0.3">
      <c r="A306" s="2" t="s">
        <v>12</v>
      </c>
      <c r="B306" s="2" t="s">
        <v>934</v>
      </c>
      <c r="C306" s="2" t="s">
        <v>872</v>
      </c>
      <c r="D306" s="2" t="s">
        <v>35</v>
      </c>
      <c r="E306" s="2">
        <v>24</v>
      </c>
      <c r="F306" s="2" t="s">
        <v>79</v>
      </c>
      <c r="G306" s="2" t="s">
        <v>29</v>
      </c>
      <c r="H306" s="2">
        <v>367</v>
      </c>
      <c r="I306" s="2">
        <v>7</v>
      </c>
      <c r="J306" s="2">
        <v>2</v>
      </c>
      <c r="K306" s="2">
        <v>1</v>
      </c>
      <c r="L306" s="2">
        <v>47.3</v>
      </c>
      <c r="M306" s="4">
        <f>(50+50+45)/3</f>
        <v>48.333333333333336</v>
      </c>
      <c r="N306" s="4">
        <f>(42+38)/2</f>
        <v>40</v>
      </c>
      <c r="O306" s="2">
        <v>305</v>
      </c>
    </row>
    <row r="307" spans="1:15" x14ac:dyDescent="0.3">
      <c r="A307" s="2" t="s">
        <v>12</v>
      </c>
      <c r="B307" s="2" t="s">
        <v>935</v>
      </c>
      <c r="C307" s="2" t="s">
        <v>867</v>
      </c>
      <c r="D307" s="2" t="s">
        <v>24</v>
      </c>
      <c r="E307" s="2">
        <v>23</v>
      </c>
      <c r="F307" s="2" t="s">
        <v>237</v>
      </c>
      <c r="G307" s="2" t="s">
        <v>25</v>
      </c>
      <c r="H307" s="2">
        <v>367</v>
      </c>
      <c r="I307" s="2">
        <v>5</v>
      </c>
      <c r="J307" s="2">
        <v>0</v>
      </c>
      <c r="K307" s="2">
        <v>0</v>
      </c>
      <c r="L307" s="2">
        <v>36.4</v>
      </c>
      <c r="M307" s="4">
        <f>(20+25+25+35)/4</f>
        <v>26.25</v>
      </c>
      <c r="N307" s="4">
        <f>(40+50+60+60)/4</f>
        <v>52.5</v>
      </c>
      <c r="O307" s="2">
        <v>306</v>
      </c>
    </row>
    <row r="308" spans="1:15" x14ac:dyDescent="0.3">
      <c r="A308" s="2" t="s">
        <v>12</v>
      </c>
      <c r="B308" s="2" t="s">
        <v>936</v>
      </c>
      <c r="C308" s="2" t="s">
        <v>863</v>
      </c>
      <c r="D308" s="2" t="s">
        <v>24</v>
      </c>
      <c r="E308" s="2">
        <v>28</v>
      </c>
      <c r="F308" s="2" t="s">
        <v>209</v>
      </c>
      <c r="G308" s="2" t="s">
        <v>885</v>
      </c>
      <c r="H308" s="2">
        <v>366</v>
      </c>
      <c r="I308" s="2">
        <v>5</v>
      </c>
      <c r="J308" s="2">
        <v>0</v>
      </c>
      <c r="K308" s="2">
        <v>0</v>
      </c>
      <c r="L308" s="2">
        <v>44.4</v>
      </c>
      <c r="M308" s="4">
        <f>(3.5+5+5)/3</f>
        <v>4.5</v>
      </c>
      <c r="N308" s="4">
        <f>(4.5+3.5)/2</f>
        <v>4</v>
      </c>
      <c r="O308" s="2">
        <v>307</v>
      </c>
    </row>
    <row r="309" spans="1:15" x14ac:dyDescent="0.3">
      <c r="A309" s="2" t="s">
        <v>12</v>
      </c>
      <c r="B309" s="2" t="s">
        <v>334</v>
      </c>
      <c r="C309" s="2" t="s">
        <v>55</v>
      </c>
      <c r="D309" s="2" t="s">
        <v>35</v>
      </c>
      <c r="E309" s="2">
        <v>31</v>
      </c>
      <c r="F309" s="2" t="s">
        <v>121</v>
      </c>
      <c r="G309" s="2" t="s">
        <v>30</v>
      </c>
      <c r="H309" s="2">
        <v>362</v>
      </c>
      <c r="I309" s="2">
        <v>7</v>
      </c>
      <c r="J309" s="2">
        <v>0</v>
      </c>
      <c r="K309" s="2">
        <v>0</v>
      </c>
      <c r="L309" s="2">
        <v>40.6</v>
      </c>
      <c r="M309" s="4">
        <f>(20+16+14)/3</f>
        <v>16.666666666666668</v>
      </c>
      <c r="N309" s="4">
        <f>(14+12)/2</f>
        <v>13</v>
      </c>
      <c r="O309" s="2">
        <v>308</v>
      </c>
    </row>
    <row r="310" spans="1:15" x14ac:dyDescent="0.3">
      <c r="A310" s="2" t="s">
        <v>12</v>
      </c>
      <c r="B310" s="2" t="s">
        <v>419</v>
      </c>
      <c r="C310" s="2" t="s">
        <v>30</v>
      </c>
      <c r="D310" s="2" t="s">
        <v>24</v>
      </c>
      <c r="E310" s="2">
        <v>30</v>
      </c>
      <c r="F310" s="2" t="s">
        <v>204</v>
      </c>
      <c r="G310" s="2" t="s">
        <v>57</v>
      </c>
      <c r="H310" s="2">
        <v>362</v>
      </c>
      <c r="I310" s="2">
        <v>6</v>
      </c>
      <c r="J310" s="2">
        <v>0</v>
      </c>
      <c r="K310" s="2">
        <v>0</v>
      </c>
      <c r="L310" s="2">
        <v>41.6</v>
      </c>
      <c r="M310" s="4">
        <f>(9+7+7)/3</f>
        <v>7.666666666666667</v>
      </c>
      <c r="N310" s="4">
        <f>(4.5+3)/2</f>
        <v>3.75</v>
      </c>
      <c r="O310" s="2">
        <v>309</v>
      </c>
    </row>
    <row r="311" spans="1:15" x14ac:dyDescent="0.3">
      <c r="A311" s="2" t="s">
        <v>12</v>
      </c>
      <c r="B311" s="2" t="s">
        <v>937</v>
      </c>
      <c r="C311" s="2" t="s">
        <v>869</v>
      </c>
      <c r="D311" s="2" t="s">
        <v>24</v>
      </c>
      <c r="E311" s="2">
        <v>32</v>
      </c>
      <c r="F311" s="2" t="s">
        <v>231</v>
      </c>
      <c r="G311" s="2" t="s">
        <v>869</v>
      </c>
      <c r="H311" s="2">
        <v>360</v>
      </c>
      <c r="I311" s="2">
        <v>4</v>
      </c>
      <c r="J311" s="2">
        <v>0</v>
      </c>
      <c r="K311" s="2">
        <v>0</v>
      </c>
      <c r="L311" s="2">
        <v>45.2</v>
      </c>
      <c r="M311" s="4">
        <f>(15+13)/2</f>
        <v>14</v>
      </c>
      <c r="N311" s="4">
        <f>(8+8)/2</f>
        <v>8</v>
      </c>
      <c r="O311" s="2">
        <v>310</v>
      </c>
    </row>
    <row r="312" spans="1:15" x14ac:dyDescent="0.3">
      <c r="A312" s="2" t="s">
        <v>12</v>
      </c>
      <c r="B312" s="2" t="s">
        <v>420</v>
      </c>
      <c r="C312" s="2" t="s">
        <v>885</v>
      </c>
      <c r="D312" s="2" t="s">
        <v>24</v>
      </c>
      <c r="E312" s="2">
        <v>26</v>
      </c>
      <c r="F312" s="2" t="s">
        <v>216</v>
      </c>
      <c r="G312" s="2" t="s">
        <v>885</v>
      </c>
      <c r="H312" s="2">
        <v>360</v>
      </c>
      <c r="I312" s="2">
        <v>4</v>
      </c>
      <c r="J312" s="2">
        <v>0</v>
      </c>
      <c r="K312" s="2">
        <v>0</v>
      </c>
      <c r="L312" s="2">
        <v>43</v>
      </c>
      <c r="M312" s="4">
        <f>(11+11+11)/3</f>
        <v>11</v>
      </c>
      <c r="N312" s="4">
        <f>(11+11)/2</f>
        <v>11</v>
      </c>
      <c r="O312" s="2">
        <v>311</v>
      </c>
    </row>
    <row r="313" spans="1:15" x14ac:dyDescent="0.3">
      <c r="A313" s="2" t="s">
        <v>12</v>
      </c>
      <c r="B313" s="2" t="s">
        <v>938</v>
      </c>
      <c r="C313" s="2" t="s">
        <v>886</v>
      </c>
      <c r="D313" s="2" t="s">
        <v>14</v>
      </c>
      <c r="E313" s="2">
        <v>32</v>
      </c>
      <c r="F313" s="2" t="s">
        <v>218</v>
      </c>
      <c r="G313" s="2" t="s">
        <v>886</v>
      </c>
      <c r="H313" s="2">
        <v>360</v>
      </c>
      <c r="I313" s="2">
        <v>4</v>
      </c>
      <c r="J313" s="2">
        <v>0</v>
      </c>
      <c r="K313" s="2">
        <v>0</v>
      </c>
      <c r="L313" s="2">
        <v>19.5</v>
      </c>
      <c r="M313" s="4">
        <f>(2+2.5+2)/3</f>
        <v>2.1666666666666665</v>
      </c>
      <c r="N313" s="4">
        <f>(1.5+1.5)/2</f>
        <v>1.5</v>
      </c>
      <c r="O313" s="2">
        <v>312</v>
      </c>
    </row>
    <row r="314" spans="1:15" x14ac:dyDescent="0.3">
      <c r="A314" s="2" t="s">
        <v>12</v>
      </c>
      <c r="B314" s="2" t="s">
        <v>422</v>
      </c>
      <c r="C314" s="2" t="s">
        <v>29</v>
      </c>
      <c r="D314" s="2" t="s">
        <v>23</v>
      </c>
      <c r="E314" s="2">
        <v>26</v>
      </c>
      <c r="F314" s="2" t="s">
        <v>79</v>
      </c>
      <c r="G314" s="2" t="s">
        <v>29</v>
      </c>
      <c r="H314" s="2">
        <v>358</v>
      </c>
      <c r="I314" s="2">
        <v>8</v>
      </c>
      <c r="J314" s="2">
        <v>0</v>
      </c>
      <c r="K314" s="2">
        <v>1</v>
      </c>
      <c r="L314" s="2">
        <v>44.2</v>
      </c>
      <c r="M314" s="4">
        <f>(20+18+20)/3</f>
        <v>19.333333333333332</v>
      </c>
      <c r="N314" s="4">
        <f>(20+22+25)/3</f>
        <v>22.333333333333332</v>
      </c>
      <c r="O314" s="2">
        <v>313</v>
      </c>
    </row>
    <row r="315" spans="1:15" x14ac:dyDescent="0.3">
      <c r="A315" s="2" t="s">
        <v>12</v>
      </c>
      <c r="B315" s="2" t="s">
        <v>424</v>
      </c>
      <c r="C315" s="2" t="s">
        <v>57</v>
      </c>
      <c r="D315" s="2" t="s">
        <v>24</v>
      </c>
      <c r="E315" s="2">
        <v>34</v>
      </c>
      <c r="F315" s="2" t="s">
        <v>228</v>
      </c>
      <c r="G315" s="2" t="s">
        <v>57</v>
      </c>
      <c r="H315" s="2">
        <v>358</v>
      </c>
      <c r="I315" s="2">
        <v>5</v>
      </c>
      <c r="J315" s="2">
        <v>0</v>
      </c>
      <c r="K315" s="2">
        <v>0</v>
      </c>
      <c r="L315" s="2">
        <v>41.2</v>
      </c>
      <c r="M315" s="4">
        <f>(15+12+9)/3</f>
        <v>12</v>
      </c>
      <c r="N315" s="4">
        <f>(6.5+6.5)/2</f>
        <v>6.5</v>
      </c>
      <c r="O315" s="2">
        <v>314</v>
      </c>
    </row>
    <row r="316" spans="1:15" x14ac:dyDescent="0.3">
      <c r="A316" s="2" t="s">
        <v>12</v>
      </c>
      <c r="B316" s="2" t="s">
        <v>939</v>
      </c>
      <c r="C316" s="2" t="s">
        <v>54</v>
      </c>
      <c r="D316" s="2" t="s">
        <v>35</v>
      </c>
      <c r="E316" s="2">
        <v>28</v>
      </c>
      <c r="F316" s="2" t="s">
        <v>201</v>
      </c>
      <c r="G316" s="2" t="s">
        <v>884</v>
      </c>
      <c r="H316" s="2">
        <v>357</v>
      </c>
      <c r="I316" s="2">
        <v>5</v>
      </c>
      <c r="J316" s="2">
        <v>0</v>
      </c>
      <c r="K316" s="2">
        <v>0</v>
      </c>
      <c r="L316" s="2">
        <v>45.5</v>
      </c>
      <c r="M316" s="4">
        <f>(1+1.2+1.2)/3</f>
        <v>1.1333333333333335</v>
      </c>
      <c r="N316" s="4">
        <f>(0.9+0.9)/2</f>
        <v>0.9</v>
      </c>
      <c r="O316" s="2">
        <v>315</v>
      </c>
    </row>
    <row r="317" spans="1:15" x14ac:dyDescent="0.3">
      <c r="A317" s="2" t="s">
        <v>12</v>
      </c>
      <c r="B317" s="2" t="s">
        <v>425</v>
      </c>
      <c r="C317" s="2" t="s">
        <v>57</v>
      </c>
      <c r="D317" s="2" t="s">
        <v>24</v>
      </c>
      <c r="E317" s="2">
        <v>26</v>
      </c>
      <c r="F317" s="2" t="s">
        <v>253</v>
      </c>
      <c r="G317" s="2" t="s">
        <v>57</v>
      </c>
      <c r="H317" s="2">
        <v>357</v>
      </c>
      <c r="I317" s="2">
        <v>5</v>
      </c>
      <c r="J317" s="2">
        <v>0</v>
      </c>
      <c r="K317" s="2">
        <v>0</v>
      </c>
      <c r="L317" s="2">
        <v>42.2</v>
      </c>
      <c r="M317" s="4">
        <f>(32+27+23)/3</f>
        <v>27.333333333333332</v>
      </c>
      <c r="N317" s="4">
        <f>(18+14+14)/3</f>
        <v>15.333333333333334</v>
      </c>
      <c r="O317" s="2">
        <v>316</v>
      </c>
    </row>
    <row r="318" spans="1:15" x14ac:dyDescent="0.3">
      <c r="A318" s="2" t="s">
        <v>12</v>
      </c>
      <c r="B318" s="2" t="s">
        <v>940</v>
      </c>
      <c r="C318" s="2" t="s">
        <v>877</v>
      </c>
      <c r="D318" s="2" t="s">
        <v>35</v>
      </c>
      <c r="E318" s="2">
        <v>25</v>
      </c>
      <c r="F318" s="2" t="s">
        <v>896</v>
      </c>
      <c r="G318" s="2" t="s">
        <v>888</v>
      </c>
      <c r="H318" s="2">
        <v>356</v>
      </c>
      <c r="I318" s="2">
        <v>6</v>
      </c>
      <c r="J318" s="2">
        <v>0</v>
      </c>
      <c r="K318" s="2">
        <v>1</v>
      </c>
      <c r="L318" s="2">
        <v>44.6</v>
      </c>
      <c r="M318" s="4">
        <f>(1.7+2.5+3.5)/3</f>
        <v>2.5666666666666669</v>
      </c>
      <c r="N318" s="4">
        <f>(3.5+4+3.5)/3</f>
        <v>3.6666666666666665</v>
      </c>
      <c r="O318" s="2">
        <v>317</v>
      </c>
    </row>
    <row r="319" spans="1:15" x14ac:dyDescent="0.3">
      <c r="A319" s="2" t="s">
        <v>12</v>
      </c>
      <c r="B319" s="2" t="s">
        <v>426</v>
      </c>
      <c r="C319" s="2" t="s">
        <v>28</v>
      </c>
      <c r="D319" s="2" t="s">
        <v>24</v>
      </c>
      <c r="E319" s="2">
        <v>33</v>
      </c>
      <c r="F319" s="2" t="s">
        <v>216</v>
      </c>
      <c r="G319" s="2" t="s">
        <v>885</v>
      </c>
      <c r="H319" s="2">
        <v>355</v>
      </c>
      <c r="I319" s="2">
        <v>5</v>
      </c>
      <c r="J319" s="2">
        <v>0</v>
      </c>
      <c r="K319" s="2">
        <v>0</v>
      </c>
      <c r="L319" s="2">
        <v>44.8</v>
      </c>
      <c r="M319" s="4">
        <f>(8+5+3.5)/3</f>
        <v>5.5</v>
      </c>
      <c r="N319" s="4">
        <f>(3.5+3)/2</f>
        <v>3.25</v>
      </c>
      <c r="O319" s="2">
        <v>318</v>
      </c>
    </row>
    <row r="320" spans="1:15" x14ac:dyDescent="0.3">
      <c r="A320" s="2" t="s">
        <v>12</v>
      </c>
      <c r="B320" s="2" t="s">
        <v>427</v>
      </c>
      <c r="C320" s="2" t="s">
        <v>878</v>
      </c>
      <c r="D320" s="2" t="s">
        <v>23</v>
      </c>
      <c r="E320" s="2">
        <v>27</v>
      </c>
      <c r="F320" s="2" t="s">
        <v>911</v>
      </c>
      <c r="G320" s="2" t="s">
        <v>879</v>
      </c>
      <c r="H320" s="2">
        <v>354</v>
      </c>
      <c r="I320" s="2">
        <v>5</v>
      </c>
      <c r="J320" s="2">
        <v>1</v>
      </c>
      <c r="K320" s="2">
        <v>0</v>
      </c>
      <c r="L320" s="2">
        <v>40.200000000000003</v>
      </c>
      <c r="M320" s="4">
        <f>(9+11+11.5)/3</f>
        <v>10.5</v>
      </c>
      <c r="N320" s="4">
        <f>(11+11+10+7.5+6)/5</f>
        <v>9.1</v>
      </c>
      <c r="O320" s="2">
        <v>319</v>
      </c>
    </row>
    <row r="321" spans="1:15" x14ac:dyDescent="0.3">
      <c r="A321" s="2" t="s">
        <v>12</v>
      </c>
      <c r="B321" s="2" t="s">
        <v>428</v>
      </c>
      <c r="C321" s="2" t="s">
        <v>30</v>
      </c>
      <c r="D321" s="2" t="s">
        <v>24</v>
      </c>
      <c r="E321" s="2">
        <v>29</v>
      </c>
      <c r="F321" s="2" t="s">
        <v>847</v>
      </c>
      <c r="G321" s="2" t="s">
        <v>29</v>
      </c>
      <c r="H321" s="2">
        <v>353</v>
      </c>
      <c r="I321" s="2">
        <v>5</v>
      </c>
      <c r="J321" s="2">
        <v>0</v>
      </c>
      <c r="K321" s="2">
        <v>0</v>
      </c>
      <c r="L321" s="2">
        <v>34.200000000000003</v>
      </c>
      <c r="M321" s="4">
        <f>(70+70+65)/3</f>
        <v>68.333333333333329</v>
      </c>
      <c r="N321" s="4">
        <f>(60+48+40)/3</f>
        <v>49.333333333333336</v>
      </c>
      <c r="O321" s="2">
        <v>320</v>
      </c>
    </row>
    <row r="322" spans="1:15" x14ac:dyDescent="0.3">
      <c r="A322" s="2" t="s">
        <v>12</v>
      </c>
      <c r="B322" s="2" t="s">
        <v>429</v>
      </c>
      <c r="C322" s="2" t="s">
        <v>28</v>
      </c>
      <c r="D322" s="2" t="s">
        <v>23</v>
      </c>
      <c r="E322" s="2">
        <v>25</v>
      </c>
      <c r="F322" s="2" t="s">
        <v>44</v>
      </c>
      <c r="G322" s="2" t="s">
        <v>29</v>
      </c>
      <c r="H322" s="2">
        <v>352</v>
      </c>
      <c r="I322" s="2">
        <v>8</v>
      </c>
      <c r="J322" s="2">
        <v>4</v>
      </c>
      <c r="K322" s="2">
        <v>1</v>
      </c>
      <c r="L322" s="2">
        <v>41.9</v>
      </c>
      <c r="M322" s="4">
        <f>(60+60+60)/3</f>
        <v>60</v>
      </c>
      <c r="N322" s="4">
        <f>(50+50+65+75)/4</f>
        <v>60</v>
      </c>
      <c r="O322" s="2">
        <v>321</v>
      </c>
    </row>
    <row r="323" spans="1:15" x14ac:dyDescent="0.3">
      <c r="A323" s="2" t="s">
        <v>12</v>
      </c>
      <c r="B323" s="2" t="s">
        <v>941</v>
      </c>
      <c r="C323" s="2" t="s">
        <v>25</v>
      </c>
      <c r="D323" s="2" t="s">
        <v>35</v>
      </c>
      <c r="E323" s="2">
        <v>23</v>
      </c>
      <c r="F323" s="2" t="s">
        <v>332</v>
      </c>
      <c r="G323" s="2" t="s">
        <v>869</v>
      </c>
      <c r="H323" s="2">
        <v>351</v>
      </c>
      <c r="I323" s="2">
        <v>5</v>
      </c>
      <c r="J323" s="2">
        <v>1</v>
      </c>
      <c r="K323" s="2">
        <v>1</v>
      </c>
      <c r="L323" s="2">
        <v>43.9</v>
      </c>
      <c r="M323" s="4">
        <f>(15+23+25)/3</f>
        <v>21</v>
      </c>
      <c r="N323" s="4">
        <f>(22+18+20)/3</f>
        <v>20</v>
      </c>
      <c r="O323" s="2">
        <v>322</v>
      </c>
    </row>
    <row r="324" spans="1:15" x14ac:dyDescent="0.3">
      <c r="A324" s="2" t="s">
        <v>12</v>
      </c>
      <c r="B324" s="2" t="s">
        <v>897</v>
      </c>
      <c r="C324" s="2" t="s">
        <v>55</v>
      </c>
      <c r="D324" s="2" t="s">
        <v>23</v>
      </c>
      <c r="E324" s="2">
        <v>23</v>
      </c>
      <c r="F324" s="2" t="s">
        <v>50</v>
      </c>
      <c r="G324" s="2" t="s">
        <v>55</v>
      </c>
      <c r="H324" s="2">
        <v>351</v>
      </c>
      <c r="I324" s="2">
        <v>4</v>
      </c>
      <c r="J324" s="2">
        <v>0</v>
      </c>
      <c r="K324" s="2">
        <v>0</v>
      </c>
      <c r="L324" s="2">
        <v>39.299999999999997</v>
      </c>
      <c r="M324" s="4">
        <f>(3+4+7+10)/4</f>
        <v>6</v>
      </c>
      <c r="N324" s="4">
        <f>(12+15+12+16)/4</f>
        <v>13.75</v>
      </c>
      <c r="O324" s="2">
        <v>323</v>
      </c>
    </row>
    <row r="325" spans="1:15" x14ac:dyDescent="0.3">
      <c r="A325" s="2" t="s">
        <v>12</v>
      </c>
      <c r="B325" s="2" t="s">
        <v>213</v>
      </c>
      <c r="C325" s="2" t="s">
        <v>28</v>
      </c>
      <c r="D325" s="2" t="s">
        <v>35</v>
      </c>
      <c r="E325" s="2">
        <v>24</v>
      </c>
      <c r="F325" s="2" t="s">
        <v>216</v>
      </c>
      <c r="G325" s="2" t="s">
        <v>885</v>
      </c>
      <c r="H325" s="2">
        <v>350</v>
      </c>
      <c r="I325" s="2">
        <v>5</v>
      </c>
      <c r="J325" s="2">
        <v>2</v>
      </c>
      <c r="K325" s="2">
        <v>0</v>
      </c>
      <c r="L325" s="2">
        <v>34.799999999999997</v>
      </c>
      <c r="M325" s="4">
        <f>(3+2.5+3)/3</f>
        <v>2.8333333333333335</v>
      </c>
      <c r="N325" s="4">
        <f>(5+10+10)/3</f>
        <v>8.3333333333333339</v>
      </c>
      <c r="O325" s="2">
        <v>324</v>
      </c>
    </row>
    <row r="326" spans="1:15" x14ac:dyDescent="0.3">
      <c r="A326" s="2" t="s">
        <v>12</v>
      </c>
      <c r="B326" s="2" t="s">
        <v>942</v>
      </c>
      <c r="C326" s="2" t="s">
        <v>25</v>
      </c>
      <c r="D326" s="2" t="s">
        <v>35</v>
      </c>
      <c r="E326" s="2">
        <v>31</v>
      </c>
      <c r="F326" s="2" t="s">
        <v>15</v>
      </c>
      <c r="G326" s="2" t="s">
        <v>25</v>
      </c>
      <c r="H326" s="2">
        <v>349</v>
      </c>
      <c r="I326" s="2">
        <v>8</v>
      </c>
      <c r="J326" s="2">
        <v>0</v>
      </c>
      <c r="K326" s="2">
        <v>1</v>
      </c>
      <c r="L326" s="2">
        <v>47.4</v>
      </c>
      <c r="M326" s="4">
        <f>(15+15+12)/3</f>
        <v>14</v>
      </c>
      <c r="N326" s="4">
        <f>(12+9)/2</f>
        <v>10.5</v>
      </c>
      <c r="O326" s="2">
        <v>325</v>
      </c>
    </row>
    <row r="327" spans="1:15" x14ac:dyDescent="0.3">
      <c r="A327" s="2" t="s">
        <v>12</v>
      </c>
      <c r="B327" s="2" t="s">
        <v>430</v>
      </c>
      <c r="C327" s="2" t="s">
        <v>55</v>
      </c>
      <c r="D327" s="2" t="s">
        <v>24</v>
      </c>
      <c r="E327" s="2">
        <v>40</v>
      </c>
      <c r="F327" s="2" t="s">
        <v>50</v>
      </c>
      <c r="G327" s="2" t="s">
        <v>55</v>
      </c>
      <c r="H327" s="2">
        <v>349</v>
      </c>
      <c r="I327" s="2">
        <v>5</v>
      </c>
      <c r="J327" s="2">
        <v>0</v>
      </c>
      <c r="K327" s="2">
        <v>0</v>
      </c>
      <c r="L327" s="2">
        <v>39.799999999999997</v>
      </c>
      <c r="M327" s="4">
        <f>(1+1+1)/3</f>
        <v>1</v>
      </c>
      <c r="N327" s="4">
        <f>(1+1)/2</f>
        <v>1</v>
      </c>
      <c r="O327" s="2">
        <v>326</v>
      </c>
    </row>
    <row r="328" spans="1:15" x14ac:dyDescent="0.3">
      <c r="A328" s="2" t="s">
        <v>12</v>
      </c>
      <c r="B328" s="2" t="s">
        <v>431</v>
      </c>
      <c r="C328" s="2" t="s">
        <v>28</v>
      </c>
      <c r="D328" s="2" t="s">
        <v>35</v>
      </c>
      <c r="E328" s="2">
        <v>37</v>
      </c>
      <c r="F328" s="2" t="s">
        <v>44</v>
      </c>
      <c r="G328" s="2" t="s">
        <v>29</v>
      </c>
      <c r="H328" s="2">
        <v>347</v>
      </c>
      <c r="I328" s="2">
        <v>8</v>
      </c>
      <c r="J328" s="2">
        <v>0</v>
      </c>
      <c r="K328" s="2">
        <v>2</v>
      </c>
      <c r="L328" s="2">
        <v>44.7</v>
      </c>
      <c r="M328" s="4">
        <f>(2.5+2+2)/3</f>
        <v>2.1666666666666665</v>
      </c>
      <c r="N328" s="4">
        <f>(1.5+1.5+1)/3</f>
        <v>1.3333333333333333</v>
      </c>
      <c r="O328" s="2">
        <v>327</v>
      </c>
    </row>
    <row r="329" spans="1:15" x14ac:dyDescent="0.3">
      <c r="A329" s="2" t="s">
        <v>12</v>
      </c>
      <c r="B329" s="2" t="s">
        <v>943</v>
      </c>
      <c r="C329" s="2" t="s">
        <v>867</v>
      </c>
      <c r="D329" s="2" t="s">
        <v>23</v>
      </c>
      <c r="E329" s="2">
        <v>36</v>
      </c>
      <c r="F329" s="2" t="s">
        <v>64</v>
      </c>
      <c r="G329" s="2" t="s">
        <v>25</v>
      </c>
      <c r="H329" s="2">
        <v>347</v>
      </c>
      <c r="I329" s="2">
        <v>7</v>
      </c>
      <c r="J329" s="2">
        <v>1</v>
      </c>
      <c r="K329" s="2">
        <v>0</v>
      </c>
      <c r="L329" s="2">
        <v>38.700000000000003</v>
      </c>
      <c r="M329" s="4">
        <f>(15+15+10)/3</f>
        <v>13.333333333333334</v>
      </c>
      <c r="N329" s="4">
        <f>(8+4)/2</f>
        <v>6</v>
      </c>
      <c r="O329" s="2">
        <v>328</v>
      </c>
    </row>
    <row r="330" spans="1:15" x14ac:dyDescent="0.3">
      <c r="A330" s="2" t="s">
        <v>12</v>
      </c>
      <c r="B330" s="2" t="s">
        <v>432</v>
      </c>
      <c r="C330" s="2" t="s">
        <v>30</v>
      </c>
      <c r="D330" s="2" t="s">
        <v>35</v>
      </c>
      <c r="E330" s="2">
        <v>29</v>
      </c>
      <c r="F330" s="2" t="s">
        <v>847</v>
      </c>
      <c r="G330" s="2" t="s">
        <v>29</v>
      </c>
      <c r="H330" s="2">
        <v>347</v>
      </c>
      <c r="I330" s="2">
        <v>6</v>
      </c>
      <c r="J330" s="2">
        <v>0</v>
      </c>
      <c r="K330" s="2">
        <v>0</v>
      </c>
      <c r="L330" s="2">
        <v>30.9</v>
      </c>
      <c r="M330" s="4">
        <f>(60+60+55)/3</f>
        <v>58.333333333333336</v>
      </c>
      <c r="N330" s="4">
        <f>(48+35)/2</f>
        <v>41.5</v>
      </c>
      <c r="O330" s="2">
        <v>329</v>
      </c>
    </row>
    <row r="331" spans="1:15" x14ac:dyDescent="0.3">
      <c r="A331" s="2" t="s">
        <v>12</v>
      </c>
      <c r="B331" s="2" t="s">
        <v>145</v>
      </c>
      <c r="C331" s="2" t="s">
        <v>905</v>
      </c>
      <c r="D331" s="2" t="s">
        <v>24</v>
      </c>
      <c r="E331" s="2">
        <v>25</v>
      </c>
      <c r="F331" s="2" t="s">
        <v>250</v>
      </c>
      <c r="G331" s="2" t="s">
        <v>888</v>
      </c>
      <c r="H331" s="2">
        <v>347</v>
      </c>
      <c r="I331" s="2">
        <v>4</v>
      </c>
      <c r="J331" s="2">
        <v>0</v>
      </c>
      <c r="K331" s="2">
        <v>0</v>
      </c>
      <c r="L331" s="2">
        <v>30.5</v>
      </c>
      <c r="M331" s="4">
        <f>(3)/1</f>
        <v>3</v>
      </c>
      <c r="N331" s="4">
        <f>(3+3+3)/3</f>
        <v>3</v>
      </c>
      <c r="O331" s="2">
        <v>330</v>
      </c>
    </row>
    <row r="332" spans="1:15" x14ac:dyDescent="0.3">
      <c r="A332" s="2" t="s">
        <v>12</v>
      </c>
      <c r="B332" s="2" t="s">
        <v>433</v>
      </c>
      <c r="C332" s="2" t="s">
        <v>888</v>
      </c>
      <c r="D332" s="2" t="s">
        <v>35</v>
      </c>
      <c r="E332" s="2">
        <v>22</v>
      </c>
      <c r="F332" s="2" t="s">
        <v>116</v>
      </c>
      <c r="G332" s="2" t="s">
        <v>45</v>
      </c>
      <c r="H332" s="2">
        <v>345</v>
      </c>
      <c r="I332" s="2">
        <v>6</v>
      </c>
      <c r="J332" s="2">
        <v>3</v>
      </c>
      <c r="K332" s="2">
        <v>0</v>
      </c>
      <c r="L332" s="2">
        <v>40</v>
      </c>
      <c r="M332" s="4">
        <f>(6.5+5+12)/3</f>
        <v>7.833333333333333</v>
      </c>
      <c r="N332" s="4">
        <f>(18+25)/2</f>
        <v>21.5</v>
      </c>
      <c r="O332" s="2">
        <v>331</v>
      </c>
    </row>
    <row r="333" spans="1:15" x14ac:dyDescent="0.3">
      <c r="A333" s="2" t="s">
        <v>12</v>
      </c>
      <c r="B333" s="2" t="s">
        <v>434</v>
      </c>
      <c r="C333" s="2" t="s">
        <v>47</v>
      </c>
      <c r="D333" s="2" t="s">
        <v>35</v>
      </c>
      <c r="E333" s="2">
        <v>30</v>
      </c>
      <c r="F333" s="2" t="s">
        <v>911</v>
      </c>
      <c r="G333" s="2" t="s">
        <v>879</v>
      </c>
      <c r="H333" s="2">
        <v>345</v>
      </c>
      <c r="I333" s="2">
        <v>5</v>
      </c>
      <c r="J333" s="2">
        <v>1</v>
      </c>
      <c r="K333" s="2">
        <v>0</v>
      </c>
      <c r="L333" s="2">
        <v>38.299999999999997</v>
      </c>
      <c r="M333" s="4">
        <f>(9+12+11)/3</f>
        <v>10.666666666666666</v>
      </c>
      <c r="N333" s="4">
        <f>(9+8.5+8.5+8)/4</f>
        <v>8.5</v>
      </c>
      <c r="O333" s="2">
        <v>332</v>
      </c>
    </row>
    <row r="334" spans="1:15" x14ac:dyDescent="0.3">
      <c r="A334" s="2" t="s">
        <v>12</v>
      </c>
      <c r="B334" s="2" t="s">
        <v>435</v>
      </c>
      <c r="C334" s="2" t="s">
        <v>30</v>
      </c>
      <c r="D334" s="2" t="s">
        <v>24</v>
      </c>
      <c r="E334" s="2">
        <v>27</v>
      </c>
      <c r="F334" s="2" t="s">
        <v>237</v>
      </c>
      <c r="G334" s="2" t="s">
        <v>25</v>
      </c>
      <c r="H334" s="2">
        <v>345</v>
      </c>
      <c r="I334" s="2">
        <v>4</v>
      </c>
      <c r="J334" s="2">
        <v>0</v>
      </c>
      <c r="K334" s="2">
        <v>0</v>
      </c>
      <c r="L334" s="2">
        <v>40.4</v>
      </c>
      <c r="M334" s="4">
        <f>(40+25+25+18+14)/5</f>
        <v>24.4</v>
      </c>
      <c r="N334" s="4">
        <f>(12+12)/2</f>
        <v>12</v>
      </c>
      <c r="O334" s="2">
        <v>333</v>
      </c>
    </row>
    <row r="335" spans="1:15" x14ac:dyDescent="0.3">
      <c r="A335" s="2" t="s">
        <v>12</v>
      </c>
      <c r="B335" s="2" t="s">
        <v>436</v>
      </c>
      <c r="C335" s="2" t="s">
        <v>65</v>
      </c>
      <c r="D335" s="2" t="s">
        <v>24</v>
      </c>
      <c r="E335" s="2">
        <v>26</v>
      </c>
      <c r="F335" s="2" t="s">
        <v>16</v>
      </c>
      <c r="G335" s="2" t="s">
        <v>29</v>
      </c>
      <c r="H335" s="2">
        <v>344</v>
      </c>
      <c r="I335" s="2">
        <v>5</v>
      </c>
      <c r="J335" s="2">
        <v>0</v>
      </c>
      <c r="K335" s="2">
        <v>2</v>
      </c>
      <c r="L335" s="2">
        <v>42.7</v>
      </c>
      <c r="M335" s="4">
        <f>(8+8+10+10)/4</f>
        <v>9</v>
      </c>
      <c r="N335" s="4">
        <f>(15+18)/2</f>
        <v>16.5</v>
      </c>
      <c r="O335" s="2">
        <v>334</v>
      </c>
    </row>
    <row r="336" spans="1:15" x14ac:dyDescent="0.3">
      <c r="A336" s="2" t="s">
        <v>12</v>
      </c>
      <c r="B336" s="2" t="s">
        <v>437</v>
      </c>
      <c r="C336" s="2" t="s">
        <v>871</v>
      </c>
      <c r="D336" s="2" t="s">
        <v>35</v>
      </c>
      <c r="E336" s="2">
        <v>33</v>
      </c>
      <c r="F336" s="2" t="s">
        <v>58</v>
      </c>
      <c r="G336" s="2" t="s">
        <v>55</v>
      </c>
      <c r="H336" s="2">
        <v>343</v>
      </c>
      <c r="I336" s="2">
        <v>9</v>
      </c>
      <c r="J336" s="2">
        <v>0</v>
      </c>
      <c r="K336" s="2">
        <v>0</v>
      </c>
      <c r="L336" s="2">
        <v>45.2</v>
      </c>
      <c r="M336" s="4">
        <f>(4+4+4)/3</f>
        <v>4</v>
      </c>
      <c r="N336" s="4">
        <f>(3+2.5+2)/3</f>
        <v>2.5</v>
      </c>
      <c r="O336" s="2">
        <v>335</v>
      </c>
    </row>
    <row r="337" spans="1:15" x14ac:dyDescent="0.3">
      <c r="A337" s="2" t="s">
        <v>12</v>
      </c>
      <c r="B337" s="2" t="s">
        <v>438</v>
      </c>
      <c r="C337" s="2" t="s">
        <v>28</v>
      </c>
      <c r="D337" s="2" t="s">
        <v>35</v>
      </c>
      <c r="E337" s="2">
        <v>24</v>
      </c>
      <c r="F337" s="2" t="s">
        <v>216</v>
      </c>
      <c r="G337" s="2" t="s">
        <v>885</v>
      </c>
      <c r="H337" s="2">
        <v>343</v>
      </c>
      <c r="I337" s="2">
        <v>4</v>
      </c>
      <c r="J337" s="2">
        <v>0</v>
      </c>
      <c r="K337" s="2">
        <v>0</v>
      </c>
      <c r="L337" s="2">
        <v>40.9</v>
      </c>
      <c r="M337" s="4">
        <f>(17+15+17+17)/4</f>
        <v>16.5</v>
      </c>
      <c r="N337" s="4">
        <f>(17+17+12)/3</f>
        <v>15.333333333333334</v>
      </c>
      <c r="O337" s="2">
        <v>336</v>
      </c>
    </row>
    <row r="338" spans="1:15" x14ac:dyDescent="0.3">
      <c r="A338" s="2" t="s">
        <v>12</v>
      </c>
      <c r="B338" s="2" t="s">
        <v>439</v>
      </c>
      <c r="C338" s="2" t="s">
        <v>872</v>
      </c>
      <c r="D338" s="2" t="s">
        <v>23</v>
      </c>
      <c r="E338" s="2">
        <v>26</v>
      </c>
      <c r="F338" s="2" t="s">
        <v>250</v>
      </c>
      <c r="G338" s="2" t="s">
        <v>888</v>
      </c>
      <c r="H338" s="2">
        <v>341</v>
      </c>
      <c r="I338" s="2">
        <v>6</v>
      </c>
      <c r="J338" s="2">
        <v>2</v>
      </c>
      <c r="K338" s="2">
        <v>0</v>
      </c>
      <c r="L338" s="2">
        <v>35.6</v>
      </c>
      <c r="M338" s="4">
        <f>(4.5+5)/2</f>
        <v>4.75</v>
      </c>
      <c r="N338" s="4">
        <f>(5+7+10)/3</f>
        <v>7.333333333333333</v>
      </c>
      <c r="O338" s="2">
        <v>337</v>
      </c>
    </row>
    <row r="339" spans="1:15" x14ac:dyDescent="0.3">
      <c r="A339" s="2" t="s">
        <v>12</v>
      </c>
      <c r="B339" s="2" t="s">
        <v>440</v>
      </c>
      <c r="C339" s="2" t="s">
        <v>21</v>
      </c>
      <c r="D339" s="2" t="s">
        <v>35</v>
      </c>
      <c r="E339" s="2">
        <v>20</v>
      </c>
      <c r="F339" s="2" t="s">
        <v>204</v>
      </c>
      <c r="G339" s="2" t="s">
        <v>57</v>
      </c>
      <c r="H339" s="2">
        <v>337</v>
      </c>
      <c r="I339" s="2">
        <v>4</v>
      </c>
      <c r="J339" s="2">
        <v>0</v>
      </c>
      <c r="K339" s="2">
        <v>0</v>
      </c>
      <c r="L339" s="2">
        <v>41.5</v>
      </c>
      <c r="M339" s="4">
        <f>(6.8+6.8+10)/3</f>
        <v>7.8666666666666671</v>
      </c>
      <c r="N339" s="4">
        <f>(10+10)/2</f>
        <v>10</v>
      </c>
      <c r="O339" s="2">
        <v>338</v>
      </c>
    </row>
    <row r="340" spans="1:15" x14ac:dyDescent="0.3">
      <c r="A340" s="2" t="s">
        <v>12</v>
      </c>
      <c r="B340" s="2" t="s">
        <v>441</v>
      </c>
      <c r="C340" s="2" t="s">
        <v>869</v>
      </c>
      <c r="D340" s="2" t="s">
        <v>23</v>
      </c>
      <c r="E340" s="2">
        <v>25</v>
      </c>
      <c r="F340" s="2" t="s">
        <v>164</v>
      </c>
      <c r="G340" s="2" t="s">
        <v>869</v>
      </c>
      <c r="H340" s="2">
        <v>336</v>
      </c>
      <c r="I340" s="2">
        <v>4</v>
      </c>
      <c r="J340" s="2">
        <v>2</v>
      </c>
      <c r="K340" s="2">
        <v>0</v>
      </c>
      <c r="L340" s="2">
        <v>37.5</v>
      </c>
      <c r="M340" s="4">
        <f>(60+60+70+70)/4</f>
        <v>65</v>
      </c>
      <c r="N340" s="4">
        <f>(65+60)/2</f>
        <v>62.5</v>
      </c>
      <c r="O340" s="2">
        <v>339</v>
      </c>
    </row>
    <row r="341" spans="1:15" x14ac:dyDescent="0.3">
      <c r="A341" s="2" t="s">
        <v>12</v>
      </c>
      <c r="B341" s="2" t="s">
        <v>442</v>
      </c>
      <c r="C341" s="2" t="s">
        <v>38</v>
      </c>
      <c r="D341" s="2" t="s">
        <v>24</v>
      </c>
      <c r="E341" s="2">
        <v>21</v>
      </c>
      <c r="F341" s="2" t="s">
        <v>253</v>
      </c>
      <c r="G341" s="2" t="s">
        <v>57</v>
      </c>
      <c r="H341" s="2">
        <v>334</v>
      </c>
      <c r="I341" s="2">
        <v>6</v>
      </c>
      <c r="J341" s="2">
        <v>0</v>
      </c>
      <c r="K341" s="2">
        <v>0</v>
      </c>
      <c r="L341" s="2">
        <v>41.5</v>
      </c>
      <c r="M341" s="4">
        <f>(19+25)/2</f>
        <v>22</v>
      </c>
      <c r="N341" s="4">
        <f>(30+35+60+60+75)/5</f>
        <v>52</v>
      </c>
      <c r="O341" s="2">
        <v>340</v>
      </c>
    </row>
    <row r="342" spans="1:15" x14ac:dyDescent="0.3">
      <c r="A342" s="2" t="s">
        <v>12</v>
      </c>
      <c r="B342" s="2" t="s">
        <v>443</v>
      </c>
      <c r="C342" s="2" t="s">
        <v>869</v>
      </c>
      <c r="D342" s="2" t="s">
        <v>35</v>
      </c>
      <c r="E342" s="2">
        <v>22</v>
      </c>
      <c r="F342" s="2" t="s">
        <v>332</v>
      </c>
      <c r="G342" s="2" t="s">
        <v>869</v>
      </c>
      <c r="H342" s="2">
        <v>333</v>
      </c>
      <c r="I342" s="2">
        <v>6</v>
      </c>
      <c r="J342" s="2">
        <v>0</v>
      </c>
      <c r="K342" s="2">
        <v>0</v>
      </c>
      <c r="L342" s="2">
        <v>44.4</v>
      </c>
      <c r="M342" s="4">
        <f>(27+35)/2</f>
        <v>31</v>
      </c>
      <c r="N342" s="4">
        <f>(40+50+50)/3</f>
        <v>46.666666666666664</v>
      </c>
      <c r="O342" s="2">
        <v>341</v>
      </c>
    </row>
    <row r="343" spans="1:15" x14ac:dyDescent="0.3">
      <c r="A343" s="2" t="s">
        <v>12</v>
      </c>
      <c r="B343" s="2" t="s">
        <v>944</v>
      </c>
      <c r="C343" s="2" t="s">
        <v>25</v>
      </c>
      <c r="D343" s="2" t="s">
        <v>24</v>
      </c>
      <c r="E343" s="2">
        <v>37</v>
      </c>
      <c r="F343" s="2" t="s">
        <v>212</v>
      </c>
      <c r="G343" s="2" t="s">
        <v>25</v>
      </c>
      <c r="H343" s="2">
        <v>332</v>
      </c>
      <c r="I343" s="2">
        <v>4</v>
      </c>
      <c r="J343" s="2">
        <v>0</v>
      </c>
      <c r="K343" s="2">
        <v>0</v>
      </c>
      <c r="L343" s="2">
        <v>40</v>
      </c>
      <c r="M343" s="4">
        <f>(3+3+3)/3</f>
        <v>3</v>
      </c>
      <c r="N343" s="4">
        <f>(3+3)/2</f>
        <v>3</v>
      </c>
      <c r="O343" s="2">
        <v>342</v>
      </c>
    </row>
    <row r="344" spans="1:15" x14ac:dyDescent="0.3">
      <c r="A344" s="2" t="s">
        <v>12</v>
      </c>
      <c r="B344" s="2" t="s">
        <v>444</v>
      </c>
      <c r="C344" s="2" t="s">
        <v>885</v>
      </c>
      <c r="D344" s="2" t="s">
        <v>24</v>
      </c>
      <c r="E344" s="2">
        <v>27</v>
      </c>
      <c r="F344" s="2" t="s">
        <v>198</v>
      </c>
      <c r="G344" s="2" t="s">
        <v>21</v>
      </c>
      <c r="H344" s="2">
        <v>331</v>
      </c>
      <c r="I344" s="2">
        <v>4</v>
      </c>
      <c r="J344" s="2">
        <v>0</v>
      </c>
      <c r="K344" s="2">
        <v>1</v>
      </c>
      <c r="L344" s="2">
        <v>39.1</v>
      </c>
      <c r="M344" s="4">
        <f>(3+3)/2</f>
        <v>3</v>
      </c>
      <c r="N344" s="4">
        <f>(3.2+3.2+3)/3</f>
        <v>3.1333333333333333</v>
      </c>
      <c r="O344" s="2">
        <v>343</v>
      </c>
    </row>
    <row r="345" spans="1:15" x14ac:dyDescent="0.3">
      <c r="A345" s="2" t="s">
        <v>12</v>
      </c>
      <c r="B345" s="2" t="s">
        <v>445</v>
      </c>
      <c r="C345" s="2" t="s">
        <v>872</v>
      </c>
      <c r="D345" s="2" t="s">
        <v>24</v>
      </c>
      <c r="E345" s="2">
        <v>30</v>
      </c>
      <c r="F345" s="2" t="s">
        <v>204</v>
      </c>
      <c r="G345" s="2" t="s">
        <v>57</v>
      </c>
      <c r="H345" s="2">
        <v>331</v>
      </c>
      <c r="I345" s="2">
        <v>4</v>
      </c>
      <c r="J345" s="2">
        <v>0</v>
      </c>
      <c r="K345" s="2">
        <v>0</v>
      </c>
      <c r="L345" s="2">
        <v>36.299999999999997</v>
      </c>
      <c r="M345" s="4">
        <f>(12+14+12)/3</f>
        <v>12.666666666666666</v>
      </c>
      <c r="N345" s="4">
        <f>(7+6)/2</f>
        <v>6.5</v>
      </c>
      <c r="O345" s="2">
        <v>344</v>
      </c>
    </row>
    <row r="346" spans="1:15" x14ac:dyDescent="0.3">
      <c r="A346" s="2" t="s">
        <v>12</v>
      </c>
      <c r="B346" s="2" t="s">
        <v>446</v>
      </c>
      <c r="C346" s="2" t="s">
        <v>25</v>
      </c>
      <c r="D346" s="2" t="s">
        <v>35</v>
      </c>
      <c r="E346" s="2">
        <v>31</v>
      </c>
      <c r="F346" s="2" t="s">
        <v>19</v>
      </c>
      <c r="G346" s="2" t="s">
        <v>25</v>
      </c>
      <c r="H346" s="2">
        <v>330</v>
      </c>
      <c r="I346" s="2">
        <v>9</v>
      </c>
      <c r="J346" s="2">
        <v>1</v>
      </c>
      <c r="K346" s="2">
        <v>0</v>
      </c>
      <c r="L346" s="2">
        <v>42.9</v>
      </c>
      <c r="M346" s="4">
        <f>(11+12+12)/3</f>
        <v>11.666666666666666</v>
      </c>
      <c r="N346" s="4">
        <f>(14+12+6)/3</f>
        <v>10.666666666666666</v>
      </c>
      <c r="O346" s="2">
        <v>345</v>
      </c>
    </row>
    <row r="347" spans="1:15" x14ac:dyDescent="0.3">
      <c r="A347" s="2" t="s">
        <v>12</v>
      </c>
      <c r="B347" s="2" t="s">
        <v>945</v>
      </c>
      <c r="C347" s="2" t="s">
        <v>55</v>
      </c>
      <c r="D347" s="2" t="s">
        <v>35</v>
      </c>
      <c r="E347" s="2">
        <v>24</v>
      </c>
      <c r="F347" s="2" t="s">
        <v>162</v>
      </c>
      <c r="G347" s="2" t="s">
        <v>55</v>
      </c>
      <c r="H347" s="2">
        <v>329</v>
      </c>
      <c r="I347" s="2">
        <v>5</v>
      </c>
      <c r="J347" s="2">
        <v>4</v>
      </c>
      <c r="K347" s="2">
        <v>2</v>
      </c>
      <c r="L347" s="2">
        <v>41.3</v>
      </c>
      <c r="M347" s="4">
        <f>(15+22+25+38)/4</f>
        <v>25</v>
      </c>
      <c r="N347" s="4">
        <f>(35+30+30)/3</f>
        <v>31.666666666666668</v>
      </c>
      <c r="O347" s="2">
        <v>346</v>
      </c>
    </row>
    <row r="348" spans="1:15" x14ac:dyDescent="0.3">
      <c r="A348" s="2" t="s">
        <v>12</v>
      </c>
      <c r="B348" s="2" t="s">
        <v>447</v>
      </c>
      <c r="C348" s="2" t="s">
        <v>888</v>
      </c>
      <c r="D348" s="2" t="s">
        <v>24</v>
      </c>
      <c r="E348" s="2">
        <v>27</v>
      </c>
      <c r="F348" s="2" t="s">
        <v>204</v>
      </c>
      <c r="G348" s="2" t="s">
        <v>57</v>
      </c>
      <c r="H348" s="2">
        <v>328</v>
      </c>
      <c r="I348" s="2">
        <v>6</v>
      </c>
      <c r="J348" s="2">
        <v>0</v>
      </c>
      <c r="K348" s="2">
        <v>0</v>
      </c>
      <c r="L348" s="2">
        <v>38.6</v>
      </c>
      <c r="M348" s="4">
        <f>(9+12+14+12)/4</f>
        <v>11.75</v>
      </c>
      <c r="N348" s="4">
        <f>(9+7)/2</f>
        <v>8</v>
      </c>
      <c r="O348" s="2">
        <v>347</v>
      </c>
    </row>
    <row r="349" spans="1:15" x14ac:dyDescent="0.3">
      <c r="A349" s="2" t="s">
        <v>12</v>
      </c>
      <c r="B349" s="2" t="s">
        <v>448</v>
      </c>
      <c r="C349" s="2" t="s">
        <v>30</v>
      </c>
      <c r="D349" s="2" t="s">
        <v>24</v>
      </c>
      <c r="E349" s="2">
        <v>23</v>
      </c>
      <c r="F349" s="2" t="s">
        <v>116</v>
      </c>
      <c r="G349" s="2" t="s">
        <v>45</v>
      </c>
      <c r="H349" s="2">
        <v>328</v>
      </c>
      <c r="I349" s="2">
        <v>5</v>
      </c>
      <c r="J349" s="2">
        <v>0</v>
      </c>
      <c r="K349" s="2">
        <v>0</v>
      </c>
      <c r="L349" s="2">
        <v>38.9</v>
      </c>
      <c r="M349" s="4">
        <f>(3+6+8)/3</f>
        <v>5.666666666666667</v>
      </c>
      <c r="N349" s="4">
        <f>(12+15)/2</f>
        <v>13.5</v>
      </c>
      <c r="O349" s="2">
        <v>348</v>
      </c>
    </row>
    <row r="350" spans="1:15" x14ac:dyDescent="0.3">
      <c r="A350" s="2" t="s">
        <v>12</v>
      </c>
      <c r="B350" s="2" t="s">
        <v>449</v>
      </c>
      <c r="C350" s="2" t="s">
        <v>870</v>
      </c>
      <c r="D350" s="2" t="s">
        <v>35</v>
      </c>
      <c r="E350" s="2">
        <v>32</v>
      </c>
      <c r="F350" s="2" t="s">
        <v>896</v>
      </c>
      <c r="G350" s="2" t="s">
        <v>900</v>
      </c>
      <c r="H350" s="2">
        <v>328</v>
      </c>
      <c r="I350" s="2">
        <v>4</v>
      </c>
      <c r="J350" s="2">
        <v>0</v>
      </c>
      <c r="K350" s="2">
        <v>0</v>
      </c>
      <c r="L350" s="2">
        <v>41.9</v>
      </c>
      <c r="M350" s="4">
        <f>(2.5+2.5)/2</f>
        <v>2.5</v>
      </c>
      <c r="N350" s="4">
        <f>(2.2+2.2)/2</f>
        <v>2.2000000000000002</v>
      </c>
      <c r="O350" s="2">
        <v>349</v>
      </c>
    </row>
    <row r="351" spans="1:15" x14ac:dyDescent="0.3">
      <c r="A351" s="2" t="s">
        <v>12</v>
      </c>
      <c r="B351" s="2" t="s">
        <v>946</v>
      </c>
      <c r="C351" s="2" t="s">
        <v>25</v>
      </c>
      <c r="D351" s="2" t="s">
        <v>35</v>
      </c>
      <c r="E351" s="2">
        <v>28</v>
      </c>
      <c r="F351" s="2" t="s">
        <v>212</v>
      </c>
      <c r="G351" s="2" t="s">
        <v>25</v>
      </c>
      <c r="H351" s="2">
        <v>327</v>
      </c>
      <c r="I351" s="2">
        <v>6</v>
      </c>
      <c r="J351" s="2">
        <v>1</v>
      </c>
      <c r="K351" s="2">
        <v>0</v>
      </c>
      <c r="L351" s="2">
        <v>43.3</v>
      </c>
      <c r="M351" s="4">
        <f>(25+30+30+30)/4</f>
        <v>28.75</v>
      </c>
      <c r="N351" s="4">
        <f>(22+18+14)/3</f>
        <v>18</v>
      </c>
      <c r="O351" s="2">
        <v>350</v>
      </c>
    </row>
    <row r="352" spans="1:15" x14ac:dyDescent="0.3">
      <c r="A352" s="2" t="s">
        <v>12</v>
      </c>
      <c r="B352" s="2" t="s">
        <v>450</v>
      </c>
      <c r="C352" s="2" t="s">
        <v>25</v>
      </c>
      <c r="D352" s="2" t="s">
        <v>35</v>
      </c>
      <c r="E352" s="2">
        <v>33</v>
      </c>
      <c r="F352" s="2" t="s">
        <v>121</v>
      </c>
      <c r="G352" s="2" t="s">
        <v>30</v>
      </c>
      <c r="H352" s="2">
        <v>326</v>
      </c>
      <c r="I352" s="2">
        <v>6</v>
      </c>
      <c r="J352" s="2">
        <v>1</v>
      </c>
      <c r="K352" s="2">
        <v>0</v>
      </c>
      <c r="L352" s="2">
        <v>44.3</v>
      </c>
      <c r="M352" s="4">
        <f>(13+12)/2</f>
        <v>12.5</v>
      </c>
      <c r="N352" s="4">
        <f>(10+8+4)/3</f>
        <v>7.333333333333333</v>
      </c>
      <c r="O352" s="2">
        <v>351</v>
      </c>
    </row>
    <row r="353" spans="1:15" x14ac:dyDescent="0.3">
      <c r="A353" s="2" t="s">
        <v>12</v>
      </c>
      <c r="B353" s="2" t="s">
        <v>451</v>
      </c>
      <c r="C353" s="2" t="s">
        <v>885</v>
      </c>
      <c r="D353" s="2" t="s">
        <v>35</v>
      </c>
      <c r="E353" s="2">
        <v>32</v>
      </c>
      <c r="F353" s="2" t="s">
        <v>209</v>
      </c>
      <c r="G353" s="2" t="s">
        <v>885</v>
      </c>
      <c r="H353" s="2">
        <v>325</v>
      </c>
      <c r="I353" s="2">
        <v>6</v>
      </c>
      <c r="J353" s="2">
        <v>1</v>
      </c>
      <c r="K353" s="2">
        <v>0</v>
      </c>
      <c r="L353" s="2">
        <v>42.7</v>
      </c>
      <c r="M353" s="4">
        <f>(1.5+1.5+1.8)/3</f>
        <v>1.5999999999999999</v>
      </c>
      <c r="N353" s="4">
        <f>(1.8+1.5)/2</f>
        <v>1.65</v>
      </c>
      <c r="O353" s="2">
        <v>352</v>
      </c>
    </row>
    <row r="354" spans="1:15" x14ac:dyDescent="0.3">
      <c r="A354" s="2" t="s">
        <v>12</v>
      </c>
      <c r="B354" s="2" t="s">
        <v>947</v>
      </c>
      <c r="C354" s="2" t="s">
        <v>56</v>
      </c>
      <c r="D354" s="2" t="s">
        <v>24</v>
      </c>
      <c r="E354" s="2">
        <v>28</v>
      </c>
      <c r="F354" s="2" t="s">
        <v>44</v>
      </c>
      <c r="G354" s="2" t="s">
        <v>29</v>
      </c>
      <c r="H354" s="2">
        <v>324</v>
      </c>
      <c r="I354" s="2">
        <v>6</v>
      </c>
      <c r="J354" s="2">
        <v>1</v>
      </c>
      <c r="K354" s="2">
        <v>0</v>
      </c>
      <c r="L354" s="2">
        <v>36.9</v>
      </c>
      <c r="M354" s="4">
        <f>(35+32+28)/3</f>
        <v>31.666666666666668</v>
      </c>
      <c r="N354" s="4">
        <f>(25+25+30)/3</f>
        <v>26.666666666666668</v>
      </c>
      <c r="O354" s="2">
        <v>353</v>
      </c>
    </row>
    <row r="355" spans="1:15" x14ac:dyDescent="0.3">
      <c r="A355" s="2" t="s">
        <v>12</v>
      </c>
      <c r="B355" s="2" t="s">
        <v>452</v>
      </c>
      <c r="C355" s="2" t="s">
        <v>28</v>
      </c>
      <c r="D355" s="2" t="s">
        <v>35</v>
      </c>
      <c r="E355" s="2">
        <v>31</v>
      </c>
      <c r="F355" s="2" t="s">
        <v>16</v>
      </c>
      <c r="G355" s="2" t="s">
        <v>29</v>
      </c>
      <c r="H355" s="2">
        <v>323</v>
      </c>
      <c r="I355" s="2">
        <v>7</v>
      </c>
      <c r="J355" s="2">
        <v>5</v>
      </c>
      <c r="K355" s="2">
        <v>0</v>
      </c>
      <c r="L355" s="2">
        <v>43</v>
      </c>
      <c r="M355" s="4">
        <f>(55+50+40+38)/4</f>
        <v>45.75</v>
      </c>
      <c r="N355" s="4">
        <f>(32+28)/2</f>
        <v>30</v>
      </c>
      <c r="O355" s="2">
        <v>354</v>
      </c>
    </row>
    <row r="356" spans="1:15" x14ac:dyDescent="0.3">
      <c r="A356" s="2" t="s">
        <v>12</v>
      </c>
      <c r="B356" s="2" t="s">
        <v>453</v>
      </c>
      <c r="C356" s="2" t="s">
        <v>57</v>
      </c>
      <c r="D356" s="2" t="s">
        <v>23</v>
      </c>
      <c r="E356" s="2">
        <v>24</v>
      </c>
      <c r="F356" s="2" t="s">
        <v>204</v>
      </c>
      <c r="G356" s="2" t="s">
        <v>57</v>
      </c>
      <c r="H356" s="2">
        <v>322</v>
      </c>
      <c r="I356" s="2">
        <v>5</v>
      </c>
      <c r="J356" s="2">
        <v>2</v>
      </c>
      <c r="K356" s="2">
        <v>0</v>
      </c>
      <c r="L356" s="2">
        <v>42</v>
      </c>
      <c r="M356" s="4">
        <f>(8+12+18)/3</f>
        <v>12.666666666666666</v>
      </c>
      <c r="N356" s="4">
        <f>(18+18)/2</f>
        <v>18</v>
      </c>
      <c r="O356" s="2">
        <v>355</v>
      </c>
    </row>
    <row r="357" spans="1:15" x14ac:dyDescent="0.3">
      <c r="A357" s="2" t="s">
        <v>12</v>
      </c>
      <c r="B357" s="2" t="s">
        <v>454</v>
      </c>
      <c r="C357" s="2" t="s">
        <v>959</v>
      </c>
      <c r="D357" s="2" t="s">
        <v>35</v>
      </c>
      <c r="E357" s="2">
        <v>23</v>
      </c>
      <c r="F357" s="2" t="s">
        <v>216</v>
      </c>
      <c r="G357" s="2" t="s">
        <v>885</v>
      </c>
      <c r="H357" s="2">
        <v>322</v>
      </c>
      <c r="I357" s="2">
        <v>5</v>
      </c>
      <c r="J357" s="2">
        <v>0</v>
      </c>
      <c r="K357" s="2">
        <v>0</v>
      </c>
      <c r="L357" s="2">
        <v>42.3</v>
      </c>
      <c r="M357" s="4">
        <f>(15+20+18)/3</f>
        <v>17.666666666666668</v>
      </c>
      <c r="N357" s="4">
        <f>(18+18)/2</f>
        <v>18</v>
      </c>
      <c r="O357" s="2">
        <v>356</v>
      </c>
    </row>
    <row r="358" spans="1:15" x14ac:dyDescent="0.3">
      <c r="A358" s="2" t="s">
        <v>12</v>
      </c>
      <c r="B358" s="2" t="s">
        <v>531</v>
      </c>
      <c r="C358" s="2" t="s">
        <v>37</v>
      </c>
      <c r="D358" s="2" t="s">
        <v>23</v>
      </c>
      <c r="E358" s="2">
        <v>35</v>
      </c>
      <c r="F358" s="2" t="s">
        <v>212</v>
      </c>
      <c r="G358" s="2" t="s">
        <v>25</v>
      </c>
      <c r="H358" s="2">
        <v>322</v>
      </c>
      <c r="I358" s="2">
        <v>5</v>
      </c>
      <c r="J358" s="2">
        <v>0</v>
      </c>
      <c r="K358" s="2">
        <v>0</v>
      </c>
      <c r="L358" s="2">
        <v>36.700000000000003</v>
      </c>
      <c r="M358" s="4">
        <f>(9+6)/2</f>
        <v>7.5</v>
      </c>
      <c r="N358" s="4">
        <f>(6+4)/2</f>
        <v>5</v>
      </c>
      <c r="O358" s="2">
        <v>357</v>
      </c>
    </row>
    <row r="359" spans="1:15" x14ac:dyDescent="0.3">
      <c r="A359" s="2" t="s">
        <v>12</v>
      </c>
      <c r="B359" s="2" t="s">
        <v>948</v>
      </c>
      <c r="C359" s="2" t="s">
        <v>875</v>
      </c>
      <c r="D359" s="2" t="s">
        <v>35</v>
      </c>
      <c r="E359" s="2">
        <v>26</v>
      </c>
      <c r="F359" s="2" t="s">
        <v>332</v>
      </c>
      <c r="G359" s="2" t="s">
        <v>869</v>
      </c>
      <c r="H359" s="2">
        <v>321</v>
      </c>
      <c r="I359" s="2">
        <v>5</v>
      </c>
      <c r="J359" s="2">
        <v>0</v>
      </c>
      <c r="K359" s="2">
        <v>1</v>
      </c>
      <c r="L359" s="2">
        <v>41.2</v>
      </c>
      <c r="M359" s="4">
        <f>(50+55+48)/3</f>
        <v>51</v>
      </c>
      <c r="N359" s="4">
        <f>(45+45+35)/3</f>
        <v>41.666666666666664</v>
      </c>
      <c r="O359" s="2">
        <v>358</v>
      </c>
    </row>
    <row r="360" spans="1:15" x14ac:dyDescent="0.3">
      <c r="A360" s="2" t="s">
        <v>12</v>
      </c>
      <c r="B360" s="2" t="s">
        <v>456</v>
      </c>
      <c r="C360" s="2" t="s">
        <v>21</v>
      </c>
      <c r="D360" s="2" t="s">
        <v>23</v>
      </c>
      <c r="E360" s="2">
        <v>29</v>
      </c>
      <c r="F360" s="2" t="s">
        <v>79</v>
      </c>
      <c r="G360" s="2" t="s">
        <v>29</v>
      </c>
      <c r="H360" s="2">
        <v>320</v>
      </c>
      <c r="I360" s="2">
        <v>6</v>
      </c>
      <c r="J360" s="2">
        <v>2</v>
      </c>
      <c r="K360" s="2">
        <v>0</v>
      </c>
      <c r="L360" s="2">
        <v>31.5</v>
      </c>
      <c r="M360" s="4">
        <f>(100+100)/2</f>
        <v>100</v>
      </c>
      <c r="N360" s="4">
        <f>(85+70+55)/3</f>
        <v>70</v>
      </c>
      <c r="O360" s="2">
        <v>359</v>
      </c>
    </row>
    <row r="361" spans="1:15" x14ac:dyDescent="0.3">
      <c r="A361" s="2" t="s">
        <v>12</v>
      </c>
      <c r="B361" s="2" t="s">
        <v>949</v>
      </c>
      <c r="C361" s="2" t="s">
        <v>877</v>
      </c>
      <c r="D361" s="2" t="s">
        <v>35</v>
      </c>
      <c r="E361" s="2">
        <v>26</v>
      </c>
      <c r="F361" s="2" t="s">
        <v>50</v>
      </c>
      <c r="G361" s="2" t="s">
        <v>55</v>
      </c>
      <c r="H361" s="2">
        <v>320</v>
      </c>
      <c r="I361" s="2">
        <v>6</v>
      </c>
      <c r="J361" s="2">
        <v>0</v>
      </c>
      <c r="K361" s="2">
        <v>1</v>
      </c>
      <c r="L361" s="2">
        <v>40.9</v>
      </c>
      <c r="M361" s="4">
        <f>(14+15+13)/3</f>
        <v>14</v>
      </c>
      <c r="N361" s="4">
        <f>(12+12+9)/3</f>
        <v>11</v>
      </c>
      <c r="O361" s="2">
        <v>360</v>
      </c>
    </row>
    <row r="362" spans="1:15" x14ac:dyDescent="0.3">
      <c r="A362" s="2" t="s">
        <v>12</v>
      </c>
      <c r="B362" s="2" t="s">
        <v>457</v>
      </c>
      <c r="C362" s="2" t="s">
        <v>37</v>
      </c>
      <c r="D362" s="2" t="s">
        <v>35</v>
      </c>
      <c r="E362" s="2">
        <v>28</v>
      </c>
      <c r="F362" s="2" t="s">
        <v>121</v>
      </c>
      <c r="G362" s="2" t="s">
        <v>30</v>
      </c>
      <c r="H362" s="2">
        <v>315</v>
      </c>
      <c r="I362" s="2">
        <v>5</v>
      </c>
      <c r="J362" s="2">
        <v>0</v>
      </c>
      <c r="K362" s="2">
        <v>0</v>
      </c>
      <c r="L362" s="2">
        <v>36.9</v>
      </c>
      <c r="M362" s="4">
        <f>(20+22+20)/3</f>
        <v>20.666666666666668</v>
      </c>
      <c r="N362" s="4">
        <f>(17+15)/2</f>
        <v>16</v>
      </c>
      <c r="O362" s="2">
        <v>361</v>
      </c>
    </row>
    <row r="363" spans="1:15" x14ac:dyDescent="0.3">
      <c r="A363" s="2" t="s">
        <v>12</v>
      </c>
      <c r="B363" s="2" t="s">
        <v>458</v>
      </c>
      <c r="C363" s="2" t="s">
        <v>869</v>
      </c>
      <c r="D363" s="2" t="s">
        <v>24</v>
      </c>
      <c r="E363" s="2">
        <v>26</v>
      </c>
      <c r="F363" s="2" t="s">
        <v>332</v>
      </c>
      <c r="G363" s="2" t="s">
        <v>869</v>
      </c>
      <c r="H363" s="2">
        <v>315</v>
      </c>
      <c r="I363" s="2">
        <v>4</v>
      </c>
      <c r="J363" s="2">
        <v>0</v>
      </c>
      <c r="K363" s="2">
        <v>0</v>
      </c>
      <c r="L363" s="2">
        <v>38.5</v>
      </c>
      <c r="M363" s="4">
        <f>(25+25+25)/3</f>
        <v>25</v>
      </c>
      <c r="N363" s="4">
        <f>(25+25)/2</f>
        <v>25</v>
      </c>
      <c r="O363" s="2">
        <v>362</v>
      </c>
    </row>
    <row r="364" spans="1:15" x14ac:dyDescent="0.3">
      <c r="A364" s="2" t="s">
        <v>12</v>
      </c>
      <c r="B364" s="2" t="s">
        <v>950</v>
      </c>
      <c r="C364" s="2" t="s">
        <v>927</v>
      </c>
      <c r="D364" s="2" t="s">
        <v>24</v>
      </c>
      <c r="E364" s="2">
        <v>30</v>
      </c>
      <c r="F364" s="2" t="s">
        <v>253</v>
      </c>
      <c r="G364" s="2" t="s">
        <v>57</v>
      </c>
      <c r="H364" s="2">
        <v>315</v>
      </c>
      <c r="I364" s="2">
        <v>4</v>
      </c>
      <c r="J364" s="2">
        <v>0</v>
      </c>
      <c r="K364" s="2">
        <v>0</v>
      </c>
      <c r="L364" s="2">
        <v>35.6</v>
      </c>
      <c r="M364" s="4">
        <f>(14+16+14)/3</f>
        <v>14.666666666666666</v>
      </c>
      <c r="N364" s="4">
        <f>(10+10)/2</f>
        <v>10</v>
      </c>
      <c r="O364" s="2">
        <v>363</v>
      </c>
    </row>
    <row r="365" spans="1:15" x14ac:dyDescent="0.3">
      <c r="A365" s="2" t="s">
        <v>12</v>
      </c>
      <c r="B365" s="2" t="s">
        <v>459</v>
      </c>
      <c r="C365" s="2" t="s">
        <v>38</v>
      </c>
      <c r="D365" s="2" t="s">
        <v>24</v>
      </c>
      <c r="E365" s="2">
        <v>33</v>
      </c>
      <c r="F365" s="2" t="s">
        <v>218</v>
      </c>
      <c r="G365" s="2" t="s">
        <v>886</v>
      </c>
      <c r="H365" s="2">
        <v>315</v>
      </c>
      <c r="I365" s="2">
        <v>4</v>
      </c>
      <c r="J365" s="2">
        <v>0</v>
      </c>
      <c r="K365" s="2">
        <v>0</v>
      </c>
      <c r="L365" s="2">
        <v>34.700000000000003</v>
      </c>
      <c r="M365" s="4">
        <f>(10+7)/2</f>
        <v>8.5</v>
      </c>
      <c r="N365" s="4">
        <f>(4.5+3.5)/2</f>
        <v>4</v>
      </c>
      <c r="O365" s="2">
        <v>364</v>
      </c>
    </row>
    <row r="366" spans="1:15" x14ac:dyDescent="0.3">
      <c r="A366" s="2" t="s">
        <v>12</v>
      </c>
      <c r="B366" s="2" t="s">
        <v>460</v>
      </c>
      <c r="C366" s="2" t="s">
        <v>900</v>
      </c>
      <c r="D366" s="2" t="s">
        <v>14</v>
      </c>
      <c r="E366" s="2">
        <v>36</v>
      </c>
      <c r="F366" s="2" t="s">
        <v>896</v>
      </c>
      <c r="G366" s="2" t="s">
        <v>900</v>
      </c>
      <c r="H366" s="2">
        <v>315</v>
      </c>
      <c r="I366" s="2">
        <v>4</v>
      </c>
      <c r="J366" s="2">
        <v>0</v>
      </c>
      <c r="K366" s="2">
        <v>0</v>
      </c>
      <c r="L366" s="2">
        <v>14.2</v>
      </c>
      <c r="M366" s="4">
        <f>(0.4+0.4)/2</f>
        <v>0.4</v>
      </c>
      <c r="N366" s="4">
        <f>(0.4+0.3)/2</f>
        <v>0.35</v>
      </c>
      <c r="O366" s="2">
        <v>365</v>
      </c>
    </row>
    <row r="367" spans="1:15" x14ac:dyDescent="0.3">
      <c r="A367" s="2" t="s">
        <v>12</v>
      </c>
      <c r="B367" s="2" t="s">
        <v>462</v>
      </c>
      <c r="C367" s="2" t="s">
        <v>28</v>
      </c>
      <c r="D367" s="2" t="s">
        <v>23</v>
      </c>
      <c r="E367" s="2">
        <v>23</v>
      </c>
      <c r="F367" s="2" t="s">
        <v>50</v>
      </c>
      <c r="G367" s="2" t="s">
        <v>55</v>
      </c>
      <c r="H367" s="2">
        <v>313</v>
      </c>
      <c r="I367" s="2">
        <v>4</v>
      </c>
      <c r="J367" s="2">
        <v>0</v>
      </c>
      <c r="K367" s="2">
        <v>0</v>
      </c>
      <c r="L367" s="2">
        <v>34.9</v>
      </c>
      <c r="M367" s="4">
        <f>(7.5+7.5+9)/3</f>
        <v>8</v>
      </c>
      <c r="N367" s="4">
        <f>(20+22+22)/3</f>
        <v>21.333333333333332</v>
      </c>
      <c r="O367" s="2">
        <v>366</v>
      </c>
    </row>
    <row r="368" spans="1:15" x14ac:dyDescent="0.3">
      <c r="A368" s="2" t="s">
        <v>12</v>
      </c>
      <c r="B368" s="2" t="s">
        <v>463</v>
      </c>
      <c r="C368" s="2" t="s">
        <v>28</v>
      </c>
      <c r="D368" s="2" t="s">
        <v>24</v>
      </c>
      <c r="E368" s="2">
        <v>33</v>
      </c>
      <c r="F368" s="2" t="s">
        <v>911</v>
      </c>
      <c r="G368" s="2" t="s">
        <v>879</v>
      </c>
      <c r="H368" s="2">
        <v>313</v>
      </c>
      <c r="I368" s="2">
        <v>4</v>
      </c>
      <c r="J368" s="2">
        <v>0</v>
      </c>
      <c r="K368" s="2">
        <v>0</v>
      </c>
      <c r="L368" s="2">
        <v>33</v>
      </c>
      <c r="M368" s="4">
        <f>(1.2+1.2+1.6)/3</f>
        <v>1.3333333333333333</v>
      </c>
      <c r="N368" s="4">
        <f>(1.2+1+1+0.525)/4</f>
        <v>0.93125000000000002</v>
      </c>
      <c r="O368" s="2">
        <v>367</v>
      </c>
    </row>
    <row r="369" spans="1:27" x14ac:dyDescent="0.3">
      <c r="A369" s="2" t="s">
        <v>12</v>
      </c>
      <c r="B369" s="2" t="s">
        <v>464</v>
      </c>
      <c r="C369" s="2" t="s">
        <v>28</v>
      </c>
      <c r="D369" s="2" t="s">
        <v>35</v>
      </c>
      <c r="E369" s="2">
        <v>28</v>
      </c>
      <c r="F369" s="2" t="s">
        <v>201</v>
      </c>
      <c r="G369" s="2" t="s">
        <v>884</v>
      </c>
      <c r="H369" s="2">
        <v>312</v>
      </c>
      <c r="I369" s="2">
        <v>6</v>
      </c>
      <c r="J369" s="2">
        <v>0</v>
      </c>
      <c r="K369" s="2">
        <v>0</v>
      </c>
      <c r="L369" s="2">
        <v>38.5</v>
      </c>
      <c r="M369" s="4">
        <f>(0.4+0.6+0.8)/3</f>
        <v>0.6</v>
      </c>
      <c r="N369" s="4">
        <f>(0.8)/1</f>
        <v>0.8</v>
      </c>
      <c r="O369" s="2">
        <v>368</v>
      </c>
    </row>
    <row r="370" spans="1:27" x14ac:dyDescent="0.3">
      <c r="A370" s="2" t="s">
        <v>12</v>
      </c>
      <c r="B370" s="2" t="s">
        <v>465</v>
      </c>
      <c r="C370" s="2" t="s">
        <v>25</v>
      </c>
      <c r="D370" s="2" t="s">
        <v>24</v>
      </c>
      <c r="E370" s="2">
        <v>30</v>
      </c>
      <c r="F370" s="2" t="s">
        <v>19</v>
      </c>
      <c r="G370" s="2" t="s">
        <v>25</v>
      </c>
      <c r="H370" s="2">
        <v>309</v>
      </c>
      <c r="I370" s="2">
        <v>7</v>
      </c>
      <c r="J370" s="2">
        <v>1</v>
      </c>
      <c r="K370" s="2">
        <v>0</v>
      </c>
      <c r="L370" s="2">
        <v>41.7</v>
      </c>
      <c r="M370" s="4">
        <f>(3+2.5+5)/3</f>
        <v>3.5</v>
      </c>
      <c r="N370" s="4">
        <f>(5+4)/2</f>
        <v>4.5</v>
      </c>
      <c r="O370" s="2">
        <v>369</v>
      </c>
    </row>
    <row r="371" spans="1:27" x14ac:dyDescent="0.3">
      <c r="A371" s="2" t="s">
        <v>12</v>
      </c>
      <c r="B371" s="2" t="s">
        <v>466</v>
      </c>
      <c r="C371" s="2" t="s">
        <v>25</v>
      </c>
      <c r="D371" s="2" t="s">
        <v>24</v>
      </c>
      <c r="E371" s="2">
        <v>24</v>
      </c>
      <c r="F371" s="2" t="s">
        <v>911</v>
      </c>
      <c r="G371" s="2" t="s">
        <v>879</v>
      </c>
      <c r="H371" s="2">
        <v>306</v>
      </c>
      <c r="I371" s="2">
        <v>4</v>
      </c>
      <c r="J371" s="2">
        <v>1</v>
      </c>
      <c r="K371" s="2">
        <v>0</v>
      </c>
      <c r="L371" s="2">
        <v>34.6</v>
      </c>
      <c r="M371" s="4">
        <f>(4.8+3.7+4)/3</f>
        <v>4.166666666666667</v>
      </c>
      <c r="N371" s="4">
        <f>(3.3+3+2.7+2.5)/4</f>
        <v>2.875</v>
      </c>
      <c r="O371" s="2">
        <v>370</v>
      </c>
    </row>
    <row r="372" spans="1:27" x14ac:dyDescent="0.3">
      <c r="A372" s="2" t="s">
        <v>12</v>
      </c>
      <c r="B372" s="2" t="s">
        <v>467</v>
      </c>
      <c r="C372" s="2" t="s">
        <v>38</v>
      </c>
      <c r="D372" s="2" t="s">
        <v>24</v>
      </c>
      <c r="E372" s="2">
        <v>31</v>
      </c>
      <c r="F372" s="2" t="s">
        <v>64</v>
      </c>
      <c r="G372" s="2" t="s">
        <v>25</v>
      </c>
      <c r="H372" s="2">
        <v>304</v>
      </c>
      <c r="I372" s="2">
        <v>5</v>
      </c>
      <c r="J372" s="2">
        <v>0</v>
      </c>
      <c r="K372" s="2">
        <v>0</v>
      </c>
      <c r="L372" s="2">
        <v>36.9</v>
      </c>
      <c r="M372" s="4">
        <f>(8+5+5)/3</f>
        <v>6</v>
      </c>
      <c r="N372" s="4">
        <f>(5+4)/2</f>
        <v>4.5</v>
      </c>
      <c r="O372" s="2">
        <v>371</v>
      </c>
    </row>
    <row r="373" spans="1:27" x14ac:dyDescent="0.3">
      <c r="A373" s="2" t="s">
        <v>12</v>
      </c>
      <c r="B373" s="2" t="s">
        <v>468</v>
      </c>
      <c r="C373" s="2" t="s">
        <v>29</v>
      </c>
      <c r="D373" s="2" t="s">
        <v>23</v>
      </c>
      <c r="E373" s="2">
        <v>21</v>
      </c>
      <c r="F373" s="2" t="s">
        <v>847</v>
      </c>
      <c r="G373" s="2" t="s">
        <v>29</v>
      </c>
      <c r="H373" s="2">
        <v>304</v>
      </c>
      <c r="I373" s="2">
        <v>4</v>
      </c>
      <c r="J373" s="2">
        <v>1</v>
      </c>
      <c r="K373" s="2">
        <v>1</v>
      </c>
      <c r="L373" s="2">
        <v>38.1</v>
      </c>
      <c r="M373" s="4">
        <f>(50+50+50)/3</f>
        <v>50</v>
      </c>
      <c r="N373" s="4">
        <v>0</v>
      </c>
      <c r="O373" s="2">
        <v>372</v>
      </c>
    </row>
    <row r="374" spans="1:27" x14ac:dyDescent="0.3">
      <c r="A374" s="2" t="s">
        <v>12</v>
      </c>
      <c r="B374" s="2" t="s">
        <v>469</v>
      </c>
      <c r="C374" s="2" t="s">
        <v>902</v>
      </c>
      <c r="D374" s="2" t="s">
        <v>23</v>
      </c>
      <c r="E374" s="2">
        <v>28</v>
      </c>
      <c r="F374" s="2" t="s">
        <v>218</v>
      </c>
      <c r="G374" s="2" t="s">
        <v>886</v>
      </c>
      <c r="H374" s="2">
        <v>303</v>
      </c>
      <c r="I374" s="2">
        <v>5</v>
      </c>
      <c r="J374" s="2">
        <v>2</v>
      </c>
      <c r="K374" s="2">
        <v>1</v>
      </c>
      <c r="L374" s="2">
        <v>30.3</v>
      </c>
      <c r="M374" s="4">
        <f>(25+25)/2</f>
        <v>25</v>
      </c>
      <c r="N374" s="4">
        <f>(22+18+12)/3</f>
        <v>17.333333333333332</v>
      </c>
      <c r="O374" s="2">
        <v>373</v>
      </c>
    </row>
    <row r="375" spans="1:27" x14ac:dyDescent="0.3">
      <c r="A375" s="2" t="s">
        <v>12</v>
      </c>
      <c r="B375" s="2" t="s">
        <v>470</v>
      </c>
      <c r="C375" s="2" t="s">
        <v>885</v>
      </c>
      <c r="D375" s="2" t="s">
        <v>35</v>
      </c>
      <c r="E375" s="2">
        <v>29</v>
      </c>
      <c r="F375" s="2" t="s">
        <v>231</v>
      </c>
      <c r="G375" s="2" t="s">
        <v>869</v>
      </c>
      <c r="H375" s="2">
        <v>301</v>
      </c>
      <c r="I375" s="2">
        <v>5</v>
      </c>
      <c r="J375" s="2">
        <v>1</v>
      </c>
      <c r="K375" s="2">
        <v>0</v>
      </c>
      <c r="L375" s="2">
        <v>38.5</v>
      </c>
      <c r="M375" s="4">
        <f>(30+30)/2</f>
        <v>30</v>
      </c>
      <c r="N375" s="4">
        <f>(28+18)/2</f>
        <v>23</v>
      </c>
      <c r="O375" s="2">
        <v>374</v>
      </c>
    </row>
    <row r="376" spans="1:27" x14ac:dyDescent="0.3">
      <c r="A376" s="2" t="s">
        <v>12</v>
      </c>
      <c r="B376" s="2" t="s">
        <v>951</v>
      </c>
      <c r="C376" s="2" t="s">
        <v>55</v>
      </c>
      <c r="D376" s="2" t="s">
        <v>35</v>
      </c>
      <c r="E376" s="2">
        <v>30</v>
      </c>
      <c r="F376" s="2" t="s">
        <v>50</v>
      </c>
      <c r="G376" s="2" t="s">
        <v>55</v>
      </c>
      <c r="H376" s="2">
        <v>300</v>
      </c>
      <c r="I376" s="2">
        <v>6</v>
      </c>
      <c r="J376" s="2">
        <v>1</v>
      </c>
      <c r="K376" s="2">
        <v>0</v>
      </c>
      <c r="L376" s="2">
        <v>39.700000000000003</v>
      </c>
      <c r="M376" s="4">
        <f>(11+16+19+17+15)/5</f>
        <v>15.6</v>
      </c>
      <c r="N376" s="4">
        <f>(13+12+6.5+6.5)/4</f>
        <v>9.5</v>
      </c>
      <c r="O376" s="2">
        <v>375</v>
      </c>
    </row>
    <row r="377" spans="1:27" x14ac:dyDescent="0.3">
      <c r="A377" s="2" t="s">
        <v>12</v>
      </c>
      <c r="B377" s="2" t="s">
        <v>471</v>
      </c>
      <c r="C377" s="2" t="s">
        <v>29</v>
      </c>
      <c r="D377" s="2" t="s">
        <v>35</v>
      </c>
      <c r="E377" s="2">
        <v>29</v>
      </c>
      <c r="F377" s="2" t="s">
        <v>16</v>
      </c>
      <c r="G377" s="2" t="s">
        <v>29</v>
      </c>
      <c r="H377" s="2">
        <v>300</v>
      </c>
      <c r="I377" s="2">
        <v>6</v>
      </c>
      <c r="J377" s="2">
        <v>0</v>
      </c>
      <c r="K377" s="2">
        <v>1</v>
      </c>
      <c r="L377" s="2">
        <v>38.6</v>
      </c>
      <c r="M377" s="4">
        <f>(20+18+18)/3</f>
        <v>18.666666666666668</v>
      </c>
      <c r="N377" s="4">
        <f>(16+13+10)/3</f>
        <v>13</v>
      </c>
      <c r="O377" s="2">
        <v>376</v>
      </c>
      <c r="P377" s="6" t="s">
        <v>952</v>
      </c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x14ac:dyDescent="0.3">
      <c r="A378" s="2" t="s">
        <v>12</v>
      </c>
      <c r="B378" s="2" t="s">
        <v>472</v>
      </c>
      <c r="C378" s="2" t="s">
        <v>886</v>
      </c>
      <c r="D378" s="2" t="s">
        <v>24</v>
      </c>
      <c r="E378" s="2">
        <v>27</v>
      </c>
      <c r="F378" s="2" t="s">
        <v>218</v>
      </c>
      <c r="G378" s="2" t="s">
        <v>886</v>
      </c>
      <c r="H378" s="2">
        <v>299</v>
      </c>
      <c r="I378" s="2">
        <v>4</v>
      </c>
      <c r="J378" s="2">
        <v>0</v>
      </c>
      <c r="K378" s="2">
        <v>1</v>
      </c>
      <c r="L378" s="2">
        <v>38.299999999999997</v>
      </c>
      <c r="M378" s="4">
        <f>(7+7)/2</f>
        <v>7</v>
      </c>
      <c r="N378" s="4">
        <f>(6+6)/2</f>
        <v>6</v>
      </c>
      <c r="O378" s="2">
        <v>377</v>
      </c>
    </row>
    <row r="379" spans="1:27" x14ac:dyDescent="0.3">
      <c r="A379" s="2" t="s">
        <v>12</v>
      </c>
      <c r="B379" s="2" t="s">
        <v>473</v>
      </c>
      <c r="C379" s="2" t="s">
        <v>903</v>
      </c>
      <c r="D379" s="2" t="s">
        <v>23</v>
      </c>
      <c r="E379" s="2">
        <v>23</v>
      </c>
      <c r="F379" s="2" t="s">
        <v>198</v>
      </c>
      <c r="G379" s="2" t="s">
        <v>21</v>
      </c>
      <c r="H379" s="2">
        <v>298</v>
      </c>
      <c r="I379" s="2">
        <v>5</v>
      </c>
      <c r="J379" s="2">
        <v>0</v>
      </c>
      <c r="K379" s="2">
        <v>0</v>
      </c>
      <c r="L379" s="2">
        <v>38.4</v>
      </c>
      <c r="M379" s="4">
        <f>(3+3+7)/3</f>
        <v>4.333333333333333</v>
      </c>
      <c r="N379" s="4">
        <f>(5+4+3.5+6)/4</f>
        <v>4.625</v>
      </c>
      <c r="O379" s="2">
        <v>378</v>
      </c>
    </row>
    <row r="380" spans="1:27" x14ac:dyDescent="0.3">
      <c r="A380" s="2" t="s">
        <v>12</v>
      </c>
      <c r="B380" s="2" t="s">
        <v>953</v>
      </c>
      <c r="C380" s="2" t="s">
        <v>30</v>
      </c>
      <c r="D380" s="2" t="s">
        <v>35</v>
      </c>
      <c r="E380" s="2">
        <v>24</v>
      </c>
      <c r="F380" s="2" t="s">
        <v>124</v>
      </c>
      <c r="G380" s="2" t="s">
        <v>30</v>
      </c>
      <c r="H380" s="2">
        <v>297</v>
      </c>
      <c r="I380" s="2">
        <v>5</v>
      </c>
      <c r="J380" s="2">
        <v>1</v>
      </c>
      <c r="K380" s="2">
        <v>2</v>
      </c>
      <c r="L380" s="2">
        <v>35.299999999999997</v>
      </c>
      <c r="M380" s="4">
        <f>(28+30+30+25+22)/5</f>
        <v>27</v>
      </c>
      <c r="N380" s="4">
        <f>(18+16)/2</f>
        <v>17</v>
      </c>
      <c r="O380" s="2">
        <v>379</v>
      </c>
    </row>
    <row r="381" spans="1:27" x14ac:dyDescent="0.3">
      <c r="A381" s="2" t="s">
        <v>12</v>
      </c>
      <c r="B381" s="2" t="s">
        <v>474</v>
      </c>
      <c r="C381" s="2" t="s">
        <v>30</v>
      </c>
      <c r="D381" s="2" t="s">
        <v>24</v>
      </c>
      <c r="E381" s="2">
        <v>22</v>
      </c>
      <c r="F381" s="2" t="s">
        <v>253</v>
      </c>
      <c r="G381" s="2" t="s">
        <v>57</v>
      </c>
      <c r="H381" s="2">
        <v>297</v>
      </c>
      <c r="I381" s="2">
        <v>4</v>
      </c>
      <c r="J381" s="2">
        <v>0</v>
      </c>
      <c r="K381" s="2">
        <v>0</v>
      </c>
      <c r="L381" s="2">
        <v>32</v>
      </c>
      <c r="M381" s="4">
        <f>(18+18+18)/3</f>
        <v>18</v>
      </c>
      <c r="N381" s="4">
        <f>(22+28)/2</f>
        <v>25</v>
      </c>
      <c r="O381" s="2">
        <v>380</v>
      </c>
    </row>
    <row r="382" spans="1:27" x14ac:dyDescent="0.3">
      <c r="A382" s="2" t="s">
        <v>12</v>
      </c>
      <c r="B382" s="2" t="s">
        <v>475</v>
      </c>
      <c r="C382" s="2" t="s">
        <v>30</v>
      </c>
      <c r="D382" s="2" t="s">
        <v>35</v>
      </c>
      <c r="E382" s="2">
        <v>20</v>
      </c>
      <c r="F382" s="2" t="s">
        <v>15</v>
      </c>
      <c r="G382" s="2" t="s">
        <v>25</v>
      </c>
      <c r="H382" s="2">
        <v>296</v>
      </c>
      <c r="I382" s="2">
        <v>10</v>
      </c>
      <c r="J382" s="2">
        <v>0</v>
      </c>
      <c r="K382" s="2">
        <v>1</v>
      </c>
      <c r="L382" s="2">
        <v>40.200000000000003</v>
      </c>
      <c r="M382" s="4">
        <f>(60+55+55)/3</f>
        <v>56.666666666666664</v>
      </c>
      <c r="N382" s="4">
        <f>(55+50)/2</f>
        <v>52.5</v>
      </c>
      <c r="O382" s="2">
        <v>381</v>
      </c>
    </row>
    <row r="383" spans="1:27" x14ac:dyDescent="0.3">
      <c r="A383" s="2" t="s">
        <v>12</v>
      </c>
      <c r="B383" s="2" t="s">
        <v>476</v>
      </c>
      <c r="C383" s="2" t="s">
        <v>21</v>
      </c>
      <c r="D383" s="2" t="s">
        <v>23</v>
      </c>
      <c r="E383" s="2">
        <v>25</v>
      </c>
      <c r="F383" s="2" t="s">
        <v>204</v>
      </c>
      <c r="G383" s="2" t="s">
        <v>57</v>
      </c>
      <c r="H383" s="2">
        <v>296</v>
      </c>
      <c r="I383" s="2">
        <v>6</v>
      </c>
      <c r="J383" s="2">
        <v>0</v>
      </c>
      <c r="K383" s="2">
        <v>0</v>
      </c>
      <c r="L383" s="2">
        <v>35.9</v>
      </c>
      <c r="M383" s="4">
        <f>(15+13+13)/3</f>
        <v>13.666666666666666</v>
      </c>
      <c r="N383" s="4">
        <f>(9+7.5+12)/3</f>
        <v>9.5</v>
      </c>
      <c r="O383" s="2">
        <v>382</v>
      </c>
    </row>
    <row r="384" spans="1:27" x14ac:dyDescent="0.3">
      <c r="A384" s="2" t="s">
        <v>12</v>
      </c>
      <c r="B384" s="2" t="s">
        <v>954</v>
      </c>
      <c r="C384" s="2" t="s">
        <v>55</v>
      </c>
      <c r="D384" s="2" t="s">
        <v>23</v>
      </c>
      <c r="E384" s="2">
        <v>23</v>
      </c>
      <c r="F384" s="2" t="s">
        <v>332</v>
      </c>
      <c r="G384" s="2" t="s">
        <v>869</v>
      </c>
      <c r="H384" s="2">
        <v>294</v>
      </c>
      <c r="I384" s="2">
        <v>4</v>
      </c>
      <c r="J384" s="2">
        <v>1</v>
      </c>
      <c r="K384" s="2">
        <v>1</v>
      </c>
      <c r="L384" s="2">
        <v>32.4</v>
      </c>
      <c r="M384" s="4">
        <f>(25+35)/2</f>
        <v>30</v>
      </c>
      <c r="N384" s="4">
        <f>(50+70+85)/3</f>
        <v>68.333333333333329</v>
      </c>
      <c r="O384" s="2">
        <v>383</v>
      </c>
    </row>
    <row r="385" spans="1:27" x14ac:dyDescent="0.3">
      <c r="A385" s="2" t="s">
        <v>12</v>
      </c>
      <c r="B385" s="2" t="s">
        <v>478</v>
      </c>
      <c r="C385" s="2" t="s">
        <v>886</v>
      </c>
      <c r="D385" s="2" t="s">
        <v>35</v>
      </c>
      <c r="E385" s="2">
        <v>29</v>
      </c>
      <c r="F385" s="2" t="s">
        <v>218</v>
      </c>
      <c r="G385" s="2" t="s">
        <v>886</v>
      </c>
      <c r="H385" s="2">
        <v>293</v>
      </c>
      <c r="I385" s="2">
        <v>4</v>
      </c>
      <c r="J385" s="2">
        <v>1</v>
      </c>
      <c r="K385" s="2">
        <v>0</v>
      </c>
      <c r="L385" s="2">
        <v>34.299999999999997</v>
      </c>
      <c r="M385" s="4">
        <f>(2.5+3)/2</f>
        <v>2.75</v>
      </c>
      <c r="N385" s="4">
        <f>(3+2.5)/2</f>
        <v>2.75</v>
      </c>
      <c r="O385" s="2">
        <v>384</v>
      </c>
    </row>
    <row r="386" spans="1:27" x14ac:dyDescent="0.3">
      <c r="A386" s="2" t="s">
        <v>12</v>
      </c>
      <c r="B386" s="2" t="s">
        <v>479</v>
      </c>
      <c r="C386" s="2" t="s">
        <v>28</v>
      </c>
      <c r="D386" s="2" t="s">
        <v>24</v>
      </c>
      <c r="E386" s="2">
        <v>30</v>
      </c>
      <c r="F386" s="2" t="s">
        <v>847</v>
      </c>
      <c r="G386" s="2" t="s">
        <v>29</v>
      </c>
      <c r="H386" s="2">
        <v>293</v>
      </c>
      <c r="I386" s="2">
        <v>4</v>
      </c>
      <c r="J386" s="2">
        <v>1</v>
      </c>
      <c r="K386" s="2">
        <v>0</v>
      </c>
      <c r="L386" s="2">
        <v>33.5</v>
      </c>
      <c r="M386" s="4">
        <f>(28+20+18)/3</f>
        <v>22</v>
      </c>
      <c r="N386" s="4">
        <f>(18+14)/2</f>
        <v>16</v>
      </c>
      <c r="O386" s="2">
        <v>385</v>
      </c>
    </row>
    <row r="387" spans="1:27" x14ac:dyDescent="0.3">
      <c r="A387" s="2" t="s">
        <v>12</v>
      </c>
      <c r="B387" s="2" t="s">
        <v>955</v>
      </c>
      <c r="C387" s="2" t="s">
        <v>869</v>
      </c>
      <c r="D387" s="2" t="s">
        <v>35</v>
      </c>
      <c r="E387" s="2">
        <v>29</v>
      </c>
      <c r="F387" s="2" t="s">
        <v>164</v>
      </c>
      <c r="G387" s="2" t="s">
        <v>869</v>
      </c>
      <c r="H387" s="2">
        <v>292</v>
      </c>
      <c r="I387" s="2">
        <v>5</v>
      </c>
      <c r="J387" s="2">
        <v>0</v>
      </c>
      <c r="K387" s="2">
        <v>2</v>
      </c>
      <c r="L387" s="2">
        <v>36.299999999999997</v>
      </c>
      <c r="M387" s="4">
        <f>(15+15)/2</f>
        <v>15</v>
      </c>
      <c r="N387" s="4">
        <f>(10+8+8)/3</f>
        <v>8.6666666666666661</v>
      </c>
      <c r="O387" s="2">
        <v>386</v>
      </c>
    </row>
    <row r="388" spans="1:27" x14ac:dyDescent="0.3">
      <c r="A388" s="2" t="s">
        <v>12</v>
      </c>
      <c r="B388" s="2" t="s">
        <v>480</v>
      </c>
      <c r="C388" s="2" t="s">
        <v>872</v>
      </c>
      <c r="D388" s="2" t="s">
        <v>35</v>
      </c>
      <c r="E388" s="2">
        <v>24</v>
      </c>
      <c r="F388" s="2" t="s">
        <v>253</v>
      </c>
      <c r="G388" s="2" t="s">
        <v>57</v>
      </c>
      <c r="H388" s="2">
        <v>292</v>
      </c>
      <c r="I388" s="2">
        <v>5</v>
      </c>
      <c r="J388" s="2">
        <v>0</v>
      </c>
      <c r="K388" s="2">
        <v>0</v>
      </c>
      <c r="L388" s="2">
        <v>38.9</v>
      </c>
      <c r="M388" s="4">
        <f>(20+20+20)/3</f>
        <v>20</v>
      </c>
      <c r="N388" s="4">
        <f>(17+17+17)/3</f>
        <v>17</v>
      </c>
      <c r="O388" s="2">
        <v>387</v>
      </c>
    </row>
    <row r="389" spans="1:27" x14ac:dyDescent="0.3">
      <c r="A389" s="2" t="s">
        <v>12</v>
      </c>
      <c r="B389" s="2" t="s">
        <v>481</v>
      </c>
      <c r="C389" s="2" t="s">
        <v>29</v>
      </c>
      <c r="D389" s="2" t="s">
        <v>35</v>
      </c>
      <c r="E389" s="2">
        <v>22</v>
      </c>
      <c r="F389" s="2" t="s">
        <v>79</v>
      </c>
      <c r="G389" s="2" t="s">
        <v>29</v>
      </c>
      <c r="H389" s="2">
        <v>289</v>
      </c>
      <c r="I389" s="2">
        <v>5</v>
      </c>
      <c r="J389" s="2">
        <v>1</v>
      </c>
      <c r="K389" s="2">
        <v>2</v>
      </c>
      <c r="L389" s="2">
        <v>32.299999999999997</v>
      </c>
      <c r="M389" s="4">
        <f>(35+32+32)/3</f>
        <v>33</v>
      </c>
      <c r="N389" s="4">
        <f>(30+25+25)/3</f>
        <v>26.666666666666668</v>
      </c>
      <c r="O389" s="2">
        <v>388</v>
      </c>
      <c r="P389" s="6" t="s">
        <v>952</v>
      </c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x14ac:dyDescent="0.3">
      <c r="A390" s="2" t="s">
        <v>12</v>
      </c>
      <c r="B390" s="2" t="s">
        <v>482</v>
      </c>
      <c r="C390" s="2" t="s">
        <v>54</v>
      </c>
      <c r="D390" s="2" t="s">
        <v>35</v>
      </c>
      <c r="E390" s="2">
        <v>31</v>
      </c>
      <c r="F390" s="2" t="s">
        <v>50</v>
      </c>
      <c r="G390" s="2" t="s">
        <v>55</v>
      </c>
      <c r="H390" s="2">
        <v>289</v>
      </c>
      <c r="I390" s="2">
        <v>4</v>
      </c>
      <c r="J390" s="2">
        <v>0</v>
      </c>
      <c r="K390" s="2">
        <v>0</v>
      </c>
      <c r="L390" s="2">
        <v>36.799999999999997</v>
      </c>
      <c r="M390" s="4">
        <f>(10+12+15+16)/4</f>
        <v>13.25</v>
      </c>
      <c r="N390" s="4">
        <f>(16+12)/2</f>
        <v>14</v>
      </c>
      <c r="O390" s="2">
        <v>389</v>
      </c>
    </row>
    <row r="391" spans="1:27" x14ac:dyDescent="0.3">
      <c r="A391" s="2" t="s">
        <v>12</v>
      </c>
      <c r="B391" s="2" t="s">
        <v>483</v>
      </c>
      <c r="C391" s="2" t="s">
        <v>869</v>
      </c>
      <c r="D391" s="2" t="s">
        <v>24</v>
      </c>
      <c r="E391" s="2">
        <v>30</v>
      </c>
      <c r="F391" s="2" t="s">
        <v>164</v>
      </c>
      <c r="G391" s="2" t="s">
        <v>869</v>
      </c>
      <c r="H391" s="2">
        <v>286</v>
      </c>
      <c r="I391" s="2">
        <v>4</v>
      </c>
      <c r="J391" s="2">
        <v>0</v>
      </c>
      <c r="K391" s="2">
        <v>1</v>
      </c>
      <c r="L391" s="2">
        <v>33.299999999999997</v>
      </c>
      <c r="M391" s="4">
        <f>(7.5+6)/2</f>
        <v>6.75</v>
      </c>
      <c r="N391" s="4">
        <f>(6+4.5)/2</f>
        <v>5.25</v>
      </c>
      <c r="O391" s="2">
        <v>390</v>
      </c>
    </row>
    <row r="392" spans="1:27" x14ac:dyDescent="0.3">
      <c r="A392" s="2" t="s">
        <v>12</v>
      </c>
      <c r="B392" s="2" t="s">
        <v>484</v>
      </c>
      <c r="C392" s="2" t="s">
        <v>900</v>
      </c>
      <c r="D392" s="2" t="s">
        <v>24</v>
      </c>
      <c r="E392" s="2">
        <v>34</v>
      </c>
      <c r="F392" s="2" t="s">
        <v>896</v>
      </c>
      <c r="G392" s="2" t="s">
        <v>900</v>
      </c>
      <c r="H392" s="2">
        <v>284</v>
      </c>
      <c r="I392" s="2">
        <v>6</v>
      </c>
      <c r="J392" s="2">
        <v>0</v>
      </c>
      <c r="K392" s="2">
        <v>0</v>
      </c>
      <c r="L392" s="2">
        <v>34.5</v>
      </c>
      <c r="M392" s="4">
        <f>(0.7+0.6)/2</f>
        <v>0.64999999999999991</v>
      </c>
      <c r="N392" s="4">
        <f>(0.4+0.3)/2</f>
        <v>0.35</v>
      </c>
      <c r="O392" s="2">
        <v>391</v>
      </c>
    </row>
    <row r="393" spans="1:27" x14ac:dyDescent="0.3">
      <c r="A393" s="2" t="s">
        <v>12</v>
      </c>
      <c r="B393" s="2" t="s">
        <v>485</v>
      </c>
      <c r="C393" s="2" t="s">
        <v>869</v>
      </c>
      <c r="D393" s="2" t="s">
        <v>24</v>
      </c>
      <c r="E393" s="2">
        <v>25</v>
      </c>
      <c r="F393" s="2" t="s">
        <v>107</v>
      </c>
      <c r="G393" s="2" t="s">
        <v>869</v>
      </c>
      <c r="H393" s="2">
        <v>283</v>
      </c>
      <c r="I393" s="2">
        <v>7</v>
      </c>
      <c r="J393" s="2">
        <v>0</v>
      </c>
      <c r="K393" s="2">
        <v>0</v>
      </c>
      <c r="L393" s="2">
        <v>36.299999999999997</v>
      </c>
      <c r="M393" s="4">
        <f>(10+10+13+16)/4</f>
        <v>12.25</v>
      </c>
      <c r="N393" s="4">
        <f>(18+25)/2</f>
        <v>21.5</v>
      </c>
      <c r="O393" s="2">
        <v>392</v>
      </c>
    </row>
    <row r="394" spans="1:27" x14ac:dyDescent="0.3">
      <c r="A394" s="2" t="s">
        <v>12</v>
      </c>
      <c r="B394" s="2" t="s">
        <v>486</v>
      </c>
      <c r="C394" s="2" t="s">
        <v>37</v>
      </c>
      <c r="D394" s="2" t="s">
        <v>35</v>
      </c>
      <c r="E394" s="2">
        <v>24</v>
      </c>
      <c r="F394" s="2" t="s">
        <v>116</v>
      </c>
      <c r="G394" s="2" t="s">
        <v>45</v>
      </c>
      <c r="H394" s="2">
        <v>281</v>
      </c>
      <c r="I394" s="2">
        <v>7</v>
      </c>
      <c r="J394" s="2">
        <v>0</v>
      </c>
      <c r="K394" s="2">
        <v>0</v>
      </c>
      <c r="L394" s="2">
        <v>36.9</v>
      </c>
      <c r="M394" s="4">
        <f>(5+6.5)/2</f>
        <v>5.75</v>
      </c>
      <c r="N394" s="4">
        <f>(6.5+8+8)/3</f>
        <v>7.5</v>
      </c>
      <c r="O394" s="2">
        <v>393</v>
      </c>
    </row>
    <row r="395" spans="1:27" x14ac:dyDescent="0.3">
      <c r="A395" s="2" t="s">
        <v>12</v>
      </c>
      <c r="B395" s="2" t="s">
        <v>956</v>
      </c>
      <c r="C395" s="2" t="s">
        <v>887</v>
      </c>
      <c r="D395" s="2" t="s">
        <v>35</v>
      </c>
      <c r="E395" s="2">
        <v>27</v>
      </c>
      <c r="F395" s="2" t="s">
        <v>896</v>
      </c>
      <c r="G395" s="2" t="s">
        <v>900</v>
      </c>
      <c r="H395" s="2">
        <v>281</v>
      </c>
      <c r="I395" s="2">
        <v>5</v>
      </c>
      <c r="J395" s="2">
        <v>0</v>
      </c>
      <c r="K395" s="2">
        <v>0</v>
      </c>
      <c r="L395" s="2">
        <v>32.5</v>
      </c>
      <c r="M395" s="4">
        <f>(1.7+1.2+1.2+1.5)/4</f>
        <v>1.4</v>
      </c>
      <c r="N395" s="4">
        <f>(1.7+2+2)/3</f>
        <v>1.9000000000000001</v>
      </c>
      <c r="O395" s="2">
        <v>394</v>
      </c>
    </row>
    <row r="396" spans="1:27" x14ac:dyDescent="0.3">
      <c r="A396" s="2" t="s">
        <v>12</v>
      </c>
      <c r="B396" s="2" t="s">
        <v>488</v>
      </c>
      <c r="C396" s="2" t="s">
        <v>886</v>
      </c>
      <c r="D396" s="2" t="s">
        <v>23</v>
      </c>
      <c r="E396" s="2">
        <v>34</v>
      </c>
      <c r="F396" s="2" t="s">
        <v>218</v>
      </c>
      <c r="G396" s="2" t="s">
        <v>886</v>
      </c>
      <c r="H396" s="2">
        <v>277</v>
      </c>
      <c r="I396" s="2">
        <v>6</v>
      </c>
      <c r="J396" s="2">
        <v>0</v>
      </c>
      <c r="K396" s="2">
        <v>1</v>
      </c>
      <c r="L396" s="2">
        <v>31.2</v>
      </c>
      <c r="M396" s="4">
        <f>(11+10+9)/3</f>
        <v>10</v>
      </c>
      <c r="N396" s="4">
        <f>(6+4)/2</f>
        <v>5</v>
      </c>
      <c r="O396" s="2">
        <v>395</v>
      </c>
    </row>
    <row r="397" spans="1:27" x14ac:dyDescent="0.3">
      <c r="A397" s="2" t="s">
        <v>12</v>
      </c>
      <c r="B397" s="2" t="s">
        <v>957</v>
      </c>
      <c r="C397" s="2" t="s">
        <v>38</v>
      </c>
      <c r="D397" s="2" t="s">
        <v>35</v>
      </c>
      <c r="E397" s="2">
        <v>35</v>
      </c>
      <c r="F397" s="2" t="s">
        <v>212</v>
      </c>
      <c r="G397" s="2" t="s">
        <v>25</v>
      </c>
      <c r="H397" s="2">
        <v>276</v>
      </c>
      <c r="I397" s="2">
        <v>5</v>
      </c>
      <c r="J397" s="2">
        <v>2</v>
      </c>
      <c r="K397" s="2">
        <v>1</v>
      </c>
      <c r="L397" s="2">
        <v>36.4</v>
      </c>
      <c r="M397" s="4">
        <f>(10+10+7)/3</f>
        <v>9</v>
      </c>
      <c r="N397" s="4">
        <f>(7+4)/2</f>
        <v>5.5</v>
      </c>
      <c r="O397" s="2">
        <v>396</v>
      </c>
    </row>
    <row r="398" spans="1:27" x14ac:dyDescent="0.3">
      <c r="A398" s="2" t="s">
        <v>12</v>
      </c>
      <c r="B398" s="2" t="s">
        <v>489</v>
      </c>
      <c r="C398" s="2" t="s">
        <v>900</v>
      </c>
      <c r="D398" s="2" t="s">
        <v>24</v>
      </c>
      <c r="E398" s="2">
        <v>18</v>
      </c>
      <c r="F398" s="2" t="s">
        <v>896</v>
      </c>
      <c r="G398" s="2" t="s">
        <v>900</v>
      </c>
      <c r="H398" s="2">
        <v>275</v>
      </c>
      <c r="I398" s="2">
        <v>4</v>
      </c>
      <c r="J398" s="2">
        <v>0</v>
      </c>
      <c r="K398" s="2">
        <v>0</v>
      </c>
      <c r="L398" s="2">
        <v>32</v>
      </c>
      <c r="M398" s="4">
        <v>0</v>
      </c>
      <c r="N398" s="4">
        <f>(1.5+2+4)/3</f>
        <v>2.5</v>
      </c>
      <c r="O398" s="2">
        <v>397</v>
      </c>
    </row>
    <row r="399" spans="1:27" x14ac:dyDescent="0.3">
      <c r="A399" s="2" t="s">
        <v>12</v>
      </c>
      <c r="B399" s="2" t="s">
        <v>490</v>
      </c>
      <c r="C399" s="2" t="s">
        <v>901</v>
      </c>
      <c r="D399" s="2" t="s">
        <v>35</v>
      </c>
      <c r="E399" s="2">
        <v>23</v>
      </c>
      <c r="F399" s="2" t="s">
        <v>19</v>
      </c>
      <c r="G399" s="2" t="s">
        <v>25</v>
      </c>
      <c r="H399" s="2">
        <v>273</v>
      </c>
      <c r="I399" s="2">
        <v>9</v>
      </c>
      <c r="J399" s="2">
        <v>2</v>
      </c>
      <c r="K399" s="2">
        <v>0</v>
      </c>
      <c r="L399" s="2">
        <v>37</v>
      </c>
      <c r="M399" s="4">
        <f>(20+20+20)/3</f>
        <v>20</v>
      </c>
      <c r="N399" s="4">
        <f>(20+20)/2</f>
        <v>20</v>
      </c>
      <c r="O399" s="2">
        <v>398</v>
      </c>
    </row>
    <row r="400" spans="1:27" x14ac:dyDescent="0.3">
      <c r="A400" s="2" t="s">
        <v>12</v>
      </c>
      <c r="B400" s="2" t="s">
        <v>491</v>
      </c>
      <c r="C400" s="2" t="s">
        <v>960</v>
      </c>
      <c r="D400" s="2" t="s">
        <v>35</v>
      </c>
      <c r="E400" s="2">
        <v>27</v>
      </c>
      <c r="F400" s="2" t="s">
        <v>896</v>
      </c>
      <c r="G400" s="2" t="s">
        <v>900</v>
      </c>
      <c r="H400" s="2">
        <v>273</v>
      </c>
      <c r="I400" s="2">
        <v>6</v>
      </c>
      <c r="J400" s="2">
        <v>0</v>
      </c>
      <c r="K400" s="2">
        <v>0</v>
      </c>
      <c r="L400" s="2">
        <v>35.9</v>
      </c>
      <c r="M400" s="4">
        <f>(0.9+0.9)/2</f>
        <v>0.9</v>
      </c>
      <c r="N400" s="4">
        <f>(1.2+1)/2</f>
        <v>1.1000000000000001</v>
      </c>
      <c r="O400" s="2">
        <v>399</v>
      </c>
    </row>
    <row r="401" spans="1:15" x14ac:dyDescent="0.3">
      <c r="A401" s="2" t="s">
        <v>12</v>
      </c>
      <c r="B401" s="2" t="s">
        <v>492</v>
      </c>
      <c r="C401" s="2" t="s">
        <v>888</v>
      </c>
      <c r="D401" s="2" t="s">
        <v>35</v>
      </c>
      <c r="E401" s="2">
        <v>21</v>
      </c>
      <c r="F401" s="2" t="s">
        <v>250</v>
      </c>
      <c r="G401" s="2" t="s">
        <v>888</v>
      </c>
      <c r="H401" s="2">
        <v>272</v>
      </c>
      <c r="I401" s="2">
        <v>6</v>
      </c>
      <c r="J401" s="2">
        <v>1</v>
      </c>
      <c r="K401" s="2">
        <v>1</v>
      </c>
      <c r="L401" s="2">
        <v>38.700000000000003</v>
      </c>
      <c r="M401" s="4">
        <f>(2.5)/1</f>
        <v>2.5</v>
      </c>
      <c r="N401" s="4">
        <f>(4+7+8+10)/4</f>
        <v>7.25</v>
      </c>
      <c r="O401" s="2">
        <v>400</v>
      </c>
    </row>
    <row r="402" spans="1:15" x14ac:dyDescent="0.3">
      <c r="A402" s="2" t="s">
        <v>12</v>
      </c>
      <c r="B402" s="2" t="s">
        <v>493</v>
      </c>
      <c r="C402" s="2" t="s">
        <v>25</v>
      </c>
      <c r="D402" s="2" t="s">
        <v>23</v>
      </c>
      <c r="E402" s="2">
        <v>25</v>
      </c>
      <c r="F402" s="2" t="s">
        <v>212</v>
      </c>
      <c r="G402" s="2" t="s">
        <v>25</v>
      </c>
      <c r="H402" s="2">
        <v>271</v>
      </c>
      <c r="I402" s="2">
        <v>6</v>
      </c>
      <c r="J402" s="2">
        <v>1</v>
      </c>
      <c r="K402" s="2">
        <v>1</v>
      </c>
      <c r="L402" s="2">
        <v>36.4</v>
      </c>
      <c r="M402" s="4">
        <f>(5.5+6+12+16+16)/5</f>
        <v>11.1</v>
      </c>
      <c r="N402" s="4">
        <f>(16+12)/2</f>
        <v>14</v>
      </c>
      <c r="O402" s="2">
        <v>401</v>
      </c>
    </row>
    <row r="403" spans="1:15" x14ac:dyDescent="0.3">
      <c r="A403" s="2" t="s">
        <v>12</v>
      </c>
      <c r="B403" s="2" t="s">
        <v>494</v>
      </c>
      <c r="C403" s="2" t="s">
        <v>66</v>
      </c>
      <c r="D403" s="2" t="s">
        <v>35</v>
      </c>
      <c r="E403" s="2">
        <v>32</v>
      </c>
      <c r="F403" s="2" t="s">
        <v>253</v>
      </c>
      <c r="G403" s="2" t="s">
        <v>57</v>
      </c>
      <c r="H403" s="2">
        <v>270</v>
      </c>
      <c r="I403" s="2">
        <v>3</v>
      </c>
      <c r="J403" s="2">
        <v>0</v>
      </c>
      <c r="K403" s="2">
        <v>0</v>
      </c>
      <c r="L403" s="2">
        <v>35.799999999999997</v>
      </c>
      <c r="M403" s="4">
        <f>(14+10+8)/3</f>
        <v>10.666666666666666</v>
      </c>
      <c r="N403" s="4">
        <f>(6+5)/2</f>
        <v>5.5</v>
      </c>
      <c r="O403" s="2">
        <v>402</v>
      </c>
    </row>
    <row r="404" spans="1:15" x14ac:dyDescent="0.3">
      <c r="A404" s="2" t="s">
        <v>12</v>
      </c>
      <c r="B404" s="2" t="s">
        <v>495</v>
      </c>
      <c r="C404" s="2" t="s">
        <v>28</v>
      </c>
      <c r="D404" s="2" t="s">
        <v>24</v>
      </c>
      <c r="E404" s="2">
        <v>27</v>
      </c>
      <c r="F404" s="2" t="s">
        <v>58</v>
      </c>
      <c r="G404" s="2" t="s">
        <v>55</v>
      </c>
      <c r="H404" s="2">
        <v>270</v>
      </c>
      <c r="I404" s="2">
        <v>3</v>
      </c>
      <c r="J404" s="2">
        <v>0</v>
      </c>
      <c r="K404" s="2">
        <v>0</v>
      </c>
      <c r="L404" s="2">
        <v>30.2</v>
      </c>
      <c r="M404" s="4">
        <f>(6+8+10)/3</f>
        <v>8</v>
      </c>
      <c r="N404" s="4">
        <f>(10+8+8)/3</f>
        <v>8.6666666666666661</v>
      </c>
      <c r="O404" s="2">
        <v>403</v>
      </c>
    </row>
    <row r="405" spans="1:15" x14ac:dyDescent="0.3">
      <c r="A405" s="2" t="s">
        <v>12</v>
      </c>
      <c r="B405" s="2" t="s">
        <v>958</v>
      </c>
      <c r="C405" s="2" t="s">
        <v>904</v>
      </c>
      <c r="D405" s="2" t="s">
        <v>24</v>
      </c>
      <c r="E405" s="2">
        <v>32</v>
      </c>
      <c r="F405" s="2" t="s">
        <v>911</v>
      </c>
      <c r="G405" s="2" t="s">
        <v>879</v>
      </c>
      <c r="H405" s="2">
        <v>270</v>
      </c>
      <c r="I405" s="2">
        <v>3</v>
      </c>
      <c r="J405" s="2">
        <v>0</v>
      </c>
      <c r="K405" s="2">
        <v>0</v>
      </c>
      <c r="L405" s="2">
        <v>30.1</v>
      </c>
      <c r="M405" s="4">
        <f>(0.9+1+1)/3</f>
        <v>0.96666666666666667</v>
      </c>
      <c r="N405" s="4">
        <f>(0.5+0.3+0.15)/3</f>
        <v>0.31666666666666671</v>
      </c>
      <c r="O405" s="2">
        <v>404</v>
      </c>
    </row>
    <row r="406" spans="1:15" x14ac:dyDescent="0.3">
      <c r="A406" s="2" t="s">
        <v>12</v>
      </c>
      <c r="B406" s="2" t="s">
        <v>961</v>
      </c>
      <c r="C406" s="2" t="s">
        <v>870</v>
      </c>
      <c r="D406" s="2" t="s">
        <v>24</v>
      </c>
      <c r="E406" s="2">
        <v>34</v>
      </c>
      <c r="F406" s="2" t="s">
        <v>332</v>
      </c>
      <c r="G406" s="2" t="s">
        <v>869</v>
      </c>
      <c r="H406" s="2">
        <v>270</v>
      </c>
      <c r="I406" s="2">
        <v>3</v>
      </c>
      <c r="J406" s="2">
        <v>0</v>
      </c>
      <c r="K406" s="2">
        <v>0</v>
      </c>
      <c r="L406" s="2">
        <v>28.6</v>
      </c>
      <c r="M406" s="4">
        <f>(10+8)/2</f>
        <v>9</v>
      </c>
      <c r="N406" s="4">
        <f>(6.5+5+3.5)/3</f>
        <v>5</v>
      </c>
      <c r="O406" s="2">
        <v>405</v>
      </c>
    </row>
    <row r="407" spans="1:15" x14ac:dyDescent="0.3">
      <c r="A407" s="2" t="s">
        <v>12</v>
      </c>
      <c r="B407" s="2" t="s">
        <v>497</v>
      </c>
      <c r="C407" s="2" t="s">
        <v>888</v>
      </c>
      <c r="D407" s="2" t="s">
        <v>14</v>
      </c>
      <c r="E407" s="2">
        <v>36</v>
      </c>
      <c r="F407" s="2" t="s">
        <v>250</v>
      </c>
      <c r="G407" s="2" t="s">
        <v>888</v>
      </c>
      <c r="H407" s="2">
        <v>270</v>
      </c>
      <c r="I407" s="2">
        <v>3</v>
      </c>
      <c r="J407" s="2">
        <v>0</v>
      </c>
      <c r="K407" s="2">
        <v>0</v>
      </c>
      <c r="L407" s="2">
        <v>20.5</v>
      </c>
      <c r="M407" s="4">
        <v>0.2</v>
      </c>
      <c r="N407" s="4">
        <f>(0.2+0.2)/2</f>
        <v>0.2</v>
      </c>
      <c r="O407" s="2">
        <v>406</v>
      </c>
    </row>
    <row r="408" spans="1:15" x14ac:dyDescent="0.3">
      <c r="A408" s="2" t="s">
        <v>12</v>
      </c>
      <c r="B408" s="2" t="s">
        <v>962</v>
      </c>
      <c r="C408" s="2" t="s">
        <v>963</v>
      </c>
      <c r="D408" s="2" t="s">
        <v>14</v>
      </c>
      <c r="E408" s="2">
        <v>37</v>
      </c>
      <c r="F408" s="2" t="s">
        <v>332</v>
      </c>
      <c r="G408" s="2" t="s">
        <v>869</v>
      </c>
      <c r="H408" s="2">
        <v>270</v>
      </c>
      <c r="I408" s="2">
        <v>3</v>
      </c>
      <c r="J408" s="2">
        <v>0</v>
      </c>
      <c r="K408" s="2">
        <v>0</v>
      </c>
      <c r="L408" s="2">
        <v>18.600000000000001</v>
      </c>
      <c r="M408" s="4">
        <f>(0.6+0.6)/2</f>
        <v>0.6</v>
      </c>
      <c r="N408" s="4">
        <f>(0.6+0.6)/2</f>
        <v>0.6</v>
      </c>
      <c r="O408" s="2">
        <v>407</v>
      </c>
    </row>
    <row r="409" spans="1:15" x14ac:dyDescent="0.3">
      <c r="A409" s="2" t="s">
        <v>12</v>
      </c>
      <c r="B409" s="2" t="s">
        <v>501</v>
      </c>
      <c r="C409" s="2" t="s">
        <v>30</v>
      </c>
      <c r="D409" s="2" t="s">
        <v>14</v>
      </c>
      <c r="E409" s="2">
        <v>27</v>
      </c>
      <c r="F409" s="2" t="s">
        <v>332</v>
      </c>
      <c r="G409" s="2" t="s">
        <v>869</v>
      </c>
      <c r="H409" s="2">
        <v>270</v>
      </c>
      <c r="I409" s="2">
        <v>3</v>
      </c>
      <c r="J409" s="2">
        <v>0</v>
      </c>
      <c r="K409" s="2">
        <v>0</v>
      </c>
      <c r="L409" s="2">
        <v>18.3</v>
      </c>
      <c r="M409" s="4">
        <f>(25+25+25)/3</f>
        <v>25</v>
      </c>
      <c r="N409" s="4">
        <f>(35+35)/2</f>
        <v>35</v>
      </c>
      <c r="O409" s="2">
        <v>408</v>
      </c>
    </row>
    <row r="410" spans="1:15" x14ac:dyDescent="0.3">
      <c r="A410" s="2" t="s">
        <v>12</v>
      </c>
      <c r="B410" s="2" t="s">
        <v>502</v>
      </c>
      <c r="C410" s="2" t="s">
        <v>885</v>
      </c>
      <c r="D410" s="2" t="s">
        <v>14</v>
      </c>
      <c r="E410" s="2">
        <v>21</v>
      </c>
      <c r="F410" s="2" t="s">
        <v>216</v>
      </c>
      <c r="G410" s="2" t="s">
        <v>885</v>
      </c>
      <c r="H410" s="2">
        <v>270</v>
      </c>
      <c r="I410" s="2">
        <v>3</v>
      </c>
      <c r="J410" s="2">
        <v>0</v>
      </c>
      <c r="K410" s="2">
        <v>0</v>
      </c>
      <c r="L410" s="2">
        <v>15.5</v>
      </c>
      <c r="M410" s="4">
        <f>(7+8+8)/3</f>
        <v>7.666666666666667</v>
      </c>
      <c r="N410" s="4">
        <f>(8+11)/2</f>
        <v>9.5</v>
      </c>
      <c r="O410" s="2">
        <v>409</v>
      </c>
    </row>
    <row r="411" spans="1:15" x14ac:dyDescent="0.3">
      <c r="A411" s="2" t="s">
        <v>12</v>
      </c>
      <c r="B411" s="2" t="s">
        <v>504</v>
      </c>
      <c r="C411" s="2" t="s">
        <v>964</v>
      </c>
      <c r="D411" s="2" t="s">
        <v>14</v>
      </c>
      <c r="E411" s="2">
        <v>36</v>
      </c>
      <c r="F411" s="2" t="s">
        <v>121</v>
      </c>
      <c r="G411" s="2" t="s">
        <v>30</v>
      </c>
      <c r="H411" s="2">
        <v>270</v>
      </c>
      <c r="I411" s="2">
        <v>3</v>
      </c>
      <c r="J411" s="2">
        <v>0</v>
      </c>
      <c r="K411" s="2">
        <v>0</v>
      </c>
      <c r="L411" s="2">
        <v>13.7</v>
      </c>
      <c r="M411" s="4">
        <f>(12+10)/2</f>
        <v>11</v>
      </c>
      <c r="N411" s="4">
        <f>(8+6+5)/3</f>
        <v>6.333333333333333</v>
      </c>
      <c r="O411" s="2">
        <v>410</v>
      </c>
    </row>
    <row r="412" spans="1:15" x14ac:dyDescent="0.3">
      <c r="A412" s="2" t="s">
        <v>12</v>
      </c>
      <c r="B412" s="2" t="s">
        <v>505</v>
      </c>
      <c r="H412" s="2">
        <v>270</v>
      </c>
      <c r="I412" s="2">
        <v>3</v>
      </c>
      <c r="J412" s="2">
        <v>0</v>
      </c>
      <c r="K412" s="2">
        <v>0</v>
      </c>
      <c r="L412" s="2">
        <v>12.2</v>
      </c>
      <c r="O412" s="2">
        <v>411</v>
      </c>
    </row>
    <row r="413" spans="1:15" x14ac:dyDescent="0.3">
      <c r="A413" s="2" t="s">
        <v>12</v>
      </c>
      <c r="O413" s="2">
        <v>412</v>
      </c>
    </row>
    <row r="414" spans="1:15" x14ac:dyDescent="0.3">
      <c r="A414" s="2" t="s">
        <v>12</v>
      </c>
      <c r="O414" s="2">
        <v>413</v>
      </c>
    </row>
    <row r="415" spans="1:15" x14ac:dyDescent="0.3">
      <c r="A415" s="2" t="s">
        <v>12</v>
      </c>
      <c r="O415" s="2">
        <v>414</v>
      </c>
    </row>
    <row r="416" spans="1:15" x14ac:dyDescent="0.3">
      <c r="A416" s="2" t="s">
        <v>12</v>
      </c>
      <c r="O416" s="2">
        <v>415</v>
      </c>
    </row>
    <row r="417" spans="1:15" x14ac:dyDescent="0.3">
      <c r="A417" s="2" t="s">
        <v>12</v>
      </c>
      <c r="O417" s="2">
        <v>416</v>
      </c>
    </row>
    <row r="418" spans="1:15" x14ac:dyDescent="0.3">
      <c r="A418" s="2" t="s">
        <v>12</v>
      </c>
      <c r="O418" s="2">
        <v>417</v>
      </c>
    </row>
    <row r="419" spans="1:15" x14ac:dyDescent="0.3">
      <c r="A419" s="2" t="s">
        <v>12</v>
      </c>
      <c r="O419" s="2">
        <v>418</v>
      </c>
    </row>
    <row r="420" spans="1:15" x14ac:dyDescent="0.3">
      <c r="A420" s="2" t="s">
        <v>12</v>
      </c>
      <c r="O420" s="2">
        <v>419</v>
      </c>
    </row>
    <row r="421" spans="1:15" x14ac:dyDescent="0.3">
      <c r="A421" s="2" t="s">
        <v>12</v>
      </c>
      <c r="O421" s="2">
        <v>420</v>
      </c>
    </row>
    <row r="422" spans="1:15" x14ac:dyDescent="0.3">
      <c r="A422" s="2" t="s">
        <v>12</v>
      </c>
      <c r="O422" s="2">
        <v>421</v>
      </c>
    </row>
    <row r="423" spans="1:15" x14ac:dyDescent="0.3">
      <c r="A423" s="2" t="s">
        <v>12</v>
      </c>
      <c r="O423" s="2">
        <v>422</v>
      </c>
    </row>
    <row r="424" spans="1:15" x14ac:dyDescent="0.3">
      <c r="A424" s="2" t="s">
        <v>12</v>
      </c>
      <c r="B424" s="2">
        <v>402</v>
      </c>
      <c r="C424" s="2">
        <v>402</v>
      </c>
      <c r="D424" s="2">
        <v>402</v>
      </c>
      <c r="F424" s="2">
        <v>402</v>
      </c>
      <c r="G424" s="2">
        <v>402</v>
      </c>
      <c r="I424" s="2">
        <v>402</v>
      </c>
      <c r="L424" s="2">
        <v>402</v>
      </c>
      <c r="O424" s="2">
        <v>423</v>
      </c>
    </row>
    <row r="425" spans="1:15" x14ac:dyDescent="0.3">
      <c r="A425" s="2" t="s">
        <v>12</v>
      </c>
      <c r="B425" s="2" t="s">
        <v>332</v>
      </c>
      <c r="C425" s="2" t="s">
        <v>250</v>
      </c>
      <c r="D425" s="2" t="s">
        <v>332</v>
      </c>
      <c r="F425" s="2" t="s">
        <v>332</v>
      </c>
      <c r="G425" s="2" t="s">
        <v>216</v>
      </c>
      <c r="I425" s="2" t="s">
        <v>121</v>
      </c>
      <c r="L425" s="2" t="s">
        <v>250</v>
      </c>
      <c r="O425" s="2">
        <v>424</v>
      </c>
    </row>
    <row r="426" spans="1:15" x14ac:dyDescent="0.3">
      <c r="A426" s="2" t="s">
        <v>12</v>
      </c>
      <c r="B426" s="2" t="s">
        <v>496</v>
      </c>
      <c r="C426" s="2" t="s">
        <v>497</v>
      </c>
      <c r="D426" s="2" t="s">
        <v>499</v>
      </c>
      <c r="F426" s="2" t="s">
        <v>501</v>
      </c>
      <c r="G426" s="2" t="s">
        <v>502</v>
      </c>
      <c r="I426" s="2" t="s">
        <v>504</v>
      </c>
      <c r="L426" s="2" t="s">
        <v>505</v>
      </c>
      <c r="O426" s="2">
        <v>425</v>
      </c>
    </row>
    <row r="427" spans="1:15" x14ac:dyDescent="0.3">
      <c r="B427" s="2" t="s">
        <v>333</v>
      </c>
      <c r="C427" s="2" t="s">
        <v>498</v>
      </c>
      <c r="D427" s="2" t="s">
        <v>500</v>
      </c>
      <c r="F427" s="2" t="s">
        <v>500</v>
      </c>
      <c r="G427" s="2" t="s">
        <v>503</v>
      </c>
      <c r="I427" s="2" t="s">
        <v>348</v>
      </c>
      <c r="L427" s="2" t="s">
        <v>498</v>
      </c>
      <c r="O427" s="2">
        <v>426</v>
      </c>
    </row>
    <row r="428" spans="1:15" x14ac:dyDescent="0.3">
      <c r="B428" s="2">
        <v>270</v>
      </c>
      <c r="C428" s="2">
        <v>270</v>
      </c>
      <c r="D428" s="2">
        <v>270</v>
      </c>
      <c r="F428" s="2">
        <v>270</v>
      </c>
      <c r="G428" s="2">
        <v>270</v>
      </c>
      <c r="I428" s="2">
        <v>270</v>
      </c>
      <c r="L428" s="2">
        <v>270</v>
      </c>
      <c r="O428" s="2">
        <v>427</v>
      </c>
    </row>
    <row r="429" spans="1:15" x14ac:dyDescent="0.3">
      <c r="B429" s="2">
        <v>3</v>
      </c>
      <c r="C429" s="2">
        <v>3</v>
      </c>
      <c r="D429" s="2">
        <v>3</v>
      </c>
      <c r="F429" s="2">
        <v>3</v>
      </c>
      <c r="G429" s="2">
        <v>3</v>
      </c>
      <c r="I429" s="2">
        <v>3</v>
      </c>
      <c r="L429" s="2">
        <v>3</v>
      </c>
      <c r="O429" s="2">
        <v>428</v>
      </c>
    </row>
    <row r="430" spans="1:15" x14ac:dyDescent="0.3">
      <c r="B430" s="2">
        <v>0</v>
      </c>
      <c r="C430" s="2">
        <v>0</v>
      </c>
      <c r="D430" s="2">
        <v>0</v>
      </c>
      <c r="F430" s="2">
        <v>0</v>
      </c>
      <c r="G430" s="2">
        <v>0</v>
      </c>
      <c r="I430" s="2">
        <v>0</v>
      </c>
      <c r="L430" s="2">
        <v>0</v>
      </c>
      <c r="O430" s="2">
        <v>429</v>
      </c>
    </row>
    <row r="431" spans="1:15" x14ac:dyDescent="0.3">
      <c r="B431" s="2">
        <v>0</v>
      </c>
      <c r="C431" s="2">
        <v>0</v>
      </c>
      <c r="D431" s="2">
        <v>0</v>
      </c>
      <c r="F431" s="2">
        <v>0</v>
      </c>
      <c r="G431" s="2">
        <v>0</v>
      </c>
      <c r="I431" s="2">
        <v>0</v>
      </c>
      <c r="L431" s="2">
        <v>0</v>
      </c>
      <c r="O431" s="2">
        <v>430</v>
      </c>
    </row>
    <row r="432" spans="1:15" x14ac:dyDescent="0.3">
      <c r="B432" s="2">
        <v>28.6</v>
      </c>
      <c r="C432" s="2">
        <v>20.5</v>
      </c>
      <c r="D432" s="2">
        <v>18.600000000000001</v>
      </c>
      <c r="F432" s="2">
        <v>18.3</v>
      </c>
      <c r="G432" s="2">
        <v>15.5</v>
      </c>
      <c r="I432" s="2">
        <v>13.7</v>
      </c>
      <c r="L432" s="2">
        <v>12.2</v>
      </c>
      <c r="O432" s="2">
        <v>431</v>
      </c>
    </row>
    <row r="433" spans="2:15" x14ac:dyDescent="0.3">
      <c r="O433" s="2">
        <v>432</v>
      </c>
    </row>
    <row r="434" spans="2:15" x14ac:dyDescent="0.3">
      <c r="O434" s="2">
        <v>433</v>
      </c>
    </row>
    <row r="435" spans="2:15" x14ac:dyDescent="0.3">
      <c r="O435" s="2">
        <v>434</v>
      </c>
    </row>
    <row r="436" spans="2:15" x14ac:dyDescent="0.3">
      <c r="B436" s="2">
        <v>412</v>
      </c>
      <c r="C436" s="2">
        <v>413</v>
      </c>
      <c r="D436" s="2">
        <v>414</v>
      </c>
      <c r="F436" s="2">
        <v>415</v>
      </c>
      <c r="G436" s="2">
        <v>415</v>
      </c>
      <c r="I436" s="2">
        <v>417</v>
      </c>
      <c r="L436" s="2">
        <v>417</v>
      </c>
      <c r="O436" s="2">
        <v>435</v>
      </c>
    </row>
    <row r="437" spans="2:15" x14ac:dyDescent="0.3">
      <c r="B437" s="2" t="s">
        <v>250</v>
      </c>
      <c r="C437" s="2" t="s">
        <v>216</v>
      </c>
      <c r="D437" s="2" t="s">
        <v>216</v>
      </c>
      <c r="F437" s="2" t="s">
        <v>164</v>
      </c>
      <c r="G437" s="2" t="s">
        <v>345</v>
      </c>
      <c r="I437" s="2" t="s">
        <v>121</v>
      </c>
      <c r="L437" s="2" t="s">
        <v>332</v>
      </c>
      <c r="O437" s="2">
        <v>436</v>
      </c>
    </row>
    <row r="438" spans="2:15" x14ac:dyDescent="0.3">
      <c r="B438" s="2" t="s">
        <v>506</v>
      </c>
      <c r="C438" s="2" t="s">
        <v>507</v>
      </c>
      <c r="D438" s="2" t="s">
        <v>508</v>
      </c>
      <c r="F438" s="2" t="s">
        <v>509</v>
      </c>
      <c r="G438" s="2" t="s">
        <v>510</v>
      </c>
      <c r="I438" s="2" t="s">
        <v>511</v>
      </c>
      <c r="L438" s="2" t="s">
        <v>512</v>
      </c>
      <c r="O438" s="2">
        <v>437</v>
      </c>
    </row>
    <row r="439" spans="2:15" x14ac:dyDescent="0.3">
      <c r="B439" s="2" t="s">
        <v>252</v>
      </c>
      <c r="C439" s="2" t="s">
        <v>313</v>
      </c>
      <c r="D439" s="2" t="s">
        <v>503</v>
      </c>
      <c r="F439" s="2" t="s">
        <v>240</v>
      </c>
      <c r="G439" s="2" t="s">
        <v>410</v>
      </c>
      <c r="I439" s="2" t="s">
        <v>374</v>
      </c>
      <c r="L439" s="2" t="s">
        <v>477</v>
      </c>
      <c r="O439" s="2">
        <v>438</v>
      </c>
    </row>
    <row r="440" spans="2:15" x14ac:dyDescent="0.3">
      <c r="B440" s="2">
        <v>269</v>
      </c>
      <c r="C440" s="2">
        <v>268</v>
      </c>
      <c r="D440" s="2">
        <v>266</v>
      </c>
      <c r="F440" s="2">
        <v>264</v>
      </c>
      <c r="G440" s="2">
        <v>264</v>
      </c>
      <c r="I440" s="2">
        <v>261</v>
      </c>
      <c r="L440" s="2">
        <v>261</v>
      </c>
      <c r="O440" s="2">
        <v>439</v>
      </c>
    </row>
    <row r="441" spans="2:15" x14ac:dyDescent="0.3">
      <c r="B441" s="2">
        <v>3</v>
      </c>
      <c r="C441" s="2">
        <v>4</v>
      </c>
      <c r="D441" s="2">
        <v>3</v>
      </c>
      <c r="F441" s="2">
        <v>6</v>
      </c>
      <c r="G441" s="2">
        <v>5</v>
      </c>
      <c r="I441" s="2">
        <v>5</v>
      </c>
      <c r="L441" s="2">
        <v>5</v>
      </c>
      <c r="O441" s="2">
        <v>440</v>
      </c>
    </row>
    <row r="442" spans="2:15" x14ac:dyDescent="0.3">
      <c r="B442" s="2">
        <v>0</v>
      </c>
      <c r="C442" s="2">
        <v>0</v>
      </c>
      <c r="D442" s="2">
        <v>0</v>
      </c>
      <c r="F442" s="2">
        <v>0</v>
      </c>
      <c r="G442" s="2">
        <v>0</v>
      </c>
      <c r="I442" s="2">
        <v>2</v>
      </c>
      <c r="L442" s="2">
        <v>0</v>
      </c>
      <c r="O442" s="2">
        <v>441</v>
      </c>
    </row>
    <row r="443" spans="2:15" x14ac:dyDescent="0.3">
      <c r="B443" s="2">
        <v>0</v>
      </c>
      <c r="C443" s="2">
        <v>1</v>
      </c>
      <c r="D443" s="2">
        <v>0</v>
      </c>
      <c r="F443" s="2">
        <v>0</v>
      </c>
      <c r="G443" s="2">
        <v>0</v>
      </c>
      <c r="I443" s="2">
        <v>0</v>
      </c>
      <c r="L443" s="2">
        <v>0</v>
      </c>
      <c r="O443" s="2">
        <v>442</v>
      </c>
    </row>
    <row r="444" spans="2:15" x14ac:dyDescent="0.3">
      <c r="B444" s="2">
        <v>23.3</v>
      </c>
      <c r="C444" s="2">
        <v>37.1</v>
      </c>
      <c r="D444" s="2">
        <v>14.2</v>
      </c>
      <c r="F444" s="2">
        <v>35.200000000000003</v>
      </c>
      <c r="G444" s="2">
        <v>33.700000000000003</v>
      </c>
      <c r="I444" s="2">
        <v>31.6</v>
      </c>
      <c r="L444" s="2">
        <v>29</v>
      </c>
      <c r="O444" s="2">
        <v>443</v>
      </c>
    </row>
    <row r="445" spans="2:15" x14ac:dyDescent="0.3">
      <c r="O445" s="2">
        <v>444</v>
      </c>
    </row>
    <row r="446" spans="2:15" x14ac:dyDescent="0.3">
      <c r="O446" s="2">
        <v>445</v>
      </c>
    </row>
    <row r="447" spans="2:15" x14ac:dyDescent="0.3">
      <c r="O447" s="2">
        <v>446</v>
      </c>
    </row>
    <row r="448" spans="2:15" x14ac:dyDescent="0.3">
      <c r="O448" s="2">
        <v>447</v>
      </c>
    </row>
    <row r="449" spans="2:15" x14ac:dyDescent="0.3">
      <c r="B449" s="2">
        <v>417</v>
      </c>
      <c r="C449" s="2">
        <v>417</v>
      </c>
      <c r="D449" s="2">
        <v>421</v>
      </c>
      <c r="F449" s="2">
        <v>421</v>
      </c>
      <c r="G449" s="2">
        <v>423</v>
      </c>
      <c r="I449" s="2">
        <v>423</v>
      </c>
      <c r="L449" s="2">
        <v>425</v>
      </c>
      <c r="O449" s="2">
        <v>448</v>
      </c>
    </row>
    <row r="450" spans="2:15" x14ac:dyDescent="0.3">
      <c r="B450" s="2" t="s">
        <v>345</v>
      </c>
      <c r="C450" s="2" t="s">
        <v>345</v>
      </c>
      <c r="D450" s="2" t="s">
        <v>121</v>
      </c>
      <c r="F450" s="2" t="s">
        <v>231</v>
      </c>
      <c r="G450" s="2" t="s">
        <v>19</v>
      </c>
      <c r="I450" s="2" t="s">
        <v>204</v>
      </c>
      <c r="L450" s="2" t="s">
        <v>124</v>
      </c>
      <c r="O450" s="2">
        <v>449</v>
      </c>
    </row>
    <row r="451" spans="2:15" x14ac:dyDescent="0.3">
      <c r="B451" s="2" t="s">
        <v>513</v>
      </c>
      <c r="C451" s="2" t="s">
        <v>514</v>
      </c>
      <c r="D451" s="2" t="s">
        <v>515</v>
      </c>
      <c r="F451" s="2" t="s">
        <v>516</v>
      </c>
      <c r="G451" s="2" t="s">
        <v>517</v>
      </c>
      <c r="I451" s="2" t="s">
        <v>518</v>
      </c>
      <c r="L451" s="2" t="s">
        <v>519</v>
      </c>
      <c r="O451" s="2">
        <v>450</v>
      </c>
    </row>
    <row r="452" spans="2:15" x14ac:dyDescent="0.3">
      <c r="B452" s="2" t="s">
        <v>362</v>
      </c>
      <c r="C452" s="2" t="s">
        <v>362</v>
      </c>
      <c r="D452" s="2" t="s">
        <v>142</v>
      </c>
      <c r="F452" s="2" t="s">
        <v>331</v>
      </c>
      <c r="G452" s="2" t="s">
        <v>267</v>
      </c>
      <c r="I452" s="2" t="s">
        <v>206</v>
      </c>
      <c r="L452" s="2" t="s">
        <v>159</v>
      </c>
    </row>
    <row r="453" spans="2:15" x14ac:dyDescent="0.3">
      <c r="B453" s="2">
        <v>261</v>
      </c>
      <c r="C453" s="2">
        <v>261</v>
      </c>
      <c r="D453" s="2">
        <v>260</v>
      </c>
      <c r="F453" s="2">
        <v>260</v>
      </c>
      <c r="G453" s="2">
        <v>258</v>
      </c>
      <c r="I453" s="2">
        <v>258</v>
      </c>
      <c r="L453" s="2">
        <v>257</v>
      </c>
    </row>
    <row r="454" spans="2:15" x14ac:dyDescent="0.3">
      <c r="B454" s="2">
        <v>3</v>
      </c>
      <c r="C454" s="2">
        <v>3</v>
      </c>
      <c r="D454" s="2">
        <v>5</v>
      </c>
      <c r="F454" s="2">
        <v>5</v>
      </c>
      <c r="G454" s="2">
        <v>8</v>
      </c>
      <c r="I454" s="2">
        <v>5</v>
      </c>
      <c r="L454" s="2">
        <v>8</v>
      </c>
    </row>
    <row r="455" spans="2:15" x14ac:dyDescent="0.3">
      <c r="B455" s="2">
        <v>0</v>
      </c>
      <c r="C455" s="2">
        <v>0</v>
      </c>
      <c r="D455" s="2">
        <v>0</v>
      </c>
      <c r="F455" s="2">
        <v>0</v>
      </c>
      <c r="G455" s="2">
        <v>1</v>
      </c>
      <c r="I455" s="2">
        <v>2</v>
      </c>
      <c r="L455" s="2">
        <v>0</v>
      </c>
    </row>
    <row r="456" spans="2:15" x14ac:dyDescent="0.3">
      <c r="B456" s="2">
        <v>2</v>
      </c>
      <c r="C456" s="2">
        <v>0</v>
      </c>
      <c r="D456" s="2">
        <v>1</v>
      </c>
      <c r="F456" s="2">
        <v>0</v>
      </c>
      <c r="G456" s="2">
        <v>0</v>
      </c>
      <c r="I456" s="2">
        <v>0</v>
      </c>
      <c r="L456" s="2">
        <v>0</v>
      </c>
    </row>
    <row r="457" spans="2:15" x14ac:dyDescent="0.3">
      <c r="B457" s="2">
        <v>32.700000000000003</v>
      </c>
      <c r="C457" s="2">
        <v>29.6</v>
      </c>
      <c r="D457" s="2">
        <v>32.1</v>
      </c>
      <c r="F457" s="2">
        <v>31.5</v>
      </c>
      <c r="G457" s="2">
        <v>33.299999999999997</v>
      </c>
      <c r="I457" s="2">
        <v>31.1</v>
      </c>
      <c r="L457" s="2">
        <v>34.9</v>
      </c>
    </row>
    <row r="461" spans="2:15" x14ac:dyDescent="0.3">
      <c r="B461" s="2">
        <v>425</v>
      </c>
      <c r="C461" s="2">
        <v>425</v>
      </c>
      <c r="D461" s="2">
        <v>428</v>
      </c>
      <c r="F461" s="2">
        <v>429</v>
      </c>
      <c r="G461" s="2">
        <v>429</v>
      </c>
      <c r="I461" s="2">
        <v>431</v>
      </c>
      <c r="L461" s="2">
        <v>432</v>
      </c>
    </row>
    <row r="462" spans="2:15" x14ac:dyDescent="0.3">
      <c r="B462" s="2" t="s">
        <v>166</v>
      </c>
      <c r="C462" s="2" t="s">
        <v>218</v>
      </c>
      <c r="D462" s="2" t="s">
        <v>216</v>
      </c>
      <c r="F462" s="2" t="s">
        <v>164</v>
      </c>
      <c r="G462" s="2" t="s">
        <v>124</v>
      </c>
      <c r="I462" s="2" t="s">
        <v>345</v>
      </c>
      <c r="L462" s="2" t="s">
        <v>332</v>
      </c>
    </row>
    <row r="463" spans="2:15" x14ac:dyDescent="0.3">
      <c r="B463" s="2" t="s">
        <v>520</v>
      </c>
      <c r="C463" s="2" t="s">
        <v>521</v>
      </c>
      <c r="D463" s="2" t="s">
        <v>522</v>
      </c>
      <c r="F463" s="2" t="s">
        <v>523</v>
      </c>
      <c r="G463" s="2" t="s">
        <v>524</v>
      </c>
      <c r="I463" s="2" t="s">
        <v>525</v>
      </c>
      <c r="L463" s="2" t="s">
        <v>526</v>
      </c>
    </row>
    <row r="464" spans="2:15" x14ac:dyDescent="0.3">
      <c r="B464" s="2" t="s">
        <v>175</v>
      </c>
      <c r="C464" s="2" t="s">
        <v>220</v>
      </c>
      <c r="D464" s="2" t="s">
        <v>313</v>
      </c>
      <c r="F464" s="2" t="s">
        <v>272</v>
      </c>
      <c r="G464" s="2" t="s">
        <v>141</v>
      </c>
      <c r="I464" s="2" t="s">
        <v>391</v>
      </c>
      <c r="L464" s="2" t="s">
        <v>358</v>
      </c>
    </row>
    <row r="465" spans="2:12" x14ac:dyDescent="0.3">
      <c r="B465" s="2">
        <v>257</v>
      </c>
      <c r="C465" s="2">
        <v>257</v>
      </c>
      <c r="D465" s="2">
        <v>256</v>
      </c>
      <c r="F465" s="2">
        <v>255</v>
      </c>
      <c r="G465" s="2">
        <v>255</v>
      </c>
      <c r="I465" s="2">
        <v>253</v>
      </c>
      <c r="L465" s="2">
        <v>252</v>
      </c>
    </row>
    <row r="466" spans="2:12" x14ac:dyDescent="0.3">
      <c r="B466" s="2">
        <v>5</v>
      </c>
      <c r="C466" s="2">
        <v>4</v>
      </c>
      <c r="D466" s="2">
        <v>5</v>
      </c>
      <c r="F466" s="2">
        <v>5</v>
      </c>
      <c r="G466" s="2">
        <v>5</v>
      </c>
      <c r="I466" s="2">
        <v>3</v>
      </c>
      <c r="L466" s="2">
        <v>4</v>
      </c>
    </row>
    <row r="467" spans="2:12" x14ac:dyDescent="0.3">
      <c r="B467" s="2">
        <v>1</v>
      </c>
      <c r="C467" s="2">
        <v>1</v>
      </c>
      <c r="D467" s="2">
        <v>0</v>
      </c>
      <c r="F467" s="2">
        <v>3</v>
      </c>
      <c r="G467" s="2">
        <v>0</v>
      </c>
      <c r="I467" s="2">
        <v>0</v>
      </c>
      <c r="L467" s="2">
        <v>0</v>
      </c>
    </row>
    <row r="468" spans="2:12" x14ac:dyDescent="0.3">
      <c r="B468" s="2">
        <v>0</v>
      </c>
      <c r="C468" s="2">
        <v>0</v>
      </c>
      <c r="D468" s="2">
        <v>0</v>
      </c>
      <c r="F468" s="2">
        <v>1</v>
      </c>
      <c r="G468" s="2">
        <v>0</v>
      </c>
      <c r="I468" s="2">
        <v>0</v>
      </c>
      <c r="L468" s="2">
        <v>0</v>
      </c>
    </row>
    <row r="469" spans="2:12" x14ac:dyDescent="0.3">
      <c r="B469" s="2">
        <v>29.5</v>
      </c>
      <c r="C469" s="2">
        <v>31.7</v>
      </c>
      <c r="D469" s="2">
        <v>36.1</v>
      </c>
      <c r="F469" s="2">
        <v>30.6</v>
      </c>
      <c r="G469" s="2">
        <v>29.4</v>
      </c>
      <c r="I469" s="2">
        <v>29.9</v>
      </c>
      <c r="L469" s="2">
        <v>30.6</v>
      </c>
    </row>
    <row r="473" spans="2:12" x14ac:dyDescent="0.3">
      <c r="B473" s="2">
        <v>433</v>
      </c>
      <c r="C473" s="2">
        <v>434</v>
      </c>
      <c r="D473" s="2">
        <v>434</v>
      </c>
      <c r="F473" s="2">
        <v>436</v>
      </c>
      <c r="G473" s="2">
        <v>437</v>
      </c>
      <c r="I473" s="2">
        <v>438</v>
      </c>
      <c r="L473" s="2">
        <v>439</v>
      </c>
    </row>
    <row r="474" spans="2:12" x14ac:dyDescent="0.3">
      <c r="B474" s="2" t="s">
        <v>231</v>
      </c>
      <c r="C474" s="2" t="s">
        <v>237</v>
      </c>
      <c r="D474" s="2" t="s">
        <v>237</v>
      </c>
      <c r="F474" s="2" t="s">
        <v>79</v>
      </c>
      <c r="G474" s="2" t="s">
        <v>16</v>
      </c>
      <c r="I474" s="2" t="s">
        <v>124</v>
      </c>
      <c r="L474" s="2" t="s">
        <v>250</v>
      </c>
    </row>
    <row r="475" spans="2:12" x14ac:dyDescent="0.3">
      <c r="B475" s="2" t="s">
        <v>527</v>
      </c>
      <c r="C475" s="2" t="s">
        <v>528</v>
      </c>
      <c r="D475" s="2" t="s">
        <v>529</v>
      </c>
      <c r="F475" s="2" t="s">
        <v>530</v>
      </c>
      <c r="G475" s="2" t="s">
        <v>531</v>
      </c>
      <c r="I475" s="2" t="s">
        <v>532</v>
      </c>
      <c r="L475" s="2" t="s">
        <v>533</v>
      </c>
    </row>
    <row r="476" spans="2:12" x14ac:dyDescent="0.3">
      <c r="B476" s="2" t="s">
        <v>263</v>
      </c>
      <c r="C476" s="2" t="s">
        <v>270</v>
      </c>
      <c r="D476" s="2" t="s">
        <v>401</v>
      </c>
      <c r="F476" s="2" t="s">
        <v>423</v>
      </c>
      <c r="G476" s="2" t="s">
        <v>83</v>
      </c>
      <c r="I476" s="2" t="s">
        <v>126</v>
      </c>
      <c r="L476" s="2" t="s">
        <v>252</v>
      </c>
    </row>
    <row r="477" spans="2:12" x14ac:dyDescent="0.3">
      <c r="B477" s="2">
        <v>249</v>
      </c>
      <c r="C477" s="2">
        <v>247</v>
      </c>
      <c r="D477" s="2">
        <v>247</v>
      </c>
      <c r="F477" s="2">
        <v>246</v>
      </c>
      <c r="G477" s="2">
        <v>245</v>
      </c>
      <c r="I477" s="2">
        <v>243</v>
      </c>
      <c r="L477" s="2">
        <v>240</v>
      </c>
    </row>
    <row r="478" spans="2:12" x14ac:dyDescent="0.3">
      <c r="B478" s="2">
        <v>4</v>
      </c>
      <c r="C478" s="2">
        <v>4</v>
      </c>
      <c r="D478" s="2">
        <v>4</v>
      </c>
      <c r="F478" s="2">
        <v>5</v>
      </c>
      <c r="G478" s="2">
        <v>7</v>
      </c>
      <c r="I478" s="2">
        <v>4</v>
      </c>
      <c r="L478" s="2">
        <v>5</v>
      </c>
    </row>
    <row r="479" spans="2:12" x14ac:dyDescent="0.3">
      <c r="B479" s="2">
        <v>1</v>
      </c>
      <c r="C479" s="2">
        <v>0</v>
      </c>
      <c r="D479" s="2">
        <v>0</v>
      </c>
      <c r="F479" s="2">
        <v>4</v>
      </c>
      <c r="G479" s="2">
        <v>0</v>
      </c>
      <c r="I479" s="2">
        <v>0</v>
      </c>
      <c r="L479" s="2">
        <v>1</v>
      </c>
    </row>
    <row r="480" spans="2:12" x14ac:dyDescent="0.3">
      <c r="B480" s="2">
        <v>1</v>
      </c>
      <c r="C480" s="2">
        <v>0</v>
      </c>
      <c r="D480" s="2">
        <v>0</v>
      </c>
      <c r="F480" s="2">
        <v>2</v>
      </c>
      <c r="G480" s="2">
        <v>0</v>
      </c>
      <c r="I480" s="2">
        <v>0</v>
      </c>
      <c r="L480" s="2">
        <v>0</v>
      </c>
    </row>
    <row r="481" spans="2:12" x14ac:dyDescent="0.3">
      <c r="B481" s="2">
        <v>29.3</v>
      </c>
      <c r="C481" s="2">
        <v>33.6</v>
      </c>
      <c r="D481" s="2">
        <v>29.7</v>
      </c>
      <c r="F481" s="2">
        <v>29.8</v>
      </c>
      <c r="G481" s="2">
        <v>30.4</v>
      </c>
      <c r="I481" s="2">
        <v>29.1</v>
      </c>
      <c r="L481" s="2">
        <v>28.5</v>
      </c>
    </row>
    <row r="486" spans="2:12" x14ac:dyDescent="0.3">
      <c r="B486" s="2">
        <v>440</v>
      </c>
      <c r="C486" s="2">
        <v>441</v>
      </c>
      <c r="D486" s="2">
        <v>441</v>
      </c>
      <c r="F486" s="2">
        <v>443</v>
      </c>
      <c r="G486" s="2">
        <v>444</v>
      </c>
      <c r="I486" s="2">
        <v>445</v>
      </c>
      <c r="L486" s="2">
        <v>446</v>
      </c>
    </row>
    <row r="487" spans="2:12" x14ac:dyDescent="0.3">
      <c r="B487" s="2" t="s">
        <v>58</v>
      </c>
      <c r="C487" s="2" t="s">
        <v>116</v>
      </c>
      <c r="D487" s="2" t="s">
        <v>67</v>
      </c>
      <c r="F487" s="2" t="s">
        <v>166</v>
      </c>
      <c r="G487" s="2" t="s">
        <v>119</v>
      </c>
      <c r="I487" s="2" t="s">
        <v>116</v>
      </c>
      <c r="L487" s="2" t="s">
        <v>237</v>
      </c>
    </row>
    <row r="488" spans="2:12" x14ac:dyDescent="0.3">
      <c r="B488" s="2" t="s">
        <v>534</v>
      </c>
      <c r="C488" s="2" t="s">
        <v>535</v>
      </c>
      <c r="D488" s="2" t="s">
        <v>536</v>
      </c>
      <c r="F488" s="2" t="s">
        <v>537</v>
      </c>
      <c r="G488" s="2" t="s">
        <v>538</v>
      </c>
      <c r="I488" s="2" t="s">
        <v>539</v>
      </c>
      <c r="L488" s="2" t="s">
        <v>540</v>
      </c>
    </row>
    <row r="489" spans="2:12" x14ac:dyDescent="0.3">
      <c r="B489" s="2" t="s">
        <v>72</v>
      </c>
      <c r="C489" s="2" t="s">
        <v>177</v>
      </c>
      <c r="D489" s="2" t="s">
        <v>98</v>
      </c>
      <c r="F489" s="2" t="s">
        <v>248</v>
      </c>
      <c r="G489" s="2" t="s">
        <v>135</v>
      </c>
      <c r="I489" s="2" t="s">
        <v>177</v>
      </c>
      <c r="L489" s="2" t="s">
        <v>401</v>
      </c>
    </row>
    <row r="490" spans="2:12" x14ac:dyDescent="0.3">
      <c r="B490" s="2">
        <v>236</v>
      </c>
      <c r="C490" s="2">
        <v>234</v>
      </c>
      <c r="D490" s="2">
        <v>234</v>
      </c>
      <c r="F490" s="2">
        <v>233</v>
      </c>
      <c r="G490" s="2">
        <v>232</v>
      </c>
      <c r="I490" s="2">
        <v>231</v>
      </c>
      <c r="L490" s="2">
        <v>230</v>
      </c>
    </row>
    <row r="491" spans="2:12" x14ac:dyDescent="0.3">
      <c r="B491" s="2">
        <v>5</v>
      </c>
      <c r="C491" s="2">
        <v>6</v>
      </c>
      <c r="D491" s="2">
        <v>4</v>
      </c>
      <c r="F491" s="2">
        <v>3</v>
      </c>
      <c r="G491" s="2">
        <v>7</v>
      </c>
      <c r="I491" s="2">
        <v>8</v>
      </c>
      <c r="L491" s="2">
        <v>4</v>
      </c>
    </row>
    <row r="492" spans="2:12" x14ac:dyDescent="0.3">
      <c r="B492" s="2">
        <v>0</v>
      </c>
      <c r="C492" s="2">
        <v>0</v>
      </c>
      <c r="D492" s="2">
        <v>0</v>
      </c>
      <c r="F492" s="2">
        <v>0</v>
      </c>
      <c r="G492" s="2">
        <v>1</v>
      </c>
      <c r="I492" s="2">
        <v>1</v>
      </c>
      <c r="L492" s="2">
        <v>0</v>
      </c>
    </row>
    <row r="493" spans="2:12" x14ac:dyDescent="0.3">
      <c r="B493" s="2">
        <v>0</v>
      </c>
      <c r="C493" s="2">
        <v>0</v>
      </c>
      <c r="D493" s="2">
        <v>1</v>
      </c>
      <c r="F493" s="2">
        <v>0</v>
      </c>
      <c r="G493" s="2">
        <v>1</v>
      </c>
      <c r="I493" s="2">
        <v>0</v>
      </c>
      <c r="L493" s="2">
        <v>0</v>
      </c>
    </row>
    <row r="494" spans="2:12" x14ac:dyDescent="0.3">
      <c r="B494" s="2">
        <v>29.6</v>
      </c>
      <c r="C494" s="2">
        <v>32.1</v>
      </c>
      <c r="D494" s="2">
        <v>31.3</v>
      </c>
      <c r="F494" s="2">
        <v>21</v>
      </c>
      <c r="G494" s="2">
        <v>33.6</v>
      </c>
      <c r="I494" s="2">
        <v>32.6</v>
      </c>
      <c r="L494" s="2">
        <v>30.2</v>
      </c>
    </row>
    <row r="497" spans="2:12" x14ac:dyDescent="0.3">
      <c r="B497" s="2">
        <v>447</v>
      </c>
      <c r="C497" s="2">
        <v>448</v>
      </c>
      <c r="D497" s="2">
        <v>449</v>
      </c>
      <c r="F497" s="2">
        <v>449</v>
      </c>
      <c r="G497" s="2">
        <v>451</v>
      </c>
      <c r="I497" s="2">
        <v>451</v>
      </c>
      <c r="L497" s="2">
        <v>453</v>
      </c>
    </row>
    <row r="498" spans="2:12" x14ac:dyDescent="0.3">
      <c r="B498" s="2" t="s">
        <v>212</v>
      </c>
      <c r="C498" s="2" t="s">
        <v>87</v>
      </c>
      <c r="D498" s="2" t="s">
        <v>216</v>
      </c>
      <c r="F498" s="2" t="s">
        <v>286</v>
      </c>
      <c r="G498" s="2" t="s">
        <v>19</v>
      </c>
      <c r="I498" s="2" t="s">
        <v>286</v>
      </c>
      <c r="L498" s="2" t="s">
        <v>231</v>
      </c>
    </row>
    <row r="499" spans="2:12" x14ac:dyDescent="0.3">
      <c r="B499" s="2" t="s">
        <v>541</v>
      </c>
      <c r="C499" s="2" t="s">
        <v>450</v>
      </c>
      <c r="D499" s="2" t="s">
        <v>542</v>
      </c>
      <c r="F499" s="2" t="s">
        <v>543</v>
      </c>
      <c r="G499" s="2" t="s">
        <v>544</v>
      </c>
      <c r="I499" s="2" t="s">
        <v>545</v>
      </c>
      <c r="L499" s="2" t="s">
        <v>546</v>
      </c>
    </row>
    <row r="500" spans="2:12" x14ac:dyDescent="0.3">
      <c r="B500" s="2" t="s">
        <v>455</v>
      </c>
      <c r="C500" s="2" t="s">
        <v>138</v>
      </c>
      <c r="D500" s="2" t="s">
        <v>313</v>
      </c>
      <c r="F500" s="2" t="s">
        <v>461</v>
      </c>
      <c r="G500" s="2" t="s">
        <v>113</v>
      </c>
      <c r="I500" s="2" t="s">
        <v>293</v>
      </c>
      <c r="L500" s="2" t="s">
        <v>263</v>
      </c>
    </row>
    <row r="501" spans="2:12" x14ac:dyDescent="0.3">
      <c r="B501" s="2">
        <v>228</v>
      </c>
      <c r="C501" s="2">
        <v>226</v>
      </c>
      <c r="D501" s="2">
        <v>225</v>
      </c>
      <c r="F501" s="2">
        <v>225</v>
      </c>
      <c r="G501" s="2">
        <v>222</v>
      </c>
      <c r="I501" s="2">
        <v>222</v>
      </c>
      <c r="L501" s="2">
        <v>220</v>
      </c>
    </row>
    <row r="502" spans="2:12" x14ac:dyDescent="0.3">
      <c r="B502" s="2">
        <v>4</v>
      </c>
      <c r="C502" s="2">
        <v>4</v>
      </c>
      <c r="D502" s="2">
        <v>4</v>
      </c>
      <c r="F502" s="2">
        <v>3</v>
      </c>
      <c r="G502" s="2">
        <v>6</v>
      </c>
      <c r="I502" s="2">
        <v>3</v>
      </c>
      <c r="L502" s="2">
        <v>5</v>
      </c>
    </row>
    <row r="503" spans="2:12" x14ac:dyDescent="0.3">
      <c r="B503" s="2">
        <v>0</v>
      </c>
      <c r="C503" s="2">
        <v>0</v>
      </c>
      <c r="D503" s="2">
        <v>0</v>
      </c>
      <c r="F503" s="2">
        <v>0</v>
      </c>
      <c r="G503" s="2">
        <v>0</v>
      </c>
      <c r="I503" s="2">
        <v>1</v>
      </c>
      <c r="L503" s="2">
        <v>1</v>
      </c>
    </row>
    <row r="504" spans="2:12" x14ac:dyDescent="0.3">
      <c r="B504" s="2">
        <v>0</v>
      </c>
      <c r="C504" s="2">
        <v>0</v>
      </c>
      <c r="D504" s="2">
        <v>0</v>
      </c>
      <c r="F504" s="2">
        <v>0</v>
      </c>
      <c r="G504" s="2">
        <v>1</v>
      </c>
      <c r="I504" s="2">
        <v>0</v>
      </c>
      <c r="L504" s="2">
        <v>1</v>
      </c>
    </row>
    <row r="505" spans="2:12" x14ac:dyDescent="0.3">
      <c r="B505" s="2">
        <v>25.2</v>
      </c>
      <c r="C505" s="2">
        <v>30.1</v>
      </c>
      <c r="D505" s="2">
        <v>30.6</v>
      </c>
      <c r="F505" s="2">
        <v>11.1</v>
      </c>
      <c r="G505" s="2">
        <v>32</v>
      </c>
      <c r="I505" s="2">
        <v>27.8</v>
      </c>
      <c r="L505" s="2">
        <v>30</v>
      </c>
    </row>
    <row r="562" spans="2:2" x14ac:dyDescent="0.3">
      <c r="B562" s="2">
        <v>453</v>
      </c>
    </row>
    <row r="563" spans="2:2" x14ac:dyDescent="0.3">
      <c r="B563" s="2" t="s">
        <v>87</v>
      </c>
    </row>
    <row r="564" spans="2:2" x14ac:dyDescent="0.3">
      <c r="B564" s="2" t="s">
        <v>547</v>
      </c>
    </row>
    <row r="565" spans="2:2" x14ac:dyDescent="0.3">
      <c r="B565" s="2" t="s">
        <v>89</v>
      </c>
    </row>
    <row r="566" spans="2:2" x14ac:dyDescent="0.3">
      <c r="B566" s="2">
        <v>220</v>
      </c>
    </row>
    <row r="567" spans="2:2" x14ac:dyDescent="0.3">
      <c r="B567" s="2">
        <v>3</v>
      </c>
    </row>
    <row r="568" spans="2:2" x14ac:dyDescent="0.3">
      <c r="B568" s="2">
        <v>0</v>
      </c>
    </row>
    <row r="569" spans="2:2" x14ac:dyDescent="0.3">
      <c r="B569" s="2">
        <v>0</v>
      </c>
    </row>
    <row r="570" spans="2:2" x14ac:dyDescent="0.3">
      <c r="B570" s="2">
        <v>27</v>
      </c>
    </row>
    <row r="571" spans="2:2" x14ac:dyDescent="0.3">
      <c r="B571" s="2">
        <v>455</v>
      </c>
    </row>
    <row r="572" spans="2:2" x14ac:dyDescent="0.3">
      <c r="B572" s="2" t="s">
        <v>237</v>
      </c>
    </row>
    <row r="573" spans="2:2" x14ac:dyDescent="0.3">
      <c r="B573" s="2" t="s">
        <v>548</v>
      </c>
    </row>
    <row r="574" spans="2:2" x14ac:dyDescent="0.3">
      <c r="B574" s="2" t="s">
        <v>401</v>
      </c>
    </row>
    <row r="575" spans="2:2" x14ac:dyDescent="0.3">
      <c r="B575" s="2">
        <v>219</v>
      </c>
    </row>
    <row r="576" spans="2:2" x14ac:dyDescent="0.3">
      <c r="B576" s="2">
        <v>5</v>
      </c>
    </row>
    <row r="577" spans="2:2" x14ac:dyDescent="0.3">
      <c r="B577" s="2">
        <v>0</v>
      </c>
    </row>
    <row r="578" spans="2:2" x14ac:dyDescent="0.3">
      <c r="B578" s="2">
        <v>0</v>
      </c>
    </row>
    <row r="579" spans="2:2" x14ac:dyDescent="0.3">
      <c r="B579" s="2">
        <v>27.2</v>
      </c>
    </row>
    <row r="580" spans="2:2" x14ac:dyDescent="0.3">
      <c r="B580" s="2">
        <v>455</v>
      </c>
    </row>
    <row r="581" spans="2:2" x14ac:dyDescent="0.3">
      <c r="B581" s="2" t="s">
        <v>345</v>
      </c>
    </row>
    <row r="582" spans="2:2" x14ac:dyDescent="0.3">
      <c r="B582" s="2" t="s">
        <v>549</v>
      </c>
    </row>
    <row r="583" spans="2:2" x14ac:dyDescent="0.3">
      <c r="B583" s="2" t="s">
        <v>362</v>
      </c>
    </row>
    <row r="584" spans="2:2" x14ac:dyDescent="0.3">
      <c r="B584" s="2">
        <v>219</v>
      </c>
    </row>
    <row r="585" spans="2:2" x14ac:dyDescent="0.3">
      <c r="B585" s="2">
        <v>4</v>
      </c>
    </row>
    <row r="586" spans="2:2" x14ac:dyDescent="0.3">
      <c r="B586" s="2">
        <v>0</v>
      </c>
    </row>
    <row r="587" spans="2:2" x14ac:dyDescent="0.3">
      <c r="B587" s="2">
        <v>0</v>
      </c>
    </row>
    <row r="588" spans="2:2" x14ac:dyDescent="0.3">
      <c r="B588" s="2">
        <v>28.3</v>
      </c>
    </row>
    <row r="589" spans="2:2" x14ac:dyDescent="0.3">
      <c r="B589" s="2">
        <v>457</v>
      </c>
    </row>
    <row r="590" spans="2:2" x14ac:dyDescent="0.3">
      <c r="B590" s="2" t="s">
        <v>162</v>
      </c>
    </row>
    <row r="591" spans="2:2" x14ac:dyDescent="0.3">
      <c r="B591" s="2" t="s">
        <v>550</v>
      </c>
    </row>
    <row r="592" spans="2:2" x14ac:dyDescent="0.3">
      <c r="B592" s="2" t="s">
        <v>181</v>
      </c>
    </row>
    <row r="593" spans="2:2" x14ac:dyDescent="0.3">
      <c r="B593" s="2">
        <v>218</v>
      </c>
    </row>
    <row r="594" spans="2:2" x14ac:dyDescent="0.3">
      <c r="B594" s="2">
        <v>7</v>
      </c>
    </row>
    <row r="595" spans="2:2" x14ac:dyDescent="0.3">
      <c r="B595" s="2">
        <v>1</v>
      </c>
    </row>
    <row r="596" spans="2:2" x14ac:dyDescent="0.3">
      <c r="B596" s="2">
        <v>0</v>
      </c>
    </row>
    <row r="597" spans="2:2" x14ac:dyDescent="0.3">
      <c r="B597" s="2">
        <v>28.9</v>
      </c>
    </row>
    <row r="598" spans="2:2" x14ac:dyDescent="0.3">
      <c r="B598" s="2">
        <v>457</v>
      </c>
    </row>
    <row r="599" spans="2:2" x14ac:dyDescent="0.3">
      <c r="B599" s="2" t="s">
        <v>50</v>
      </c>
    </row>
    <row r="600" spans="2:2" x14ac:dyDescent="0.3">
      <c r="B600" s="2" t="s">
        <v>551</v>
      </c>
    </row>
    <row r="601" spans="2:2" x14ac:dyDescent="0.3">
      <c r="B601" s="2" t="s">
        <v>328</v>
      </c>
    </row>
    <row r="602" spans="2:2" x14ac:dyDescent="0.3">
      <c r="B602" s="2">
        <v>218</v>
      </c>
    </row>
    <row r="603" spans="2:2" x14ac:dyDescent="0.3">
      <c r="B603" s="2">
        <v>6</v>
      </c>
    </row>
    <row r="604" spans="2:2" x14ac:dyDescent="0.3">
      <c r="B604" s="2">
        <v>0</v>
      </c>
    </row>
    <row r="605" spans="2:2" x14ac:dyDescent="0.3">
      <c r="B605" s="2">
        <v>0</v>
      </c>
    </row>
    <row r="606" spans="2:2" x14ac:dyDescent="0.3">
      <c r="B606" s="2">
        <v>31.1</v>
      </c>
    </row>
    <row r="607" spans="2:2" x14ac:dyDescent="0.3">
      <c r="B607" s="2">
        <v>459</v>
      </c>
    </row>
    <row r="608" spans="2:2" x14ac:dyDescent="0.3">
      <c r="B608" s="2" t="s">
        <v>332</v>
      </c>
    </row>
    <row r="609" spans="2:2" x14ac:dyDescent="0.3">
      <c r="B609" s="2" t="s">
        <v>552</v>
      </c>
    </row>
    <row r="610" spans="2:2" x14ac:dyDescent="0.3">
      <c r="B610" s="2" t="s">
        <v>333</v>
      </c>
    </row>
    <row r="611" spans="2:2" x14ac:dyDescent="0.3">
      <c r="B611" s="2">
        <v>216</v>
      </c>
    </row>
    <row r="612" spans="2:2" x14ac:dyDescent="0.3">
      <c r="B612" s="2">
        <v>5</v>
      </c>
    </row>
    <row r="613" spans="2:2" x14ac:dyDescent="0.3">
      <c r="B613" s="2">
        <v>0</v>
      </c>
    </row>
    <row r="614" spans="2:2" x14ac:dyDescent="0.3">
      <c r="B614" s="2">
        <v>1</v>
      </c>
    </row>
    <row r="615" spans="2:2" x14ac:dyDescent="0.3">
      <c r="B615" s="2">
        <v>26.6</v>
      </c>
    </row>
    <row r="616" spans="2:2" x14ac:dyDescent="0.3">
      <c r="B616" s="2">
        <v>460</v>
      </c>
    </row>
    <row r="617" spans="2:2" x14ac:dyDescent="0.3">
      <c r="B617" s="2" t="s">
        <v>16</v>
      </c>
    </row>
    <row r="618" spans="2:2" x14ac:dyDescent="0.3">
      <c r="B618" s="2" t="s">
        <v>553</v>
      </c>
    </row>
    <row r="619" spans="2:2" x14ac:dyDescent="0.3">
      <c r="B619" s="2" t="s">
        <v>114</v>
      </c>
    </row>
    <row r="620" spans="2:2" x14ac:dyDescent="0.3">
      <c r="B620" s="2">
        <v>215</v>
      </c>
    </row>
    <row r="621" spans="2:2" x14ac:dyDescent="0.3">
      <c r="B621" s="2">
        <v>4</v>
      </c>
    </row>
    <row r="622" spans="2:2" x14ac:dyDescent="0.3">
      <c r="B622" s="2">
        <v>0</v>
      </c>
    </row>
    <row r="623" spans="2:2" x14ac:dyDescent="0.3">
      <c r="B623" s="2">
        <v>0</v>
      </c>
    </row>
    <row r="624" spans="2:2" x14ac:dyDescent="0.3">
      <c r="B624" s="2">
        <v>29.7</v>
      </c>
    </row>
    <row r="625" spans="2:2" x14ac:dyDescent="0.3">
      <c r="B625" s="2">
        <v>461</v>
      </c>
    </row>
    <row r="626" spans="2:2" x14ac:dyDescent="0.3">
      <c r="B626" s="2" t="s">
        <v>228</v>
      </c>
    </row>
    <row r="627" spans="2:2" x14ac:dyDescent="0.3">
      <c r="B627" s="2" t="s">
        <v>554</v>
      </c>
    </row>
    <row r="628" spans="2:2" x14ac:dyDescent="0.3">
      <c r="B628" s="2" t="s">
        <v>283</v>
      </c>
    </row>
    <row r="629" spans="2:2" x14ac:dyDescent="0.3">
      <c r="B629" s="2">
        <v>212</v>
      </c>
    </row>
    <row r="630" spans="2:2" x14ac:dyDescent="0.3">
      <c r="B630" s="2">
        <v>4</v>
      </c>
    </row>
    <row r="631" spans="2:2" x14ac:dyDescent="0.3">
      <c r="B631" s="2">
        <v>0</v>
      </c>
    </row>
    <row r="632" spans="2:2" x14ac:dyDescent="0.3">
      <c r="B632" s="2">
        <v>2</v>
      </c>
    </row>
    <row r="633" spans="2:2" x14ac:dyDescent="0.3">
      <c r="B633" s="2">
        <v>28.2</v>
      </c>
    </row>
    <row r="634" spans="2:2" x14ac:dyDescent="0.3">
      <c r="B634" s="2">
        <v>461</v>
      </c>
    </row>
    <row r="635" spans="2:2" x14ac:dyDescent="0.3">
      <c r="B635" s="2" t="s">
        <v>50</v>
      </c>
    </row>
    <row r="636" spans="2:2" x14ac:dyDescent="0.3">
      <c r="B636" s="2" t="s">
        <v>555</v>
      </c>
    </row>
    <row r="637" spans="2:2" x14ac:dyDescent="0.3">
      <c r="B637" s="2" t="s">
        <v>295</v>
      </c>
    </row>
    <row r="638" spans="2:2" x14ac:dyDescent="0.3">
      <c r="B638" s="2">
        <v>212</v>
      </c>
    </row>
    <row r="639" spans="2:2" x14ac:dyDescent="0.3">
      <c r="B639" s="2">
        <v>4</v>
      </c>
    </row>
    <row r="640" spans="2:2" x14ac:dyDescent="0.3">
      <c r="B640" s="2">
        <v>0</v>
      </c>
    </row>
    <row r="641" spans="2:2" x14ac:dyDescent="0.3">
      <c r="B641" s="2">
        <v>0</v>
      </c>
    </row>
    <row r="642" spans="2:2" x14ac:dyDescent="0.3">
      <c r="B642" s="2">
        <v>28</v>
      </c>
    </row>
    <row r="643" spans="2:2" x14ac:dyDescent="0.3">
      <c r="B643" s="2">
        <v>461</v>
      </c>
    </row>
    <row r="644" spans="2:2" x14ac:dyDescent="0.3">
      <c r="B644" s="2" t="s">
        <v>67</v>
      </c>
    </row>
    <row r="645" spans="2:2" x14ac:dyDescent="0.3">
      <c r="B645" s="2" t="s">
        <v>556</v>
      </c>
    </row>
    <row r="646" spans="2:2" x14ac:dyDescent="0.3">
      <c r="B646" s="2" t="s">
        <v>98</v>
      </c>
    </row>
    <row r="647" spans="2:2" x14ac:dyDescent="0.3">
      <c r="B647" s="2">
        <v>212</v>
      </c>
    </row>
    <row r="648" spans="2:2" x14ac:dyDescent="0.3">
      <c r="B648" s="2">
        <v>4</v>
      </c>
    </row>
    <row r="649" spans="2:2" x14ac:dyDescent="0.3">
      <c r="B649" s="2">
        <v>0</v>
      </c>
    </row>
    <row r="650" spans="2:2" x14ac:dyDescent="0.3">
      <c r="B650" s="2">
        <v>0</v>
      </c>
    </row>
    <row r="651" spans="2:2" x14ac:dyDescent="0.3">
      <c r="B651" s="2">
        <v>25.4</v>
      </c>
    </row>
    <row r="652" spans="2:2" x14ac:dyDescent="0.3">
      <c r="B652" s="2">
        <v>464</v>
      </c>
    </row>
    <row r="653" spans="2:2" x14ac:dyDescent="0.3">
      <c r="B653" s="2" t="s">
        <v>16</v>
      </c>
    </row>
    <row r="654" spans="2:2" x14ac:dyDescent="0.3">
      <c r="B654" s="2" t="s">
        <v>557</v>
      </c>
    </row>
    <row r="655" spans="2:2" x14ac:dyDescent="0.3">
      <c r="B655" s="2" t="s">
        <v>74</v>
      </c>
    </row>
    <row r="656" spans="2:2" x14ac:dyDescent="0.3">
      <c r="B656" s="2">
        <v>211</v>
      </c>
    </row>
    <row r="657" spans="2:2" x14ac:dyDescent="0.3">
      <c r="B657" s="2">
        <v>8</v>
      </c>
    </row>
    <row r="658" spans="2:2" x14ac:dyDescent="0.3">
      <c r="B658" s="2">
        <v>0</v>
      </c>
    </row>
    <row r="659" spans="2:2" x14ac:dyDescent="0.3">
      <c r="B659" s="2">
        <v>1</v>
      </c>
    </row>
    <row r="660" spans="2:2" x14ac:dyDescent="0.3">
      <c r="B660" s="2">
        <v>32</v>
      </c>
    </row>
    <row r="661" spans="2:2" x14ac:dyDescent="0.3">
      <c r="B661" s="2">
        <v>464</v>
      </c>
    </row>
    <row r="662" spans="2:2" x14ac:dyDescent="0.3">
      <c r="B662" s="2" t="s">
        <v>231</v>
      </c>
    </row>
    <row r="663" spans="2:2" x14ac:dyDescent="0.3">
      <c r="B663" s="2" t="s">
        <v>558</v>
      </c>
    </row>
    <row r="664" spans="2:2" x14ac:dyDescent="0.3">
      <c r="B664" s="2" t="s">
        <v>263</v>
      </c>
    </row>
    <row r="665" spans="2:2" x14ac:dyDescent="0.3">
      <c r="B665" s="2">
        <v>211</v>
      </c>
    </row>
    <row r="666" spans="2:2" x14ac:dyDescent="0.3">
      <c r="B666" s="2">
        <v>4</v>
      </c>
    </row>
    <row r="667" spans="2:2" x14ac:dyDescent="0.3">
      <c r="B667" s="2">
        <v>1</v>
      </c>
    </row>
    <row r="668" spans="2:2" x14ac:dyDescent="0.3">
      <c r="B668" s="2">
        <v>0</v>
      </c>
    </row>
    <row r="669" spans="2:2" x14ac:dyDescent="0.3">
      <c r="B669" s="2">
        <v>29.4</v>
      </c>
    </row>
    <row r="670" spans="2:2" x14ac:dyDescent="0.3">
      <c r="B670" s="2">
        <v>466</v>
      </c>
    </row>
    <row r="671" spans="2:2" x14ac:dyDescent="0.3">
      <c r="B671" s="2" t="s">
        <v>231</v>
      </c>
    </row>
    <row r="672" spans="2:2" x14ac:dyDescent="0.3">
      <c r="B672" s="2" t="s">
        <v>559</v>
      </c>
    </row>
    <row r="673" spans="2:2" x14ac:dyDescent="0.3">
      <c r="B673" s="2" t="s">
        <v>263</v>
      </c>
    </row>
    <row r="674" spans="2:2" x14ac:dyDescent="0.3">
      <c r="B674" s="2">
        <v>210</v>
      </c>
    </row>
    <row r="675" spans="2:2" x14ac:dyDescent="0.3">
      <c r="B675" s="2">
        <v>5</v>
      </c>
    </row>
    <row r="676" spans="2:2" x14ac:dyDescent="0.3">
      <c r="B676" s="2">
        <v>0</v>
      </c>
    </row>
    <row r="677" spans="2:2" x14ac:dyDescent="0.3">
      <c r="B677" s="2">
        <v>1</v>
      </c>
    </row>
    <row r="678" spans="2:2" x14ac:dyDescent="0.3">
      <c r="B678" s="2">
        <v>28.9</v>
      </c>
    </row>
    <row r="679" spans="2:2" x14ac:dyDescent="0.3">
      <c r="B679" s="2">
        <v>467</v>
      </c>
    </row>
    <row r="680" spans="2:2" x14ac:dyDescent="0.3">
      <c r="B680" s="2" t="s">
        <v>253</v>
      </c>
    </row>
    <row r="681" spans="2:2" x14ac:dyDescent="0.3">
      <c r="B681" s="2" t="s">
        <v>560</v>
      </c>
    </row>
    <row r="682" spans="2:2" x14ac:dyDescent="0.3">
      <c r="B682" s="2" t="s">
        <v>255</v>
      </c>
    </row>
    <row r="683" spans="2:2" x14ac:dyDescent="0.3">
      <c r="B683" s="2">
        <v>209</v>
      </c>
    </row>
    <row r="684" spans="2:2" x14ac:dyDescent="0.3">
      <c r="B684" s="2">
        <v>4</v>
      </c>
    </row>
    <row r="685" spans="2:2" x14ac:dyDescent="0.3">
      <c r="B685" s="2">
        <v>2</v>
      </c>
    </row>
    <row r="686" spans="2:2" x14ac:dyDescent="0.3">
      <c r="B686" s="2">
        <v>0</v>
      </c>
    </row>
    <row r="687" spans="2:2" x14ac:dyDescent="0.3">
      <c r="B687" s="2">
        <v>26.9</v>
      </c>
    </row>
    <row r="688" spans="2:2" x14ac:dyDescent="0.3">
      <c r="B688" s="2">
        <v>468</v>
      </c>
    </row>
    <row r="689" spans="2:2" x14ac:dyDescent="0.3">
      <c r="B689" s="2" t="s">
        <v>15</v>
      </c>
    </row>
    <row r="690" spans="2:2" x14ac:dyDescent="0.3">
      <c r="B690" s="2" t="s">
        <v>561</v>
      </c>
    </row>
    <row r="691" spans="2:2" x14ac:dyDescent="0.3">
      <c r="B691" s="2" t="s">
        <v>111</v>
      </c>
    </row>
    <row r="692" spans="2:2" x14ac:dyDescent="0.3">
      <c r="B692" s="2">
        <v>207</v>
      </c>
    </row>
    <row r="693" spans="2:2" x14ac:dyDescent="0.3">
      <c r="B693" s="2">
        <v>8</v>
      </c>
    </row>
    <row r="694" spans="2:2" x14ac:dyDescent="0.3">
      <c r="B694" s="2">
        <v>1</v>
      </c>
    </row>
    <row r="695" spans="2:2" x14ac:dyDescent="0.3">
      <c r="B695" s="2">
        <v>2</v>
      </c>
    </row>
    <row r="696" spans="2:2" x14ac:dyDescent="0.3">
      <c r="B696" s="2">
        <v>28.4</v>
      </c>
    </row>
    <row r="697" spans="2:2" x14ac:dyDescent="0.3">
      <c r="B697" s="2">
        <v>469</v>
      </c>
    </row>
    <row r="698" spans="2:2" x14ac:dyDescent="0.3">
      <c r="B698" s="2" t="s">
        <v>216</v>
      </c>
    </row>
    <row r="699" spans="2:2" x14ac:dyDescent="0.3">
      <c r="B699" s="2" t="s">
        <v>562</v>
      </c>
    </row>
    <row r="700" spans="2:2" x14ac:dyDescent="0.3">
      <c r="B700" s="2" t="s">
        <v>313</v>
      </c>
    </row>
    <row r="701" spans="2:2" x14ac:dyDescent="0.3">
      <c r="B701" s="2">
        <v>206</v>
      </c>
    </row>
    <row r="702" spans="2:2" x14ac:dyDescent="0.3">
      <c r="B702" s="2">
        <v>6</v>
      </c>
    </row>
    <row r="703" spans="2:2" x14ac:dyDescent="0.3">
      <c r="B703" s="2">
        <v>0</v>
      </c>
    </row>
    <row r="704" spans="2:2" x14ac:dyDescent="0.3">
      <c r="B704" s="2">
        <v>0</v>
      </c>
    </row>
    <row r="705" spans="2:2" x14ac:dyDescent="0.3">
      <c r="B705" s="2">
        <v>25.4</v>
      </c>
    </row>
    <row r="706" spans="2:2" x14ac:dyDescent="0.3">
      <c r="B706" s="2">
        <v>470</v>
      </c>
    </row>
    <row r="707" spans="2:2" x14ac:dyDescent="0.3">
      <c r="B707" s="2" t="s">
        <v>162</v>
      </c>
    </row>
    <row r="708" spans="2:2" x14ac:dyDescent="0.3">
      <c r="B708" s="2" t="s">
        <v>563</v>
      </c>
    </row>
    <row r="709" spans="2:2" x14ac:dyDescent="0.3">
      <c r="B709" s="2" t="s">
        <v>249</v>
      </c>
    </row>
    <row r="710" spans="2:2" x14ac:dyDescent="0.3">
      <c r="B710" s="2">
        <v>205</v>
      </c>
    </row>
    <row r="711" spans="2:2" x14ac:dyDescent="0.3">
      <c r="B711" s="2">
        <v>4</v>
      </c>
    </row>
    <row r="712" spans="2:2" x14ac:dyDescent="0.3">
      <c r="B712" s="2">
        <v>0</v>
      </c>
    </row>
    <row r="713" spans="2:2" x14ac:dyDescent="0.3">
      <c r="B713" s="2">
        <v>0</v>
      </c>
    </row>
    <row r="714" spans="2:2" x14ac:dyDescent="0.3">
      <c r="B714" s="2">
        <v>29.6</v>
      </c>
    </row>
    <row r="715" spans="2:2" x14ac:dyDescent="0.3">
      <c r="B715" s="2">
        <v>470</v>
      </c>
    </row>
    <row r="716" spans="2:2" x14ac:dyDescent="0.3">
      <c r="B716" s="2" t="s">
        <v>201</v>
      </c>
    </row>
    <row r="717" spans="2:2" x14ac:dyDescent="0.3">
      <c r="B717" s="2" t="s">
        <v>564</v>
      </c>
    </row>
    <row r="718" spans="2:2" x14ac:dyDescent="0.3">
      <c r="B718" s="2" t="s">
        <v>257</v>
      </c>
    </row>
    <row r="719" spans="2:2" x14ac:dyDescent="0.3">
      <c r="B719" s="2">
        <v>205</v>
      </c>
    </row>
    <row r="720" spans="2:2" x14ac:dyDescent="0.3">
      <c r="B720" s="2">
        <v>3</v>
      </c>
    </row>
    <row r="721" spans="2:2" x14ac:dyDescent="0.3">
      <c r="B721" s="2">
        <v>1</v>
      </c>
    </row>
    <row r="722" spans="2:2" x14ac:dyDescent="0.3">
      <c r="B722" s="2">
        <v>0</v>
      </c>
    </row>
    <row r="723" spans="2:2" x14ac:dyDescent="0.3">
      <c r="B723" s="2">
        <v>27.9</v>
      </c>
    </row>
    <row r="724" spans="2:2" x14ac:dyDescent="0.3">
      <c r="B724" s="2">
        <v>472</v>
      </c>
    </row>
    <row r="725" spans="2:2" x14ac:dyDescent="0.3">
      <c r="B725" s="2" t="s">
        <v>212</v>
      </c>
    </row>
    <row r="726" spans="2:2" x14ac:dyDescent="0.3">
      <c r="B726" s="2" t="s">
        <v>565</v>
      </c>
    </row>
    <row r="727" spans="2:2" x14ac:dyDescent="0.3">
      <c r="B727" s="2" t="s">
        <v>455</v>
      </c>
    </row>
    <row r="728" spans="2:2" x14ac:dyDescent="0.3">
      <c r="B728" s="2">
        <v>204</v>
      </c>
    </row>
    <row r="729" spans="2:2" x14ac:dyDescent="0.3">
      <c r="B729" s="2">
        <v>4</v>
      </c>
    </row>
    <row r="730" spans="2:2" x14ac:dyDescent="0.3">
      <c r="B730" s="2">
        <v>0</v>
      </c>
    </row>
    <row r="731" spans="2:2" x14ac:dyDescent="0.3">
      <c r="B731" s="2">
        <v>0</v>
      </c>
    </row>
    <row r="732" spans="2:2" x14ac:dyDescent="0.3">
      <c r="B732" s="2">
        <v>26.4</v>
      </c>
    </row>
    <row r="733" spans="2:2" x14ac:dyDescent="0.3">
      <c r="B733" s="2">
        <v>472</v>
      </c>
    </row>
    <row r="734" spans="2:2" x14ac:dyDescent="0.3">
      <c r="B734" s="2" t="s">
        <v>166</v>
      </c>
    </row>
    <row r="735" spans="2:2" x14ac:dyDescent="0.3">
      <c r="B735" s="2" t="s">
        <v>566</v>
      </c>
    </row>
    <row r="736" spans="2:2" x14ac:dyDescent="0.3">
      <c r="B736" s="2" t="s">
        <v>274</v>
      </c>
    </row>
    <row r="737" spans="2:2" x14ac:dyDescent="0.3">
      <c r="B737" s="2">
        <v>204</v>
      </c>
    </row>
    <row r="738" spans="2:2" x14ac:dyDescent="0.3">
      <c r="B738" s="2">
        <v>4</v>
      </c>
    </row>
    <row r="739" spans="2:2" x14ac:dyDescent="0.3">
      <c r="B739" s="2">
        <v>0</v>
      </c>
    </row>
    <row r="740" spans="2:2" x14ac:dyDescent="0.3">
      <c r="B740" s="2">
        <v>0</v>
      </c>
    </row>
    <row r="741" spans="2:2" x14ac:dyDescent="0.3">
      <c r="B741" s="2">
        <v>23.5</v>
      </c>
    </row>
    <row r="742" spans="2:2" x14ac:dyDescent="0.3">
      <c r="B742" s="2">
        <v>472</v>
      </c>
    </row>
    <row r="743" spans="2:2" x14ac:dyDescent="0.3">
      <c r="B743" s="2" t="s">
        <v>204</v>
      </c>
    </row>
    <row r="744" spans="2:2" x14ac:dyDescent="0.3">
      <c r="B744" s="2" t="s">
        <v>567</v>
      </c>
    </row>
    <row r="745" spans="2:2" x14ac:dyDescent="0.3">
      <c r="B745" s="2" t="s">
        <v>222</v>
      </c>
    </row>
    <row r="746" spans="2:2" x14ac:dyDescent="0.3">
      <c r="B746" s="2">
        <v>204</v>
      </c>
    </row>
    <row r="747" spans="2:2" x14ac:dyDescent="0.3">
      <c r="B747" s="2">
        <v>3</v>
      </c>
    </row>
    <row r="748" spans="2:2" x14ac:dyDescent="0.3">
      <c r="B748" s="2">
        <v>0</v>
      </c>
    </row>
    <row r="749" spans="2:2" x14ac:dyDescent="0.3">
      <c r="B749" s="2">
        <v>0</v>
      </c>
    </row>
    <row r="750" spans="2:2" x14ac:dyDescent="0.3">
      <c r="B750" s="2">
        <v>22.3</v>
      </c>
    </row>
    <row r="751" spans="2:2" x14ac:dyDescent="0.3">
      <c r="B751" s="2">
        <v>475</v>
      </c>
    </row>
    <row r="752" spans="2:2" x14ac:dyDescent="0.3">
      <c r="B752" s="2" t="s">
        <v>119</v>
      </c>
    </row>
    <row r="753" spans="2:2" x14ac:dyDescent="0.3">
      <c r="B753" s="2" t="s">
        <v>568</v>
      </c>
    </row>
    <row r="754" spans="2:2" x14ac:dyDescent="0.3">
      <c r="B754" s="2" t="s">
        <v>147</v>
      </c>
    </row>
    <row r="755" spans="2:2" x14ac:dyDescent="0.3">
      <c r="B755" s="2">
        <v>203</v>
      </c>
    </row>
    <row r="756" spans="2:2" x14ac:dyDescent="0.3">
      <c r="B756" s="2">
        <v>5</v>
      </c>
    </row>
    <row r="757" spans="2:2" x14ac:dyDescent="0.3">
      <c r="B757" s="2">
        <v>1</v>
      </c>
    </row>
    <row r="758" spans="2:2" x14ac:dyDescent="0.3">
      <c r="B758" s="2">
        <v>0</v>
      </c>
    </row>
    <row r="759" spans="2:2" x14ac:dyDescent="0.3">
      <c r="B759" s="2">
        <v>24</v>
      </c>
    </row>
    <row r="760" spans="2:2" x14ac:dyDescent="0.3">
      <c r="B760" s="2">
        <v>475</v>
      </c>
    </row>
    <row r="761" spans="2:2" x14ac:dyDescent="0.3">
      <c r="B761" s="2" t="s">
        <v>228</v>
      </c>
    </row>
    <row r="762" spans="2:2" x14ac:dyDescent="0.3">
      <c r="B762" s="2" t="s">
        <v>569</v>
      </c>
    </row>
    <row r="763" spans="2:2" x14ac:dyDescent="0.3">
      <c r="B763" s="2" t="s">
        <v>403</v>
      </c>
    </row>
    <row r="764" spans="2:2" x14ac:dyDescent="0.3">
      <c r="B764" s="2">
        <v>203</v>
      </c>
    </row>
    <row r="765" spans="2:2" x14ac:dyDescent="0.3">
      <c r="B765" s="2">
        <v>3</v>
      </c>
    </row>
    <row r="766" spans="2:2" x14ac:dyDescent="0.3">
      <c r="B766" s="2">
        <v>3</v>
      </c>
    </row>
    <row r="767" spans="2:2" x14ac:dyDescent="0.3">
      <c r="B767" s="2">
        <v>0</v>
      </c>
    </row>
    <row r="768" spans="2:2" x14ac:dyDescent="0.3">
      <c r="B768" s="2">
        <v>22.3</v>
      </c>
    </row>
    <row r="769" spans="2:2" x14ac:dyDescent="0.3">
      <c r="B769" s="2">
        <v>477</v>
      </c>
    </row>
    <row r="770" spans="2:2" x14ac:dyDescent="0.3">
      <c r="B770" s="2" t="s">
        <v>162</v>
      </c>
    </row>
    <row r="771" spans="2:2" x14ac:dyDescent="0.3">
      <c r="B771" s="2" t="s">
        <v>570</v>
      </c>
    </row>
    <row r="772" spans="2:2" x14ac:dyDescent="0.3">
      <c r="B772" s="2" t="s">
        <v>249</v>
      </c>
    </row>
    <row r="773" spans="2:2" x14ac:dyDescent="0.3">
      <c r="B773" s="2">
        <v>201</v>
      </c>
    </row>
    <row r="774" spans="2:2" x14ac:dyDescent="0.3">
      <c r="B774" s="2">
        <v>4</v>
      </c>
    </row>
    <row r="775" spans="2:2" x14ac:dyDescent="0.3">
      <c r="B775" s="2">
        <v>1</v>
      </c>
    </row>
    <row r="776" spans="2:2" x14ac:dyDescent="0.3">
      <c r="B776" s="2">
        <v>1</v>
      </c>
    </row>
    <row r="777" spans="2:2" x14ac:dyDescent="0.3">
      <c r="B777" s="2">
        <v>28.3</v>
      </c>
    </row>
    <row r="778" spans="2:2" x14ac:dyDescent="0.3">
      <c r="B778" s="2">
        <v>478</v>
      </c>
    </row>
    <row r="779" spans="2:2" x14ac:dyDescent="0.3">
      <c r="B779" s="2" t="s">
        <v>212</v>
      </c>
    </row>
    <row r="780" spans="2:2" x14ac:dyDescent="0.3">
      <c r="B780" s="2" t="s">
        <v>571</v>
      </c>
    </row>
    <row r="781" spans="2:2" x14ac:dyDescent="0.3">
      <c r="B781" s="2" t="s">
        <v>214</v>
      </c>
    </row>
    <row r="782" spans="2:2" x14ac:dyDescent="0.3">
      <c r="B782" s="2">
        <v>200</v>
      </c>
    </row>
    <row r="783" spans="2:2" x14ac:dyDescent="0.3">
      <c r="B783" s="2">
        <v>4</v>
      </c>
    </row>
    <row r="784" spans="2:2" x14ac:dyDescent="0.3">
      <c r="B784" s="2">
        <v>0</v>
      </c>
    </row>
    <row r="785" spans="2:2" x14ac:dyDescent="0.3">
      <c r="B785" s="2">
        <v>0</v>
      </c>
    </row>
    <row r="786" spans="2:2" x14ac:dyDescent="0.3">
      <c r="B786" s="2">
        <v>28.1</v>
      </c>
    </row>
    <row r="787" spans="2:2" x14ac:dyDescent="0.3">
      <c r="B787" s="2">
        <v>479</v>
      </c>
    </row>
    <row r="788" spans="2:2" x14ac:dyDescent="0.3">
      <c r="B788" s="2" t="s">
        <v>107</v>
      </c>
    </row>
    <row r="789" spans="2:2" x14ac:dyDescent="0.3">
      <c r="B789" s="2" t="s">
        <v>572</v>
      </c>
    </row>
    <row r="790" spans="2:2" x14ac:dyDescent="0.3">
      <c r="B790" s="2" t="s">
        <v>108</v>
      </c>
    </row>
    <row r="791" spans="2:2" x14ac:dyDescent="0.3">
      <c r="B791" s="2">
        <v>196</v>
      </c>
    </row>
    <row r="792" spans="2:2" x14ac:dyDescent="0.3">
      <c r="B792" s="2">
        <v>5</v>
      </c>
    </row>
    <row r="793" spans="2:2" x14ac:dyDescent="0.3">
      <c r="B793" s="2">
        <v>0</v>
      </c>
    </row>
    <row r="794" spans="2:2" x14ac:dyDescent="0.3">
      <c r="B794" s="2">
        <v>0</v>
      </c>
    </row>
    <row r="795" spans="2:2" x14ac:dyDescent="0.3">
      <c r="B795" s="2">
        <v>25.1</v>
      </c>
    </row>
    <row r="796" spans="2:2" x14ac:dyDescent="0.3">
      <c r="B796" s="2">
        <v>480</v>
      </c>
    </row>
    <row r="797" spans="2:2" x14ac:dyDescent="0.3">
      <c r="B797" s="2" t="s">
        <v>228</v>
      </c>
    </row>
    <row r="798" spans="2:2" x14ac:dyDescent="0.3">
      <c r="B798" s="2" t="s">
        <v>573</v>
      </c>
    </row>
    <row r="799" spans="2:2" x14ac:dyDescent="0.3">
      <c r="B799" s="2" t="s">
        <v>307</v>
      </c>
    </row>
    <row r="800" spans="2:2" x14ac:dyDescent="0.3">
      <c r="B800" s="2">
        <v>195</v>
      </c>
    </row>
    <row r="801" spans="2:2" x14ac:dyDescent="0.3">
      <c r="B801" s="2">
        <v>4</v>
      </c>
    </row>
    <row r="802" spans="2:2" x14ac:dyDescent="0.3">
      <c r="B802" s="2">
        <v>0</v>
      </c>
    </row>
    <row r="803" spans="2:2" x14ac:dyDescent="0.3">
      <c r="B803" s="2">
        <v>1</v>
      </c>
    </row>
    <row r="804" spans="2:2" x14ac:dyDescent="0.3">
      <c r="B804" s="2">
        <v>24.5</v>
      </c>
    </row>
    <row r="805" spans="2:2" x14ac:dyDescent="0.3">
      <c r="B805" s="2">
        <v>481</v>
      </c>
    </row>
    <row r="806" spans="2:2" x14ac:dyDescent="0.3">
      <c r="B806" s="2" t="s">
        <v>166</v>
      </c>
    </row>
    <row r="807" spans="2:2" x14ac:dyDescent="0.3">
      <c r="B807" s="2" t="s">
        <v>574</v>
      </c>
    </row>
    <row r="808" spans="2:2" x14ac:dyDescent="0.3">
      <c r="B808" s="2" t="s">
        <v>274</v>
      </c>
    </row>
    <row r="809" spans="2:2" x14ac:dyDescent="0.3">
      <c r="B809" s="2">
        <v>194</v>
      </c>
    </row>
    <row r="810" spans="2:2" x14ac:dyDescent="0.3">
      <c r="B810" s="2">
        <v>8</v>
      </c>
    </row>
    <row r="811" spans="2:2" x14ac:dyDescent="0.3">
      <c r="B811" s="2">
        <v>0</v>
      </c>
    </row>
    <row r="812" spans="2:2" x14ac:dyDescent="0.3">
      <c r="B812" s="2">
        <v>0</v>
      </c>
    </row>
    <row r="813" spans="2:2" x14ac:dyDescent="0.3">
      <c r="B813" s="2">
        <v>24.6</v>
      </c>
    </row>
    <row r="814" spans="2:2" x14ac:dyDescent="0.3">
      <c r="B814" s="2">
        <v>482</v>
      </c>
    </row>
    <row r="815" spans="2:2" x14ac:dyDescent="0.3">
      <c r="B815" s="2" t="s">
        <v>204</v>
      </c>
    </row>
    <row r="816" spans="2:2" x14ac:dyDescent="0.3">
      <c r="B816" s="2" t="s">
        <v>575</v>
      </c>
    </row>
    <row r="817" spans="2:2" x14ac:dyDescent="0.3">
      <c r="B817" s="2" t="s">
        <v>206</v>
      </c>
    </row>
    <row r="818" spans="2:2" x14ac:dyDescent="0.3">
      <c r="B818" s="2">
        <v>192</v>
      </c>
    </row>
    <row r="819" spans="2:2" x14ac:dyDescent="0.3">
      <c r="B819" s="2">
        <v>5</v>
      </c>
    </row>
    <row r="820" spans="2:2" x14ac:dyDescent="0.3">
      <c r="B820" s="2">
        <v>0</v>
      </c>
    </row>
    <row r="821" spans="2:2" x14ac:dyDescent="0.3">
      <c r="B821" s="2">
        <v>1</v>
      </c>
    </row>
    <row r="822" spans="2:2" x14ac:dyDescent="0.3">
      <c r="B822" s="2">
        <v>25.8</v>
      </c>
    </row>
    <row r="823" spans="2:2" x14ac:dyDescent="0.3">
      <c r="B823" s="2">
        <v>482</v>
      </c>
    </row>
    <row r="824" spans="2:2" x14ac:dyDescent="0.3">
      <c r="B824" s="2" t="s">
        <v>216</v>
      </c>
    </row>
    <row r="825" spans="2:2" x14ac:dyDescent="0.3">
      <c r="B825" s="2" t="s">
        <v>576</v>
      </c>
    </row>
    <row r="826" spans="2:2" x14ac:dyDescent="0.3">
      <c r="B826" s="2" t="s">
        <v>217</v>
      </c>
    </row>
    <row r="827" spans="2:2" x14ac:dyDescent="0.3">
      <c r="B827" s="2">
        <v>192</v>
      </c>
    </row>
    <row r="828" spans="2:2" x14ac:dyDescent="0.3">
      <c r="B828" s="2">
        <v>3</v>
      </c>
    </row>
    <row r="829" spans="2:2" x14ac:dyDescent="0.3">
      <c r="B829" s="2">
        <v>0</v>
      </c>
    </row>
    <row r="830" spans="2:2" x14ac:dyDescent="0.3">
      <c r="B830" s="2">
        <v>1</v>
      </c>
    </row>
    <row r="831" spans="2:2" x14ac:dyDescent="0.3">
      <c r="B831" s="2">
        <v>23.5</v>
      </c>
    </row>
    <row r="832" spans="2:2" x14ac:dyDescent="0.3">
      <c r="B832" s="2">
        <v>484</v>
      </c>
    </row>
    <row r="833" spans="2:2" x14ac:dyDescent="0.3">
      <c r="B833" s="2" t="s">
        <v>345</v>
      </c>
    </row>
    <row r="834" spans="2:2" x14ac:dyDescent="0.3">
      <c r="B834" s="2" t="s">
        <v>577</v>
      </c>
    </row>
    <row r="835" spans="2:2" x14ac:dyDescent="0.3">
      <c r="B835" s="2" t="s">
        <v>362</v>
      </c>
    </row>
    <row r="836" spans="2:2" x14ac:dyDescent="0.3">
      <c r="B836" s="2">
        <v>189</v>
      </c>
    </row>
    <row r="837" spans="2:2" x14ac:dyDescent="0.3">
      <c r="B837" s="2">
        <v>3</v>
      </c>
    </row>
    <row r="838" spans="2:2" x14ac:dyDescent="0.3">
      <c r="B838" s="2">
        <v>0</v>
      </c>
    </row>
    <row r="839" spans="2:2" x14ac:dyDescent="0.3">
      <c r="B839" s="2">
        <v>0</v>
      </c>
    </row>
    <row r="840" spans="2:2" x14ac:dyDescent="0.3">
      <c r="B840" s="2">
        <v>19.8</v>
      </c>
    </row>
    <row r="841" spans="2:2" x14ac:dyDescent="0.3">
      <c r="B841" s="2">
        <v>485</v>
      </c>
    </row>
    <row r="842" spans="2:2" x14ac:dyDescent="0.3">
      <c r="B842" s="2" t="s">
        <v>79</v>
      </c>
    </row>
    <row r="843" spans="2:2" x14ac:dyDescent="0.3">
      <c r="B843" s="2" t="s">
        <v>578</v>
      </c>
    </row>
    <row r="844" spans="2:2" x14ac:dyDescent="0.3">
      <c r="B844" s="2" t="s">
        <v>80</v>
      </c>
    </row>
    <row r="845" spans="2:2" x14ac:dyDescent="0.3">
      <c r="B845" s="2">
        <v>188</v>
      </c>
    </row>
    <row r="846" spans="2:2" x14ac:dyDescent="0.3">
      <c r="B846" s="2">
        <v>4</v>
      </c>
    </row>
    <row r="847" spans="2:2" x14ac:dyDescent="0.3">
      <c r="B847" s="2">
        <v>0</v>
      </c>
    </row>
    <row r="848" spans="2:2" x14ac:dyDescent="0.3">
      <c r="B848" s="2">
        <v>0</v>
      </c>
    </row>
    <row r="849" spans="2:2" x14ac:dyDescent="0.3">
      <c r="B849" s="2">
        <v>23.3</v>
      </c>
    </row>
    <row r="850" spans="2:2" x14ac:dyDescent="0.3">
      <c r="B850" s="2">
        <v>486</v>
      </c>
    </row>
    <row r="851" spans="2:2" x14ac:dyDescent="0.3">
      <c r="B851" s="2" t="s">
        <v>16</v>
      </c>
    </row>
    <row r="852" spans="2:2" x14ac:dyDescent="0.3">
      <c r="B852" s="2" t="s">
        <v>579</v>
      </c>
    </row>
    <row r="853" spans="2:2" x14ac:dyDescent="0.3">
      <c r="B853" s="2" t="s">
        <v>114</v>
      </c>
    </row>
    <row r="854" spans="2:2" x14ac:dyDescent="0.3">
      <c r="B854" s="2">
        <v>187</v>
      </c>
    </row>
    <row r="855" spans="2:2" x14ac:dyDescent="0.3">
      <c r="B855" s="2">
        <v>7</v>
      </c>
    </row>
    <row r="856" spans="2:2" x14ac:dyDescent="0.3">
      <c r="B856" s="2">
        <v>1</v>
      </c>
    </row>
    <row r="857" spans="2:2" x14ac:dyDescent="0.3">
      <c r="B857" s="2">
        <v>1</v>
      </c>
    </row>
    <row r="858" spans="2:2" x14ac:dyDescent="0.3">
      <c r="B858" s="2">
        <v>23.8</v>
      </c>
    </row>
    <row r="859" spans="2:2" x14ac:dyDescent="0.3">
      <c r="B859" s="2">
        <v>486</v>
      </c>
    </row>
    <row r="860" spans="2:2" x14ac:dyDescent="0.3">
      <c r="B860" s="2" t="s">
        <v>286</v>
      </c>
    </row>
    <row r="861" spans="2:2" x14ac:dyDescent="0.3">
      <c r="B861" s="2" t="s">
        <v>580</v>
      </c>
    </row>
    <row r="862" spans="2:2" x14ac:dyDescent="0.3">
      <c r="B862" s="2" t="s">
        <v>339</v>
      </c>
    </row>
    <row r="863" spans="2:2" x14ac:dyDescent="0.3">
      <c r="B863" s="2">
        <v>187</v>
      </c>
    </row>
    <row r="864" spans="2:2" x14ac:dyDescent="0.3">
      <c r="B864" s="2">
        <v>3</v>
      </c>
    </row>
    <row r="865" spans="2:2" x14ac:dyDescent="0.3">
      <c r="B865" s="2">
        <v>0</v>
      </c>
    </row>
    <row r="866" spans="2:2" x14ac:dyDescent="0.3">
      <c r="B866" s="2">
        <v>0</v>
      </c>
    </row>
    <row r="867" spans="2:2" x14ac:dyDescent="0.3">
      <c r="B867" s="2">
        <v>22</v>
      </c>
    </row>
    <row r="868" spans="2:2" x14ac:dyDescent="0.3">
      <c r="B868" s="2">
        <v>488</v>
      </c>
    </row>
    <row r="869" spans="2:2" x14ac:dyDescent="0.3">
      <c r="B869" s="2" t="s">
        <v>212</v>
      </c>
    </row>
    <row r="870" spans="2:2" x14ac:dyDescent="0.3">
      <c r="B870" s="2" t="s">
        <v>581</v>
      </c>
    </row>
    <row r="871" spans="2:2" x14ac:dyDescent="0.3">
      <c r="B871" s="2" t="s">
        <v>242</v>
      </c>
    </row>
    <row r="872" spans="2:2" x14ac:dyDescent="0.3">
      <c r="B872" s="2">
        <v>186</v>
      </c>
    </row>
    <row r="873" spans="2:2" x14ac:dyDescent="0.3">
      <c r="B873" s="2">
        <v>4</v>
      </c>
    </row>
    <row r="874" spans="2:2" x14ac:dyDescent="0.3">
      <c r="B874" s="2">
        <v>0</v>
      </c>
    </row>
    <row r="875" spans="2:2" x14ac:dyDescent="0.3">
      <c r="B875" s="2">
        <v>0</v>
      </c>
    </row>
    <row r="876" spans="2:2" x14ac:dyDescent="0.3">
      <c r="B876" s="2">
        <v>24.9</v>
      </c>
    </row>
    <row r="877" spans="2:2" x14ac:dyDescent="0.3">
      <c r="B877" s="2">
        <v>489</v>
      </c>
    </row>
    <row r="878" spans="2:2" x14ac:dyDescent="0.3">
      <c r="B878" s="2" t="s">
        <v>16</v>
      </c>
    </row>
    <row r="879" spans="2:2" x14ac:dyDescent="0.3">
      <c r="B879" s="2" t="s">
        <v>582</v>
      </c>
    </row>
    <row r="880" spans="2:2" x14ac:dyDescent="0.3">
      <c r="B880" s="2" t="s">
        <v>74</v>
      </c>
    </row>
    <row r="881" spans="2:2" x14ac:dyDescent="0.3">
      <c r="B881" s="2">
        <v>185</v>
      </c>
    </row>
    <row r="882" spans="2:2" x14ac:dyDescent="0.3">
      <c r="B882" s="2">
        <v>4</v>
      </c>
    </row>
    <row r="883" spans="2:2" x14ac:dyDescent="0.3">
      <c r="B883" s="2">
        <v>0</v>
      </c>
    </row>
    <row r="884" spans="2:2" x14ac:dyDescent="0.3">
      <c r="B884" s="2">
        <v>2</v>
      </c>
    </row>
    <row r="885" spans="2:2" x14ac:dyDescent="0.3">
      <c r="B885" s="2">
        <v>27.1</v>
      </c>
    </row>
    <row r="886" spans="2:2" x14ac:dyDescent="0.3">
      <c r="B886" s="2">
        <v>490</v>
      </c>
    </row>
    <row r="887" spans="2:2" x14ac:dyDescent="0.3">
      <c r="B887" s="2" t="s">
        <v>345</v>
      </c>
    </row>
    <row r="888" spans="2:2" x14ac:dyDescent="0.3">
      <c r="B888" s="2" t="s">
        <v>583</v>
      </c>
    </row>
    <row r="889" spans="2:2" x14ac:dyDescent="0.3">
      <c r="B889" s="2" t="s">
        <v>362</v>
      </c>
    </row>
    <row r="890" spans="2:2" x14ac:dyDescent="0.3">
      <c r="B890" s="2">
        <v>184</v>
      </c>
    </row>
    <row r="891" spans="2:2" x14ac:dyDescent="0.3">
      <c r="B891" s="2">
        <v>3</v>
      </c>
    </row>
    <row r="892" spans="2:2" x14ac:dyDescent="0.3">
      <c r="B892" s="2">
        <v>0</v>
      </c>
    </row>
    <row r="893" spans="2:2" x14ac:dyDescent="0.3">
      <c r="B893" s="2">
        <v>0</v>
      </c>
    </row>
    <row r="894" spans="2:2" x14ac:dyDescent="0.3">
      <c r="B894" s="2">
        <v>18.600000000000001</v>
      </c>
    </row>
    <row r="895" spans="2:2" x14ac:dyDescent="0.3">
      <c r="B895" s="2">
        <v>491</v>
      </c>
    </row>
    <row r="896" spans="2:2" x14ac:dyDescent="0.3">
      <c r="B896" s="2" t="s">
        <v>253</v>
      </c>
    </row>
    <row r="897" spans="2:2" x14ac:dyDescent="0.3">
      <c r="B897" s="2" t="s">
        <v>584</v>
      </c>
    </row>
    <row r="898" spans="2:2" x14ac:dyDescent="0.3">
      <c r="B898" s="2" t="s">
        <v>255</v>
      </c>
    </row>
    <row r="899" spans="2:2" x14ac:dyDescent="0.3">
      <c r="B899" s="2">
        <v>182</v>
      </c>
    </row>
    <row r="900" spans="2:2" x14ac:dyDescent="0.3">
      <c r="B900" s="2">
        <v>4</v>
      </c>
    </row>
    <row r="901" spans="2:2" x14ac:dyDescent="0.3">
      <c r="B901" s="2">
        <v>0</v>
      </c>
    </row>
    <row r="902" spans="2:2" x14ac:dyDescent="0.3">
      <c r="B902" s="2">
        <v>0</v>
      </c>
    </row>
    <row r="903" spans="2:2" x14ac:dyDescent="0.3">
      <c r="B903" s="2">
        <v>24.4</v>
      </c>
    </row>
    <row r="904" spans="2:2" x14ac:dyDescent="0.3">
      <c r="B904" s="2">
        <v>491</v>
      </c>
    </row>
    <row r="905" spans="2:2" x14ac:dyDescent="0.3">
      <c r="B905" s="2" t="s">
        <v>228</v>
      </c>
    </row>
    <row r="906" spans="2:2" x14ac:dyDescent="0.3">
      <c r="B906" s="2" t="s">
        <v>585</v>
      </c>
    </row>
    <row r="907" spans="2:2" x14ac:dyDescent="0.3">
      <c r="B907" s="2" t="s">
        <v>307</v>
      </c>
    </row>
    <row r="908" spans="2:2" x14ac:dyDescent="0.3">
      <c r="B908" s="2">
        <v>182</v>
      </c>
    </row>
    <row r="909" spans="2:2" x14ac:dyDescent="0.3">
      <c r="B909" s="2">
        <v>3</v>
      </c>
    </row>
    <row r="910" spans="2:2" x14ac:dyDescent="0.3">
      <c r="B910" s="2">
        <v>0</v>
      </c>
    </row>
    <row r="911" spans="2:2" x14ac:dyDescent="0.3">
      <c r="B911" s="2">
        <v>0</v>
      </c>
    </row>
    <row r="912" spans="2:2" x14ac:dyDescent="0.3">
      <c r="B912" s="2">
        <v>23.1</v>
      </c>
    </row>
    <row r="913" spans="2:2" x14ac:dyDescent="0.3">
      <c r="B913" s="2">
        <v>493</v>
      </c>
    </row>
    <row r="914" spans="2:2" x14ac:dyDescent="0.3">
      <c r="B914" s="2" t="s">
        <v>16</v>
      </c>
    </row>
    <row r="915" spans="2:2" x14ac:dyDescent="0.3">
      <c r="B915" s="2" t="s">
        <v>586</v>
      </c>
    </row>
    <row r="916" spans="2:2" x14ac:dyDescent="0.3">
      <c r="B916" s="2" t="s">
        <v>83</v>
      </c>
    </row>
    <row r="917" spans="2:2" x14ac:dyDescent="0.3">
      <c r="B917" s="2">
        <v>180</v>
      </c>
    </row>
    <row r="918" spans="2:2" x14ac:dyDescent="0.3">
      <c r="B918" s="2">
        <v>3</v>
      </c>
    </row>
    <row r="919" spans="2:2" x14ac:dyDescent="0.3">
      <c r="B919" s="2">
        <v>0</v>
      </c>
    </row>
    <row r="920" spans="2:2" x14ac:dyDescent="0.3">
      <c r="B920" s="2">
        <v>0</v>
      </c>
    </row>
    <row r="921" spans="2:2" x14ac:dyDescent="0.3">
      <c r="B921" s="2">
        <v>23.5</v>
      </c>
    </row>
    <row r="922" spans="2:2" x14ac:dyDescent="0.3">
      <c r="B922" s="2">
        <v>493</v>
      </c>
    </row>
    <row r="923" spans="2:2" x14ac:dyDescent="0.3">
      <c r="B923" s="2" t="s">
        <v>164</v>
      </c>
    </row>
    <row r="924" spans="2:2" x14ac:dyDescent="0.3">
      <c r="B924" s="2" t="s">
        <v>587</v>
      </c>
    </row>
    <row r="925" spans="2:2" x14ac:dyDescent="0.3">
      <c r="B925" s="2" t="s">
        <v>272</v>
      </c>
    </row>
    <row r="926" spans="2:2" x14ac:dyDescent="0.3">
      <c r="B926" s="2">
        <v>180</v>
      </c>
    </row>
    <row r="927" spans="2:2" x14ac:dyDescent="0.3">
      <c r="B927" s="2">
        <v>2</v>
      </c>
    </row>
    <row r="928" spans="2:2" x14ac:dyDescent="0.3">
      <c r="B928" s="2">
        <v>1</v>
      </c>
    </row>
    <row r="929" spans="2:2" x14ac:dyDescent="0.3">
      <c r="B929" s="2">
        <v>0</v>
      </c>
    </row>
    <row r="930" spans="2:2" x14ac:dyDescent="0.3">
      <c r="B930" s="2">
        <v>20.9</v>
      </c>
    </row>
    <row r="931" spans="2:2" x14ac:dyDescent="0.3">
      <c r="B931" s="2">
        <v>493</v>
      </c>
    </row>
    <row r="932" spans="2:2" x14ac:dyDescent="0.3">
      <c r="B932" s="2" t="s">
        <v>58</v>
      </c>
    </row>
    <row r="933" spans="2:2" x14ac:dyDescent="0.3">
      <c r="B933" s="2" t="s">
        <v>588</v>
      </c>
    </row>
    <row r="934" spans="2:2" x14ac:dyDescent="0.3">
      <c r="B934" s="2" t="s">
        <v>72</v>
      </c>
    </row>
    <row r="935" spans="2:2" x14ac:dyDescent="0.3">
      <c r="B935" s="2">
        <v>180</v>
      </c>
    </row>
    <row r="936" spans="2:2" x14ac:dyDescent="0.3">
      <c r="B936" s="2">
        <v>2</v>
      </c>
    </row>
    <row r="937" spans="2:2" x14ac:dyDescent="0.3">
      <c r="B937" s="2">
        <v>1</v>
      </c>
    </row>
    <row r="938" spans="2:2" x14ac:dyDescent="0.3">
      <c r="B938" s="2">
        <v>0</v>
      </c>
    </row>
    <row r="939" spans="2:2" x14ac:dyDescent="0.3">
      <c r="B939" s="2">
        <v>19.600000000000001</v>
      </c>
    </row>
    <row r="940" spans="2:2" x14ac:dyDescent="0.3">
      <c r="B940" s="2">
        <v>493</v>
      </c>
    </row>
    <row r="941" spans="2:2" x14ac:dyDescent="0.3">
      <c r="B941" s="2" t="s">
        <v>16</v>
      </c>
    </row>
    <row r="942" spans="2:2" x14ac:dyDescent="0.3">
      <c r="B942" s="2" t="s">
        <v>589</v>
      </c>
    </row>
    <row r="943" spans="2:2" x14ac:dyDescent="0.3">
      <c r="B943" s="2" t="s">
        <v>74</v>
      </c>
    </row>
    <row r="944" spans="2:2" x14ac:dyDescent="0.3">
      <c r="B944" s="2">
        <v>180</v>
      </c>
    </row>
    <row r="945" spans="2:2" x14ac:dyDescent="0.3">
      <c r="B945" s="2">
        <v>2</v>
      </c>
    </row>
    <row r="946" spans="2:2" x14ac:dyDescent="0.3">
      <c r="B946" s="2">
        <v>0</v>
      </c>
    </row>
    <row r="947" spans="2:2" x14ac:dyDescent="0.3">
      <c r="B947" s="2">
        <v>0</v>
      </c>
    </row>
    <row r="948" spans="2:2" x14ac:dyDescent="0.3">
      <c r="B948" s="2">
        <v>23.5</v>
      </c>
    </row>
    <row r="949" spans="2:2" x14ac:dyDescent="0.3">
      <c r="B949" s="2">
        <v>493</v>
      </c>
    </row>
    <row r="950" spans="2:2" x14ac:dyDescent="0.3">
      <c r="B950" s="2" t="s">
        <v>250</v>
      </c>
    </row>
    <row r="951" spans="2:2" x14ac:dyDescent="0.3">
      <c r="B951" s="2" t="s">
        <v>590</v>
      </c>
    </row>
    <row r="952" spans="2:2" x14ac:dyDescent="0.3">
      <c r="B952" s="2" t="s">
        <v>367</v>
      </c>
    </row>
    <row r="953" spans="2:2" x14ac:dyDescent="0.3">
      <c r="B953" s="2">
        <v>180</v>
      </c>
    </row>
    <row r="954" spans="2:2" x14ac:dyDescent="0.3">
      <c r="B954" s="2">
        <v>2</v>
      </c>
    </row>
    <row r="955" spans="2:2" x14ac:dyDescent="0.3">
      <c r="B955" s="2">
        <v>0</v>
      </c>
    </row>
    <row r="956" spans="2:2" x14ac:dyDescent="0.3">
      <c r="B956" s="2">
        <v>0</v>
      </c>
    </row>
    <row r="957" spans="2:2" x14ac:dyDescent="0.3">
      <c r="B957" s="2">
        <v>21.4</v>
      </c>
    </row>
    <row r="958" spans="2:2" x14ac:dyDescent="0.3">
      <c r="B958" s="2">
        <v>493</v>
      </c>
    </row>
    <row r="959" spans="2:2" x14ac:dyDescent="0.3">
      <c r="B959" s="2" t="s">
        <v>345</v>
      </c>
    </row>
    <row r="960" spans="2:2" x14ac:dyDescent="0.3">
      <c r="B960" s="2" t="s">
        <v>591</v>
      </c>
    </row>
    <row r="961" spans="2:2" x14ac:dyDescent="0.3">
      <c r="B961" s="2" t="s">
        <v>391</v>
      </c>
    </row>
    <row r="962" spans="2:2" x14ac:dyDescent="0.3">
      <c r="B962" s="2">
        <v>180</v>
      </c>
    </row>
    <row r="963" spans="2:2" x14ac:dyDescent="0.3">
      <c r="B963" s="2">
        <v>2</v>
      </c>
    </row>
    <row r="964" spans="2:2" x14ac:dyDescent="0.3">
      <c r="B964" s="2">
        <v>0</v>
      </c>
    </row>
    <row r="965" spans="2:2" x14ac:dyDescent="0.3">
      <c r="B965" s="2">
        <v>0</v>
      </c>
    </row>
    <row r="966" spans="2:2" x14ac:dyDescent="0.3">
      <c r="B966" s="2">
        <v>19.100000000000001</v>
      </c>
    </row>
    <row r="967" spans="2:2" x14ac:dyDescent="0.3">
      <c r="B967" s="2">
        <v>493</v>
      </c>
    </row>
    <row r="968" spans="2:2" x14ac:dyDescent="0.3">
      <c r="B968" s="2" t="s">
        <v>166</v>
      </c>
    </row>
    <row r="969" spans="2:2" x14ac:dyDescent="0.3">
      <c r="B969" s="2" t="s">
        <v>592</v>
      </c>
    </row>
    <row r="970" spans="2:2" x14ac:dyDescent="0.3">
      <c r="B970" s="2" t="s">
        <v>248</v>
      </c>
    </row>
    <row r="971" spans="2:2" x14ac:dyDescent="0.3">
      <c r="B971" s="2">
        <v>180</v>
      </c>
    </row>
    <row r="972" spans="2:2" x14ac:dyDescent="0.3">
      <c r="B972" s="2">
        <v>2</v>
      </c>
    </row>
    <row r="973" spans="2:2" x14ac:dyDescent="0.3">
      <c r="B973" s="2">
        <v>0</v>
      </c>
    </row>
    <row r="974" spans="2:2" x14ac:dyDescent="0.3">
      <c r="B974" s="2">
        <v>0</v>
      </c>
    </row>
    <row r="975" spans="2:2" x14ac:dyDescent="0.3">
      <c r="B975" s="2">
        <v>18.8</v>
      </c>
    </row>
    <row r="976" spans="2:2" x14ac:dyDescent="0.3">
      <c r="B976" s="2">
        <v>493</v>
      </c>
    </row>
    <row r="977" spans="2:2" x14ac:dyDescent="0.3">
      <c r="B977" s="2" t="s">
        <v>124</v>
      </c>
    </row>
    <row r="978" spans="2:2" x14ac:dyDescent="0.3">
      <c r="B978" s="2" t="s">
        <v>593</v>
      </c>
    </row>
    <row r="979" spans="2:2" x14ac:dyDescent="0.3">
      <c r="B979" s="2" t="s">
        <v>235</v>
      </c>
    </row>
    <row r="980" spans="2:2" x14ac:dyDescent="0.3">
      <c r="B980" s="2">
        <v>180</v>
      </c>
    </row>
    <row r="981" spans="2:2" x14ac:dyDescent="0.3">
      <c r="B981" s="2">
        <v>2</v>
      </c>
    </row>
    <row r="982" spans="2:2" x14ac:dyDescent="0.3">
      <c r="B982" s="2">
        <v>0</v>
      </c>
    </row>
    <row r="983" spans="2:2" x14ac:dyDescent="0.3">
      <c r="B983" s="2">
        <v>0</v>
      </c>
    </row>
    <row r="984" spans="2:2" x14ac:dyDescent="0.3">
      <c r="B984" s="2">
        <v>11.1</v>
      </c>
    </row>
    <row r="985" spans="2:2" x14ac:dyDescent="0.3">
      <c r="B985" s="2">
        <v>493</v>
      </c>
    </row>
    <row r="986" spans="2:2" x14ac:dyDescent="0.3">
      <c r="B986" s="2" t="s">
        <v>218</v>
      </c>
    </row>
    <row r="987" spans="2:2" x14ac:dyDescent="0.3">
      <c r="B987" s="2" t="s">
        <v>594</v>
      </c>
    </row>
    <row r="988" spans="2:2" x14ac:dyDescent="0.3">
      <c r="B988" s="2" t="s">
        <v>421</v>
      </c>
    </row>
    <row r="989" spans="2:2" x14ac:dyDescent="0.3">
      <c r="B989" s="2">
        <v>180</v>
      </c>
    </row>
    <row r="990" spans="2:2" x14ac:dyDescent="0.3">
      <c r="B990" s="2">
        <v>2</v>
      </c>
    </row>
    <row r="991" spans="2:2" x14ac:dyDescent="0.3">
      <c r="B991" s="2">
        <v>0</v>
      </c>
    </row>
    <row r="992" spans="2:2" x14ac:dyDescent="0.3">
      <c r="B992" s="2">
        <v>0</v>
      </c>
    </row>
    <row r="993" spans="2:2" x14ac:dyDescent="0.3">
      <c r="B993" s="2">
        <v>10.6</v>
      </c>
    </row>
    <row r="994" spans="2:2" x14ac:dyDescent="0.3">
      <c r="B994" s="2">
        <v>493</v>
      </c>
    </row>
    <row r="995" spans="2:2" x14ac:dyDescent="0.3">
      <c r="B995" s="2" t="s">
        <v>119</v>
      </c>
    </row>
    <row r="996" spans="2:2" x14ac:dyDescent="0.3">
      <c r="B996" s="2" t="s">
        <v>519</v>
      </c>
    </row>
    <row r="997" spans="2:2" x14ac:dyDescent="0.3">
      <c r="B997" s="2" t="s">
        <v>234</v>
      </c>
    </row>
    <row r="998" spans="2:2" x14ac:dyDescent="0.3">
      <c r="B998" s="2">
        <v>180</v>
      </c>
    </row>
    <row r="999" spans="2:2" x14ac:dyDescent="0.3">
      <c r="B999" s="2">
        <v>2</v>
      </c>
    </row>
    <row r="1000" spans="2:2" x14ac:dyDescent="0.3">
      <c r="B1000" s="2">
        <v>0</v>
      </c>
    </row>
    <row r="1001" spans="2:2" x14ac:dyDescent="0.3">
      <c r="B1001" s="2">
        <v>0</v>
      </c>
    </row>
    <row r="1002" spans="2:2" x14ac:dyDescent="0.3">
      <c r="B1002" s="2">
        <v>8.4</v>
      </c>
    </row>
    <row r="1003" spans="2:2" x14ac:dyDescent="0.3">
      <c r="B1003" s="2">
        <v>503</v>
      </c>
    </row>
    <row r="1004" spans="2:2" x14ac:dyDescent="0.3">
      <c r="B1004" s="2" t="s">
        <v>216</v>
      </c>
    </row>
    <row r="1005" spans="2:2" x14ac:dyDescent="0.3">
      <c r="B1005" s="2" t="s">
        <v>595</v>
      </c>
    </row>
    <row r="1006" spans="2:2" x14ac:dyDescent="0.3">
      <c r="B1006" s="2" t="s">
        <v>313</v>
      </c>
    </row>
    <row r="1007" spans="2:2" x14ac:dyDescent="0.3">
      <c r="B1007" s="2">
        <v>179</v>
      </c>
    </row>
    <row r="1008" spans="2:2" x14ac:dyDescent="0.3">
      <c r="B1008" s="2">
        <v>6</v>
      </c>
    </row>
    <row r="1009" spans="2:2" x14ac:dyDescent="0.3">
      <c r="B1009" s="2">
        <v>0</v>
      </c>
    </row>
    <row r="1010" spans="2:2" x14ac:dyDescent="0.3">
      <c r="B1010" s="2">
        <v>0</v>
      </c>
    </row>
    <row r="1011" spans="2:2" x14ac:dyDescent="0.3">
      <c r="B1011" s="2">
        <v>24.2</v>
      </c>
    </row>
    <row r="1012" spans="2:2" x14ac:dyDescent="0.3">
      <c r="B1012" s="2">
        <v>503</v>
      </c>
    </row>
    <row r="1013" spans="2:2" x14ac:dyDescent="0.3">
      <c r="B1013" s="2" t="s">
        <v>237</v>
      </c>
    </row>
    <row r="1014" spans="2:2" x14ac:dyDescent="0.3">
      <c r="B1014" s="2" t="s">
        <v>596</v>
      </c>
    </row>
    <row r="1015" spans="2:2" x14ac:dyDescent="0.3">
      <c r="B1015" s="2" t="s">
        <v>265</v>
      </c>
    </row>
    <row r="1016" spans="2:2" x14ac:dyDescent="0.3">
      <c r="B1016" s="2">
        <v>179</v>
      </c>
    </row>
    <row r="1017" spans="2:2" x14ac:dyDescent="0.3">
      <c r="B1017" s="2">
        <v>3</v>
      </c>
    </row>
    <row r="1018" spans="2:2" x14ac:dyDescent="0.3">
      <c r="B1018" s="2">
        <v>0</v>
      </c>
    </row>
    <row r="1019" spans="2:2" x14ac:dyDescent="0.3">
      <c r="B1019" s="2">
        <v>0</v>
      </c>
    </row>
    <row r="1020" spans="2:2" x14ac:dyDescent="0.3">
      <c r="B1020" s="2">
        <v>22.3</v>
      </c>
    </row>
    <row r="1021" spans="2:2" x14ac:dyDescent="0.3">
      <c r="B1021" s="2">
        <v>505</v>
      </c>
    </row>
    <row r="1022" spans="2:2" x14ac:dyDescent="0.3">
      <c r="B1022" s="2" t="s">
        <v>164</v>
      </c>
    </row>
    <row r="1023" spans="2:2" x14ac:dyDescent="0.3">
      <c r="B1023" s="2" t="s">
        <v>597</v>
      </c>
    </row>
    <row r="1024" spans="2:2" x14ac:dyDescent="0.3">
      <c r="B1024" s="2" t="s">
        <v>171</v>
      </c>
    </row>
    <row r="1025" spans="2:2" x14ac:dyDescent="0.3">
      <c r="B1025" s="2">
        <v>177</v>
      </c>
    </row>
    <row r="1026" spans="2:2" x14ac:dyDescent="0.3">
      <c r="B1026" s="2">
        <v>4</v>
      </c>
    </row>
    <row r="1027" spans="2:2" x14ac:dyDescent="0.3">
      <c r="B1027" s="2">
        <v>0</v>
      </c>
    </row>
    <row r="1028" spans="2:2" x14ac:dyDescent="0.3">
      <c r="B1028" s="2">
        <v>0</v>
      </c>
    </row>
    <row r="1029" spans="2:2" x14ac:dyDescent="0.3">
      <c r="B1029" s="2">
        <v>21.7</v>
      </c>
    </row>
    <row r="1030" spans="2:2" x14ac:dyDescent="0.3">
      <c r="B1030" s="2">
        <v>506</v>
      </c>
    </row>
    <row r="1031" spans="2:2" x14ac:dyDescent="0.3">
      <c r="B1031" s="2" t="s">
        <v>79</v>
      </c>
    </row>
    <row r="1032" spans="2:2" x14ac:dyDescent="0.3">
      <c r="B1032" s="2" t="s">
        <v>598</v>
      </c>
    </row>
    <row r="1033" spans="2:2" x14ac:dyDescent="0.3">
      <c r="B1033" s="2" t="s">
        <v>80</v>
      </c>
    </row>
    <row r="1034" spans="2:2" x14ac:dyDescent="0.3">
      <c r="B1034" s="2">
        <v>175</v>
      </c>
    </row>
    <row r="1035" spans="2:2" x14ac:dyDescent="0.3">
      <c r="B1035" s="2">
        <v>3</v>
      </c>
    </row>
    <row r="1036" spans="2:2" x14ac:dyDescent="0.3">
      <c r="B1036" s="2">
        <v>1</v>
      </c>
    </row>
    <row r="1037" spans="2:2" x14ac:dyDescent="0.3">
      <c r="B1037" s="2">
        <v>0</v>
      </c>
    </row>
    <row r="1038" spans="2:2" x14ac:dyDescent="0.3">
      <c r="B1038" s="2">
        <v>20.399999999999999</v>
      </c>
    </row>
    <row r="1039" spans="2:2" x14ac:dyDescent="0.3">
      <c r="B1039" s="2">
        <v>507</v>
      </c>
    </row>
    <row r="1040" spans="2:2" x14ac:dyDescent="0.3">
      <c r="B1040" s="2" t="s">
        <v>166</v>
      </c>
    </row>
    <row r="1041" spans="2:2" x14ac:dyDescent="0.3">
      <c r="B1041" s="2" t="s">
        <v>599</v>
      </c>
    </row>
    <row r="1042" spans="2:2" x14ac:dyDescent="0.3">
      <c r="B1042" s="2" t="s">
        <v>175</v>
      </c>
    </row>
    <row r="1043" spans="2:2" x14ac:dyDescent="0.3">
      <c r="B1043" s="2">
        <v>172</v>
      </c>
    </row>
    <row r="1044" spans="2:2" x14ac:dyDescent="0.3">
      <c r="B1044" s="2">
        <v>3</v>
      </c>
    </row>
    <row r="1045" spans="2:2" x14ac:dyDescent="0.3">
      <c r="B1045" s="2">
        <v>1</v>
      </c>
    </row>
    <row r="1046" spans="2:2" x14ac:dyDescent="0.3">
      <c r="B1046" s="2">
        <v>0</v>
      </c>
    </row>
    <row r="1047" spans="2:2" x14ac:dyDescent="0.3">
      <c r="B1047" s="2">
        <v>23</v>
      </c>
    </row>
    <row r="1048" spans="2:2" x14ac:dyDescent="0.3">
      <c r="B1048" s="2">
        <v>508</v>
      </c>
    </row>
    <row r="1049" spans="2:2" x14ac:dyDescent="0.3">
      <c r="B1049" s="2" t="s">
        <v>204</v>
      </c>
    </row>
    <row r="1050" spans="2:2" x14ac:dyDescent="0.3">
      <c r="B1050" s="2" t="s">
        <v>600</v>
      </c>
    </row>
    <row r="1051" spans="2:2" x14ac:dyDescent="0.3">
      <c r="B1051" s="2" t="s">
        <v>222</v>
      </c>
    </row>
    <row r="1052" spans="2:2" x14ac:dyDescent="0.3">
      <c r="B1052" s="2">
        <v>171</v>
      </c>
    </row>
    <row r="1053" spans="2:2" x14ac:dyDescent="0.3">
      <c r="B1053" s="2">
        <v>4</v>
      </c>
    </row>
    <row r="1054" spans="2:2" x14ac:dyDescent="0.3">
      <c r="B1054" s="2">
        <v>0</v>
      </c>
    </row>
    <row r="1055" spans="2:2" x14ac:dyDescent="0.3">
      <c r="B1055" s="2">
        <v>0</v>
      </c>
    </row>
    <row r="1056" spans="2:2" x14ac:dyDescent="0.3">
      <c r="B1056" s="2">
        <v>20.2</v>
      </c>
    </row>
    <row r="1057" spans="2:2" x14ac:dyDescent="0.3">
      <c r="B1057" s="2">
        <v>509</v>
      </c>
    </row>
    <row r="1058" spans="2:2" x14ac:dyDescent="0.3">
      <c r="B1058" s="2" t="s">
        <v>228</v>
      </c>
    </row>
    <row r="1059" spans="2:2" x14ac:dyDescent="0.3">
      <c r="B1059" s="2" t="s">
        <v>601</v>
      </c>
    </row>
    <row r="1060" spans="2:2" x14ac:dyDescent="0.3">
      <c r="B1060" s="2" t="s">
        <v>283</v>
      </c>
    </row>
    <row r="1061" spans="2:2" x14ac:dyDescent="0.3">
      <c r="B1061" s="2">
        <v>170</v>
      </c>
    </row>
    <row r="1062" spans="2:2" x14ac:dyDescent="0.3">
      <c r="B1062" s="2">
        <v>5</v>
      </c>
    </row>
    <row r="1063" spans="2:2" x14ac:dyDescent="0.3">
      <c r="B1063" s="2">
        <v>0</v>
      </c>
    </row>
    <row r="1064" spans="2:2" x14ac:dyDescent="0.3">
      <c r="B1064" s="2">
        <v>0</v>
      </c>
    </row>
    <row r="1065" spans="2:2" x14ac:dyDescent="0.3">
      <c r="B1065" s="2">
        <v>24.3</v>
      </c>
    </row>
    <row r="1066" spans="2:2" x14ac:dyDescent="0.3">
      <c r="B1066" s="2">
        <v>509</v>
      </c>
    </row>
    <row r="1067" spans="2:2" x14ac:dyDescent="0.3">
      <c r="B1067" s="2" t="s">
        <v>228</v>
      </c>
    </row>
    <row r="1068" spans="2:2" x14ac:dyDescent="0.3">
      <c r="B1068" s="2" t="s">
        <v>602</v>
      </c>
    </row>
    <row r="1069" spans="2:2" x14ac:dyDescent="0.3">
      <c r="B1069" s="2" t="s">
        <v>307</v>
      </c>
    </row>
    <row r="1070" spans="2:2" x14ac:dyDescent="0.3">
      <c r="B1070" s="2">
        <v>170</v>
      </c>
    </row>
    <row r="1071" spans="2:2" x14ac:dyDescent="0.3">
      <c r="B1071" s="2">
        <v>5</v>
      </c>
    </row>
    <row r="1072" spans="2:2" x14ac:dyDescent="0.3">
      <c r="B1072" s="2">
        <v>0</v>
      </c>
    </row>
    <row r="1073" spans="2:2" x14ac:dyDescent="0.3">
      <c r="B1073" s="2">
        <v>0</v>
      </c>
    </row>
    <row r="1074" spans="2:2" x14ac:dyDescent="0.3">
      <c r="B1074" s="2">
        <v>20.6</v>
      </c>
    </row>
    <row r="1075" spans="2:2" x14ac:dyDescent="0.3">
      <c r="B1075" s="2">
        <v>511</v>
      </c>
    </row>
    <row r="1076" spans="2:2" x14ac:dyDescent="0.3">
      <c r="B1076" s="2" t="s">
        <v>237</v>
      </c>
    </row>
    <row r="1077" spans="2:2" x14ac:dyDescent="0.3">
      <c r="B1077" s="2" t="s">
        <v>603</v>
      </c>
    </row>
    <row r="1078" spans="2:2" x14ac:dyDescent="0.3">
      <c r="B1078" s="2" t="s">
        <v>270</v>
      </c>
    </row>
    <row r="1079" spans="2:2" x14ac:dyDescent="0.3">
      <c r="B1079" s="2">
        <v>169</v>
      </c>
    </row>
    <row r="1080" spans="2:2" x14ac:dyDescent="0.3">
      <c r="B1080" s="2">
        <v>3</v>
      </c>
    </row>
    <row r="1081" spans="2:2" x14ac:dyDescent="0.3">
      <c r="B1081" s="2">
        <v>0</v>
      </c>
    </row>
    <row r="1082" spans="2:2" x14ac:dyDescent="0.3">
      <c r="B1082" s="2">
        <v>0</v>
      </c>
    </row>
    <row r="1083" spans="2:2" x14ac:dyDescent="0.3">
      <c r="B1083" s="2">
        <v>22</v>
      </c>
    </row>
    <row r="1084" spans="2:2" x14ac:dyDescent="0.3">
      <c r="B1084" s="2">
        <v>512</v>
      </c>
    </row>
    <row r="1085" spans="2:2" x14ac:dyDescent="0.3">
      <c r="B1085" s="2" t="s">
        <v>164</v>
      </c>
    </row>
    <row r="1086" spans="2:2" x14ac:dyDescent="0.3">
      <c r="B1086" s="2" t="s">
        <v>604</v>
      </c>
    </row>
    <row r="1087" spans="2:2" x14ac:dyDescent="0.3">
      <c r="B1087" s="2" t="s">
        <v>272</v>
      </c>
    </row>
    <row r="1088" spans="2:2" x14ac:dyDescent="0.3">
      <c r="B1088" s="2">
        <v>168</v>
      </c>
    </row>
    <row r="1089" spans="2:2" x14ac:dyDescent="0.3">
      <c r="B1089" s="2">
        <v>6</v>
      </c>
    </row>
    <row r="1090" spans="2:2" x14ac:dyDescent="0.3">
      <c r="B1090" s="2">
        <v>1</v>
      </c>
    </row>
    <row r="1091" spans="2:2" x14ac:dyDescent="0.3">
      <c r="B1091" s="2">
        <v>0</v>
      </c>
    </row>
    <row r="1092" spans="2:2" x14ac:dyDescent="0.3">
      <c r="B1092" s="2">
        <v>20.6</v>
      </c>
    </row>
    <row r="1093" spans="2:2" x14ac:dyDescent="0.3">
      <c r="B1093" s="2">
        <v>512</v>
      </c>
    </row>
    <row r="1094" spans="2:2" x14ac:dyDescent="0.3">
      <c r="B1094" s="2" t="s">
        <v>124</v>
      </c>
    </row>
    <row r="1095" spans="2:2" x14ac:dyDescent="0.3">
      <c r="B1095" s="2" t="s">
        <v>605</v>
      </c>
    </row>
    <row r="1096" spans="2:2" x14ac:dyDescent="0.3">
      <c r="B1096" s="2" t="s">
        <v>159</v>
      </c>
    </row>
    <row r="1097" spans="2:2" x14ac:dyDescent="0.3">
      <c r="B1097" s="2">
        <v>168</v>
      </c>
    </row>
    <row r="1098" spans="2:2" x14ac:dyDescent="0.3">
      <c r="B1098" s="2">
        <v>4</v>
      </c>
    </row>
    <row r="1099" spans="2:2" x14ac:dyDescent="0.3">
      <c r="B1099" s="2">
        <v>1</v>
      </c>
    </row>
    <row r="1100" spans="2:2" x14ac:dyDescent="0.3">
      <c r="B1100" s="2">
        <v>1</v>
      </c>
    </row>
    <row r="1101" spans="2:2" x14ac:dyDescent="0.3">
      <c r="B1101" s="2">
        <v>19.7</v>
      </c>
    </row>
    <row r="1102" spans="2:2" x14ac:dyDescent="0.3">
      <c r="B1102" s="2">
        <v>512</v>
      </c>
    </row>
    <row r="1103" spans="2:2" x14ac:dyDescent="0.3">
      <c r="B1103" s="2" t="s">
        <v>212</v>
      </c>
    </row>
    <row r="1104" spans="2:2" x14ac:dyDescent="0.3">
      <c r="B1104" s="2" t="s">
        <v>606</v>
      </c>
    </row>
    <row r="1105" spans="2:2" x14ac:dyDescent="0.3">
      <c r="B1105" s="2" t="s">
        <v>214</v>
      </c>
    </row>
    <row r="1106" spans="2:2" x14ac:dyDescent="0.3">
      <c r="B1106" s="2">
        <v>168</v>
      </c>
    </row>
    <row r="1107" spans="2:2" x14ac:dyDescent="0.3">
      <c r="B1107" s="2">
        <v>4</v>
      </c>
    </row>
    <row r="1108" spans="2:2" x14ac:dyDescent="0.3">
      <c r="B1108" s="2">
        <v>0</v>
      </c>
    </row>
    <row r="1109" spans="2:2" x14ac:dyDescent="0.3">
      <c r="B1109" s="2">
        <v>0</v>
      </c>
    </row>
    <row r="1110" spans="2:2" x14ac:dyDescent="0.3">
      <c r="B1110" s="2">
        <v>25.8</v>
      </c>
    </row>
    <row r="1111" spans="2:2" x14ac:dyDescent="0.3">
      <c r="B1111" s="2">
        <v>515</v>
      </c>
    </row>
    <row r="1112" spans="2:2" x14ac:dyDescent="0.3">
      <c r="B1112" s="2" t="s">
        <v>250</v>
      </c>
    </row>
    <row r="1113" spans="2:2" x14ac:dyDescent="0.3">
      <c r="B1113" s="2" t="s">
        <v>607</v>
      </c>
    </row>
    <row r="1114" spans="2:2" x14ac:dyDescent="0.3">
      <c r="B1114" s="2" t="s">
        <v>367</v>
      </c>
    </row>
    <row r="1115" spans="2:2" x14ac:dyDescent="0.3">
      <c r="B1115" s="2">
        <v>167</v>
      </c>
    </row>
    <row r="1116" spans="2:2" x14ac:dyDescent="0.3">
      <c r="B1116" s="2">
        <v>3</v>
      </c>
    </row>
    <row r="1117" spans="2:2" x14ac:dyDescent="0.3">
      <c r="B1117" s="2">
        <v>0</v>
      </c>
    </row>
    <row r="1118" spans="2:2" x14ac:dyDescent="0.3">
      <c r="B1118" s="2">
        <v>0</v>
      </c>
    </row>
    <row r="1119" spans="2:2" x14ac:dyDescent="0.3">
      <c r="B1119" s="2">
        <v>21.1</v>
      </c>
    </row>
    <row r="1120" spans="2:2" x14ac:dyDescent="0.3">
      <c r="B1120" s="2">
        <v>516</v>
      </c>
    </row>
    <row r="1121" spans="2:2" x14ac:dyDescent="0.3">
      <c r="B1121" s="2" t="s">
        <v>121</v>
      </c>
    </row>
    <row r="1122" spans="2:2" x14ac:dyDescent="0.3">
      <c r="B1122" s="2" t="s">
        <v>608</v>
      </c>
    </row>
    <row r="1123" spans="2:2" x14ac:dyDescent="0.3">
      <c r="B1123" s="2" t="s">
        <v>123</v>
      </c>
    </row>
    <row r="1124" spans="2:2" x14ac:dyDescent="0.3">
      <c r="B1124" s="2">
        <v>165</v>
      </c>
    </row>
    <row r="1125" spans="2:2" x14ac:dyDescent="0.3">
      <c r="B1125" s="2">
        <v>2</v>
      </c>
    </row>
    <row r="1126" spans="2:2" x14ac:dyDescent="0.3">
      <c r="B1126" s="2">
        <v>0</v>
      </c>
    </row>
    <row r="1127" spans="2:2" x14ac:dyDescent="0.3">
      <c r="B1127" s="2">
        <v>0</v>
      </c>
    </row>
    <row r="1128" spans="2:2" x14ac:dyDescent="0.3">
      <c r="B1128" s="2">
        <v>17.899999999999999</v>
      </c>
    </row>
    <row r="1129" spans="2:2" x14ac:dyDescent="0.3">
      <c r="B1129" s="2">
        <v>517</v>
      </c>
    </row>
    <row r="1130" spans="2:2" x14ac:dyDescent="0.3">
      <c r="B1130" s="2" t="s">
        <v>198</v>
      </c>
    </row>
    <row r="1131" spans="2:2" x14ac:dyDescent="0.3">
      <c r="B1131" s="2" t="s">
        <v>609</v>
      </c>
    </row>
    <row r="1132" spans="2:2" x14ac:dyDescent="0.3">
      <c r="B1132" s="2" t="s">
        <v>224</v>
      </c>
    </row>
    <row r="1133" spans="2:2" x14ac:dyDescent="0.3">
      <c r="B1133" s="2">
        <v>164</v>
      </c>
    </row>
    <row r="1134" spans="2:2" x14ac:dyDescent="0.3">
      <c r="B1134" s="2">
        <v>4</v>
      </c>
    </row>
    <row r="1135" spans="2:2" x14ac:dyDescent="0.3">
      <c r="B1135" s="2">
        <v>0</v>
      </c>
    </row>
    <row r="1136" spans="2:2" x14ac:dyDescent="0.3">
      <c r="B1136" s="2">
        <v>0</v>
      </c>
    </row>
    <row r="1137" spans="2:2" x14ac:dyDescent="0.3">
      <c r="B1137" s="2">
        <v>21.9</v>
      </c>
    </row>
    <row r="1138" spans="2:2" x14ac:dyDescent="0.3">
      <c r="B1138" s="2">
        <v>518</v>
      </c>
    </row>
    <row r="1139" spans="2:2" x14ac:dyDescent="0.3">
      <c r="B1139" s="2" t="s">
        <v>162</v>
      </c>
    </row>
    <row r="1140" spans="2:2" x14ac:dyDescent="0.3">
      <c r="B1140" s="2" t="s">
        <v>610</v>
      </c>
    </row>
    <row r="1141" spans="2:2" x14ac:dyDescent="0.3">
      <c r="B1141" s="2" t="s">
        <v>181</v>
      </c>
    </row>
    <row r="1142" spans="2:2" x14ac:dyDescent="0.3">
      <c r="B1142" s="2">
        <v>162</v>
      </c>
    </row>
    <row r="1143" spans="2:2" x14ac:dyDescent="0.3">
      <c r="B1143" s="2">
        <v>5</v>
      </c>
    </row>
    <row r="1144" spans="2:2" x14ac:dyDescent="0.3">
      <c r="B1144" s="2">
        <v>0</v>
      </c>
    </row>
    <row r="1145" spans="2:2" x14ac:dyDescent="0.3">
      <c r="B1145" s="2">
        <v>0</v>
      </c>
    </row>
    <row r="1146" spans="2:2" x14ac:dyDescent="0.3">
      <c r="B1146" s="2">
        <v>22.1</v>
      </c>
    </row>
    <row r="1147" spans="2:2" x14ac:dyDescent="0.3">
      <c r="B1147" s="2">
        <v>518</v>
      </c>
    </row>
    <row r="1148" spans="2:2" x14ac:dyDescent="0.3">
      <c r="B1148" s="2" t="s">
        <v>198</v>
      </c>
    </row>
    <row r="1149" spans="2:2" x14ac:dyDescent="0.3">
      <c r="B1149" s="2" t="s">
        <v>611</v>
      </c>
    </row>
    <row r="1150" spans="2:2" x14ac:dyDescent="0.3">
      <c r="B1150" s="2" t="s">
        <v>224</v>
      </c>
    </row>
    <row r="1151" spans="2:2" x14ac:dyDescent="0.3">
      <c r="B1151" s="2">
        <v>162</v>
      </c>
    </row>
    <row r="1152" spans="2:2" x14ac:dyDescent="0.3">
      <c r="B1152" s="2">
        <v>5</v>
      </c>
    </row>
    <row r="1153" spans="2:2" x14ac:dyDescent="0.3">
      <c r="B1153" s="2">
        <v>0</v>
      </c>
    </row>
    <row r="1154" spans="2:2" x14ac:dyDescent="0.3">
      <c r="B1154" s="2">
        <v>0</v>
      </c>
    </row>
    <row r="1155" spans="2:2" x14ac:dyDescent="0.3">
      <c r="B1155" s="2">
        <v>21.5</v>
      </c>
    </row>
    <row r="1156" spans="2:2" x14ac:dyDescent="0.3">
      <c r="B1156" s="2">
        <v>520</v>
      </c>
    </row>
    <row r="1157" spans="2:2" x14ac:dyDescent="0.3">
      <c r="B1157" s="2" t="s">
        <v>209</v>
      </c>
    </row>
    <row r="1158" spans="2:2" x14ac:dyDescent="0.3">
      <c r="B1158" s="2" t="s">
        <v>612</v>
      </c>
    </row>
    <row r="1159" spans="2:2" x14ac:dyDescent="0.3">
      <c r="B1159" s="2" t="s">
        <v>211</v>
      </c>
    </row>
    <row r="1160" spans="2:2" x14ac:dyDescent="0.3">
      <c r="B1160" s="2">
        <v>160</v>
      </c>
    </row>
    <row r="1161" spans="2:2" x14ac:dyDescent="0.3">
      <c r="B1161" s="2">
        <v>4</v>
      </c>
    </row>
    <row r="1162" spans="2:2" x14ac:dyDescent="0.3">
      <c r="B1162" s="2">
        <v>0</v>
      </c>
    </row>
    <row r="1163" spans="2:2" x14ac:dyDescent="0.3">
      <c r="B1163" s="2">
        <v>0</v>
      </c>
    </row>
    <row r="1164" spans="2:2" x14ac:dyDescent="0.3">
      <c r="B1164" s="2">
        <v>22</v>
      </c>
    </row>
    <row r="1165" spans="2:2" x14ac:dyDescent="0.3">
      <c r="B1165" s="2">
        <v>520</v>
      </c>
    </row>
    <row r="1166" spans="2:2" x14ac:dyDescent="0.3">
      <c r="B1166" s="2" t="s">
        <v>332</v>
      </c>
    </row>
    <row r="1167" spans="2:2" x14ac:dyDescent="0.3">
      <c r="B1167" s="2" t="s">
        <v>613</v>
      </c>
    </row>
    <row r="1168" spans="2:2" x14ac:dyDescent="0.3">
      <c r="B1168" s="2" t="s">
        <v>477</v>
      </c>
    </row>
    <row r="1169" spans="2:2" x14ac:dyDescent="0.3">
      <c r="B1169" s="2">
        <v>160</v>
      </c>
    </row>
    <row r="1170" spans="2:2" x14ac:dyDescent="0.3">
      <c r="B1170" s="2">
        <v>4</v>
      </c>
    </row>
    <row r="1171" spans="2:2" x14ac:dyDescent="0.3">
      <c r="B1171" s="2">
        <v>0</v>
      </c>
    </row>
    <row r="1172" spans="2:2" x14ac:dyDescent="0.3">
      <c r="B1172" s="2">
        <v>0</v>
      </c>
    </row>
    <row r="1173" spans="2:2" x14ac:dyDescent="0.3">
      <c r="B1173" s="2">
        <v>16.399999999999999</v>
      </c>
    </row>
    <row r="1174" spans="2:2" x14ac:dyDescent="0.3">
      <c r="B1174" s="2">
        <v>522</v>
      </c>
    </row>
    <row r="1175" spans="2:2" x14ac:dyDescent="0.3">
      <c r="B1175" s="2" t="s">
        <v>79</v>
      </c>
    </row>
    <row r="1176" spans="2:2" x14ac:dyDescent="0.3">
      <c r="B1176" s="2" t="s">
        <v>614</v>
      </c>
    </row>
    <row r="1177" spans="2:2" x14ac:dyDescent="0.3">
      <c r="B1177" s="2" t="s">
        <v>144</v>
      </c>
    </row>
    <row r="1178" spans="2:2" x14ac:dyDescent="0.3">
      <c r="B1178" s="2">
        <v>159</v>
      </c>
    </row>
    <row r="1179" spans="2:2" x14ac:dyDescent="0.3">
      <c r="B1179" s="2">
        <v>5</v>
      </c>
    </row>
    <row r="1180" spans="2:2" x14ac:dyDescent="0.3">
      <c r="B1180" s="2">
        <v>0</v>
      </c>
    </row>
    <row r="1181" spans="2:2" x14ac:dyDescent="0.3">
      <c r="B1181" s="2">
        <v>0</v>
      </c>
    </row>
    <row r="1182" spans="2:2" x14ac:dyDescent="0.3">
      <c r="B1182" s="2">
        <v>23</v>
      </c>
    </row>
    <row r="1183" spans="2:2" x14ac:dyDescent="0.3">
      <c r="B1183" s="2">
        <v>523</v>
      </c>
    </row>
    <row r="1184" spans="2:2" x14ac:dyDescent="0.3">
      <c r="B1184" s="2" t="s">
        <v>237</v>
      </c>
    </row>
    <row r="1185" spans="2:2" x14ac:dyDescent="0.3">
      <c r="B1185" s="2" t="s">
        <v>615</v>
      </c>
    </row>
    <row r="1186" spans="2:2" x14ac:dyDescent="0.3">
      <c r="B1186" s="2" t="s">
        <v>270</v>
      </c>
    </row>
    <row r="1187" spans="2:2" x14ac:dyDescent="0.3">
      <c r="B1187" s="2">
        <v>158</v>
      </c>
    </row>
    <row r="1188" spans="2:2" x14ac:dyDescent="0.3">
      <c r="B1188" s="2">
        <v>2</v>
      </c>
    </row>
    <row r="1189" spans="2:2" x14ac:dyDescent="0.3">
      <c r="B1189" s="2">
        <v>0</v>
      </c>
    </row>
    <row r="1190" spans="2:2" x14ac:dyDescent="0.3">
      <c r="B1190" s="2">
        <v>0</v>
      </c>
    </row>
    <row r="1191" spans="2:2" x14ac:dyDescent="0.3">
      <c r="B1191" s="2">
        <v>20.7</v>
      </c>
    </row>
    <row r="1192" spans="2:2" x14ac:dyDescent="0.3">
      <c r="B1192" s="2">
        <v>524</v>
      </c>
    </row>
    <row r="1193" spans="2:2" x14ac:dyDescent="0.3">
      <c r="B1193" s="2" t="s">
        <v>58</v>
      </c>
    </row>
    <row r="1194" spans="2:2" x14ac:dyDescent="0.3">
      <c r="B1194" s="2" t="s">
        <v>616</v>
      </c>
    </row>
    <row r="1195" spans="2:2" x14ac:dyDescent="0.3">
      <c r="B1195" s="2" t="s">
        <v>94</v>
      </c>
    </row>
    <row r="1196" spans="2:2" x14ac:dyDescent="0.3">
      <c r="B1196" s="2">
        <v>157</v>
      </c>
    </row>
    <row r="1197" spans="2:2" x14ac:dyDescent="0.3">
      <c r="B1197" s="2">
        <v>6</v>
      </c>
    </row>
    <row r="1198" spans="2:2" x14ac:dyDescent="0.3">
      <c r="B1198" s="2">
        <v>0</v>
      </c>
    </row>
    <row r="1199" spans="2:2" x14ac:dyDescent="0.3">
      <c r="B1199" s="2">
        <v>0</v>
      </c>
    </row>
    <row r="1200" spans="2:2" x14ac:dyDescent="0.3">
      <c r="B1200" s="2">
        <v>21.2</v>
      </c>
    </row>
    <row r="1201" spans="2:2" x14ac:dyDescent="0.3">
      <c r="B1201" s="2">
        <v>525</v>
      </c>
    </row>
    <row r="1202" spans="2:2" x14ac:dyDescent="0.3">
      <c r="B1202" s="2" t="s">
        <v>198</v>
      </c>
    </row>
    <row r="1203" spans="2:2" x14ac:dyDescent="0.3">
      <c r="B1203" s="2" t="s">
        <v>617</v>
      </c>
    </row>
    <row r="1204" spans="2:2" x14ac:dyDescent="0.3">
      <c r="B1204" s="2" t="s">
        <v>200</v>
      </c>
    </row>
    <row r="1205" spans="2:2" x14ac:dyDescent="0.3">
      <c r="B1205" s="2">
        <v>156</v>
      </c>
    </row>
    <row r="1206" spans="2:2" x14ac:dyDescent="0.3">
      <c r="B1206" s="2">
        <v>4</v>
      </c>
    </row>
    <row r="1207" spans="2:2" x14ac:dyDescent="0.3">
      <c r="B1207" s="2">
        <v>0</v>
      </c>
    </row>
    <row r="1208" spans="2:2" x14ac:dyDescent="0.3">
      <c r="B1208" s="2">
        <v>1</v>
      </c>
    </row>
    <row r="1209" spans="2:2" x14ac:dyDescent="0.3">
      <c r="B1209" s="2">
        <v>20.9</v>
      </c>
    </row>
    <row r="1210" spans="2:2" x14ac:dyDescent="0.3">
      <c r="B1210" s="2">
        <v>525</v>
      </c>
    </row>
    <row r="1211" spans="2:2" x14ac:dyDescent="0.3">
      <c r="B1211" s="2" t="s">
        <v>345</v>
      </c>
    </row>
    <row r="1212" spans="2:2" x14ac:dyDescent="0.3">
      <c r="B1212" s="2" t="s">
        <v>618</v>
      </c>
    </row>
    <row r="1213" spans="2:2" x14ac:dyDescent="0.3">
      <c r="B1213" s="2" t="s">
        <v>362</v>
      </c>
    </row>
    <row r="1214" spans="2:2" x14ac:dyDescent="0.3">
      <c r="B1214" s="2">
        <v>156</v>
      </c>
    </row>
    <row r="1215" spans="2:2" x14ac:dyDescent="0.3">
      <c r="B1215" s="2">
        <v>4</v>
      </c>
    </row>
    <row r="1216" spans="2:2" x14ac:dyDescent="0.3">
      <c r="B1216" s="2">
        <v>0</v>
      </c>
    </row>
    <row r="1217" spans="2:2" x14ac:dyDescent="0.3">
      <c r="B1217" s="2">
        <v>0</v>
      </c>
    </row>
    <row r="1218" spans="2:2" x14ac:dyDescent="0.3">
      <c r="B1218" s="2">
        <v>19.899999999999999</v>
      </c>
    </row>
    <row r="1219" spans="2:2" x14ac:dyDescent="0.3">
      <c r="B1219" s="2">
        <v>525</v>
      </c>
    </row>
    <row r="1220" spans="2:2" x14ac:dyDescent="0.3">
      <c r="B1220" s="2" t="s">
        <v>201</v>
      </c>
    </row>
    <row r="1221" spans="2:2" x14ac:dyDescent="0.3">
      <c r="B1221" s="2" t="s">
        <v>619</v>
      </c>
    </row>
    <row r="1222" spans="2:2" x14ac:dyDescent="0.3">
      <c r="B1222" s="2" t="s">
        <v>257</v>
      </c>
    </row>
    <row r="1223" spans="2:2" x14ac:dyDescent="0.3">
      <c r="B1223" s="2">
        <v>156</v>
      </c>
    </row>
    <row r="1224" spans="2:2" x14ac:dyDescent="0.3">
      <c r="B1224" s="2">
        <v>3</v>
      </c>
    </row>
    <row r="1225" spans="2:2" x14ac:dyDescent="0.3">
      <c r="B1225" s="2">
        <v>1</v>
      </c>
    </row>
    <row r="1226" spans="2:2" x14ac:dyDescent="0.3">
      <c r="B1226" s="2">
        <v>0</v>
      </c>
    </row>
    <row r="1227" spans="2:2" x14ac:dyDescent="0.3">
      <c r="B1227" s="2">
        <v>21.6</v>
      </c>
    </row>
    <row r="1228" spans="2:2" x14ac:dyDescent="0.3">
      <c r="B1228" s="2">
        <v>528</v>
      </c>
    </row>
    <row r="1229" spans="2:2" x14ac:dyDescent="0.3">
      <c r="B1229" s="2" t="s">
        <v>107</v>
      </c>
    </row>
    <row r="1230" spans="2:2" x14ac:dyDescent="0.3">
      <c r="B1230" s="2" t="s">
        <v>620</v>
      </c>
    </row>
    <row r="1231" spans="2:2" x14ac:dyDescent="0.3">
      <c r="B1231" s="2" t="s">
        <v>179</v>
      </c>
    </row>
    <row r="1232" spans="2:2" x14ac:dyDescent="0.3">
      <c r="B1232" s="2">
        <v>155</v>
      </c>
    </row>
    <row r="1233" spans="2:2" x14ac:dyDescent="0.3">
      <c r="B1233" s="2">
        <v>6</v>
      </c>
    </row>
    <row r="1234" spans="2:2" x14ac:dyDescent="0.3">
      <c r="B1234" s="2">
        <v>1</v>
      </c>
    </row>
    <row r="1235" spans="2:2" x14ac:dyDescent="0.3">
      <c r="B1235" s="2">
        <v>1</v>
      </c>
    </row>
    <row r="1236" spans="2:2" x14ac:dyDescent="0.3">
      <c r="B1236" s="2">
        <v>19</v>
      </c>
    </row>
    <row r="1237" spans="2:2" x14ac:dyDescent="0.3">
      <c r="B1237" s="2">
        <v>528</v>
      </c>
    </row>
    <row r="1238" spans="2:2" x14ac:dyDescent="0.3">
      <c r="B1238" s="2" t="s">
        <v>58</v>
      </c>
    </row>
    <row r="1239" spans="2:2" x14ac:dyDescent="0.3">
      <c r="B1239" s="2" t="s">
        <v>621</v>
      </c>
    </row>
    <row r="1240" spans="2:2" x14ac:dyDescent="0.3">
      <c r="B1240" s="2" t="s">
        <v>94</v>
      </c>
    </row>
    <row r="1241" spans="2:2" x14ac:dyDescent="0.3">
      <c r="B1241" s="2">
        <v>155</v>
      </c>
    </row>
    <row r="1242" spans="2:2" x14ac:dyDescent="0.3">
      <c r="B1242" s="2">
        <v>3</v>
      </c>
    </row>
    <row r="1243" spans="2:2" x14ac:dyDescent="0.3">
      <c r="B1243" s="2">
        <v>0</v>
      </c>
    </row>
    <row r="1244" spans="2:2" x14ac:dyDescent="0.3">
      <c r="B1244" s="2">
        <v>0</v>
      </c>
    </row>
    <row r="1245" spans="2:2" x14ac:dyDescent="0.3">
      <c r="B1245" s="2">
        <v>19.899999999999999</v>
      </c>
    </row>
    <row r="1246" spans="2:2" x14ac:dyDescent="0.3">
      <c r="B1246" s="2">
        <v>528</v>
      </c>
    </row>
    <row r="1247" spans="2:2" x14ac:dyDescent="0.3">
      <c r="B1247" s="2" t="s">
        <v>50</v>
      </c>
    </row>
    <row r="1248" spans="2:2" x14ac:dyDescent="0.3">
      <c r="B1248" s="2" t="s">
        <v>622</v>
      </c>
    </row>
    <row r="1249" spans="2:2" x14ac:dyDescent="0.3">
      <c r="B1249" s="2" t="s">
        <v>342</v>
      </c>
    </row>
    <row r="1250" spans="2:2" x14ac:dyDescent="0.3">
      <c r="B1250" s="2">
        <v>155</v>
      </c>
    </row>
    <row r="1251" spans="2:2" x14ac:dyDescent="0.3">
      <c r="B1251" s="2">
        <v>2</v>
      </c>
    </row>
    <row r="1252" spans="2:2" x14ac:dyDescent="0.3">
      <c r="B1252" s="2">
        <v>0</v>
      </c>
    </row>
    <row r="1253" spans="2:2" x14ac:dyDescent="0.3">
      <c r="B1253" s="2">
        <v>0</v>
      </c>
    </row>
    <row r="1254" spans="2:2" x14ac:dyDescent="0.3">
      <c r="B1254" s="2">
        <v>18.7</v>
      </c>
    </row>
    <row r="1255" spans="2:2" x14ac:dyDescent="0.3">
      <c r="B1255" s="2">
        <v>531</v>
      </c>
    </row>
    <row r="1256" spans="2:2" x14ac:dyDescent="0.3">
      <c r="B1256" s="2" t="s">
        <v>209</v>
      </c>
    </row>
    <row r="1257" spans="2:2" x14ac:dyDescent="0.3">
      <c r="B1257" s="2" t="s">
        <v>472</v>
      </c>
    </row>
    <row r="1258" spans="2:2" x14ac:dyDescent="0.3">
      <c r="B1258" s="2" t="s">
        <v>211</v>
      </c>
    </row>
    <row r="1259" spans="2:2" x14ac:dyDescent="0.3">
      <c r="B1259" s="2">
        <v>154</v>
      </c>
    </row>
    <row r="1260" spans="2:2" x14ac:dyDescent="0.3">
      <c r="B1260" s="2">
        <v>6</v>
      </c>
    </row>
    <row r="1261" spans="2:2" x14ac:dyDescent="0.3">
      <c r="B1261" s="2">
        <v>0</v>
      </c>
    </row>
    <row r="1262" spans="2:2" x14ac:dyDescent="0.3">
      <c r="B1262" s="2">
        <v>0</v>
      </c>
    </row>
    <row r="1263" spans="2:2" x14ac:dyDescent="0.3">
      <c r="B1263" s="2">
        <v>21.6</v>
      </c>
    </row>
    <row r="1264" spans="2:2" x14ac:dyDescent="0.3">
      <c r="B1264" s="2">
        <v>531</v>
      </c>
    </row>
    <row r="1265" spans="2:2" x14ac:dyDescent="0.3">
      <c r="B1265" s="2" t="s">
        <v>237</v>
      </c>
    </row>
    <row r="1266" spans="2:2" x14ac:dyDescent="0.3">
      <c r="B1266" s="2" t="s">
        <v>623</v>
      </c>
    </row>
    <row r="1267" spans="2:2" x14ac:dyDescent="0.3">
      <c r="B1267" s="2" t="s">
        <v>265</v>
      </c>
    </row>
    <row r="1268" spans="2:2" x14ac:dyDescent="0.3">
      <c r="B1268" s="2">
        <v>154</v>
      </c>
    </row>
    <row r="1269" spans="2:2" x14ac:dyDescent="0.3">
      <c r="B1269" s="2">
        <v>3</v>
      </c>
    </row>
    <row r="1270" spans="2:2" x14ac:dyDescent="0.3">
      <c r="B1270" s="2">
        <v>1</v>
      </c>
    </row>
    <row r="1271" spans="2:2" x14ac:dyDescent="0.3">
      <c r="B1271" s="2">
        <v>0</v>
      </c>
    </row>
    <row r="1272" spans="2:2" x14ac:dyDescent="0.3">
      <c r="B1272" s="2">
        <v>19.7</v>
      </c>
    </row>
    <row r="1273" spans="2:2" x14ac:dyDescent="0.3">
      <c r="B1273" s="2">
        <v>533</v>
      </c>
    </row>
    <row r="1274" spans="2:2" x14ac:dyDescent="0.3">
      <c r="B1274" s="2" t="s">
        <v>218</v>
      </c>
    </row>
    <row r="1275" spans="2:2" x14ac:dyDescent="0.3">
      <c r="B1275" s="2" t="s">
        <v>624</v>
      </c>
    </row>
    <row r="1276" spans="2:2" x14ac:dyDescent="0.3">
      <c r="B1276" s="2" t="s">
        <v>220</v>
      </c>
    </row>
    <row r="1277" spans="2:2" x14ac:dyDescent="0.3">
      <c r="B1277" s="2">
        <v>150</v>
      </c>
    </row>
    <row r="1278" spans="2:2" x14ac:dyDescent="0.3">
      <c r="B1278" s="2">
        <v>5</v>
      </c>
    </row>
    <row r="1279" spans="2:2" x14ac:dyDescent="0.3">
      <c r="B1279" s="2">
        <v>0</v>
      </c>
    </row>
    <row r="1280" spans="2:2" x14ac:dyDescent="0.3">
      <c r="B1280" s="2">
        <v>0</v>
      </c>
    </row>
    <row r="1281" spans="2:2" x14ac:dyDescent="0.3">
      <c r="B1281" s="2">
        <v>20.9</v>
      </c>
    </row>
    <row r="1282" spans="2:2" x14ac:dyDescent="0.3">
      <c r="B1282" s="2">
        <v>534</v>
      </c>
    </row>
    <row r="1283" spans="2:2" x14ac:dyDescent="0.3">
      <c r="B1283" s="2" t="s">
        <v>253</v>
      </c>
    </row>
    <row r="1284" spans="2:2" x14ac:dyDescent="0.3">
      <c r="B1284" s="2" t="s">
        <v>625</v>
      </c>
    </row>
    <row r="1285" spans="2:2" x14ac:dyDescent="0.3">
      <c r="B1285" s="2" t="s">
        <v>383</v>
      </c>
    </row>
    <row r="1286" spans="2:2" x14ac:dyDescent="0.3">
      <c r="B1286" s="2">
        <v>147</v>
      </c>
    </row>
    <row r="1287" spans="2:2" x14ac:dyDescent="0.3">
      <c r="B1287" s="2">
        <v>4</v>
      </c>
    </row>
    <row r="1288" spans="2:2" x14ac:dyDescent="0.3">
      <c r="B1288" s="2">
        <v>0</v>
      </c>
    </row>
    <row r="1289" spans="2:2" x14ac:dyDescent="0.3">
      <c r="B1289" s="2">
        <v>1</v>
      </c>
    </row>
    <row r="1290" spans="2:2" x14ac:dyDescent="0.3">
      <c r="B1290" s="2">
        <v>18.8</v>
      </c>
    </row>
    <row r="1291" spans="2:2" x14ac:dyDescent="0.3">
      <c r="B1291" s="2">
        <v>534</v>
      </c>
    </row>
    <row r="1292" spans="2:2" x14ac:dyDescent="0.3">
      <c r="B1292" s="2" t="s">
        <v>107</v>
      </c>
    </row>
    <row r="1293" spans="2:2" x14ac:dyDescent="0.3">
      <c r="B1293" s="2" t="s">
        <v>626</v>
      </c>
    </row>
    <row r="1294" spans="2:2" x14ac:dyDescent="0.3">
      <c r="B1294" s="2" t="s">
        <v>108</v>
      </c>
    </row>
    <row r="1295" spans="2:2" x14ac:dyDescent="0.3">
      <c r="B1295" s="2">
        <v>147</v>
      </c>
    </row>
    <row r="1296" spans="2:2" x14ac:dyDescent="0.3">
      <c r="B1296" s="2">
        <v>3</v>
      </c>
    </row>
    <row r="1297" spans="2:2" x14ac:dyDescent="0.3">
      <c r="B1297" s="2">
        <v>0</v>
      </c>
    </row>
    <row r="1298" spans="2:2" x14ac:dyDescent="0.3">
      <c r="B1298" s="2">
        <v>0</v>
      </c>
    </row>
    <row r="1299" spans="2:2" x14ac:dyDescent="0.3">
      <c r="B1299" s="2">
        <v>19.2</v>
      </c>
    </row>
    <row r="1300" spans="2:2" x14ac:dyDescent="0.3">
      <c r="B1300" s="2">
        <v>536</v>
      </c>
    </row>
    <row r="1301" spans="2:2" x14ac:dyDescent="0.3">
      <c r="B1301" s="2" t="s">
        <v>119</v>
      </c>
    </row>
    <row r="1302" spans="2:2" x14ac:dyDescent="0.3">
      <c r="B1302" s="2" t="s">
        <v>627</v>
      </c>
    </row>
    <row r="1303" spans="2:2" x14ac:dyDescent="0.3">
      <c r="B1303" s="2" t="s">
        <v>120</v>
      </c>
    </row>
    <row r="1304" spans="2:2" x14ac:dyDescent="0.3">
      <c r="B1304" s="2">
        <v>146</v>
      </c>
    </row>
    <row r="1305" spans="2:2" x14ac:dyDescent="0.3">
      <c r="B1305" s="2">
        <v>3</v>
      </c>
    </row>
    <row r="1306" spans="2:2" x14ac:dyDescent="0.3">
      <c r="B1306" s="2">
        <v>0</v>
      </c>
    </row>
    <row r="1307" spans="2:2" x14ac:dyDescent="0.3">
      <c r="B1307" s="2">
        <v>1</v>
      </c>
    </row>
    <row r="1308" spans="2:2" x14ac:dyDescent="0.3">
      <c r="B1308" s="2">
        <v>14.4</v>
      </c>
    </row>
    <row r="1309" spans="2:2" x14ac:dyDescent="0.3">
      <c r="B1309" s="2">
        <v>537</v>
      </c>
    </row>
    <row r="1310" spans="2:2" x14ac:dyDescent="0.3">
      <c r="B1310" s="2" t="s">
        <v>50</v>
      </c>
    </row>
    <row r="1311" spans="2:2" x14ac:dyDescent="0.3">
      <c r="B1311" s="2" t="s">
        <v>628</v>
      </c>
    </row>
    <row r="1312" spans="2:2" x14ac:dyDescent="0.3">
      <c r="B1312" s="2" t="s">
        <v>295</v>
      </c>
    </row>
    <row r="1313" spans="2:2" x14ac:dyDescent="0.3">
      <c r="B1313" s="2">
        <v>144</v>
      </c>
    </row>
    <row r="1314" spans="2:2" x14ac:dyDescent="0.3">
      <c r="B1314" s="2">
        <v>6</v>
      </c>
    </row>
    <row r="1315" spans="2:2" x14ac:dyDescent="0.3">
      <c r="B1315" s="2">
        <v>0</v>
      </c>
    </row>
    <row r="1316" spans="2:2" x14ac:dyDescent="0.3">
      <c r="B1316" s="2">
        <v>0</v>
      </c>
    </row>
    <row r="1317" spans="2:2" x14ac:dyDescent="0.3">
      <c r="B1317" s="2">
        <v>19.600000000000001</v>
      </c>
    </row>
    <row r="1318" spans="2:2" x14ac:dyDescent="0.3">
      <c r="B1318" s="2">
        <v>538</v>
      </c>
    </row>
    <row r="1319" spans="2:2" x14ac:dyDescent="0.3">
      <c r="B1319" s="2" t="s">
        <v>87</v>
      </c>
    </row>
    <row r="1320" spans="2:2" x14ac:dyDescent="0.3">
      <c r="B1320" s="2" t="s">
        <v>629</v>
      </c>
    </row>
    <row r="1321" spans="2:2" x14ac:dyDescent="0.3">
      <c r="B1321" s="2" t="s">
        <v>192</v>
      </c>
    </row>
    <row r="1322" spans="2:2" x14ac:dyDescent="0.3">
      <c r="B1322" s="2">
        <v>142</v>
      </c>
    </row>
    <row r="1323" spans="2:2" x14ac:dyDescent="0.3">
      <c r="B1323" s="2">
        <v>5</v>
      </c>
    </row>
    <row r="1324" spans="2:2" x14ac:dyDescent="0.3">
      <c r="B1324" s="2">
        <v>0</v>
      </c>
    </row>
    <row r="1325" spans="2:2" x14ac:dyDescent="0.3">
      <c r="B1325" s="2">
        <v>0</v>
      </c>
    </row>
    <row r="1326" spans="2:2" x14ac:dyDescent="0.3">
      <c r="B1326" s="2">
        <v>18.3</v>
      </c>
    </row>
    <row r="1327" spans="2:2" x14ac:dyDescent="0.3">
      <c r="B1327" s="2">
        <v>538</v>
      </c>
    </row>
    <row r="1328" spans="2:2" x14ac:dyDescent="0.3">
      <c r="B1328" s="2" t="s">
        <v>228</v>
      </c>
    </row>
    <row r="1329" spans="2:2" x14ac:dyDescent="0.3">
      <c r="B1329" s="2" t="s">
        <v>630</v>
      </c>
    </row>
    <row r="1330" spans="2:2" x14ac:dyDescent="0.3">
      <c r="B1330" s="2" t="s">
        <v>283</v>
      </c>
    </row>
    <row r="1331" spans="2:2" x14ac:dyDescent="0.3">
      <c r="B1331" s="2">
        <v>142</v>
      </c>
    </row>
    <row r="1332" spans="2:2" x14ac:dyDescent="0.3">
      <c r="B1332" s="2">
        <v>3</v>
      </c>
    </row>
    <row r="1333" spans="2:2" x14ac:dyDescent="0.3">
      <c r="B1333" s="2">
        <v>0</v>
      </c>
    </row>
    <row r="1334" spans="2:2" x14ac:dyDescent="0.3">
      <c r="B1334" s="2">
        <v>0</v>
      </c>
    </row>
    <row r="1335" spans="2:2" x14ac:dyDescent="0.3">
      <c r="B1335" s="2">
        <v>19</v>
      </c>
    </row>
    <row r="1336" spans="2:2" x14ac:dyDescent="0.3">
      <c r="B1336" s="2">
        <v>540</v>
      </c>
    </row>
    <row r="1337" spans="2:2" x14ac:dyDescent="0.3">
      <c r="B1337" s="2" t="s">
        <v>119</v>
      </c>
    </row>
    <row r="1338" spans="2:2" x14ac:dyDescent="0.3">
      <c r="B1338" s="2" t="s">
        <v>631</v>
      </c>
    </row>
    <row r="1339" spans="2:2" x14ac:dyDescent="0.3">
      <c r="B1339" s="2" t="s">
        <v>120</v>
      </c>
    </row>
    <row r="1340" spans="2:2" x14ac:dyDescent="0.3">
      <c r="B1340" s="2">
        <v>139</v>
      </c>
    </row>
    <row r="1341" spans="2:2" x14ac:dyDescent="0.3">
      <c r="B1341" s="2">
        <v>3</v>
      </c>
    </row>
    <row r="1342" spans="2:2" x14ac:dyDescent="0.3">
      <c r="B1342" s="2">
        <v>0</v>
      </c>
    </row>
    <row r="1343" spans="2:2" x14ac:dyDescent="0.3">
      <c r="B1343" s="2">
        <v>1</v>
      </c>
    </row>
    <row r="1344" spans="2:2" x14ac:dyDescent="0.3">
      <c r="B1344" s="2">
        <v>16.600000000000001</v>
      </c>
    </row>
    <row r="1345" spans="2:2" x14ac:dyDescent="0.3">
      <c r="B1345" s="2">
        <v>541</v>
      </c>
    </row>
    <row r="1346" spans="2:2" x14ac:dyDescent="0.3">
      <c r="B1346" s="2" t="s">
        <v>121</v>
      </c>
    </row>
    <row r="1347" spans="2:2" x14ac:dyDescent="0.3">
      <c r="B1347" s="2" t="s">
        <v>632</v>
      </c>
    </row>
    <row r="1348" spans="2:2" x14ac:dyDescent="0.3">
      <c r="B1348" s="2" t="s">
        <v>142</v>
      </c>
    </row>
    <row r="1349" spans="2:2" x14ac:dyDescent="0.3">
      <c r="B1349" s="2">
        <v>136</v>
      </c>
    </row>
    <row r="1350" spans="2:2" x14ac:dyDescent="0.3">
      <c r="B1350" s="2">
        <v>3</v>
      </c>
    </row>
    <row r="1351" spans="2:2" x14ac:dyDescent="0.3">
      <c r="B1351" s="2">
        <v>0</v>
      </c>
    </row>
    <row r="1352" spans="2:2" x14ac:dyDescent="0.3">
      <c r="B1352" s="2">
        <v>0</v>
      </c>
    </row>
    <row r="1353" spans="2:2" x14ac:dyDescent="0.3">
      <c r="B1353" s="2">
        <v>15.1</v>
      </c>
    </row>
    <row r="1354" spans="2:2" x14ac:dyDescent="0.3">
      <c r="B1354" s="2">
        <v>542</v>
      </c>
    </row>
    <row r="1355" spans="2:2" x14ac:dyDescent="0.3">
      <c r="B1355" s="2" t="s">
        <v>345</v>
      </c>
    </row>
    <row r="1356" spans="2:2" x14ac:dyDescent="0.3">
      <c r="B1356" s="2" t="s">
        <v>633</v>
      </c>
    </row>
    <row r="1357" spans="2:2" x14ac:dyDescent="0.3">
      <c r="B1357" s="2" t="s">
        <v>391</v>
      </c>
    </row>
    <row r="1358" spans="2:2" x14ac:dyDescent="0.3">
      <c r="B1358" s="2">
        <v>135</v>
      </c>
    </row>
    <row r="1359" spans="2:2" x14ac:dyDescent="0.3">
      <c r="B1359" s="2">
        <v>2</v>
      </c>
    </row>
    <row r="1360" spans="2:2" x14ac:dyDescent="0.3">
      <c r="B1360" s="2">
        <v>0</v>
      </c>
    </row>
    <row r="1361" spans="2:2" x14ac:dyDescent="0.3">
      <c r="B1361" s="2">
        <v>0</v>
      </c>
    </row>
    <row r="1362" spans="2:2" x14ac:dyDescent="0.3">
      <c r="B1362" s="2">
        <v>15.3</v>
      </c>
    </row>
    <row r="1363" spans="2:2" x14ac:dyDescent="0.3">
      <c r="B1363" s="2">
        <v>543</v>
      </c>
    </row>
    <row r="1364" spans="2:2" x14ac:dyDescent="0.3">
      <c r="B1364" s="2" t="s">
        <v>67</v>
      </c>
    </row>
    <row r="1365" spans="2:2" x14ac:dyDescent="0.3">
      <c r="B1365" s="2" t="s">
        <v>634</v>
      </c>
    </row>
    <row r="1366" spans="2:2" x14ac:dyDescent="0.3">
      <c r="B1366" s="2" t="s">
        <v>98</v>
      </c>
    </row>
    <row r="1367" spans="2:2" x14ac:dyDescent="0.3">
      <c r="B1367" s="2">
        <v>133</v>
      </c>
    </row>
    <row r="1368" spans="2:2" x14ac:dyDescent="0.3">
      <c r="B1368" s="2">
        <v>5</v>
      </c>
    </row>
    <row r="1369" spans="2:2" x14ac:dyDescent="0.3">
      <c r="B1369" s="2">
        <v>0</v>
      </c>
    </row>
    <row r="1370" spans="2:2" x14ac:dyDescent="0.3">
      <c r="B1370" s="2">
        <v>0</v>
      </c>
    </row>
    <row r="1371" spans="2:2" x14ac:dyDescent="0.3">
      <c r="B1371" s="2">
        <v>19.600000000000001</v>
      </c>
    </row>
    <row r="1372" spans="2:2" x14ac:dyDescent="0.3">
      <c r="B1372" s="2">
        <v>544</v>
      </c>
    </row>
    <row r="1373" spans="2:2" x14ac:dyDescent="0.3">
      <c r="B1373" s="2" t="s">
        <v>162</v>
      </c>
    </row>
    <row r="1374" spans="2:2" x14ac:dyDescent="0.3">
      <c r="B1374" s="2" t="s">
        <v>635</v>
      </c>
    </row>
    <row r="1375" spans="2:2" x14ac:dyDescent="0.3">
      <c r="B1375" s="2" t="s">
        <v>249</v>
      </c>
    </row>
    <row r="1376" spans="2:2" x14ac:dyDescent="0.3">
      <c r="B1376" s="2">
        <v>131</v>
      </c>
    </row>
    <row r="1377" spans="2:2" x14ac:dyDescent="0.3">
      <c r="B1377" s="2">
        <v>5</v>
      </c>
    </row>
    <row r="1378" spans="2:2" x14ac:dyDescent="0.3">
      <c r="B1378" s="2">
        <v>0</v>
      </c>
    </row>
    <row r="1379" spans="2:2" x14ac:dyDescent="0.3">
      <c r="B1379" s="2">
        <v>0</v>
      </c>
    </row>
    <row r="1380" spans="2:2" x14ac:dyDescent="0.3">
      <c r="B1380" s="2">
        <v>18.899999999999999</v>
      </c>
    </row>
    <row r="1381" spans="2:2" x14ac:dyDescent="0.3">
      <c r="B1381" s="2">
        <v>544</v>
      </c>
    </row>
    <row r="1382" spans="2:2" x14ac:dyDescent="0.3">
      <c r="B1382" s="2" t="s">
        <v>58</v>
      </c>
    </row>
    <row r="1383" spans="2:2" x14ac:dyDescent="0.3">
      <c r="B1383" s="2" t="s">
        <v>636</v>
      </c>
    </row>
    <row r="1384" spans="2:2" x14ac:dyDescent="0.3">
      <c r="B1384" s="2" t="s">
        <v>94</v>
      </c>
    </row>
    <row r="1385" spans="2:2" x14ac:dyDescent="0.3">
      <c r="B1385" s="2">
        <v>131</v>
      </c>
    </row>
    <row r="1386" spans="2:2" x14ac:dyDescent="0.3">
      <c r="B1386" s="2">
        <v>5</v>
      </c>
    </row>
    <row r="1387" spans="2:2" x14ac:dyDescent="0.3">
      <c r="B1387" s="2">
        <v>0</v>
      </c>
    </row>
    <row r="1388" spans="2:2" x14ac:dyDescent="0.3">
      <c r="B1388" s="2">
        <v>0</v>
      </c>
    </row>
    <row r="1389" spans="2:2" x14ac:dyDescent="0.3">
      <c r="B1389" s="2">
        <v>18</v>
      </c>
    </row>
    <row r="1390" spans="2:2" x14ac:dyDescent="0.3">
      <c r="B1390" s="2">
        <v>544</v>
      </c>
    </row>
    <row r="1391" spans="2:2" x14ac:dyDescent="0.3">
      <c r="B1391" s="2" t="s">
        <v>50</v>
      </c>
    </row>
    <row r="1392" spans="2:2" x14ac:dyDescent="0.3">
      <c r="B1392" s="2" t="s">
        <v>637</v>
      </c>
    </row>
    <row r="1393" spans="2:2" x14ac:dyDescent="0.3">
      <c r="B1393" s="2" t="s">
        <v>342</v>
      </c>
    </row>
    <row r="1394" spans="2:2" x14ac:dyDescent="0.3">
      <c r="B1394" s="2">
        <v>131</v>
      </c>
    </row>
    <row r="1395" spans="2:2" x14ac:dyDescent="0.3">
      <c r="B1395" s="2">
        <v>4</v>
      </c>
    </row>
    <row r="1396" spans="2:2" x14ac:dyDescent="0.3">
      <c r="B1396" s="2">
        <v>0</v>
      </c>
    </row>
    <row r="1397" spans="2:2" x14ac:dyDescent="0.3">
      <c r="B1397" s="2">
        <v>0</v>
      </c>
    </row>
    <row r="1398" spans="2:2" x14ac:dyDescent="0.3">
      <c r="B1398" s="2">
        <v>16</v>
      </c>
    </row>
    <row r="1399" spans="2:2" x14ac:dyDescent="0.3">
      <c r="B1399" s="2">
        <v>544</v>
      </c>
    </row>
    <row r="1400" spans="2:2" x14ac:dyDescent="0.3">
      <c r="B1400" s="2" t="s">
        <v>198</v>
      </c>
    </row>
    <row r="1401" spans="2:2" x14ac:dyDescent="0.3">
      <c r="B1401" s="2" t="s">
        <v>638</v>
      </c>
    </row>
    <row r="1402" spans="2:2" x14ac:dyDescent="0.3">
      <c r="B1402" s="2" t="s">
        <v>224</v>
      </c>
    </row>
    <row r="1403" spans="2:2" x14ac:dyDescent="0.3">
      <c r="B1403" s="2">
        <v>131</v>
      </c>
    </row>
    <row r="1404" spans="2:2" x14ac:dyDescent="0.3">
      <c r="B1404" s="2">
        <v>3</v>
      </c>
    </row>
    <row r="1405" spans="2:2" x14ac:dyDescent="0.3">
      <c r="B1405" s="2">
        <v>0</v>
      </c>
    </row>
    <row r="1406" spans="2:2" x14ac:dyDescent="0.3">
      <c r="B1406" s="2">
        <v>0</v>
      </c>
    </row>
    <row r="1407" spans="2:2" x14ac:dyDescent="0.3">
      <c r="B1407" s="2">
        <v>16.5</v>
      </c>
    </row>
    <row r="1408" spans="2:2" x14ac:dyDescent="0.3">
      <c r="B1408" s="2">
        <v>548</v>
      </c>
    </row>
    <row r="1409" spans="2:2" x14ac:dyDescent="0.3">
      <c r="B1409" s="2" t="s">
        <v>231</v>
      </c>
    </row>
    <row r="1410" spans="2:2" x14ac:dyDescent="0.3">
      <c r="B1410" s="2" t="s">
        <v>639</v>
      </c>
    </row>
    <row r="1411" spans="2:2" x14ac:dyDescent="0.3">
      <c r="B1411" s="2" t="s">
        <v>322</v>
      </c>
    </row>
    <row r="1412" spans="2:2" x14ac:dyDescent="0.3">
      <c r="B1412" s="2">
        <v>130</v>
      </c>
    </row>
    <row r="1413" spans="2:2" x14ac:dyDescent="0.3">
      <c r="B1413" s="2">
        <v>5</v>
      </c>
    </row>
    <row r="1414" spans="2:2" x14ac:dyDescent="0.3">
      <c r="B1414" s="2">
        <v>1</v>
      </c>
    </row>
    <row r="1415" spans="2:2" x14ac:dyDescent="0.3">
      <c r="B1415" s="2">
        <v>0</v>
      </c>
    </row>
    <row r="1416" spans="2:2" x14ac:dyDescent="0.3">
      <c r="B1416" s="2">
        <v>16.899999999999999</v>
      </c>
    </row>
    <row r="1417" spans="2:2" x14ac:dyDescent="0.3">
      <c r="B1417" s="2">
        <v>549</v>
      </c>
    </row>
    <row r="1418" spans="2:2" x14ac:dyDescent="0.3">
      <c r="B1418" s="2" t="s">
        <v>19</v>
      </c>
    </row>
    <row r="1419" spans="2:2" x14ac:dyDescent="0.3">
      <c r="B1419" s="2" t="s">
        <v>640</v>
      </c>
    </row>
    <row r="1420" spans="2:2" x14ac:dyDescent="0.3">
      <c r="B1420" s="2" t="s">
        <v>112</v>
      </c>
    </row>
    <row r="1421" spans="2:2" x14ac:dyDescent="0.3">
      <c r="B1421" s="2">
        <v>129</v>
      </c>
    </row>
    <row r="1422" spans="2:2" x14ac:dyDescent="0.3">
      <c r="B1422" s="2">
        <v>5</v>
      </c>
    </row>
    <row r="1423" spans="2:2" x14ac:dyDescent="0.3">
      <c r="B1423" s="2">
        <v>0</v>
      </c>
    </row>
    <row r="1424" spans="2:2" x14ac:dyDescent="0.3">
      <c r="B1424" s="2">
        <v>1</v>
      </c>
    </row>
    <row r="1425" spans="2:2" x14ac:dyDescent="0.3">
      <c r="B1425" s="2">
        <v>15.9</v>
      </c>
    </row>
    <row r="1426" spans="2:2" x14ac:dyDescent="0.3">
      <c r="B1426" s="2">
        <v>550</v>
      </c>
    </row>
    <row r="1427" spans="2:2" x14ac:dyDescent="0.3">
      <c r="B1427" s="2" t="s">
        <v>228</v>
      </c>
    </row>
    <row r="1428" spans="2:2" x14ac:dyDescent="0.3">
      <c r="B1428" s="2" t="s">
        <v>641</v>
      </c>
    </row>
    <row r="1429" spans="2:2" x14ac:dyDescent="0.3">
      <c r="B1429" s="2" t="s">
        <v>403</v>
      </c>
    </row>
    <row r="1430" spans="2:2" x14ac:dyDescent="0.3">
      <c r="B1430" s="2">
        <v>126</v>
      </c>
    </row>
    <row r="1431" spans="2:2" x14ac:dyDescent="0.3">
      <c r="B1431" s="2">
        <v>3</v>
      </c>
    </row>
    <row r="1432" spans="2:2" x14ac:dyDescent="0.3">
      <c r="B1432" s="2">
        <v>0</v>
      </c>
    </row>
    <row r="1433" spans="2:2" x14ac:dyDescent="0.3">
      <c r="B1433" s="2">
        <v>0</v>
      </c>
    </row>
    <row r="1434" spans="2:2" x14ac:dyDescent="0.3">
      <c r="B1434" s="2">
        <v>16.7</v>
      </c>
    </row>
    <row r="1435" spans="2:2" x14ac:dyDescent="0.3">
      <c r="B1435" s="2">
        <v>550</v>
      </c>
    </row>
    <row r="1436" spans="2:2" x14ac:dyDescent="0.3">
      <c r="B1436" s="2" t="s">
        <v>50</v>
      </c>
    </row>
    <row r="1437" spans="2:2" x14ac:dyDescent="0.3">
      <c r="B1437" s="2" t="s">
        <v>642</v>
      </c>
    </row>
    <row r="1438" spans="2:2" x14ac:dyDescent="0.3">
      <c r="B1438" s="2" t="s">
        <v>342</v>
      </c>
    </row>
    <row r="1439" spans="2:2" x14ac:dyDescent="0.3">
      <c r="B1439" s="2">
        <v>126</v>
      </c>
    </row>
    <row r="1440" spans="2:2" x14ac:dyDescent="0.3">
      <c r="B1440" s="2">
        <v>2</v>
      </c>
    </row>
    <row r="1441" spans="2:2" x14ac:dyDescent="0.3">
      <c r="B1441" s="2">
        <v>0</v>
      </c>
    </row>
    <row r="1442" spans="2:2" x14ac:dyDescent="0.3">
      <c r="B1442" s="2">
        <v>0</v>
      </c>
    </row>
    <row r="1443" spans="2:2" x14ac:dyDescent="0.3">
      <c r="B1443" s="2">
        <v>14.8</v>
      </c>
    </row>
    <row r="1444" spans="2:2" x14ac:dyDescent="0.3">
      <c r="B1444" s="2">
        <v>552</v>
      </c>
    </row>
    <row r="1445" spans="2:2" x14ac:dyDescent="0.3">
      <c r="B1445" s="2" t="s">
        <v>67</v>
      </c>
    </row>
    <row r="1446" spans="2:2" x14ac:dyDescent="0.3">
      <c r="B1446" s="2" t="s">
        <v>643</v>
      </c>
    </row>
    <row r="1447" spans="2:2" x14ac:dyDescent="0.3">
      <c r="B1447" s="2" t="s">
        <v>104</v>
      </c>
    </row>
    <row r="1448" spans="2:2" x14ac:dyDescent="0.3">
      <c r="B1448" s="2">
        <v>125</v>
      </c>
    </row>
    <row r="1449" spans="2:2" x14ac:dyDescent="0.3">
      <c r="B1449" s="2">
        <v>5</v>
      </c>
    </row>
    <row r="1450" spans="2:2" x14ac:dyDescent="0.3">
      <c r="B1450" s="2">
        <v>0</v>
      </c>
    </row>
    <row r="1451" spans="2:2" x14ac:dyDescent="0.3">
      <c r="B1451" s="2">
        <v>0</v>
      </c>
    </row>
    <row r="1452" spans="2:2" x14ac:dyDescent="0.3">
      <c r="B1452" s="2">
        <v>17.3</v>
      </c>
    </row>
    <row r="1453" spans="2:2" x14ac:dyDescent="0.3">
      <c r="B1453" s="2">
        <v>552</v>
      </c>
    </row>
    <row r="1454" spans="2:2" x14ac:dyDescent="0.3">
      <c r="B1454" s="2" t="s">
        <v>212</v>
      </c>
    </row>
    <row r="1455" spans="2:2" x14ac:dyDescent="0.3">
      <c r="B1455" s="2" t="s">
        <v>644</v>
      </c>
    </row>
    <row r="1456" spans="2:2" x14ac:dyDescent="0.3">
      <c r="B1456" s="2" t="s">
        <v>242</v>
      </c>
    </row>
    <row r="1457" spans="2:2" x14ac:dyDescent="0.3">
      <c r="B1457" s="2">
        <v>125</v>
      </c>
    </row>
    <row r="1458" spans="2:2" x14ac:dyDescent="0.3">
      <c r="B1458" s="2">
        <v>4</v>
      </c>
    </row>
    <row r="1459" spans="2:2" x14ac:dyDescent="0.3">
      <c r="B1459" s="2">
        <v>0</v>
      </c>
    </row>
    <row r="1460" spans="2:2" x14ac:dyDescent="0.3">
      <c r="B1460" s="2">
        <v>0</v>
      </c>
    </row>
    <row r="1461" spans="2:2" x14ac:dyDescent="0.3">
      <c r="B1461" s="2">
        <v>15.1</v>
      </c>
    </row>
    <row r="1462" spans="2:2" x14ac:dyDescent="0.3">
      <c r="B1462" s="2">
        <v>554</v>
      </c>
    </row>
    <row r="1463" spans="2:2" x14ac:dyDescent="0.3">
      <c r="B1463" s="2" t="s">
        <v>107</v>
      </c>
    </row>
    <row r="1464" spans="2:2" x14ac:dyDescent="0.3">
      <c r="B1464" s="2" t="s">
        <v>645</v>
      </c>
    </row>
    <row r="1465" spans="2:2" x14ac:dyDescent="0.3">
      <c r="B1465" s="2" t="s">
        <v>156</v>
      </c>
    </row>
    <row r="1466" spans="2:2" x14ac:dyDescent="0.3">
      <c r="B1466" s="2">
        <v>124</v>
      </c>
    </row>
    <row r="1467" spans="2:2" x14ac:dyDescent="0.3">
      <c r="B1467" s="2">
        <v>4</v>
      </c>
    </row>
    <row r="1468" spans="2:2" x14ac:dyDescent="0.3">
      <c r="B1468" s="2">
        <v>0</v>
      </c>
    </row>
    <row r="1469" spans="2:2" x14ac:dyDescent="0.3">
      <c r="B1469" s="2">
        <v>0</v>
      </c>
    </row>
    <row r="1470" spans="2:2" x14ac:dyDescent="0.3">
      <c r="B1470" s="2">
        <v>18.899999999999999</v>
      </c>
    </row>
    <row r="1471" spans="2:2" x14ac:dyDescent="0.3">
      <c r="B1471" s="2">
        <v>555</v>
      </c>
    </row>
    <row r="1472" spans="2:2" x14ac:dyDescent="0.3">
      <c r="B1472" s="2" t="s">
        <v>286</v>
      </c>
    </row>
    <row r="1473" spans="2:2" x14ac:dyDescent="0.3">
      <c r="B1473" s="2" t="s">
        <v>646</v>
      </c>
    </row>
    <row r="1474" spans="2:2" x14ac:dyDescent="0.3">
      <c r="B1474" s="2" t="s">
        <v>293</v>
      </c>
    </row>
    <row r="1475" spans="2:2" x14ac:dyDescent="0.3">
      <c r="B1475" s="2">
        <v>123</v>
      </c>
    </row>
    <row r="1476" spans="2:2" x14ac:dyDescent="0.3">
      <c r="B1476" s="2">
        <v>2</v>
      </c>
    </row>
    <row r="1477" spans="2:2" x14ac:dyDescent="0.3">
      <c r="B1477" s="2">
        <v>0</v>
      </c>
    </row>
    <row r="1478" spans="2:2" x14ac:dyDescent="0.3">
      <c r="B1478" s="2">
        <v>0</v>
      </c>
    </row>
    <row r="1479" spans="2:2" x14ac:dyDescent="0.3">
      <c r="B1479" s="2">
        <v>14.6</v>
      </c>
    </row>
    <row r="1480" spans="2:2" x14ac:dyDescent="0.3">
      <c r="B1480" s="2">
        <v>556</v>
      </c>
    </row>
    <row r="1481" spans="2:2" x14ac:dyDescent="0.3">
      <c r="B1481" s="2" t="s">
        <v>237</v>
      </c>
    </row>
    <row r="1482" spans="2:2" x14ac:dyDescent="0.3">
      <c r="B1482" s="2" t="s">
        <v>647</v>
      </c>
    </row>
    <row r="1483" spans="2:2" x14ac:dyDescent="0.3">
      <c r="B1483" s="2" t="s">
        <v>265</v>
      </c>
    </row>
    <row r="1484" spans="2:2" x14ac:dyDescent="0.3">
      <c r="B1484" s="2">
        <v>122</v>
      </c>
    </row>
    <row r="1485" spans="2:2" x14ac:dyDescent="0.3">
      <c r="B1485" s="2">
        <v>3</v>
      </c>
    </row>
    <row r="1486" spans="2:2" x14ac:dyDescent="0.3">
      <c r="B1486" s="2">
        <v>0</v>
      </c>
    </row>
    <row r="1487" spans="2:2" x14ac:dyDescent="0.3">
      <c r="B1487" s="2">
        <v>0</v>
      </c>
    </row>
    <row r="1488" spans="2:2" x14ac:dyDescent="0.3">
      <c r="B1488" s="2">
        <v>14.8</v>
      </c>
    </row>
    <row r="1489" spans="2:2" x14ac:dyDescent="0.3">
      <c r="B1489" s="2">
        <v>557</v>
      </c>
    </row>
    <row r="1490" spans="2:2" x14ac:dyDescent="0.3">
      <c r="B1490" s="2" t="s">
        <v>212</v>
      </c>
    </row>
    <row r="1491" spans="2:2" x14ac:dyDescent="0.3">
      <c r="B1491" s="2" t="s">
        <v>648</v>
      </c>
    </row>
    <row r="1492" spans="2:2" x14ac:dyDescent="0.3">
      <c r="B1492" s="2" t="s">
        <v>214</v>
      </c>
    </row>
    <row r="1493" spans="2:2" x14ac:dyDescent="0.3">
      <c r="B1493" s="2">
        <v>119</v>
      </c>
    </row>
    <row r="1494" spans="2:2" x14ac:dyDescent="0.3">
      <c r="B1494" s="2">
        <v>4</v>
      </c>
    </row>
    <row r="1495" spans="2:2" x14ac:dyDescent="0.3">
      <c r="B1495" s="2">
        <v>0</v>
      </c>
    </row>
    <row r="1496" spans="2:2" x14ac:dyDescent="0.3">
      <c r="B1496" s="2">
        <v>0</v>
      </c>
    </row>
    <row r="1497" spans="2:2" x14ac:dyDescent="0.3">
      <c r="B1497" s="2">
        <v>17.600000000000001</v>
      </c>
    </row>
    <row r="1498" spans="2:2" x14ac:dyDescent="0.3">
      <c r="B1498" s="2">
        <v>557</v>
      </c>
    </row>
    <row r="1499" spans="2:2" x14ac:dyDescent="0.3">
      <c r="B1499" s="2" t="s">
        <v>204</v>
      </c>
    </row>
    <row r="1500" spans="2:2" x14ac:dyDescent="0.3">
      <c r="B1500" s="2" t="s">
        <v>649</v>
      </c>
    </row>
    <row r="1501" spans="2:2" x14ac:dyDescent="0.3">
      <c r="B1501" s="2" t="s">
        <v>397</v>
      </c>
    </row>
    <row r="1502" spans="2:2" x14ac:dyDescent="0.3">
      <c r="B1502" s="2">
        <v>119</v>
      </c>
    </row>
    <row r="1503" spans="2:2" x14ac:dyDescent="0.3">
      <c r="B1503" s="2">
        <v>3</v>
      </c>
    </row>
    <row r="1504" spans="2:2" x14ac:dyDescent="0.3">
      <c r="B1504" s="2">
        <v>0</v>
      </c>
    </row>
    <row r="1505" spans="2:2" x14ac:dyDescent="0.3">
      <c r="B1505" s="2">
        <v>0</v>
      </c>
    </row>
    <row r="1506" spans="2:2" x14ac:dyDescent="0.3">
      <c r="B1506" s="2">
        <v>15.6</v>
      </c>
    </row>
    <row r="1507" spans="2:2" x14ac:dyDescent="0.3">
      <c r="B1507" s="2">
        <v>559</v>
      </c>
    </row>
    <row r="1508" spans="2:2" x14ac:dyDescent="0.3">
      <c r="B1508" s="2" t="s">
        <v>332</v>
      </c>
    </row>
    <row r="1509" spans="2:2" x14ac:dyDescent="0.3">
      <c r="B1509" s="2" t="s">
        <v>650</v>
      </c>
    </row>
    <row r="1510" spans="2:2" x14ac:dyDescent="0.3">
      <c r="B1510" s="2" t="s">
        <v>477</v>
      </c>
    </row>
    <row r="1511" spans="2:2" x14ac:dyDescent="0.3">
      <c r="B1511" s="2">
        <v>117</v>
      </c>
    </row>
    <row r="1512" spans="2:2" x14ac:dyDescent="0.3">
      <c r="B1512" s="2">
        <v>2</v>
      </c>
    </row>
    <row r="1513" spans="2:2" x14ac:dyDescent="0.3">
      <c r="B1513" s="2">
        <v>1</v>
      </c>
    </row>
    <row r="1514" spans="2:2" x14ac:dyDescent="0.3">
      <c r="B1514" s="2">
        <v>0</v>
      </c>
    </row>
    <row r="1515" spans="2:2" x14ac:dyDescent="0.3">
      <c r="B1515" s="2">
        <v>13</v>
      </c>
    </row>
    <row r="1516" spans="2:2" x14ac:dyDescent="0.3">
      <c r="B1516" s="2">
        <v>560</v>
      </c>
    </row>
    <row r="1517" spans="2:2" x14ac:dyDescent="0.3">
      <c r="B1517" s="2" t="s">
        <v>166</v>
      </c>
    </row>
    <row r="1518" spans="2:2" x14ac:dyDescent="0.3">
      <c r="B1518" s="2" t="s">
        <v>651</v>
      </c>
    </row>
    <row r="1519" spans="2:2" x14ac:dyDescent="0.3">
      <c r="B1519" s="2" t="s">
        <v>274</v>
      </c>
    </row>
    <row r="1520" spans="2:2" x14ac:dyDescent="0.3">
      <c r="B1520" s="2">
        <v>116</v>
      </c>
    </row>
    <row r="1521" spans="2:2" x14ac:dyDescent="0.3">
      <c r="B1521" s="2">
        <v>4</v>
      </c>
    </row>
    <row r="1522" spans="2:2" x14ac:dyDescent="0.3">
      <c r="B1522" s="2">
        <v>0</v>
      </c>
    </row>
    <row r="1523" spans="2:2" x14ac:dyDescent="0.3">
      <c r="B1523" s="2">
        <v>1</v>
      </c>
    </row>
    <row r="1524" spans="2:2" x14ac:dyDescent="0.3">
      <c r="B1524" s="2">
        <v>14</v>
      </c>
    </row>
    <row r="1525" spans="2:2" x14ac:dyDescent="0.3">
      <c r="B1525" s="2">
        <v>560</v>
      </c>
    </row>
    <row r="1526" spans="2:2" x14ac:dyDescent="0.3">
      <c r="B1526" s="2" t="s">
        <v>286</v>
      </c>
    </row>
    <row r="1527" spans="2:2" x14ac:dyDescent="0.3">
      <c r="B1527" s="2" t="s">
        <v>652</v>
      </c>
    </row>
    <row r="1528" spans="2:2" x14ac:dyDescent="0.3">
      <c r="B1528" s="2" t="s">
        <v>287</v>
      </c>
    </row>
    <row r="1529" spans="2:2" x14ac:dyDescent="0.3">
      <c r="B1529" s="2">
        <v>116</v>
      </c>
    </row>
    <row r="1530" spans="2:2" x14ac:dyDescent="0.3">
      <c r="B1530" s="2">
        <v>4</v>
      </c>
    </row>
    <row r="1531" spans="2:2" x14ac:dyDescent="0.3">
      <c r="B1531" s="2">
        <v>0</v>
      </c>
    </row>
    <row r="1532" spans="2:2" x14ac:dyDescent="0.3">
      <c r="B1532" s="2">
        <v>0</v>
      </c>
    </row>
    <row r="1533" spans="2:2" x14ac:dyDescent="0.3">
      <c r="B1533" s="2">
        <v>15.3</v>
      </c>
    </row>
    <row r="1534" spans="2:2" x14ac:dyDescent="0.3">
      <c r="B1534" s="2">
        <v>562</v>
      </c>
    </row>
    <row r="1535" spans="2:2" x14ac:dyDescent="0.3">
      <c r="B1535" s="2" t="s">
        <v>253</v>
      </c>
    </row>
    <row r="1536" spans="2:2" x14ac:dyDescent="0.3">
      <c r="B1536" s="2" t="s">
        <v>653</v>
      </c>
    </row>
    <row r="1537" spans="2:2" x14ac:dyDescent="0.3">
      <c r="B1537" s="2" t="s">
        <v>383</v>
      </c>
    </row>
    <row r="1538" spans="2:2" x14ac:dyDescent="0.3">
      <c r="B1538" s="2">
        <v>115</v>
      </c>
    </row>
    <row r="1539" spans="2:2" x14ac:dyDescent="0.3">
      <c r="B1539" s="2">
        <v>5</v>
      </c>
    </row>
    <row r="1540" spans="2:2" x14ac:dyDescent="0.3">
      <c r="B1540" s="2">
        <v>0</v>
      </c>
    </row>
    <row r="1541" spans="2:2" x14ac:dyDescent="0.3">
      <c r="B1541" s="2">
        <v>0</v>
      </c>
    </row>
    <row r="1542" spans="2:2" x14ac:dyDescent="0.3">
      <c r="B1542" s="2">
        <v>14.3</v>
      </c>
    </row>
    <row r="1543" spans="2:2" x14ac:dyDescent="0.3">
      <c r="B1543" s="2">
        <v>562</v>
      </c>
    </row>
    <row r="1544" spans="2:2" x14ac:dyDescent="0.3">
      <c r="B1544" s="2" t="s">
        <v>332</v>
      </c>
    </row>
    <row r="1545" spans="2:2" x14ac:dyDescent="0.3">
      <c r="B1545" s="2" t="s">
        <v>654</v>
      </c>
    </row>
    <row r="1546" spans="2:2" x14ac:dyDescent="0.3">
      <c r="B1546" s="2" t="s">
        <v>477</v>
      </c>
    </row>
    <row r="1547" spans="2:2" x14ac:dyDescent="0.3">
      <c r="B1547" s="2">
        <v>115</v>
      </c>
    </row>
    <row r="1548" spans="2:2" x14ac:dyDescent="0.3">
      <c r="B1548" s="2">
        <v>2</v>
      </c>
    </row>
    <row r="1549" spans="2:2" x14ac:dyDescent="0.3">
      <c r="B1549" s="2">
        <v>1</v>
      </c>
    </row>
    <row r="1550" spans="2:2" x14ac:dyDescent="0.3">
      <c r="B1550" s="2">
        <v>0</v>
      </c>
    </row>
    <row r="1551" spans="2:2" x14ac:dyDescent="0.3">
      <c r="B1551" s="2">
        <v>15.6</v>
      </c>
    </row>
    <row r="1552" spans="2:2" x14ac:dyDescent="0.3">
      <c r="B1552" s="2">
        <v>564</v>
      </c>
    </row>
    <row r="1553" spans="2:2" x14ac:dyDescent="0.3">
      <c r="B1553" s="2" t="s">
        <v>58</v>
      </c>
    </row>
    <row r="1554" spans="2:2" x14ac:dyDescent="0.3">
      <c r="B1554" s="2" t="s">
        <v>655</v>
      </c>
    </row>
    <row r="1555" spans="2:2" x14ac:dyDescent="0.3">
      <c r="B1555" s="2" t="s">
        <v>94</v>
      </c>
    </row>
    <row r="1556" spans="2:2" x14ac:dyDescent="0.3">
      <c r="B1556" s="2">
        <v>114</v>
      </c>
    </row>
    <row r="1557" spans="2:2" x14ac:dyDescent="0.3">
      <c r="B1557" s="2">
        <v>6</v>
      </c>
    </row>
    <row r="1558" spans="2:2" x14ac:dyDescent="0.3">
      <c r="B1558" s="2">
        <v>0</v>
      </c>
    </row>
    <row r="1559" spans="2:2" x14ac:dyDescent="0.3">
      <c r="B1559" s="2">
        <v>0</v>
      </c>
    </row>
    <row r="1560" spans="2:2" x14ac:dyDescent="0.3">
      <c r="B1560" s="2">
        <v>15.6</v>
      </c>
    </row>
    <row r="1561" spans="2:2" x14ac:dyDescent="0.3">
      <c r="B1561" s="2">
        <v>565</v>
      </c>
    </row>
    <row r="1562" spans="2:2" x14ac:dyDescent="0.3">
      <c r="B1562" s="2" t="s">
        <v>250</v>
      </c>
    </row>
    <row r="1563" spans="2:2" x14ac:dyDescent="0.3">
      <c r="B1563" s="2" t="s">
        <v>656</v>
      </c>
    </row>
    <row r="1564" spans="2:2" x14ac:dyDescent="0.3">
      <c r="B1564" s="2" t="s">
        <v>367</v>
      </c>
    </row>
    <row r="1565" spans="2:2" x14ac:dyDescent="0.3">
      <c r="B1565" s="2">
        <v>113</v>
      </c>
    </row>
    <row r="1566" spans="2:2" x14ac:dyDescent="0.3">
      <c r="B1566" s="2">
        <v>3</v>
      </c>
    </row>
    <row r="1567" spans="2:2" x14ac:dyDescent="0.3">
      <c r="B1567" s="2">
        <v>0</v>
      </c>
    </row>
    <row r="1568" spans="2:2" x14ac:dyDescent="0.3">
      <c r="B1568" s="2">
        <v>0</v>
      </c>
    </row>
    <row r="1569" spans="2:2" x14ac:dyDescent="0.3">
      <c r="B1569" s="2">
        <v>16</v>
      </c>
    </row>
    <row r="1570" spans="2:2" x14ac:dyDescent="0.3">
      <c r="B1570" s="2">
        <v>565</v>
      </c>
    </row>
    <row r="1571" spans="2:2" x14ac:dyDescent="0.3">
      <c r="B1571" s="2" t="s">
        <v>15</v>
      </c>
    </row>
    <row r="1572" spans="2:2" x14ac:dyDescent="0.3">
      <c r="B1572" s="2" t="s">
        <v>657</v>
      </c>
    </row>
    <row r="1573" spans="2:2" x14ac:dyDescent="0.3">
      <c r="B1573" s="2" t="s">
        <v>111</v>
      </c>
    </row>
    <row r="1574" spans="2:2" x14ac:dyDescent="0.3">
      <c r="B1574" s="2">
        <v>113</v>
      </c>
    </row>
    <row r="1575" spans="2:2" x14ac:dyDescent="0.3">
      <c r="B1575" s="2">
        <v>3</v>
      </c>
    </row>
    <row r="1576" spans="2:2" x14ac:dyDescent="0.3">
      <c r="B1576" s="2">
        <v>0</v>
      </c>
    </row>
    <row r="1577" spans="2:2" x14ac:dyDescent="0.3">
      <c r="B1577" s="2">
        <v>0</v>
      </c>
    </row>
    <row r="1578" spans="2:2" x14ac:dyDescent="0.3">
      <c r="B1578" s="2">
        <v>12.9</v>
      </c>
    </row>
    <row r="1579" spans="2:2" x14ac:dyDescent="0.3">
      <c r="B1579" s="2">
        <v>567</v>
      </c>
    </row>
    <row r="1580" spans="2:2" x14ac:dyDescent="0.3">
      <c r="B1580" s="2" t="s">
        <v>345</v>
      </c>
    </row>
    <row r="1581" spans="2:2" x14ac:dyDescent="0.3">
      <c r="B1581" s="2" t="s">
        <v>658</v>
      </c>
    </row>
    <row r="1582" spans="2:2" x14ac:dyDescent="0.3">
      <c r="B1582" s="2" t="s">
        <v>362</v>
      </c>
    </row>
    <row r="1583" spans="2:2" x14ac:dyDescent="0.3">
      <c r="B1583" s="2">
        <v>109</v>
      </c>
    </row>
    <row r="1584" spans="2:2" x14ac:dyDescent="0.3">
      <c r="B1584" s="2">
        <v>5</v>
      </c>
    </row>
    <row r="1585" spans="2:2" x14ac:dyDescent="0.3">
      <c r="B1585" s="2">
        <v>0</v>
      </c>
    </row>
    <row r="1586" spans="2:2" x14ac:dyDescent="0.3">
      <c r="B1586" s="2">
        <v>0</v>
      </c>
    </row>
    <row r="1587" spans="2:2" x14ac:dyDescent="0.3">
      <c r="B1587" s="2">
        <v>15.4</v>
      </c>
    </row>
    <row r="1588" spans="2:2" x14ac:dyDescent="0.3">
      <c r="B1588" s="2">
        <v>567</v>
      </c>
    </row>
    <row r="1589" spans="2:2" x14ac:dyDescent="0.3">
      <c r="B1589" s="2" t="s">
        <v>237</v>
      </c>
    </row>
    <row r="1590" spans="2:2" x14ac:dyDescent="0.3">
      <c r="B1590" s="2" t="s">
        <v>659</v>
      </c>
    </row>
    <row r="1591" spans="2:2" x14ac:dyDescent="0.3">
      <c r="B1591" s="2" t="s">
        <v>265</v>
      </c>
    </row>
    <row r="1592" spans="2:2" x14ac:dyDescent="0.3">
      <c r="B1592" s="2">
        <v>109</v>
      </c>
    </row>
    <row r="1593" spans="2:2" x14ac:dyDescent="0.3">
      <c r="B1593" s="2">
        <v>4</v>
      </c>
    </row>
    <row r="1594" spans="2:2" x14ac:dyDescent="0.3">
      <c r="B1594" s="2">
        <v>0</v>
      </c>
    </row>
    <row r="1595" spans="2:2" x14ac:dyDescent="0.3">
      <c r="B1595" s="2">
        <v>0</v>
      </c>
    </row>
    <row r="1596" spans="2:2" x14ac:dyDescent="0.3">
      <c r="B1596" s="2">
        <v>14.3</v>
      </c>
    </row>
    <row r="1597" spans="2:2" x14ac:dyDescent="0.3">
      <c r="B1597" s="2">
        <v>569</v>
      </c>
    </row>
    <row r="1598" spans="2:2" x14ac:dyDescent="0.3">
      <c r="B1598" s="2" t="s">
        <v>107</v>
      </c>
    </row>
    <row r="1599" spans="2:2" x14ac:dyDescent="0.3">
      <c r="B1599" s="2" t="s">
        <v>392</v>
      </c>
    </row>
    <row r="1600" spans="2:2" x14ac:dyDescent="0.3">
      <c r="B1600" s="2" t="s">
        <v>179</v>
      </c>
    </row>
    <row r="1601" spans="2:2" x14ac:dyDescent="0.3">
      <c r="B1601" s="2">
        <v>106</v>
      </c>
    </row>
    <row r="1602" spans="2:2" x14ac:dyDescent="0.3">
      <c r="B1602" s="2">
        <v>5</v>
      </c>
    </row>
    <row r="1603" spans="2:2" x14ac:dyDescent="0.3">
      <c r="B1603" s="2">
        <v>0</v>
      </c>
    </row>
    <row r="1604" spans="2:2" x14ac:dyDescent="0.3">
      <c r="B1604" s="2">
        <v>0</v>
      </c>
    </row>
    <row r="1605" spans="2:2" x14ac:dyDescent="0.3">
      <c r="B1605" s="2">
        <v>14.8</v>
      </c>
    </row>
    <row r="1606" spans="2:2" x14ac:dyDescent="0.3">
      <c r="B1606" s="2">
        <v>570</v>
      </c>
    </row>
    <row r="1607" spans="2:2" x14ac:dyDescent="0.3">
      <c r="B1607" s="2" t="s">
        <v>218</v>
      </c>
    </row>
    <row r="1608" spans="2:2" x14ac:dyDescent="0.3">
      <c r="B1608" s="2" t="s">
        <v>660</v>
      </c>
    </row>
    <row r="1609" spans="2:2" x14ac:dyDescent="0.3">
      <c r="B1609" s="2" t="s">
        <v>220</v>
      </c>
    </row>
    <row r="1610" spans="2:2" x14ac:dyDescent="0.3">
      <c r="B1610" s="2">
        <v>104</v>
      </c>
    </row>
    <row r="1611" spans="2:2" x14ac:dyDescent="0.3">
      <c r="B1611" s="2">
        <v>6</v>
      </c>
    </row>
    <row r="1612" spans="2:2" x14ac:dyDescent="0.3">
      <c r="B1612" s="2">
        <v>0</v>
      </c>
    </row>
    <row r="1613" spans="2:2" x14ac:dyDescent="0.3">
      <c r="B1613" s="2">
        <v>0</v>
      </c>
    </row>
    <row r="1614" spans="2:2" x14ac:dyDescent="0.3">
      <c r="B1614" s="2">
        <v>15.7</v>
      </c>
    </row>
    <row r="1615" spans="2:2" x14ac:dyDescent="0.3">
      <c r="B1615" s="2">
        <v>570</v>
      </c>
    </row>
    <row r="1616" spans="2:2" x14ac:dyDescent="0.3">
      <c r="B1616" s="2" t="s">
        <v>209</v>
      </c>
    </row>
    <row r="1617" spans="2:2" x14ac:dyDescent="0.3">
      <c r="B1617" s="2" t="s">
        <v>661</v>
      </c>
    </row>
    <row r="1618" spans="2:2" x14ac:dyDescent="0.3">
      <c r="B1618" s="2" t="s">
        <v>662</v>
      </c>
    </row>
    <row r="1619" spans="2:2" x14ac:dyDescent="0.3">
      <c r="B1619" s="2">
        <v>104</v>
      </c>
    </row>
    <row r="1620" spans="2:2" x14ac:dyDescent="0.3">
      <c r="B1620" s="2">
        <v>2</v>
      </c>
    </row>
    <row r="1621" spans="2:2" x14ac:dyDescent="0.3">
      <c r="B1621" s="2">
        <v>0</v>
      </c>
    </row>
    <row r="1622" spans="2:2" x14ac:dyDescent="0.3">
      <c r="B1622" s="2">
        <v>0</v>
      </c>
    </row>
    <row r="1623" spans="2:2" x14ac:dyDescent="0.3">
      <c r="B1623" s="2">
        <v>14</v>
      </c>
    </row>
    <row r="1624" spans="2:2" x14ac:dyDescent="0.3">
      <c r="B1624" s="2">
        <v>570</v>
      </c>
    </row>
    <row r="1625" spans="2:2" x14ac:dyDescent="0.3">
      <c r="B1625" s="2" t="s">
        <v>162</v>
      </c>
    </row>
    <row r="1626" spans="2:2" x14ac:dyDescent="0.3">
      <c r="B1626" s="2" t="s">
        <v>663</v>
      </c>
    </row>
    <row r="1627" spans="2:2" x14ac:dyDescent="0.3">
      <c r="B1627" s="2" t="s">
        <v>181</v>
      </c>
    </row>
    <row r="1628" spans="2:2" x14ac:dyDescent="0.3">
      <c r="B1628" s="2">
        <v>104</v>
      </c>
    </row>
    <row r="1629" spans="2:2" x14ac:dyDescent="0.3">
      <c r="B1629" s="2">
        <v>2</v>
      </c>
    </row>
    <row r="1630" spans="2:2" x14ac:dyDescent="0.3">
      <c r="B1630" s="2">
        <v>0</v>
      </c>
    </row>
    <row r="1631" spans="2:2" x14ac:dyDescent="0.3">
      <c r="B1631" s="2">
        <v>0</v>
      </c>
    </row>
    <row r="1632" spans="2:2" x14ac:dyDescent="0.3">
      <c r="B1632" s="2">
        <v>12.4</v>
      </c>
    </row>
    <row r="1633" spans="2:2" x14ac:dyDescent="0.3">
      <c r="B1633" s="2">
        <v>573</v>
      </c>
    </row>
    <row r="1634" spans="2:2" x14ac:dyDescent="0.3">
      <c r="B1634" s="2" t="s">
        <v>237</v>
      </c>
    </row>
    <row r="1635" spans="2:2" x14ac:dyDescent="0.3">
      <c r="B1635" s="2" t="s">
        <v>664</v>
      </c>
    </row>
    <row r="1636" spans="2:2" x14ac:dyDescent="0.3">
      <c r="B1636" s="2" t="s">
        <v>270</v>
      </c>
    </row>
    <row r="1637" spans="2:2" x14ac:dyDescent="0.3">
      <c r="B1637" s="2">
        <v>101</v>
      </c>
    </row>
    <row r="1638" spans="2:2" x14ac:dyDescent="0.3">
      <c r="B1638" s="2">
        <v>3</v>
      </c>
    </row>
    <row r="1639" spans="2:2" x14ac:dyDescent="0.3">
      <c r="B1639" s="2">
        <v>0</v>
      </c>
    </row>
    <row r="1640" spans="2:2" x14ac:dyDescent="0.3">
      <c r="B1640" s="2">
        <v>0</v>
      </c>
    </row>
    <row r="1641" spans="2:2" x14ac:dyDescent="0.3">
      <c r="B1641" s="2">
        <v>12.8</v>
      </c>
    </row>
    <row r="1642" spans="2:2" x14ac:dyDescent="0.3">
      <c r="B1642" s="2">
        <v>573</v>
      </c>
    </row>
    <row r="1643" spans="2:2" x14ac:dyDescent="0.3">
      <c r="B1643" s="2" t="s">
        <v>231</v>
      </c>
    </row>
    <row r="1644" spans="2:2" x14ac:dyDescent="0.3">
      <c r="B1644" s="2" t="s">
        <v>665</v>
      </c>
    </row>
    <row r="1645" spans="2:2" x14ac:dyDescent="0.3">
      <c r="B1645" s="2" t="s">
        <v>263</v>
      </c>
    </row>
    <row r="1646" spans="2:2" x14ac:dyDescent="0.3">
      <c r="B1646" s="2">
        <v>101</v>
      </c>
    </row>
    <row r="1647" spans="2:2" x14ac:dyDescent="0.3">
      <c r="B1647" s="2">
        <v>2</v>
      </c>
    </row>
    <row r="1648" spans="2:2" x14ac:dyDescent="0.3">
      <c r="B1648" s="2">
        <v>1</v>
      </c>
    </row>
    <row r="1649" spans="2:2" x14ac:dyDescent="0.3">
      <c r="B1649" s="2">
        <v>0</v>
      </c>
    </row>
    <row r="1650" spans="2:2" x14ac:dyDescent="0.3">
      <c r="B1650" s="2">
        <v>12.1</v>
      </c>
    </row>
    <row r="1651" spans="2:2" x14ac:dyDescent="0.3">
      <c r="B1651" s="2">
        <v>573</v>
      </c>
    </row>
    <row r="1652" spans="2:2" x14ac:dyDescent="0.3">
      <c r="B1652" s="2" t="s">
        <v>216</v>
      </c>
    </row>
    <row r="1653" spans="2:2" x14ac:dyDescent="0.3">
      <c r="B1653" s="2" t="s">
        <v>666</v>
      </c>
    </row>
    <row r="1654" spans="2:2" x14ac:dyDescent="0.3">
      <c r="B1654" s="2" t="s">
        <v>417</v>
      </c>
    </row>
    <row r="1655" spans="2:2" x14ac:dyDescent="0.3">
      <c r="B1655" s="2">
        <v>101</v>
      </c>
    </row>
    <row r="1656" spans="2:2" x14ac:dyDescent="0.3">
      <c r="B1656" s="2">
        <v>2</v>
      </c>
    </row>
    <row r="1657" spans="2:2" x14ac:dyDescent="0.3">
      <c r="B1657" s="2">
        <v>0</v>
      </c>
    </row>
    <row r="1658" spans="2:2" x14ac:dyDescent="0.3">
      <c r="B1658" s="2">
        <v>0</v>
      </c>
    </row>
    <row r="1659" spans="2:2" x14ac:dyDescent="0.3">
      <c r="B1659" s="2">
        <v>10.5</v>
      </c>
    </row>
    <row r="1660" spans="2:2" x14ac:dyDescent="0.3">
      <c r="B1660" s="2">
        <v>576</v>
      </c>
    </row>
    <row r="1661" spans="2:2" x14ac:dyDescent="0.3">
      <c r="B1661" s="2" t="s">
        <v>228</v>
      </c>
    </row>
    <row r="1662" spans="2:2" x14ac:dyDescent="0.3">
      <c r="B1662" s="2" t="s">
        <v>667</v>
      </c>
    </row>
    <row r="1663" spans="2:2" x14ac:dyDescent="0.3">
      <c r="B1663" s="2" t="s">
        <v>403</v>
      </c>
    </row>
    <row r="1664" spans="2:2" x14ac:dyDescent="0.3">
      <c r="B1664" s="2">
        <v>100</v>
      </c>
    </row>
    <row r="1665" spans="2:2" x14ac:dyDescent="0.3">
      <c r="B1665" s="2">
        <v>2</v>
      </c>
    </row>
    <row r="1666" spans="2:2" x14ac:dyDescent="0.3">
      <c r="B1666" s="2">
        <v>0</v>
      </c>
    </row>
    <row r="1667" spans="2:2" x14ac:dyDescent="0.3">
      <c r="B1667" s="2">
        <v>0</v>
      </c>
    </row>
    <row r="1668" spans="2:2" x14ac:dyDescent="0.3">
      <c r="B1668" s="2">
        <v>13.4</v>
      </c>
    </row>
    <row r="1669" spans="2:2" x14ac:dyDescent="0.3">
      <c r="B1669" s="2">
        <v>576</v>
      </c>
    </row>
    <row r="1670" spans="2:2" x14ac:dyDescent="0.3">
      <c r="B1670" s="2" t="s">
        <v>79</v>
      </c>
    </row>
    <row r="1671" spans="2:2" x14ac:dyDescent="0.3">
      <c r="B1671" s="2" t="s">
        <v>643</v>
      </c>
    </row>
    <row r="1672" spans="2:2" x14ac:dyDescent="0.3">
      <c r="B1672" s="2" t="s">
        <v>80</v>
      </c>
    </row>
    <row r="1673" spans="2:2" x14ac:dyDescent="0.3">
      <c r="B1673" s="2">
        <v>100</v>
      </c>
    </row>
    <row r="1674" spans="2:2" x14ac:dyDescent="0.3">
      <c r="B1674" s="2">
        <v>2</v>
      </c>
    </row>
    <row r="1675" spans="2:2" x14ac:dyDescent="0.3">
      <c r="B1675" s="2">
        <v>0</v>
      </c>
    </row>
    <row r="1676" spans="2:2" x14ac:dyDescent="0.3">
      <c r="B1676" s="2">
        <v>0</v>
      </c>
    </row>
    <row r="1677" spans="2:2" x14ac:dyDescent="0.3">
      <c r="B1677" s="2">
        <v>11.9</v>
      </c>
    </row>
    <row r="1678" spans="2:2" x14ac:dyDescent="0.3">
      <c r="B1678" s="2">
        <v>578</v>
      </c>
    </row>
    <row r="1679" spans="2:2" x14ac:dyDescent="0.3">
      <c r="B1679" s="2" t="s">
        <v>107</v>
      </c>
    </row>
    <row r="1680" spans="2:2" x14ac:dyDescent="0.3">
      <c r="B1680" s="2" t="s">
        <v>668</v>
      </c>
    </row>
    <row r="1681" spans="2:2" x14ac:dyDescent="0.3">
      <c r="B1681" s="2" t="s">
        <v>108</v>
      </c>
    </row>
    <row r="1682" spans="2:2" x14ac:dyDescent="0.3">
      <c r="B1682" s="2">
        <v>98</v>
      </c>
    </row>
    <row r="1683" spans="2:2" x14ac:dyDescent="0.3">
      <c r="B1683" s="2">
        <v>3</v>
      </c>
    </row>
    <row r="1684" spans="2:2" x14ac:dyDescent="0.3">
      <c r="B1684" s="2">
        <v>0</v>
      </c>
    </row>
    <row r="1685" spans="2:2" x14ac:dyDescent="0.3">
      <c r="B1685" s="2">
        <v>0</v>
      </c>
    </row>
    <row r="1686" spans="2:2" x14ac:dyDescent="0.3">
      <c r="B1686" s="2">
        <v>10.9</v>
      </c>
    </row>
    <row r="1687" spans="2:2" x14ac:dyDescent="0.3">
      <c r="B1687" s="2">
        <v>579</v>
      </c>
    </row>
    <row r="1688" spans="2:2" x14ac:dyDescent="0.3">
      <c r="B1688" s="2" t="s">
        <v>201</v>
      </c>
    </row>
    <row r="1689" spans="2:2" x14ac:dyDescent="0.3">
      <c r="B1689" s="2" t="s">
        <v>669</v>
      </c>
    </row>
    <row r="1690" spans="2:2" x14ac:dyDescent="0.3">
      <c r="B1690" s="2" t="s">
        <v>202</v>
      </c>
    </row>
    <row r="1691" spans="2:2" x14ac:dyDescent="0.3">
      <c r="B1691" s="2">
        <v>97</v>
      </c>
    </row>
    <row r="1692" spans="2:2" x14ac:dyDescent="0.3">
      <c r="B1692" s="2">
        <v>5</v>
      </c>
    </row>
    <row r="1693" spans="2:2" x14ac:dyDescent="0.3">
      <c r="B1693" s="2">
        <v>1</v>
      </c>
    </row>
    <row r="1694" spans="2:2" x14ac:dyDescent="0.3">
      <c r="B1694" s="2">
        <v>0</v>
      </c>
    </row>
    <row r="1695" spans="2:2" x14ac:dyDescent="0.3">
      <c r="B1695" s="2">
        <v>14.6</v>
      </c>
    </row>
    <row r="1696" spans="2:2" x14ac:dyDescent="0.3">
      <c r="B1696" s="2">
        <v>579</v>
      </c>
    </row>
    <row r="1697" spans="2:2" x14ac:dyDescent="0.3">
      <c r="B1697" s="2" t="s">
        <v>228</v>
      </c>
    </row>
    <row r="1698" spans="2:2" x14ac:dyDescent="0.3">
      <c r="B1698" s="2" t="s">
        <v>670</v>
      </c>
    </row>
    <row r="1699" spans="2:2" x14ac:dyDescent="0.3">
      <c r="B1699" s="2" t="s">
        <v>307</v>
      </c>
    </row>
    <row r="1700" spans="2:2" x14ac:dyDescent="0.3">
      <c r="B1700" s="2">
        <v>97</v>
      </c>
    </row>
    <row r="1701" spans="2:2" x14ac:dyDescent="0.3">
      <c r="B1701" s="2">
        <v>2</v>
      </c>
    </row>
    <row r="1702" spans="2:2" x14ac:dyDescent="0.3">
      <c r="B1702" s="2">
        <v>0</v>
      </c>
    </row>
    <row r="1703" spans="2:2" x14ac:dyDescent="0.3">
      <c r="B1703" s="2">
        <v>0</v>
      </c>
    </row>
    <row r="1704" spans="2:2" x14ac:dyDescent="0.3">
      <c r="B1704" s="2">
        <v>12.3</v>
      </c>
    </row>
    <row r="1705" spans="2:2" x14ac:dyDescent="0.3">
      <c r="B1705" s="2">
        <v>581</v>
      </c>
    </row>
    <row r="1706" spans="2:2" x14ac:dyDescent="0.3">
      <c r="B1706" s="2" t="s">
        <v>166</v>
      </c>
    </row>
    <row r="1707" spans="2:2" x14ac:dyDescent="0.3">
      <c r="B1707" s="2" t="s">
        <v>671</v>
      </c>
    </row>
    <row r="1708" spans="2:2" x14ac:dyDescent="0.3">
      <c r="B1708" s="2" t="s">
        <v>274</v>
      </c>
    </row>
    <row r="1709" spans="2:2" x14ac:dyDescent="0.3">
      <c r="B1709" s="2">
        <v>96</v>
      </c>
    </row>
    <row r="1710" spans="2:2" x14ac:dyDescent="0.3">
      <c r="B1710" s="2">
        <v>3</v>
      </c>
    </row>
    <row r="1711" spans="2:2" x14ac:dyDescent="0.3">
      <c r="B1711" s="2">
        <v>0</v>
      </c>
    </row>
    <row r="1712" spans="2:2" x14ac:dyDescent="0.3">
      <c r="B1712" s="2">
        <v>0</v>
      </c>
    </row>
    <row r="1713" spans="2:2" x14ac:dyDescent="0.3">
      <c r="B1713" s="2">
        <v>13.2</v>
      </c>
    </row>
    <row r="1714" spans="2:2" x14ac:dyDescent="0.3">
      <c r="B1714" s="2">
        <v>581</v>
      </c>
    </row>
    <row r="1715" spans="2:2" x14ac:dyDescent="0.3">
      <c r="B1715" s="2" t="s">
        <v>79</v>
      </c>
    </row>
    <row r="1716" spans="2:2" x14ac:dyDescent="0.3">
      <c r="B1716" s="2" t="s">
        <v>672</v>
      </c>
    </row>
    <row r="1717" spans="2:2" x14ac:dyDescent="0.3">
      <c r="B1717" s="2" t="s">
        <v>144</v>
      </c>
    </row>
    <row r="1718" spans="2:2" x14ac:dyDescent="0.3">
      <c r="B1718" s="2">
        <v>96</v>
      </c>
    </row>
    <row r="1719" spans="2:2" x14ac:dyDescent="0.3">
      <c r="B1719" s="2">
        <v>3</v>
      </c>
    </row>
    <row r="1720" spans="2:2" x14ac:dyDescent="0.3">
      <c r="B1720" s="2">
        <v>0</v>
      </c>
    </row>
    <row r="1721" spans="2:2" x14ac:dyDescent="0.3">
      <c r="B1721" s="2">
        <v>0</v>
      </c>
    </row>
    <row r="1722" spans="2:2" x14ac:dyDescent="0.3">
      <c r="B1722" s="2">
        <v>12.7</v>
      </c>
    </row>
    <row r="1723" spans="2:2" x14ac:dyDescent="0.3">
      <c r="B1723" s="2">
        <v>583</v>
      </c>
    </row>
    <row r="1724" spans="2:2" x14ac:dyDescent="0.3">
      <c r="B1724" s="2" t="s">
        <v>209</v>
      </c>
    </row>
    <row r="1725" spans="2:2" x14ac:dyDescent="0.3">
      <c r="B1725" s="2" t="s">
        <v>673</v>
      </c>
    </row>
    <row r="1726" spans="2:2" x14ac:dyDescent="0.3">
      <c r="B1726" s="2" t="s">
        <v>246</v>
      </c>
    </row>
    <row r="1727" spans="2:2" x14ac:dyDescent="0.3">
      <c r="B1727" s="2">
        <v>94</v>
      </c>
    </row>
    <row r="1728" spans="2:2" x14ac:dyDescent="0.3">
      <c r="B1728" s="2">
        <v>2</v>
      </c>
    </row>
    <row r="1729" spans="2:2" x14ac:dyDescent="0.3">
      <c r="B1729" s="2">
        <v>0</v>
      </c>
    </row>
    <row r="1730" spans="2:2" x14ac:dyDescent="0.3">
      <c r="B1730" s="2">
        <v>0</v>
      </c>
    </row>
    <row r="1731" spans="2:2" x14ac:dyDescent="0.3">
      <c r="B1731" s="2">
        <v>12.9</v>
      </c>
    </row>
    <row r="1732" spans="2:2" x14ac:dyDescent="0.3">
      <c r="B1732" s="2">
        <v>584</v>
      </c>
    </row>
    <row r="1733" spans="2:2" x14ac:dyDescent="0.3">
      <c r="B1733" s="2" t="s">
        <v>209</v>
      </c>
    </row>
    <row r="1734" spans="2:2" x14ac:dyDescent="0.3">
      <c r="B1734" s="2" t="s">
        <v>674</v>
      </c>
    </row>
    <row r="1735" spans="2:2" x14ac:dyDescent="0.3">
      <c r="B1735" s="2" t="s">
        <v>246</v>
      </c>
    </row>
    <row r="1736" spans="2:2" x14ac:dyDescent="0.3">
      <c r="B1736" s="2">
        <v>93</v>
      </c>
    </row>
    <row r="1737" spans="2:2" x14ac:dyDescent="0.3">
      <c r="B1737" s="2">
        <v>3</v>
      </c>
    </row>
    <row r="1738" spans="2:2" x14ac:dyDescent="0.3">
      <c r="B1738" s="2">
        <v>0</v>
      </c>
    </row>
    <row r="1739" spans="2:2" x14ac:dyDescent="0.3">
      <c r="B1739" s="2">
        <v>0</v>
      </c>
    </row>
    <row r="1740" spans="2:2" x14ac:dyDescent="0.3">
      <c r="B1740" s="2">
        <v>13.5</v>
      </c>
    </row>
    <row r="1741" spans="2:2" x14ac:dyDescent="0.3">
      <c r="B1741" s="2">
        <v>584</v>
      </c>
    </row>
    <row r="1742" spans="2:2" x14ac:dyDescent="0.3">
      <c r="B1742" s="2" t="s">
        <v>15</v>
      </c>
    </row>
    <row r="1743" spans="2:2" x14ac:dyDescent="0.3">
      <c r="B1743" s="2" t="s">
        <v>675</v>
      </c>
    </row>
    <row r="1744" spans="2:2" x14ac:dyDescent="0.3">
      <c r="B1744" s="2" t="s">
        <v>70</v>
      </c>
    </row>
    <row r="1745" spans="2:2" x14ac:dyDescent="0.3">
      <c r="B1745" s="2">
        <v>93</v>
      </c>
    </row>
    <row r="1746" spans="2:2" x14ac:dyDescent="0.3">
      <c r="B1746" s="2">
        <v>3</v>
      </c>
    </row>
    <row r="1747" spans="2:2" x14ac:dyDescent="0.3">
      <c r="B1747" s="2">
        <v>0</v>
      </c>
    </row>
    <row r="1748" spans="2:2" x14ac:dyDescent="0.3">
      <c r="B1748" s="2">
        <v>0</v>
      </c>
    </row>
    <row r="1749" spans="2:2" x14ac:dyDescent="0.3">
      <c r="B1749" s="2">
        <v>10.7</v>
      </c>
    </row>
    <row r="1750" spans="2:2" x14ac:dyDescent="0.3">
      <c r="B1750" s="2">
        <v>584</v>
      </c>
    </row>
    <row r="1751" spans="2:2" x14ac:dyDescent="0.3">
      <c r="B1751" s="2" t="s">
        <v>19</v>
      </c>
    </row>
    <row r="1752" spans="2:2" x14ac:dyDescent="0.3">
      <c r="B1752" s="2" t="s">
        <v>676</v>
      </c>
    </row>
    <row r="1753" spans="2:2" x14ac:dyDescent="0.3">
      <c r="B1753" s="2" t="s">
        <v>112</v>
      </c>
    </row>
    <row r="1754" spans="2:2" x14ac:dyDescent="0.3">
      <c r="B1754" s="2">
        <v>93</v>
      </c>
    </row>
    <row r="1755" spans="2:2" x14ac:dyDescent="0.3">
      <c r="B1755" s="2">
        <v>2</v>
      </c>
    </row>
    <row r="1756" spans="2:2" x14ac:dyDescent="0.3">
      <c r="B1756" s="2">
        <v>0</v>
      </c>
    </row>
    <row r="1757" spans="2:2" x14ac:dyDescent="0.3">
      <c r="B1757" s="2">
        <v>0</v>
      </c>
    </row>
    <row r="1758" spans="2:2" x14ac:dyDescent="0.3">
      <c r="B1758" s="2">
        <v>10.8</v>
      </c>
    </row>
    <row r="1759" spans="2:2" x14ac:dyDescent="0.3">
      <c r="B1759" s="2">
        <v>587</v>
      </c>
    </row>
    <row r="1760" spans="2:2" x14ac:dyDescent="0.3">
      <c r="B1760" s="2" t="s">
        <v>209</v>
      </c>
    </row>
    <row r="1761" spans="2:2" x14ac:dyDescent="0.3">
      <c r="B1761" s="2" t="s">
        <v>677</v>
      </c>
    </row>
    <row r="1762" spans="2:2" x14ac:dyDescent="0.3">
      <c r="B1762" s="2" t="s">
        <v>246</v>
      </c>
    </row>
    <row r="1763" spans="2:2" x14ac:dyDescent="0.3">
      <c r="B1763" s="2">
        <v>91</v>
      </c>
    </row>
    <row r="1764" spans="2:2" x14ac:dyDescent="0.3">
      <c r="B1764" s="2">
        <v>3</v>
      </c>
    </row>
    <row r="1765" spans="2:2" x14ac:dyDescent="0.3">
      <c r="B1765" s="2">
        <v>0</v>
      </c>
    </row>
    <row r="1766" spans="2:2" x14ac:dyDescent="0.3">
      <c r="B1766" s="2">
        <v>0</v>
      </c>
    </row>
    <row r="1767" spans="2:2" x14ac:dyDescent="0.3">
      <c r="B1767" s="2">
        <v>13.1</v>
      </c>
    </row>
    <row r="1768" spans="2:2" x14ac:dyDescent="0.3">
      <c r="B1768" s="2">
        <v>587</v>
      </c>
    </row>
    <row r="1769" spans="2:2" x14ac:dyDescent="0.3">
      <c r="B1769" s="2" t="s">
        <v>332</v>
      </c>
    </row>
    <row r="1770" spans="2:2" x14ac:dyDescent="0.3">
      <c r="B1770" s="2" t="s">
        <v>678</v>
      </c>
    </row>
    <row r="1771" spans="2:2" x14ac:dyDescent="0.3">
      <c r="B1771" s="2" t="s">
        <v>333</v>
      </c>
    </row>
    <row r="1772" spans="2:2" x14ac:dyDescent="0.3">
      <c r="B1772" s="2">
        <v>91</v>
      </c>
    </row>
    <row r="1773" spans="2:2" x14ac:dyDescent="0.3">
      <c r="B1773" s="2">
        <v>2</v>
      </c>
    </row>
    <row r="1774" spans="2:2" x14ac:dyDescent="0.3">
      <c r="B1774" s="2">
        <v>0</v>
      </c>
    </row>
    <row r="1775" spans="2:2" x14ac:dyDescent="0.3">
      <c r="B1775" s="2">
        <v>0</v>
      </c>
    </row>
    <row r="1776" spans="2:2" x14ac:dyDescent="0.3">
      <c r="B1776" s="2">
        <v>11.6</v>
      </c>
    </row>
    <row r="1777" spans="2:2" x14ac:dyDescent="0.3">
      <c r="B1777" s="2">
        <v>587</v>
      </c>
    </row>
    <row r="1778" spans="2:2" x14ac:dyDescent="0.3">
      <c r="B1778" s="2" t="s">
        <v>16</v>
      </c>
    </row>
    <row r="1779" spans="2:2" x14ac:dyDescent="0.3">
      <c r="B1779" s="2" t="s">
        <v>679</v>
      </c>
    </row>
    <row r="1780" spans="2:2" x14ac:dyDescent="0.3">
      <c r="B1780" s="2" t="s">
        <v>83</v>
      </c>
    </row>
    <row r="1781" spans="2:2" x14ac:dyDescent="0.3">
      <c r="B1781" s="2">
        <v>91</v>
      </c>
    </row>
    <row r="1782" spans="2:2" x14ac:dyDescent="0.3">
      <c r="B1782" s="2">
        <v>2</v>
      </c>
    </row>
    <row r="1783" spans="2:2" x14ac:dyDescent="0.3">
      <c r="B1783" s="2">
        <v>0</v>
      </c>
    </row>
    <row r="1784" spans="2:2" x14ac:dyDescent="0.3">
      <c r="B1784" s="2">
        <v>0</v>
      </c>
    </row>
    <row r="1785" spans="2:2" x14ac:dyDescent="0.3">
      <c r="B1785" s="2">
        <v>11.2</v>
      </c>
    </row>
    <row r="1786" spans="2:2" x14ac:dyDescent="0.3">
      <c r="B1786" s="2">
        <v>590</v>
      </c>
    </row>
    <row r="1787" spans="2:2" x14ac:dyDescent="0.3">
      <c r="B1787" s="2" t="s">
        <v>204</v>
      </c>
    </row>
    <row r="1788" spans="2:2" x14ac:dyDescent="0.3">
      <c r="B1788" s="2" t="s">
        <v>680</v>
      </c>
    </row>
    <row r="1789" spans="2:2" x14ac:dyDescent="0.3">
      <c r="B1789" s="2" t="s">
        <v>397</v>
      </c>
    </row>
    <row r="1790" spans="2:2" x14ac:dyDescent="0.3">
      <c r="B1790" s="2">
        <v>90</v>
      </c>
    </row>
    <row r="1791" spans="2:2" x14ac:dyDescent="0.3">
      <c r="B1791" s="2">
        <v>2</v>
      </c>
    </row>
    <row r="1792" spans="2:2" x14ac:dyDescent="0.3">
      <c r="B1792" s="2">
        <v>0</v>
      </c>
    </row>
    <row r="1793" spans="2:2" x14ac:dyDescent="0.3">
      <c r="B1793" s="2">
        <v>0</v>
      </c>
    </row>
    <row r="1794" spans="2:2" x14ac:dyDescent="0.3">
      <c r="B1794" s="2">
        <v>11.1</v>
      </c>
    </row>
    <row r="1795" spans="2:2" x14ac:dyDescent="0.3">
      <c r="B1795" s="2">
        <v>590</v>
      </c>
    </row>
    <row r="1796" spans="2:2" x14ac:dyDescent="0.3">
      <c r="B1796" s="2" t="s">
        <v>231</v>
      </c>
    </row>
    <row r="1797" spans="2:2" x14ac:dyDescent="0.3">
      <c r="B1797" s="2" t="s">
        <v>681</v>
      </c>
    </row>
    <row r="1798" spans="2:2" x14ac:dyDescent="0.3">
      <c r="B1798" s="2" t="s">
        <v>331</v>
      </c>
    </row>
    <row r="1799" spans="2:2" x14ac:dyDescent="0.3">
      <c r="B1799" s="2">
        <v>90</v>
      </c>
    </row>
    <row r="1800" spans="2:2" x14ac:dyDescent="0.3">
      <c r="B1800" s="2">
        <v>1</v>
      </c>
    </row>
    <row r="1801" spans="2:2" x14ac:dyDescent="0.3">
      <c r="B1801" s="2">
        <v>0</v>
      </c>
    </row>
    <row r="1802" spans="2:2" x14ac:dyDescent="0.3">
      <c r="B1802" s="2">
        <v>0</v>
      </c>
    </row>
    <row r="1803" spans="2:2" x14ac:dyDescent="0.3">
      <c r="B1803" s="2">
        <v>11.8</v>
      </c>
    </row>
    <row r="1804" spans="2:2" x14ac:dyDescent="0.3">
      <c r="B1804" s="2">
        <v>590</v>
      </c>
    </row>
    <row r="1805" spans="2:2" x14ac:dyDescent="0.3">
      <c r="B1805" s="2" t="s">
        <v>345</v>
      </c>
    </row>
    <row r="1806" spans="2:2" x14ac:dyDescent="0.3">
      <c r="B1806" s="2" t="s">
        <v>682</v>
      </c>
    </row>
    <row r="1807" spans="2:2" x14ac:dyDescent="0.3">
      <c r="B1807" s="2" t="s">
        <v>362</v>
      </c>
    </row>
    <row r="1808" spans="2:2" x14ac:dyDescent="0.3">
      <c r="B1808" s="2">
        <v>90</v>
      </c>
    </row>
    <row r="1809" spans="2:2" x14ac:dyDescent="0.3">
      <c r="B1809" s="2">
        <v>1</v>
      </c>
    </row>
    <row r="1810" spans="2:2" x14ac:dyDescent="0.3">
      <c r="B1810" s="2">
        <v>0</v>
      </c>
    </row>
    <row r="1811" spans="2:2" x14ac:dyDescent="0.3">
      <c r="B1811" s="2">
        <v>0</v>
      </c>
    </row>
    <row r="1812" spans="2:2" x14ac:dyDescent="0.3">
      <c r="B1812" s="2">
        <v>10.9</v>
      </c>
    </row>
    <row r="1813" spans="2:2" x14ac:dyDescent="0.3">
      <c r="B1813" s="2">
        <v>590</v>
      </c>
    </row>
    <row r="1814" spans="2:2" x14ac:dyDescent="0.3">
      <c r="B1814" s="2" t="s">
        <v>75</v>
      </c>
    </row>
    <row r="1815" spans="2:2" x14ac:dyDescent="0.3">
      <c r="B1815" s="2" t="s">
        <v>683</v>
      </c>
    </row>
    <row r="1816" spans="2:2" x14ac:dyDescent="0.3">
      <c r="B1816" s="2" t="s">
        <v>78</v>
      </c>
    </row>
    <row r="1817" spans="2:2" x14ac:dyDescent="0.3">
      <c r="B1817" s="2">
        <v>90</v>
      </c>
    </row>
    <row r="1818" spans="2:2" x14ac:dyDescent="0.3">
      <c r="B1818" s="2">
        <v>1</v>
      </c>
    </row>
    <row r="1819" spans="2:2" x14ac:dyDescent="0.3">
      <c r="B1819" s="2">
        <v>0</v>
      </c>
    </row>
    <row r="1820" spans="2:2" x14ac:dyDescent="0.3">
      <c r="B1820" s="2">
        <v>0</v>
      </c>
    </row>
    <row r="1821" spans="2:2" x14ac:dyDescent="0.3">
      <c r="B1821" s="2">
        <v>10.8</v>
      </c>
    </row>
    <row r="1822" spans="2:2" x14ac:dyDescent="0.3">
      <c r="B1822" s="2">
        <v>590</v>
      </c>
    </row>
    <row r="1823" spans="2:2" x14ac:dyDescent="0.3">
      <c r="B1823" s="2" t="s">
        <v>209</v>
      </c>
    </row>
    <row r="1824" spans="2:2" x14ac:dyDescent="0.3">
      <c r="B1824" s="2" t="s">
        <v>684</v>
      </c>
    </row>
    <row r="1825" spans="2:2" x14ac:dyDescent="0.3">
      <c r="B1825" s="2" t="s">
        <v>211</v>
      </c>
    </row>
    <row r="1826" spans="2:2" x14ac:dyDescent="0.3">
      <c r="B1826" s="2">
        <v>90</v>
      </c>
    </row>
    <row r="1827" spans="2:2" x14ac:dyDescent="0.3">
      <c r="B1827" s="2">
        <v>1</v>
      </c>
    </row>
    <row r="1828" spans="2:2" x14ac:dyDescent="0.3">
      <c r="B1828" s="2">
        <v>0</v>
      </c>
    </row>
    <row r="1829" spans="2:2" x14ac:dyDescent="0.3">
      <c r="B1829" s="2">
        <v>0</v>
      </c>
    </row>
    <row r="1830" spans="2:2" x14ac:dyDescent="0.3">
      <c r="B1830" s="2">
        <v>10.7</v>
      </c>
    </row>
    <row r="1831" spans="2:2" x14ac:dyDescent="0.3">
      <c r="B1831" s="2">
        <v>590</v>
      </c>
    </row>
    <row r="1832" spans="2:2" x14ac:dyDescent="0.3">
      <c r="B1832" s="2" t="s">
        <v>216</v>
      </c>
    </row>
    <row r="1833" spans="2:2" x14ac:dyDescent="0.3">
      <c r="B1833" s="2" t="s">
        <v>685</v>
      </c>
    </row>
    <row r="1834" spans="2:2" x14ac:dyDescent="0.3">
      <c r="B1834" s="2" t="s">
        <v>217</v>
      </c>
    </row>
    <row r="1835" spans="2:2" x14ac:dyDescent="0.3">
      <c r="B1835" s="2">
        <v>90</v>
      </c>
    </row>
    <row r="1836" spans="2:2" x14ac:dyDescent="0.3">
      <c r="B1836" s="2">
        <v>1</v>
      </c>
    </row>
    <row r="1837" spans="2:2" x14ac:dyDescent="0.3">
      <c r="B1837" s="2">
        <v>0</v>
      </c>
    </row>
    <row r="1838" spans="2:2" x14ac:dyDescent="0.3">
      <c r="B1838" s="2">
        <v>0</v>
      </c>
    </row>
    <row r="1839" spans="2:2" x14ac:dyDescent="0.3">
      <c r="B1839" s="2">
        <v>10.199999999999999</v>
      </c>
    </row>
    <row r="1840" spans="2:2" x14ac:dyDescent="0.3">
      <c r="B1840" s="2">
        <v>590</v>
      </c>
    </row>
    <row r="1841" spans="2:2" x14ac:dyDescent="0.3">
      <c r="B1841" s="2" t="s">
        <v>250</v>
      </c>
    </row>
    <row r="1842" spans="2:2" x14ac:dyDescent="0.3">
      <c r="B1842" s="2" t="s">
        <v>686</v>
      </c>
    </row>
    <row r="1843" spans="2:2" x14ac:dyDescent="0.3">
      <c r="B1843" s="2" t="s">
        <v>367</v>
      </c>
    </row>
    <row r="1844" spans="2:2" x14ac:dyDescent="0.3">
      <c r="B1844" s="2">
        <v>90</v>
      </c>
    </row>
    <row r="1845" spans="2:2" x14ac:dyDescent="0.3">
      <c r="B1845" s="2">
        <v>1</v>
      </c>
    </row>
    <row r="1846" spans="2:2" x14ac:dyDescent="0.3">
      <c r="B1846" s="2">
        <v>0</v>
      </c>
    </row>
    <row r="1847" spans="2:2" x14ac:dyDescent="0.3">
      <c r="B1847" s="2">
        <v>0</v>
      </c>
    </row>
    <row r="1848" spans="2:2" x14ac:dyDescent="0.3">
      <c r="B1848" s="2">
        <v>10.199999999999999</v>
      </c>
    </row>
    <row r="1849" spans="2:2" x14ac:dyDescent="0.3">
      <c r="B1849" s="2">
        <v>590</v>
      </c>
    </row>
    <row r="1850" spans="2:2" x14ac:dyDescent="0.3">
      <c r="B1850" s="2" t="s">
        <v>345</v>
      </c>
    </row>
    <row r="1851" spans="2:2" x14ac:dyDescent="0.3">
      <c r="B1851" s="2" t="s">
        <v>687</v>
      </c>
    </row>
    <row r="1852" spans="2:2" x14ac:dyDescent="0.3">
      <c r="B1852" s="2" t="s">
        <v>391</v>
      </c>
    </row>
    <row r="1853" spans="2:2" x14ac:dyDescent="0.3">
      <c r="B1853" s="2">
        <v>90</v>
      </c>
    </row>
    <row r="1854" spans="2:2" x14ac:dyDescent="0.3">
      <c r="B1854" s="2">
        <v>1</v>
      </c>
    </row>
    <row r="1855" spans="2:2" x14ac:dyDescent="0.3">
      <c r="B1855" s="2">
        <v>0</v>
      </c>
    </row>
    <row r="1856" spans="2:2" x14ac:dyDescent="0.3">
      <c r="B1856" s="2">
        <v>0</v>
      </c>
    </row>
    <row r="1857" spans="2:2" x14ac:dyDescent="0.3">
      <c r="B1857" s="2">
        <v>9.5</v>
      </c>
    </row>
    <row r="1858" spans="2:2" x14ac:dyDescent="0.3">
      <c r="B1858" s="2">
        <v>590</v>
      </c>
    </row>
    <row r="1859" spans="2:2" x14ac:dyDescent="0.3">
      <c r="B1859" s="2" t="s">
        <v>216</v>
      </c>
    </row>
    <row r="1860" spans="2:2" x14ac:dyDescent="0.3">
      <c r="B1860" s="2" t="s">
        <v>688</v>
      </c>
    </row>
    <row r="1861" spans="2:2" x14ac:dyDescent="0.3">
      <c r="B1861" s="2" t="s">
        <v>217</v>
      </c>
    </row>
    <row r="1862" spans="2:2" x14ac:dyDescent="0.3">
      <c r="B1862" s="2">
        <v>90</v>
      </c>
    </row>
    <row r="1863" spans="2:2" x14ac:dyDescent="0.3">
      <c r="B1863" s="2">
        <v>1</v>
      </c>
    </row>
    <row r="1864" spans="2:2" x14ac:dyDescent="0.3">
      <c r="B1864" s="2">
        <v>0</v>
      </c>
    </row>
    <row r="1865" spans="2:2" x14ac:dyDescent="0.3">
      <c r="B1865" s="2">
        <v>0</v>
      </c>
    </row>
    <row r="1866" spans="2:2" x14ac:dyDescent="0.3">
      <c r="B1866" s="2">
        <v>9.4</v>
      </c>
    </row>
    <row r="1867" spans="2:2" x14ac:dyDescent="0.3">
      <c r="B1867" s="2">
        <v>590</v>
      </c>
    </row>
    <row r="1868" spans="2:2" x14ac:dyDescent="0.3">
      <c r="B1868" s="2" t="s">
        <v>67</v>
      </c>
    </row>
    <row r="1869" spans="2:2" x14ac:dyDescent="0.3">
      <c r="B1869" s="2" t="s">
        <v>689</v>
      </c>
    </row>
    <row r="1870" spans="2:2" x14ac:dyDescent="0.3">
      <c r="B1870" s="2" t="s">
        <v>92</v>
      </c>
    </row>
    <row r="1871" spans="2:2" x14ac:dyDescent="0.3">
      <c r="B1871" s="2">
        <v>90</v>
      </c>
    </row>
    <row r="1872" spans="2:2" x14ac:dyDescent="0.3">
      <c r="B1872" s="2">
        <v>1</v>
      </c>
    </row>
    <row r="1873" spans="2:2" x14ac:dyDescent="0.3">
      <c r="B1873" s="2">
        <v>0</v>
      </c>
    </row>
    <row r="1874" spans="2:2" x14ac:dyDescent="0.3">
      <c r="B1874" s="2">
        <v>0</v>
      </c>
    </row>
    <row r="1875" spans="2:2" x14ac:dyDescent="0.3">
      <c r="B1875" s="2">
        <v>6.2</v>
      </c>
    </row>
    <row r="1876" spans="2:2" x14ac:dyDescent="0.3">
      <c r="B1876" s="2">
        <v>590</v>
      </c>
    </row>
    <row r="1877" spans="2:2" x14ac:dyDescent="0.3">
      <c r="B1877" s="2" t="s">
        <v>253</v>
      </c>
    </row>
    <row r="1878" spans="2:2" x14ac:dyDescent="0.3">
      <c r="B1878" s="2" t="s">
        <v>690</v>
      </c>
    </row>
    <row r="1879" spans="2:2" x14ac:dyDescent="0.3">
      <c r="B1879" s="2" t="s">
        <v>349</v>
      </c>
    </row>
    <row r="1880" spans="2:2" x14ac:dyDescent="0.3">
      <c r="B1880" s="2">
        <v>90</v>
      </c>
    </row>
    <row r="1881" spans="2:2" x14ac:dyDescent="0.3">
      <c r="B1881" s="2">
        <v>1</v>
      </c>
    </row>
    <row r="1882" spans="2:2" x14ac:dyDescent="0.3">
      <c r="B1882" s="2">
        <v>0</v>
      </c>
    </row>
    <row r="1883" spans="2:2" x14ac:dyDescent="0.3">
      <c r="B1883" s="2">
        <v>0</v>
      </c>
    </row>
    <row r="1884" spans="2:2" x14ac:dyDescent="0.3">
      <c r="B1884" s="2">
        <v>6</v>
      </c>
    </row>
    <row r="1885" spans="2:2" x14ac:dyDescent="0.3">
      <c r="B1885" s="2">
        <v>590</v>
      </c>
    </row>
    <row r="1886" spans="2:2" x14ac:dyDescent="0.3">
      <c r="B1886" s="2" t="s">
        <v>204</v>
      </c>
    </row>
    <row r="1887" spans="2:2" x14ac:dyDescent="0.3">
      <c r="B1887" s="2" t="s">
        <v>691</v>
      </c>
    </row>
    <row r="1888" spans="2:2" x14ac:dyDescent="0.3">
      <c r="B1888" s="2" t="s">
        <v>344</v>
      </c>
    </row>
    <row r="1889" spans="2:2" x14ac:dyDescent="0.3">
      <c r="B1889" s="2">
        <v>90</v>
      </c>
    </row>
    <row r="1890" spans="2:2" x14ac:dyDescent="0.3">
      <c r="B1890" s="2">
        <v>1</v>
      </c>
    </row>
    <row r="1891" spans="2:2" x14ac:dyDescent="0.3">
      <c r="B1891" s="2">
        <v>0</v>
      </c>
    </row>
    <row r="1892" spans="2:2" x14ac:dyDescent="0.3">
      <c r="B1892" s="2">
        <v>0</v>
      </c>
    </row>
    <row r="1893" spans="2:2" x14ac:dyDescent="0.3">
      <c r="B1893" s="2">
        <v>5.7</v>
      </c>
    </row>
    <row r="1894" spans="2:2" x14ac:dyDescent="0.3">
      <c r="B1894" s="2">
        <v>590</v>
      </c>
    </row>
    <row r="1895" spans="2:2" x14ac:dyDescent="0.3">
      <c r="B1895" s="2" t="s">
        <v>79</v>
      </c>
    </row>
    <row r="1896" spans="2:2" x14ac:dyDescent="0.3">
      <c r="B1896" s="2" t="s">
        <v>692</v>
      </c>
    </row>
    <row r="1897" spans="2:2" x14ac:dyDescent="0.3">
      <c r="B1897" s="2" t="s">
        <v>81</v>
      </c>
    </row>
    <row r="1898" spans="2:2" x14ac:dyDescent="0.3">
      <c r="B1898" s="2">
        <v>90</v>
      </c>
    </row>
    <row r="1899" spans="2:2" x14ac:dyDescent="0.3">
      <c r="B1899" s="2">
        <v>1</v>
      </c>
    </row>
    <row r="1900" spans="2:2" x14ac:dyDescent="0.3">
      <c r="B1900" s="2">
        <v>0</v>
      </c>
    </row>
    <row r="1901" spans="2:2" x14ac:dyDescent="0.3">
      <c r="B1901" s="2">
        <v>0</v>
      </c>
    </row>
    <row r="1902" spans="2:2" x14ac:dyDescent="0.3">
      <c r="B1902" s="2">
        <v>5.6</v>
      </c>
    </row>
    <row r="1903" spans="2:2" x14ac:dyDescent="0.3">
      <c r="B1903" s="2">
        <v>590</v>
      </c>
    </row>
    <row r="1904" spans="2:2" x14ac:dyDescent="0.3">
      <c r="B1904" s="2" t="s">
        <v>162</v>
      </c>
    </row>
    <row r="1905" spans="2:2" x14ac:dyDescent="0.3">
      <c r="B1905" s="2" t="s">
        <v>693</v>
      </c>
    </row>
    <row r="1906" spans="2:2" x14ac:dyDescent="0.3">
      <c r="B1906" s="2" t="s">
        <v>163</v>
      </c>
    </row>
    <row r="1907" spans="2:2" x14ac:dyDescent="0.3">
      <c r="B1907" s="2">
        <v>90</v>
      </c>
    </row>
    <row r="1908" spans="2:2" x14ac:dyDescent="0.3">
      <c r="B1908" s="2">
        <v>1</v>
      </c>
    </row>
    <row r="1909" spans="2:2" x14ac:dyDescent="0.3">
      <c r="B1909" s="2">
        <v>0</v>
      </c>
    </row>
    <row r="1910" spans="2:2" x14ac:dyDescent="0.3">
      <c r="B1910" s="2">
        <v>0</v>
      </c>
    </row>
    <row r="1911" spans="2:2" x14ac:dyDescent="0.3">
      <c r="B1911" s="2">
        <v>5.4</v>
      </c>
    </row>
    <row r="1912" spans="2:2" x14ac:dyDescent="0.3">
      <c r="B1912" s="2">
        <v>590</v>
      </c>
    </row>
    <row r="1913" spans="2:2" x14ac:dyDescent="0.3">
      <c r="B1913" s="2" t="s">
        <v>345</v>
      </c>
    </row>
    <row r="1914" spans="2:2" x14ac:dyDescent="0.3">
      <c r="B1914" s="2" t="s">
        <v>694</v>
      </c>
    </row>
    <row r="1915" spans="2:2" x14ac:dyDescent="0.3">
      <c r="B1915" s="2" t="s">
        <v>346</v>
      </c>
    </row>
    <row r="1916" spans="2:2" x14ac:dyDescent="0.3">
      <c r="B1916" s="2">
        <v>90</v>
      </c>
    </row>
    <row r="1917" spans="2:2" x14ac:dyDescent="0.3">
      <c r="B1917" s="2">
        <v>1</v>
      </c>
    </row>
    <row r="1918" spans="2:2" x14ac:dyDescent="0.3">
      <c r="B1918" s="2">
        <v>0</v>
      </c>
    </row>
    <row r="1919" spans="2:2" x14ac:dyDescent="0.3">
      <c r="B1919" s="2">
        <v>0</v>
      </c>
    </row>
    <row r="1920" spans="2:2" x14ac:dyDescent="0.3">
      <c r="B1920" s="2">
        <v>4.8</v>
      </c>
    </row>
    <row r="1921" spans="2:2" x14ac:dyDescent="0.3">
      <c r="B1921" s="2">
        <v>590</v>
      </c>
    </row>
    <row r="1922" spans="2:2" x14ac:dyDescent="0.3">
      <c r="B1922" s="2" t="s">
        <v>201</v>
      </c>
    </row>
    <row r="1923" spans="2:2" x14ac:dyDescent="0.3">
      <c r="B1923" s="2" t="s">
        <v>695</v>
      </c>
    </row>
    <row r="1924" spans="2:2" x14ac:dyDescent="0.3">
      <c r="B1924" s="2" t="s">
        <v>353</v>
      </c>
    </row>
    <row r="1925" spans="2:2" x14ac:dyDescent="0.3">
      <c r="B1925" s="2">
        <v>90</v>
      </c>
    </row>
    <row r="1926" spans="2:2" x14ac:dyDescent="0.3">
      <c r="B1926" s="2">
        <v>1</v>
      </c>
    </row>
    <row r="1927" spans="2:2" x14ac:dyDescent="0.3">
      <c r="B1927" s="2">
        <v>0</v>
      </c>
    </row>
    <row r="1928" spans="2:2" x14ac:dyDescent="0.3">
      <c r="B1928" s="2">
        <v>0</v>
      </c>
    </row>
    <row r="1929" spans="2:2" x14ac:dyDescent="0.3">
      <c r="B1929" s="2">
        <v>4.7</v>
      </c>
    </row>
    <row r="1930" spans="2:2" x14ac:dyDescent="0.3">
      <c r="B1930" s="2">
        <v>590</v>
      </c>
    </row>
    <row r="1931" spans="2:2" x14ac:dyDescent="0.3">
      <c r="B1931" s="2" t="s">
        <v>209</v>
      </c>
    </row>
    <row r="1932" spans="2:2" x14ac:dyDescent="0.3">
      <c r="B1932" s="2" t="s">
        <v>696</v>
      </c>
    </row>
    <row r="1933" spans="2:2" x14ac:dyDescent="0.3">
      <c r="B1933" s="2" t="s">
        <v>351</v>
      </c>
    </row>
    <row r="1934" spans="2:2" x14ac:dyDescent="0.3">
      <c r="B1934" s="2">
        <v>90</v>
      </c>
    </row>
    <row r="1935" spans="2:2" x14ac:dyDescent="0.3">
      <c r="B1935" s="2">
        <v>1</v>
      </c>
    </row>
    <row r="1936" spans="2:2" x14ac:dyDescent="0.3">
      <c r="B1936" s="2">
        <v>0</v>
      </c>
    </row>
    <row r="1937" spans="2:2" x14ac:dyDescent="0.3">
      <c r="B1937" s="2">
        <v>0</v>
      </c>
    </row>
    <row r="1938" spans="2:2" x14ac:dyDescent="0.3">
      <c r="B1938" s="2">
        <v>4.5</v>
      </c>
    </row>
    <row r="1939" spans="2:2" x14ac:dyDescent="0.3">
      <c r="B1939" s="2">
        <v>590</v>
      </c>
    </row>
    <row r="1940" spans="2:2" x14ac:dyDescent="0.3">
      <c r="B1940" s="2" t="s">
        <v>164</v>
      </c>
    </row>
    <row r="1941" spans="2:2" x14ac:dyDescent="0.3">
      <c r="B1941" s="2" t="s">
        <v>697</v>
      </c>
    </row>
    <row r="1942" spans="2:2" x14ac:dyDescent="0.3">
      <c r="B1942" s="2" t="s">
        <v>165</v>
      </c>
    </row>
    <row r="1943" spans="2:2" x14ac:dyDescent="0.3">
      <c r="B1943" s="2">
        <v>90</v>
      </c>
    </row>
    <row r="1944" spans="2:2" x14ac:dyDescent="0.3">
      <c r="B1944" s="2">
        <v>1</v>
      </c>
    </row>
    <row r="1945" spans="2:2" x14ac:dyDescent="0.3">
      <c r="B1945" s="2">
        <v>0</v>
      </c>
    </row>
    <row r="1946" spans="2:2" x14ac:dyDescent="0.3">
      <c r="B1946" s="2">
        <v>0</v>
      </c>
    </row>
    <row r="1947" spans="2:2" x14ac:dyDescent="0.3">
      <c r="B1947" s="2">
        <v>4.3</v>
      </c>
    </row>
    <row r="1948" spans="2:2" x14ac:dyDescent="0.3">
      <c r="B1948" s="2">
        <v>590</v>
      </c>
    </row>
    <row r="1949" spans="2:2" x14ac:dyDescent="0.3">
      <c r="B1949" s="2" t="s">
        <v>75</v>
      </c>
    </row>
    <row r="1950" spans="2:2" x14ac:dyDescent="0.3">
      <c r="B1950" s="2" t="s">
        <v>518</v>
      </c>
    </row>
    <row r="1951" spans="2:2" x14ac:dyDescent="0.3">
      <c r="B1951" s="2" t="s">
        <v>115</v>
      </c>
    </row>
    <row r="1952" spans="2:2" x14ac:dyDescent="0.3">
      <c r="B1952" s="2">
        <v>90</v>
      </c>
    </row>
    <row r="1953" spans="2:2" x14ac:dyDescent="0.3">
      <c r="B1953" s="2">
        <v>1</v>
      </c>
    </row>
    <row r="1954" spans="2:2" x14ac:dyDescent="0.3">
      <c r="B1954" s="2">
        <v>0</v>
      </c>
    </row>
    <row r="1955" spans="2:2" x14ac:dyDescent="0.3">
      <c r="B1955" s="2">
        <v>0</v>
      </c>
    </row>
    <row r="1956" spans="2:2" x14ac:dyDescent="0.3">
      <c r="B1956" s="2">
        <v>4</v>
      </c>
    </row>
    <row r="1957" spans="2:2" x14ac:dyDescent="0.3">
      <c r="B1957" s="2">
        <v>609</v>
      </c>
    </row>
    <row r="1958" spans="2:2" x14ac:dyDescent="0.3">
      <c r="B1958" s="2" t="s">
        <v>286</v>
      </c>
    </row>
    <row r="1959" spans="2:2" x14ac:dyDescent="0.3">
      <c r="B1959" s="2" t="s">
        <v>698</v>
      </c>
    </row>
    <row r="1960" spans="2:2" x14ac:dyDescent="0.3">
      <c r="B1960" s="2" t="s">
        <v>287</v>
      </c>
    </row>
    <row r="1961" spans="2:2" x14ac:dyDescent="0.3">
      <c r="B1961" s="2">
        <v>89</v>
      </c>
    </row>
    <row r="1962" spans="2:2" x14ac:dyDescent="0.3">
      <c r="B1962" s="2">
        <v>2</v>
      </c>
    </row>
    <row r="1963" spans="2:2" x14ac:dyDescent="0.3">
      <c r="B1963" s="2">
        <v>0</v>
      </c>
    </row>
    <row r="1964" spans="2:2" x14ac:dyDescent="0.3">
      <c r="B1964" s="2">
        <v>0</v>
      </c>
    </row>
    <row r="1965" spans="2:2" x14ac:dyDescent="0.3">
      <c r="B1965" s="2">
        <v>12.4</v>
      </c>
    </row>
    <row r="1966" spans="2:2" x14ac:dyDescent="0.3">
      <c r="B1966" s="2">
        <v>610</v>
      </c>
    </row>
    <row r="1967" spans="2:2" x14ac:dyDescent="0.3">
      <c r="B1967" s="2" t="s">
        <v>332</v>
      </c>
    </row>
    <row r="1968" spans="2:2" x14ac:dyDescent="0.3">
      <c r="B1968" s="2" t="s">
        <v>699</v>
      </c>
    </row>
    <row r="1969" spans="2:2" x14ac:dyDescent="0.3">
      <c r="B1969" s="2" t="s">
        <v>333</v>
      </c>
    </row>
    <row r="1970" spans="2:2" x14ac:dyDescent="0.3">
      <c r="B1970" s="2">
        <v>88</v>
      </c>
    </row>
    <row r="1971" spans="2:2" x14ac:dyDescent="0.3">
      <c r="B1971" s="2">
        <v>4</v>
      </c>
    </row>
    <row r="1972" spans="2:2" x14ac:dyDescent="0.3">
      <c r="B1972" s="2">
        <v>0</v>
      </c>
    </row>
    <row r="1973" spans="2:2" x14ac:dyDescent="0.3">
      <c r="B1973" s="2">
        <v>0</v>
      </c>
    </row>
    <row r="1974" spans="2:2" x14ac:dyDescent="0.3">
      <c r="B1974" s="2">
        <v>12.6</v>
      </c>
    </row>
    <row r="1975" spans="2:2" x14ac:dyDescent="0.3">
      <c r="B1975" s="2">
        <v>610</v>
      </c>
    </row>
    <row r="1976" spans="2:2" x14ac:dyDescent="0.3">
      <c r="B1976" s="2" t="s">
        <v>253</v>
      </c>
    </row>
    <row r="1977" spans="2:2" x14ac:dyDescent="0.3">
      <c r="B1977" s="2" t="s">
        <v>700</v>
      </c>
    </row>
    <row r="1978" spans="2:2" x14ac:dyDescent="0.3">
      <c r="B1978" s="2" t="s">
        <v>383</v>
      </c>
    </row>
    <row r="1979" spans="2:2" x14ac:dyDescent="0.3">
      <c r="B1979" s="2">
        <v>88</v>
      </c>
    </row>
    <row r="1980" spans="2:2" x14ac:dyDescent="0.3">
      <c r="B1980" s="2">
        <v>2</v>
      </c>
    </row>
    <row r="1981" spans="2:2" x14ac:dyDescent="0.3">
      <c r="B1981" s="2">
        <v>0</v>
      </c>
    </row>
    <row r="1982" spans="2:2" x14ac:dyDescent="0.3">
      <c r="B1982" s="2">
        <v>1</v>
      </c>
    </row>
    <row r="1983" spans="2:2" x14ac:dyDescent="0.3">
      <c r="B1983" s="2">
        <v>10.9</v>
      </c>
    </row>
    <row r="1984" spans="2:2" x14ac:dyDescent="0.3">
      <c r="B1984" s="2">
        <v>612</v>
      </c>
    </row>
    <row r="1985" spans="2:2" x14ac:dyDescent="0.3">
      <c r="B1985" s="2" t="s">
        <v>50</v>
      </c>
    </row>
    <row r="1986" spans="2:2" x14ac:dyDescent="0.3">
      <c r="B1986" s="2" t="s">
        <v>701</v>
      </c>
    </row>
    <row r="1987" spans="2:2" x14ac:dyDescent="0.3">
      <c r="B1987" s="2" t="s">
        <v>328</v>
      </c>
    </row>
    <row r="1988" spans="2:2" x14ac:dyDescent="0.3">
      <c r="B1988" s="2">
        <v>85</v>
      </c>
    </row>
    <row r="1989" spans="2:2" x14ac:dyDescent="0.3">
      <c r="B1989" s="2">
        <v>2</v>
      </c>
    </row>
    <row r="1990" spans="2:2" x14ac:dyDescent="0.3">
      <c r="B1990" s="2">
        <v>0</v>
      </c>
    </row>
    <row r="1991" spans="2:2" x14ac:dyDescent="0.3">
      <c r="B1991" s="2">
        <v>1</v>
      </c>
    </row>
    <row r="1992" spans="2:2" x14ac:dyDescent="0.3">
      <c r="B1992" s="2">
        <v>11</v>
      </c>
    </row>
    <row r="1993" spans="2:2" x14ac:dyDescent="0.3">
      <c r="B1993" s="2">
        <v>613</v>
      </c>
    </row>
    <row r="1994" spans="2:2" x14ac:dyDescent="0.3">
      <c r="B1994" s="2" t="s">
        <v>15</v>
      </c>
    </row>
    <row r="1995" spans="2:2" x14ac:dyDescent="0.3">
      <c r="B1995" s="2" t="s">
        <v>702</v>
      </c>
    </row>
    <row r="1996" spans="2:2" x14ac:dyDescent="0.3">
      <c r="B1996" s="2" t="s">
        <v>111</v>
      </c>
    </row>
    <row r="1997" spans="2:2" x14ac:dyDescent="0.3">
      <c r="B1997" s="2">
        <v>84</v>
      </c>
    </row>
    <row r="1998" spans="2:2" x14ac:dyDescent="0.3">
      <c r="B1998" s="2">
        <v>3</v>
      </c>
    </row>
    <row r="1999" spans="2:2" x14ac:dyDescent="0.3">
      <c r="B1999" s="2">
        <v>0</v>
      </c>
    </row>
    <row r="2000" spans="2:2" x14ac:dyDescent="0.3">
      <c r="B2000" s="2">
        <v>0</v>
      </c>
    </row>
    <row r="2001" spans="2:2" x14ac:dyDescent="0.3">
      <c r="B2001" s="2">
        <v>10.8</v>
      </c>
    </row>
    <row r="2002" spans="2:2" x14ac:dyDescent="0.3">
      <c r="B2002" s="2">
        <v>613</v>
      </c>
    </row>
    <row r="2003" spans="2:2" x14ac:dyDescent="0.3">
      <c r="B2003" s="2" t="s">
        <v>216</v>
      </c>
    </row>
    <row r="2004" spans="2:2" x14ac:dyDescent="0.3">
      <c r="B2004" s="2" t="s">
        <v>703</v>
      </c>
    </row>
    <row r="2005" spans="2:2" x14ac:dyDescent="0.3">
      <c r="B2005" s="2" t="s">
        <v>313</v>
      </c>
    </row>
    <row r="2006" spans="2:2" x14ac:dyDescent="0.3">
      <c r="B2006" s="2">
        <v>84</v>
      </c>
    </row>
    <row r="2007" spans="2:2" x14ac:dyDescent="0.3">
      <c r="B2007" s="2">
        <v>2</v>
      </c>
    </row>
    <row r="2008" spans="2:2" x14ac:dyDescent="0.3">
      <c r="B2008" s="2">
        <v>0</v>
      </c>
    </row>
    <row r="2009" spans="2:2" x14ac:dyDescent="0.3">
      <c r="B2009" s="2">
        <v>0</v>
      </c>
    </row>
    <row r="2010" spans="2:2" x14ac:dyDescent="0.3">
      <c r="B2010" s="2">
        <v>11.8</v>
      </c>
    </row>
    <row r="2011" spans="2:2" x14ac:dyDescent="0.3">
      <c r="B2011" s="2">
        <v>613</v>
      </c>
    </row>
    <row r="2012" spans="2:2" x14ac:dyDescent="0.3">
      <c r="B2012" s="2" t="s">
        <v>116</v>
      </c>
    </row>
    <row r="2013" spans="2:2" x14ac:dyDescent="0.3">
      <c r="B2013" s="2" t="s">
        <v>704</v>
      </c>
    </row>
    <row r="2014" spans="2:2" x14ac:dyDescent="0.3">
      <c r="B2014" s="2" t="s">
        <v>118</v>
      </c>
    </row>
    <row r="2015" spans="2:2" x14ac:dyDescent="0.3">
      <c r="B2015" s="2">
        <v>84</v>
      </c>
    </row>
    <row r="2016" spans="2:2" x14ac:dyDescent="0.3">
      <c r="B2016" s="2">
        <v>2</v>
      </c>
    </row>
    <row r="2017" spans="2:2" x14ac:dyDescent="0.3">
      <c r="B2017" s="2">
        <v>0</v>
      </c>
    </row>
    <row r="2018" spans="2:2" x14ac:dyDescent="0.3">
      <c r="B2018" s="2">
        <v>0</v>
      </c>
    </row>
    <row r="2019" spans="2:2" x14ac:dyDescent="0.3">
      <c r="B2019" s="2">
        <v>9.8000000000000007</v>
      </c>
    </row>
    <row r="2020" spans="2:2" x14ac:dyDescent="0.3">
      <c r="B2020" s="2">
        <v>616</v>
      </c>
    </row>
    <row r="2021" spans="2:2" x14ac:dyDescent="0.3">
      <c r="B2021" s="2" t="s">
        <v>286</v>
      </c>
    </row>
    <row r="2022" spans="2:2" x14ac:dyDescent="0.3">
      <c r="B2022" s="2" t="s">
        <v>705</v>
      </c>
    </row>
    <row r="2023" spans="2:2" x14ac:dyDescent="0.3">
      <c r="B2023" s="2" t="s">
        <v>293</v>
      </c>
    </row>
    <row r="2024" spans="2:2" x14ac:dyDescent="0.3">
      <c r="B2024" s="2">
        <v>83</v>
      </c>
    </row>
    <row r="2025" spans="2:2" x14ac:dyDescent="0.3">
      <c r="B2025" s="2">
        <v>5</v>
      </c>
    </row>
    <row r="2026" spans="2:2" x14ac:dyDescent="0.3">
      <c r="B2026" s="2">
        <v>0</v>
      </c>
    </row>
    <row r="2027" spans="2:2" x14ac:dyDescent="0.3">
      <c r="B2027" s="2">
        <v>0</v>
      </c>
    </row>
    <row r="2028" spans="2:2" x14ac:dyDescent="0.3">
      <c r="B2028" s="2">
        <v>13.6</v>
      </c>
    </row>
    <row r="2029" spans="2:2" x14ac:dyDescent="0.3">
      <c r="B2029" s="2">
        <v>616</v>
      </c>
    </row>
    <row r="2030" spans="2:2" x14ac:dyDescent="0.3">
      <c r="B2030" s="2" t="s">
        <v>216</v>
      </c>
    </row>
    <row r="2031" spans="2:2" x14ac:dyDescent="0.3">
      <c r="B2031" s="2" t="s">
        <v>706</v>
      </c>
    </row>
    <row r="2032" spans="2:2" x14ac:dyDescent="0.3">
      <c r="B2032" s="2" t="s">
        <v>217</v>
      </c>
    </row>
    <row r="2033" spans="2:2" x14ac:dyDescent="0.3">
      <c r="B2033" s="2">
        <v>83</v>
      </c>
    </row>
    <row r="2034" spans="2:2" x14ac:dyDescent="0.3">
      <c r="B2034" s="2">
        <v>2</v>
      </c>
    </row>
    <row r="2035" spans="2:2" x14ac:dyDescent="0.3">
      <c r="B2035" s="2">
        <v>0</v>
      </c>
    </row>
    <row r="2036" spans="2:2" x14ac:dyDescent="0.3">
      <c r="B2036" s="2">
        <v>0</v>
      </c>
    </row>
    <row r="2037" spans="2:2" x14ac:dyDescent="0.3">
      <c r="B2037" s="2">
        <v>11.2</v>
      </c>
    </row>
    <row r="2038" spans="2:2" x14ac:dyDescent="0.3">
      <c r="B2038" s="2">
        <v>616</v>
      </c>
    </row>
    <row r="2039" spans="2:2" x14ac:dyDescent="0.3">
      <c r="B2039" s="2" t="s">
        <v>212</v>
      </c>
    </row>
    <row r="2040" spans="2:2" x14ac:dyDescent="0.3">
      <c r="B2040" s="2" t="s">
        <v>707</v>
      </c>
    </row>
    <row r="2041" spans="2:2" x14ac:dyDescent="0.3">
      <c r="B2041" s="2" t="s">
        <v>455</v>
      </c>
    </row>
    <row r="2042" spans="2:2" x14ac:dyDescent="0.3">
      <c r="B2042" s="2">
        <v>83</v>
      </c>
    </row>
    <row r="2043" spans="2:2" x14ac:dyDescent="0.3">
      <c r="B2043" s="2">
        <v>2</v>
      </c>
    </row>
    <row r="2044" spans="2:2" x14ac:dyDescent="0.3">
      <c r="B2044" s="2">
        <v>0</v>
      </c>
    </row>
    <row r="2045" spans="2:2" x14ac:dyDescent="0.3">
      <c r="B2045" s="2">
        <v>0</v>
      </c>
    </row>
    <row r="2046" spans="2:2" x14ac:dyDescent="0.3">
      <c r="B2046" s="2">
        <v>10.199999999999999</v>
      </c>
    </row>
    <row r="2047" spans="2:2" x14ac:dyDescent="0.3">
      <c r="B2047" s="2">
        <v>619</v>
      </c>
    </row>
    <row r="2048" spans="2:2" x14ac:dyDescent="0.3">
      <c r="B2048" s="2" t="s">
        <v>209</v>
      </c>
    </row>
    <row r="2049" spans="2:2" x14ac:dyDescent="0.3">
      <c r="B2049" s="2" t="s">
        <v>708</v>
      </c>
    </row>
    <row r="2050" spans="2:2" x14ac:dyDescent="0.3">
      <c r="B2050" s="2" t="s">
        <v>662</v>
      </c>
    </row>
    <row r="2051" spans="2:2" x14ac:dyDescent="0.3">
      <c r="B2051" s="2">
        <v>81</v>
      </c>
    </row>
    <row r="2052" spans="2:2" x14ac:dyDescent="0.3">
      <c r="B2052" s="2">
        <v>2</v>
      </c>
    </row>
    <row r="2053" spans="2:2" x14ac:dyDescent="0.3">
      <c r="B2053" s="2">
        <v>0</v>
      </c>
    </row>
    <row r="2054" spans="2:2" x14ac:dyDescent="0.3">
      <c r="B2054" s="2">
        <v>0</v>
      </c>
    </row>
    <row r="2055" spans="2:2" x14ac:dyDescent="0.3">
      <c r="B2055" s="2">
        <v>10.9</v>
      </c>
    </row>
    <row r="2056" spans="2:2" x14ac:dyDescent="0.3">
      <c r="B2056" s="2">
        <v>619</v>
      </c>
    </row>
    <row r="2057" spans="2:2" x14ac:dyDescent="0.3">
      <c r="B2057" s="2" t="s">
        <v>164</v>
      </c>
    </row>
    <row r="2058" spans="2:2" x14ac:dyDescent="0.3">
      <c r="B2058" s="2" t="s">
        <v>709</v>
      </c>
    </row>
    <row r="2059" spans="2:2" x14ac:dyDescent="0.3">
      <c r="B2059" s="2" t="s">
        <v>171</v>
      </c>
    </row>
    <row r="2060" spans="2:2" x14ac:dyDescent="0.3">
      <c r="B2060" s="2">
        <v>81</v>
      </c>
    </row>
    <row r="2061" spans="2:2" x14ac:dyDescent="0.3">
      <c r="B2061" s="2">
        <v>2</v>
      </c>
    </row>
    <row r="2062" spans="2:2" x14ac:dyDescent="0.3">
      <c r="B2062" s="2">
        <v>0</v>
      </c>
    </row>
    <row r="2063" spans="2:2" x14ac:dyDescent="0.3">
      <c r="B2063" s="2">
        <v>0</v>
      </c>
    </row>
    <row r="2064" spans="2:2" x14ac:dyDescent="0.3">
      <c r="B2064" s="2">
        <v>10.8</v>
      </c>
    </row>
    <row r="2065" spans="2:2" x14ac:dyDescent="0.3">
      <c r="B2065" s="2">
        <v>621</v>
      </c>
    </row>
    <row r="2066" spans="2:2" x14ac:dyDescent="0.3">
      <c r="B2066" s="2" t="s">
        <v>164</v>
      </c>
    </row>
    <row r="2067" spans="2:2" x14ac:dyDescent="0.3">
      <c r="B2067" s="2" t="s">
        <v>710</v>
      </c>
    </row>
    <row r="2068" spans="2:2" x14ac:dyDescent="0.3">
      <c r="B2068" s="2" t="s">
        <v>240</v>
      </c>
    </row>
    <row r="2069" spans="2:2" x14ac:dyDescent="0.3">
      <c r="B2069" s="2">
        <v>80</v>
      </c>
    </row>
    <row r="2070" spans="2:2" x14ac:dyDescent="0.3">
      <c r="B2070" s="2">
        <v>5</v>
      </c>
    </row>
    <row r="2071" spans="2:2" x14ac:dyDescent="0.3">
      <c r="B2071" s="2">
        <v>1</v>
      </c>
    </row>
    <row r="2072" spans="2:2" x14ac:dyDescent="0.3">
      <c r="B2072" s="2">
        <v>0</v>
      </c>
    </row>
    <row r="2073" spans="2:2" x14ac:dyDescent="0.3">
      <c r="B2073" s="2">
        <v>14.3</v>
      </c>
    </row>
    <row r="2074" spans="2:2" x14ac:dyDescent="0.3">
      <c r="B2074" s="2">
        <v>621</v>
      </c>
    </row>
    <row r="2075" spans="2:2" x14ac:dyDescent="0.3">
      <c r="B2075" s="2" t="s">
        <v>212</v>
      </c>
    </row>
    <row r="2076" spans="2:2" x14ac:dyDescent="0.3">
      <c r="B2076" s="2" t="s">
        <v>711</v>
      </c>
    </row>
    <row r="2077" spans="2:2" x14ac:dyDescent="0.3">
      <c r="B2077" s="2" t="s">
        <v>242</v>
      </c>
    </row>
    <row r="2078" spans="2:2" x14ac:dyDescent="0.3">
      <c r="B2078" s="2">
        <v>80</v>
      </c>
    </row>
    <row r="2079" spans="2:2" x14ac:dyDescent="0.3">
      <c r="B2079" s="2">
        <v>3</v>
      </c>
    </row>
    <row r="2080" spans="2:2" x14ac:dyDescent="0.3">
      <c r="B2080" s="2">
        <v>0</v>
      </c>
    </row>
    <row r="2081" spans="2:2" x14ac:dyDescent="0.3">
      <c r="B2081" s="2">
        <v>0</v>
      </c>
    </row>
    <row r="2082" spans="2:2" x14ac:dyDescent="0.3">
      <c r="B2082" s="2">
        <v>11.1</v>
      </c>
    </row>
    <row r="2083" spans="2:2" x14ac:dyDescent="0.3">
      <c r="B2083" s="2">
        <v>623</v>
      </c>
    </row>
    <row r="2084" spans="2:2" x14ac:dyDescent="0.3">
      <c r="B2084" s="2" t="s">
        <v>201</v>
      </c>
    </row>
    <row r="2085" spans="2:2" x14ac:dyDescent="0.3">
      <c r="B2085" s="2" t="s">
        <v>712</v>
      </c>
    </row>
    <row r="2086" spans="2:2" x14ac:dyDescent="0.3">
      <c r="B2086" s="2" t="s">
        <v>208</v>
      </c>
    </row>
    <row r="2087" spans="2:2" x14ac:dyDescent="0.3">
      <c r="B2087" s="2">
        <v>79</v>
      </c>
    </row>
    <row r="2088" spans="2:2" x14ac:dyDescent="0.3">
      <c r="B2088" s="2">
        <v>3</v>
      </c>
    </row>
    <row r="2089" spans="2:2" x14ac:dyDescent="0.3">
      <c r="B2089" s="2">
        <v>0</v>
      </c>
    </row>
    <row r="2090" spans="2:2" x14ac:dyDescent="0.3">
      <c r="B2090" s="2">
        <v>0</v>
      </c>
    </row>
    <row r="2091" spans="2:2" x14ac:dyDescent="0.3">
      <c r="B2091" s="2">
        <v>10.199999999999999</v>
      </c>
    </row>
    <row r="2092" spans="2:2" x14ac:dyDescent="0.3">
      <c r="B2092" s="2">
        <v>623</v>
      </c>
    </row>
    <row r="2093" spans="2:2" x14ac:dyDescent="0.3">
      <c r="B2093" s="2" t="s">
        <v>162</v>
      </c>
    </row>
    <row r="2094" spans="2:2" x14ac:dyDescent="0.3">
      <c r="B2094" s="2" t="s">
        <v>713</v>
      </c>
    </row>
    <row r="2095" spans="2:2" x14ac:dyDescent="0.3">
      <c r="B2095" s="2" t="s">
        <v>181</v>
      </c>
    </row>
    <row r="2096" spans="2:2" x14ac:dyDescent="0.3">
      <c r="B2096" s="2">
        <v>79</v>
      </c>
    </row>
    <row r="2097" spans="2:2" x14ac:dyDescent="0.3">
      <c r="B2097" s="2">
        <v>3</v>
      </c>
    </row>
    <row r="2098" spans="2:2" x14ac:dyDescent="0.3">
      <c r="B2098" s="2">
        <v>0</v>
      </c>
    </row>
    <row r="2099" spans="2:2" x14ac:dyDescent="0.3">
      <c r="B2099" s="2">
        <v>0</v>
      </c>
    </row>
    <row r="2100" spans="2:2" x14ac:dyDescent="0.3">
      <c r="B2100" s="2">
        <v>9.8000000000000007</v>
      </c>
    </row>
    <row r="2101" spans="2:2" x14ac:dyDescent="0.3">
      <c r="B2101" s="2">
        <v>625</v>
      </c>
    </row>
    <row r="2102" spans="2:2" x14ac:dyDescent="0.3">
      <c r="B2102" s="2" t="s">
        <v>67</v>
      </c>
    </row>
    <row r="2103" spans="2:2" x14ac:dyDescent="0.3">
      <c r="B2103" s="2" t="s">
        <v>714</v>
      </c>
    </row>
    <row r="2104" spans="2:2" x14ac:dyDescent="0.3">
      <c r="B2104" s="2" t="s">
        <v>104</v>
      </c>
    </row>
    <row r="2105" spans="2:2" x14ac:dyDescent="0.3">
      <c r="B2105" s="2">
        <v>78</v>
      </c>
    </row>
    <row r="2106" spans="2:2" x14ac:dyDescent="0.3">
      <c r="B2106" s="2">
        <v>4</v>
      </c>
    </row>
    <row r="2107" spans="2:2" x14ac:dyDescent="0.3">
      <c r="B2107" s="2">
        <v>0</v>
      </c>
    </row>
    <row r="2108" spans="2:2" x14ac:dyDescent="0.3">
      <c r="B2108" s="2">
        <v>0</v>
      </c>
    </row>
    <row r="2109" spans="2:2" x14ac:dyDescent="0.3">
      <c r="B2109" s="2">
        <v>11.6</v>
      </c>
    </row>
    <row r="2110" spans="2:2" x14ac:dyDescent="0.3">
      <c r="B2110" s="2">
        <v>626</v>
      </c>
    </row>
    <row r="2111" spans="2:2" x14ac:dyDescent="0.3">
      <c r="B2111" s="2" t="s">
        <v>250</v>
      </c>
    </row>
    <row r="2112" spans="2:2" x14ac:dyDescent="0.3">
      <c r="B2112" s="2" t="s">
        <v>715</v>
      </c>
    </row>
    <row r="2113" spans="2:2" x14ac:dyDescent="0.3">
      <c r="B2113" s="2" t="s">
        <v>299</v>
      </c>
    </row>
    <row r="2114" spans="2:2" x14ac:dyDescent="0.3">
      <c r="B2114" s="2">
        <v>75</v>
      </c>
    </row>
    <row r="2115" spans="2:2" x14ac:dyDescent="0.3">
      <c r="B2115" s="2">
        <v>5</v>
      </c>
    </row>
    <row r="2116" spans="2:2" x14ac:dyDescent="0.3">
      <c r="B2116" s="2">
        <v>0</v>
      </c>
    </row>
    <row r="2117" spans="2:2" x14ac:dyDescent="0.3">
      <c r="B2117" s="2">
        <v>0</v>
      </c>
    </row>
    <row r="2118" spans="2:2" x14ac:dyDescent="0.3">
      <c r="B2118" s="2">
        <v>10.1</v>
      </c>
    </row>
    <row r="2119" spans="2:2" x14ac:dyDescent="0.3">
      <c r="B2119" s="2">
        <v>626</v>
      </c>
    </row>
    <row r="2120" spans="2:2" x14ac:dyDescent="0.3">
      <c r="B2120" s="2" t="s">
        <v>166</v>
      </c>
    </row>
    <row r="2121" spans="2:2" x14ac:dyDescent="0.3">
      <c r="B2121" s="2" t="s">
        <v>716</v>
      </c>
    </row>
    <row r="2122" spans="2:2" x14ac:dyDescent="0.3">
      <c r="B2122" s="2" t="s">
        <v>175</v>
      </c>
    </row>
    <row r="2123" spans="2:2" x14ac:dyDescent="0.3">
      <c r="B2123" s="2">
        <v>75</v>
      </c>
    </row>
    <row r="2124" spans="2:2" x14ac:dyDescent="0.3">
      <c r="B2124" s="2">
        <v>4</v>
      </c>
    </row>
    <row r="2125" spans="2:2" x14ac:dyDescent="0.3">
      <c r="B2125" s="2">
        <v>0</v>
      </c>
    </row>
    <row r="2126" spans="2:2" x14ac:dyDescent="0.3">
      <c r="B2126" s="2">
        <v>0</v>
      </c>
    </row>
    <row r="2127" spans="2:2" x14ac:dyDescent="0.3">
      <c r="B2127" s="2">
        <v>11.7</v>
      </c>
    </row>
    <row r="2128" spans="2:2" x14ac:dyDescent="0.3">
      <c r="B2128" s="2">
        <v>626</v>
      </c>
    </row>
    <row r="2129" spans="2:2" x14ac:dyDescent="0.3">
      <c r="B2129" s="2" t="s">
        <v>345</v>
      </c>
    </row>
    <row r="2130" spans="2:2" x14ac:dyDescent="0.3">
      <c r="B2130" s="2" t="s">
        <v>717</v>
      </c>
    </row>
    <row r="2131" spans="2:2" x14ac:dyDescent="0.3">
      <c r="B2131" s="2" t="s">
        <v>362</v>
      </c>
    </row>
    <row r="2132" spans="2:2" x14ac:dyDescent="0.3">
      <c r="B2132" s="2">
        <v>75</v>
      </c>
    </row>
    <row r="2133" spans="2:2" x14ac:dyDescent="0.3">
      <c r="B2133" s="2">
        <v>4</v>
      </c>
    </row>
    <row r="2134" spans="2:2" x14ac:dyDescent="0.3">
      <c r="B2134" s="2">
        <v>0</v>
      </c>
    </row>
    <row r="2135" spans="2:2" x14ac:dyDescent="0.3">
      <c r="B2135" s="2">
        <v>0</v>
      </c>
    </row>
    <row r="2136" spans="2:2" x14ac:dyDescent="0.3">
      <c r="B2136" s="2">
        <v>11.2</v>
      </c>
    </row>
    <row r="2137" spans="2:2" x14ac:dyDescent="0.3">
      <c r="B2137" s="2">
        <v>629</v>
      </c>
    </row>
    <row r="2138" spans="2:2" x14ac:dyDescent="0.3">
      <c r="B2138" s="2" t="s">
        <v>228</v>
      </c>
    </row>
    <row r="2139" spans="2:2" x14ac:dyDescent="0.3">
      <c r="B2139" s="2" t="s">
        <v>718</v>
      </c>
    </row>
    <row r="2140" spans="2:2" x14ac:dyDescent="0.3">
      <c r="B2140" s="2" t="s">
        <v>307</v>
      </c>
    </row>
    <row r="2141" spans="2:2" x14ac:dyDescent="0.3">
      <c r="B2141" s="2">
        <v>74</v>
      </c>
    </row>
    <row r="2142" spans="2:2" x14ac:dyDescent="0.3">
      <c r="B2142" s="2">
        <v>2</v>
      </c>
    </row>
    <row r="2143" spans="2:2" x14ac:dyDescent="0.3">
      <c r="B2143" s="2">
        <v>0</v>
      </c>
    </row>
    <row r="2144" spans="2:2" x14ac:dyDescent="0.3">
      <c r="B2144" s="2">
        <v>0</v>
      </c>
    </row>
    <row r="2145" spans="2:2" x14ac:dyDescent="0.3">
      <c r="B2145" s="2">
        <v>8.4</v>
      </c>
    </row>
    <row r="2146" spans="2:2" x14ac:dyDescent="0.3">
      <c r="B2146" s="2">
        <v>630</v>
      </c>
    </row>
    <row r="2147" spans="2:2" x14ac:dyDescent="0.3">
      <c r="B2147" s="2" t="s">
        <v>19</v>
      </c>
    </row>
    <row r="2148" spans="2:2" x14ac:dyDescent="0.3">
      <c r="B2148" s="2" t="s">
        <v>719</v>
      </c>
    </row>
    <row r="2149" spans="2:2" x14ac:dyDescent="0.3">
      <c r="B2149" s="2" t="s">
        <v>267</v>
      </c>
    </row>
    <row r="2150" spans="2:2" x14ac:dyDescent="0.3">
      <c r="B2150" s="2">
        <v>73</v>
      </c>
    </row>
    <row r="2151" spans="2:2" x14ac:dyDescent="0.3">
      <c r="B2151" s="2">
        <v>3</v>
      </c>
    </row>
    <row r="2152" spans="2:2" x14ac:dyDescent="0.3">
      <c r="B2152" s="2">
        <v>1</v>
      </c>
    </row>
    <row r="2153" spans="2:2" x14ac:dyDescent="0.3">
      <c r="B2153" s="2">
        <v>0</v>
      </c>
    </row>
    <row r="2154" spans="2:2" x14ac:dyDescent="0.3">
      <c r="B2154" s="2">
        <v>10</v>
      </c>
    </row>
    <row r="2155" spans="2:2" x14ac:dyDescent="0.3">
      <c r="B2155" s="2">
        <v>630</v>
      </c>
    </row>
    <row r="2156" spans="2:2" x14ac:dyDescent="0.3">
      <c r="B2156" s="2" t="s">
        <v>162</v>
      </c>
    </row>
    <row r="2157" spans="2:2" x14ac:dyDescent="0.3">
      <c r="B2157" s="2" t="s">
        <v>720</v>
      </c>
    </row>
    <row r="2158" spans="2:2" x14ac:dyDescent="0.3">
      <c r="B2158" s="2" t="s">
        <v>173</v>
      </c>
    </row>
    <row r="2159" spans="2:2" x14ac:dyDescent="0.3">
      <c r="B2159" s="2">
        <v>73</v>
      </c>
    </row>
    <row r="2160" spans="2:2" x14ac:dyDescent="0.3">
      <c r="B2160" s="2">
        <v>1</v>
      </c>
    </row>
    <row r="2161" spans="2:2" x14ac:dyDescent="0.3">
      <c r="B2161" s="2">
        <v>0</v>
      </c>
    </row>
    <row r="2162" spans="2:2" x14ac:dyDescent="0.3">
      <c r="B2162" s="2">
        <v>0</v>
      </c>
    </row>
    <row r="2163" spans="2:2" x14ac:dyDescent="0.3">
      <c r="B2163" s="2">
        <v>8.4</v>
      </c>
    </row>
    <row r="2164" spans="2:2" x14ac:dyDescent="0.3">
      <c r="B2164" s="2">
        <v>632</v>
      </c>
    </row>
    <row r="2165" spans="2:2" x14ac:dyDescent="0.3">
      <c r="B2165" s="2" t="s">
        <v>119</v>
      </c>
    </row>
    <row r="2166" spans="2:2" x14ac:dyDescent="0.3">
      <c r="B2166" s="2" t="s">
        <v>721</v>
      </c>
    </row>
    <row r="2167" spans="2:2" x14ac:dyDescent="0.3">
      <c r="B2167" s="2" t="s">
        <v>120</v>
      </c>
    </row>
    <row r="2168" spans="2:2" x14ac:dyDescent="0.3">
      <c r="B2168" s="2">
        <v>71</v>
      </c>
    </row>
    <row r="2169" spans="2:2" x14ac:dyDescent="0.3">
      <c r="B2169" s="2">
        <v>5</v>
      </c>
    </row>
    <row r="2170" spans="2:2" x14ac:dyDescent="0.3">
      <c r="B2170" s="2">
        <v>0</v>
      </c>
    </row>
    <row r="2171" spans="2:2" x14ac:dyDescent="0.3">
      <c r="B2171" s="2">
        <v>0</v>
      </c>
    </row>
    <row r="2172" spans="2:2" x14ac:dyDescent="0.3">
      <c r="B2172" s="2">
        <v>13.8</v>
      </c>
    </row>
    <row r="2173" spans="2:2" x14ac:dyDescent="0.3">
      <c r="B2173" s="2">
        <v>632</v>
      </c>
    </row>
    <row r="2174" spans="2:2" x14ac:dyDescent="0.3">
      <c r="B2174" s="2" t="s">
        <v>75</v>
      </c>
    </row>
    <row r="2175" spans="2:2" x14ac:dyDescent="0.3">
      <c r="B2175" s="2" t="s">
        <v>722</v>
      </c>
    </row>
    <row r="2176" spans="2:2" x14ac:dyDescent="0.3">
      <c r="B2176" s="2" t="s">
        <v>183</v>
      </c>
    </row>
    <row r="2177" spans="2:2" x14ac:dyDescent="0.3">
      <c r="B2177" s="2">
        <v>71</v>
      </c>
    </row>
    <row r="2178" spans="2:2" x14ac:dyDescent="0.3">
      <c r="B2178" s="2">
        <v>1</v>
      </c>
    </row>
    <row r="2179" spans="2:2" x14ac:dyDescent="0.3">
      <c r="B2179" s="2">
        <v>0</v>
      </c>
    </row>
    <row r="2180" spans="2:2" x14ac:dyDescent="0.3">
      <c r="B2180" s="2">
        <v>0</v>
      </c>
    </row>
    <row r="2181" spans="2:2" x14ac:dyDescent="0.3">
      <c r="B2181" s="2">
        <v>8.1</v>
      </c>
    </row>
    <row r="2182" spans="2:2" x14ac:dyDescent="0.3">
      <c r="B2182" s="2">
        <v>634</v>
      </c>
    </row>
    <row r="2183" spans="2:2" x14ac:dyDescent="0.3">
      <c r="B2183" s="2" t="s">
        <v>121</v>
      </c>
    </row>
    <row r="2184" spans="2:2" x14ac:dyDescent="0.3">
      <c r="B2184" s="2" t="s">
        <v>723</v>
      </c>
    </row>
    <row r="2185" spans="2:2" x14ac:dyDescent="0.3">
      <c r="B2185" s="2" t="s">
        <v>123</v>
      </c>
    </row>
    <row r="2186" spans="2:2" x14ac:dyDescent="0.3">
      <c r="B2186" s="2">
        <v>70</v>
      </c>
    </row>
    <row r="2187" spans="2:2" x14ac:dyDescent="0.3">
      <c r="B2187" s="2">
        <v>4</v>
      </c>
    </row>
    <row r="2188" spans="2:2" x14ac:dyDescent="0.3">
      <c r="B2188" s="2">
        <v>0</v>
      </c>
    </row>
    <row r="2189" spans="2:2" x14ac:dyDescent="0.3">
      <c r="B2189" s="2">
        <v>0</v>
      </c>
    </row>
    <row r="2190" spans="2:2" x14ac:dyDescent="0.3">
      <c r="B2190" s="2">
        <v>8.3000000000000007</v>
      </c>
    </row>
    <row r="2191" spans="2:2" x14ac:dyDescent="0.3">
      <c r="B2191" s="2">
        <v>635</v>
      </c>
    </row>
    <row r="2192" spans="2:2" x14ac:dyDescent="0.3">
      <c r="B2192" s="2" t="s">
        <v>218</v>
      </c>
    </row>
    <row r="2193" spans="2:2" x14ac:dyDescent="0.3">
      <c r="B2193" s="2" t="s">
        <v>724</v>
      </c>
    </row>
    <row r="2194" spans="2:2" x14ac:dyDescent="0.3">
      <c r="B2194" s="2" t="s">
        <v>290</v>
      </c>
    </row>
    <row r="2195" spans="2:2" x14ac:dyDescent="0.3">
      <c r="B2195" s="2">
        <v>68</v>
      </c>
    </row>
    <row r="2196" spans="2:2" x14ac:dyDescent="0.3">
      <c r="B2196" s="2">
        <v>6</v>
      </c>
    </row>
    <row r="2197" spans="2:2" x14ac:dyDescent="0.3">
      <c r="B2197" s="2">
        <v>0</v>
      </c>
    </row>
    <row r="2198" spans="2:2" x14ac:dyDescent="0.3">
      <c r="B2198" s="2">
        <v>0</v>
      </c>
    </row>
    <row r="2199" spans="2:2" x14ac:dyDescent="0.3">
      <c r="B2199" s="2">
        <v>11.8</v>
      </c>
    </row>
    <row r="2200" spans="2:2" x14ac:dyDescent="0.3">
      <c r="B2200" s="2">
        <v>635</v>
      </c>
    </row>
    <row r="2201" spans="2:2" x14ac:dyDescent="0.3">
      <c r="B2201" s="2" t="s">
        <v>198</v>
      </c>
    </row>
    <row r="2202" spans="2:2" x14ac:dyDescent="0.3">
      <c r="B2202" s="2" t="s">
        <v>725</v>
      </c>
    </row>
    <row r="2203" spans="2:2" x14ac:dyDescent="0.3">
      <c r="B2203" s="2" t="s">
        <v>260</v>
      </c>
    </row>
    <row r="2204" spans="2:2" x14ac:dyDescent="0.3">
      <c r="B2204" s="2">
        <v>68</v>
      </c>
    </row>
    <row r="2205" spans="2:2" x14ac:dyDescent="0.3">
      <c r="B2205" s="2">
        <v>3</v>
      </c>
    </row>
    <row r="2206" spans="2:2" x14ac:dyDescent="0.3">
      <c r="B2206" s="2">
        <v>0</v>
      </c>
    </row>
    <row r="2207" spans="2:2" x14ac:dyDescent="0.3">
      <c r="B2207" s="2">
        <v>0</v>
      </c>
    </row>
    <row r="2208" spans="2:2" x14ac:dyDescent="0.3">
      <c r="B2208" s="2">
        <v>8.6</v>
      </c>
    </row>
    <row r="2209" spans="2:2" x14ac:dyDescent="0.3">
      <c r="B2209" s="2">
        <v>635</v>
      </c>
    </row>
    <row r="2210" spans="2:2" x14ac:dyDescent="0.3">
      <c r="B2210" s="2" t="s">
        <v>166</v>
      </c>
    </row>
    <row r="2211" spans="2:2" x14ac:dyDescent="0.3">
      <c r="B2211" s="2" t="s">
        <v>608</v>
      </c>
    </row>
    <row r="2212" spans="2:2" x14ac:dyDescent="0.3">
      <c r="B2212" s="2" t="s">
        <v>274</v>
      </c>
    </row>
    <row r="2213" spans="2:2" x14ac:dyDescent="0.3">
      <c r="B2213" s="2">
        <v>68</v>
      </c>
    </row>
    <row r="2214" spans="2:2" x14ac:dyDescent="0.3">
      <c r="B2214" s="2">
        <v>1</v>
      </c>
    </row>
    <row r="2215" spans="2:2" x14ac:dyDescent="0.3">
      <c r="B2215" s="2">
        <v>0</v>
      </c>
    </row>
    <row r="2216" spans="2:2" x14ac:dyDescent="0.3">
      <c r="B2216" s="2">
        <v>0</v>
      </c>
    </row>
    <row r="2217" spans="2:2" x14ac:dyDescent="0.3">
      <c r="B2217" s="2">
        <v>8.3000000000000007</v>
      </c>
    </row>
    <row r="2218" spans="2:2" x14ac:dyDescent="0.3">
      <c r="B2218" s="2">
        <v>635</v>
      </c>
    </row>
    <row r="2219" spans="2:2" x14ac:dyDescent="0.3">
      <c r="B2219" s="2" t="s">
        <v>166</v>
      </c>
    </row>
    <row r="2220" spans="2:2" x14ac:dyDescent="0.3">
      <c r="B2220" s="2" t="s">
        <v>148</v>
      </c>
    </row>
    <row r="2221" spans="2:2" x14ac:dyDescent="0.3">
      <c r="B2221" s="2" t="s">
        <v>168</v>
      </c>
    </row>
    <row r="2222" spans="2:2" x14ac:dyDescent="0.3">
      <c r="B2222" s="2">
        <v>68</v>
      </c>
    </row>
    <row r="2223" spans="2:2" x14ac:dyDescent="0.3">
      <c r="B2223" s="2">
        <v>1</v>
      </c>
    </row>
    <row r="2224" spans="2:2" x14ac:dyDescent="0.3">
      <c r="B2224" s="2">
        <v>0</v>
      </c>
    </row>
    <row r="2225" spans="2:2" x14ac:dyDescent="0.3">
      <c r="B2225" s="2">
        <v>0</v>
      </c>
    </row>
    <row r="2226" spans="2:2" x14ac:dyDescent="0.3">
      <c r="B2226" s="2">
        <v>4.4000000000000004</v>
      </c>
    </row>
    <row r="2227" spans="2:2" x14ac:dyDescent="0.3">
      <c r="B2227" s="2">
        <v>639</v>
      </c>
    </row>
    <row r="2228" spans="2:2" x14ac:dyDescent="0.3">
      <c r="B2228" s="2" t="s">
        <v>166</v>
      </c>
    </row>
    <row r="2229" spans="2:2" x14ac:dyDescent="0.3">
      <c r="B2229" s="2" t="s">
        <v>726</v>
      </c>
    </row>
    <row r="2230" spans="2:2" x14ac:dyDescent="0.3">
      <c r="B2230" s="2" t="s">
        <v>175</v>
      </c>
    </row>
    <row r="2231" spans="2:2" x14ac:dyDescent="0.3">
      <c r="B2231" s="2">
        <v>67</v>
      </c>
    </row>
    <row r="2232" spans="2:2" x14ac:dyDescent="0.3">
      <c r="B2232" s="2">
        <v>2</v>
      </c>
    </row>
    <row r="2233" spans="2:2" x14ac:dyDescent="0.3">
      <c r="B2233" s="2">
        <v>0</v>
      </c>
    </row>
    <row r="2234" spans="2:2" x14ac:dyDescent="0.3">
      <c r="B2234" s="2">
        <v>0</v>
      </c>
    </row>
    <row r="2235" spans="2:2" x14ac:dyDescent="0.3">
      <c r="B2235" s="2">
        <v>7.1</v>
      </c>
    </row>
    <row r="2236" spans="2:2" x14ac:dyDescent="0.3">
      <c r="B2236" s="2">
        <v>640</v>
      </c>
    </row>
    <row r="2237" spans="2:2" x14ac:dyDescent="0.3">
      <c r="B2237" s="2" t="s">
        <v>107</v>
      </c>
    </row>
    <row r="2238" spans="2:2" x14ac:dyDescent="0.3">
      <c r="B2238" s="2" t="s">
        <v>727</v>
      </c>
    </row>
    <row r="2239" spans="2:2" x14ac:dyDescent="0.3">
      <c r="B2239" s="2" t="s">
        <v>156</v>
      </c>
    </row>
    <row r="2240" spans="2:2" x14ac:dyDescent="0.3">
      <c r="B2240" s="2">
        <v>66</v>
      </c>
    </row>
    <row r="2241" spans="2:2" x14ac:dyDescent="0.3">
      <c r="B2241" s="2">
        <v>5</v>
      </c>
    </row>
    <row r="2242" spans="2:2" x14ac:dyDescent="0.3">
      <c r="B2242" s="2">
        <v>0</v>
      </c>
    </row>
    <row r="2243" spans="2:2" x14ac:dyDescent="0.3">
      <c r="B2243" s="2">
        <v>0</v>
      </c>
    </row>
    <row r="2244" spans="2:2" x14ac:dyDescent="0.3">
      <c r="B2244" s="2">
        <v>11.6</v>
      </c>
    </row>
    <row r="2245" spans="2:2" x14ac:dyDescent="0.3">
      <c r="B2245" s="2">
        <v>640</v>
      </c>
    </row>
    <row r="2246" spans="2:2" x14ac:dyDescent="0.3">
      <c r="B2246" s="2" t="s">
        <v>15</v>
      </c>
    </row>
    <row r="2247" spans="2:2" x14ac:dyDescent="0.3">
      <c r="B2247" s="2" t="s">
        <v>728</v>
      </c>
    </row>
    <row r="2248" spans="2:2" x14ac:dyDescent="0.3">
      <c r="B2248" s="2" t="s">
        <v>70</v>
      </c>
    </row>
    <row r="2249" spans="2:2" x14ac:dyDescent="0.3">
      <c r="B2249" s="2">
        <v>66</v>
      </c>
    </row>
    <row r="2250" spans="2:2" x14ac:dyDescent="0.3">
      <c r="B2250" s="2">
        <v>1</v>
      </c>
    </row>
    <row r="2251" spans="2:2" x14ac:dyDescent="0.3">
      <c r="B2251" s="2">
        <v>0</v>
      </c>
    </row>
    <row r="2252" spans="2:2" x14ac:dyDescent="0.3">
      <c r="B2252" s="2">
        <v>0</v>
      </c>
    </row>
    <row r="2253" spans="2:2" x14ac:dyDescent="0.3">
      <c r="B2253" s="2">
        <v>7.7</v>
      </c>
    </row>
    <row r="2254" spans="2:2" x14ac:dyDescent="0.3">
      <c r="B2254" s="2">
        <v>642</v>
      </c>
    </row>
    <row r="2255" spans="2:2" x14ac:dyDescent="0.3">
      <c r="B2255" s="2" t="s">
        <v>162</v>
      </c>
    </row>
    <row r="2256" spans="2:2" x14ac:dyDescent="0.3">
      <c r="B2256" s="2" t="s">
        <v>729</v>
      </c>
    </row>
    <row r="2257" spans="2:2" x14ac:dyDescent="0.3">
      <c r="B2257" s="2" t="s">
        <v>173</v>
      </c>
    </row>
    <row r="2258" spans="2:2" x14ac:dyDescent="0.3">
      <c r="B2258" s="2">
        <v>63</v>
      </c>
    </row>
    <row r="2259" spans="2:2" x14ac:dyDescent="0.3">
      <c r="B2259" s="2">
        <v>2</v>
      </c>
    </row>
    <row r="2260" spans="2:2" x14ac:dyDescent="0.3">
      <c r="B2260" s="2">
        <v>0</v>
      </c>
    </row>
    <row r="2261" spans="2:2" x14ac:dyDescent="0.3">
      <c r="B2261" s="2">
        <v>0</v>
      </c>
    </row>
    <row r="2262" spans="2:2" x14ac:dyDescent="0.3">
      <c r="B2262" s="2">
        <v>7.8</v>
      </c>
    </row>
    <row r="2263" spans="2:2" x14ac:dyDescent="0.3">
      <c r="B2263" s="2">
        <v>643</v>
      </c>
    </row>
    <row r="2264" spans="2:2" x14ac:dyDescent="0.3">
      <c r="B2264" s="2" t="s">
        <v>250</v>
      </c>
    </row>
    <row r="2265" spans="2:2" x14ac:dyDescent="0.3">
      <c r="B2265" s="2" t="s">
        <v>730</v>
      </c>
    </row>
    <row r="2266" spans="2:2" x14ac:dyDescent="0.3">
      <c r="B2266" s="2" t="s">
        <v>299</v>
      </c>
    </row>
    <row r="2267" spans="2:2" x14ac:dyDescent="0.3">
      <c r="B2267" s="2">
        <v>60</v>
      </c>
    </row>
    <row r="2268" spans="2:2" x14ac:dyDescent="0.3">
      <c r="B2268" s="2">
        <v>4</v>
      </c>
    </row>
    <row r="2269" spans="2:2" x14ac:dyDescent="0.3">
      <c r="B2269" s="2">
        <v>0</v>
      </c>
    </row>
    <row r="2270" spans="2:2" x14ac:dyDescent="0.3">
      <c r="B2270" s="2">
        <v>0</v>
      </c>
    </row>
    <row r="2271" spans="2:2" x14ac:dyDescent="0.3">
      <c r="B2271" s="2">
        <v>9.4</v>
      </c>
    </row>
    <row r="2272" spans="2:2" x14ac:dyDescent="0.3">
      <c r="B2272" s="2">
        <v>643</v>
      </c>
    </row>
    <row r="2273" spans="2:2" x14ac:dyDescent="0.3">
      <c r="B2273" s="2" t="s">
        <v>253</v>
      </c>
    </row>
    <row r="2274" spans="2:2" x14ac:dyDescent="0.3">
      <c r="B2274" s="2" t="s">
        <v>731</v>
      </c>
    </row>
    <row r="2275" spans="2:2" x14ac:dyDescent="0.3">
      <c r="B2275" s="2" t="s">
        <v>255</v>
      </c>
    </row>
    <row r="2276" spans="2:2" x14ac:dyDescent="0.3">
      <c r="B2276" s="2">
        <v>60</v>
      </c>
    </row>
    <row r="2277" spans="2:2" x14ac:dyDescent="0.3">
      <c r="B2277" s="2">
        <v>3</v>
      </c>
    </row>
    <row r="2278" spans="2:2" x14ac:dyDescent="0.3">
      <c r="B2278" s="2">
        <v>0</v>
      </c>
    </row>
    <row r="2279" spans="2:2" x14ac:dyDescent="0.3">
      <c r="B2279" s="2">
        <v>0</v>
      </c>
    </row>
    <row r="2280" spans="2:2" x14ac:dyDescent="0.3">
      <c r="B2280" s="2">
        <v>8.6999999999999993</v>
      </c>
    </row>
    <row r="2281" spans="2:2" x14ac:dyDescent="0.3">
      <c r="B2281" s="2">
        <v>643</v>
      </c>
    </row>
    <row r="2282" spans="2:2" x14ac:dyDescent="0.3">
      <c r="B2282" s="2" t="s">
        <v>228</v>
      </c>
    </row>
    <row r="2283" spans="2:2" x14ac:dyDescent="0.3">
      <c r="B2283" s="2" t="s">
        <v>732</v>
      </c>
    </row>
    <row r="2284" spans="2:2" x14ac:dyDescent="0.3">
      <c r="B2284" s="2" t="s">
        <v>283</v>
      </c>
    </row>
    <row r="2285" spans="2:2" x14ac:dyDescent="0.3">
      <c r="B2285" s="2">
        <v>60</v>
      </c>
    </row>
    <row r="2286" spans="2:2" x14ac:dyDescent="0.3">
      <c r="B2286" s="2">
        <v>2</v>
      </c>
    </row>
    <row r="2287" spans="2:2" x14ac:dyDescent="0.3">
      <c r="B2287" s="2">
        <v>0</v>
      </c>
    </row>
    <row r="2288" spans="2:2" x14ac:dyDescent="0.3">
      <c r="B2288" s="2">
        <v>0</v>
      </c>
    </row>
    <row r="2289" spans="2:2" x14ac:dyDescent="0.3">
      <c r="B2289" s="2">
        <v>7.6</v>
      </c>
    </row>
    <row r="2290" spans="2:2" x14ac:dyDescent="0.3">
      <c r="B2290" s="2">
        <v>646</v>
      </c>
    </row>
    <row r="2291" spans="2:2" x14ac:dyDescent="0.3">
      <c r="B2291" s="2" t="s">
        <v>16</v>
      </c>
    </row>
    <row r="2292" spans="2:2" x14ac:dyDescent="0.3">
      <c r="B2292" s="2" t="s">
        <v>733</v>
      </c>
    </row>
    <row r="2293" spans="2:2" x14ac:dyDescent="0.3">
      <c r="B2293" s="2" t="s">
        <v>74</v>
      </c>
    </row>
    <row r="2294" spans="2:2" x14ac:dyDescent="0.3">
      <c r="B2294" s="2">
        <v>59</v>
      </c>
    </row>
    <row r="2295" spans="2:2" x14ac:dyDescent="0.3">
      <c r="B2295" s="2">
        <v>1</v>
      </c>
    </row>
    <row r="2296" spans="2:2" x14ac:dyDescent="0.3">
      <c r="B2296" s="2">
        <v>0</v>
      </c>
    </row>
    <row r="2297" spans="2:2" x14ac:dyDescent="0.3">
      <c r="B2297" s="2">
        <v>0</v>
      </c>
    </row>
    <row r="2298" spans="2:2" x14ac:dyDescent="0.3">
      <c r="B2298" s="2">
        <v>7.9</v>
      </c>
    </row>
    <row r="2299" spans="2:2" x14ac:dyDescent="0.3">
      <c r="B2299" s="2">
        <v>647</v>
      </c>
    </row>
    <row r="2300" spans="2:2" x14ac:dyDescent="0.3">
      <c r="B2300" s="2" t="s">
        <v>332</v>
      </c>
    </row>
    <row r="2301" spans="2:2" x14ac:dyDescent="0.3">
      <c r="B2301" s="2" t="s">
        <v>734</v>
      </c>
    </row>
    <row r="2302" spans="2:2" x14ac:dyDescent="0.3">
      <c r="B2302" s="2" t="s">
        <v>333</v>
      </c>
    </row>
    <row r="2303" spans="2:2" x14ac:dyDescent="0.3">
      <c r="B2303" s="2">
        <v>56</v>
      </c>
    </row>
    <row r="2304" spans="2:2" x14ac:dyDescent="0.3">
      <c r="B2304" s="2">
        <v>3</v>
      </c>
    </row>
    <row r="2305" spans="2:2" x14ac:dyDescent="0.3">
      <c r="B2305" s="2">
        <v>0</v>
      </c>
    </row>
    <row r="2306" spans="2:2" x14ac:dyDescent="0.3">
      <c r="B2306" s="2">
        <v>0</v>
      </c>
    </row>
    <row r="2307" spans="2:2" x14ac:dyDescent="0.3">
      <c r="B2307" s="2">
        <v>8.1</v>
      </c>
    </row>
    <row r="2308" spans="2:2" x14ac:dyDescent="0.3">
      <c r="B2308" s="2">
        <v>647</v>
      </c>
    </row>
    <row r="2309" spans="2:2" x14ac:dyDescent="0.3">
      <c r="B2309" s="2" t="s">
        <v>231</v>
      </c>
    </row>
    <row r="2310" spans="2:2" x14ac:dyDescent="0.3">
      <c r="B2310" s="2" t="s">
        <v>735</v>
      </c>
    </row>
    <row r="2311" spans="2:2" x14ac:dyDescent="0.3">
      <c r="B2311" s="2" t="s">
        <v>331</v>
      </c>
    </row>
    <row r="2312" spans="2:2" x14ac:dyDescent="0.3">
      <c r="B2312" s="2">
        <v>56</v>
      </c>
    </row>
    <row r="2313" spans="2:2" x14ac:dyDescent="0.3">
      <c r="B2313" s="2">
        <v>3</v>
      </c>
    </row>
    <row r="2314" spans="2:2" x14ac:dyDescent="0.3">
      <c r="B2314" s="2">
        <v>0</v>
      </c>
    </row>
    <row r="2315" spans="2:2" x14ac:dyDescent="0.3">
      <c r="B2315" s="2">
        <v>0</v>
      </c>
    </row>
    <row r="2316" spans="2:2" x14ac:dyDescent="0.3">
      <c r="B2316" s="2">
        <v>8.1</v>
      </c>
    </row>
    <row r="2317" spans="2:2" x14ac:dyDescent="0.3">
      <c r="B2317" s="2">
        <v>647</v>
      </c>
    </row>
    <row r="2318" spans="2:2" x14ac:dyDescent="0.3">
      <c r="B2318" s="2" t="s">
        <v>216</v>
      </c>
    </row>
    <row r="2319" spans="2:2" x14ac:dyDescent="0.3">
      <c r="B2319" s="2" t="s">
        <v>736</v>
      </c>
    </row>
    <row r="2320" spans="2:2" x14ac:dyDescent="0.3">
      <c r="B2320" s="2" t="s">
        <v>313</v>
      </c>
    </row>
    <row r="2321" spans="2:2" x14ac:dyDescent="0.3">
      <c r="B2321" s="2">
        <v>56</v>
      </c>
    </row>
    <row r="2322" spans="2:2" x14ac:dyDescent="0.3">
      <c r="B2322" s="2">
        <v>2</v>
      </c>
    </row>
    <row r="2323" spans="2:2" x14ac:dyDescent="0.3">
      <c r="B2323" s="2">
        <v>0</v>
      </c>
    </row>
    <row r="2324" spans="2:2" x14ac:dyDescent="0.3">
      <c r="B2324" s="2">
        <v>0</v>
      </c>
    </row>
    <row r="2325" spans="2:2" x14ac:dyDescent="0.3">
      <c r="B2325" s="2">
        <v>8.3000000000000007</v>
      </c>
    </row>
    <row r="2326" spans="2:2" x14ac:dyDescent="0.3">
      <c r="B2326" s="2">
        <v>647</v>
      </c>
    </row>
    <row r="2327" spans="2:2" x14ac:dyDescent="0.3">
      <c r="B2327" s="2" t="s">
        <v>198</v>
      </c>
    </row>
    <row r="2328" spans="2:2" x14ac:dyDescent="0.3">
      <c r="B2328" s="2" t="s">
        <v>737</v>
      </c>
    </row>
    <row r="2329" spans="2:2" x14ac:dyDescent="0.3">
      <c r="B2329" s="2" t="s">
        <v>200</v>
      </c>
    </row>
    <row r="2330" spans="2:2" x14ac:dyDescent="0.3">
      <c r="B2330" s="2">
        <v>56</v>
      </c>
    </row>
    <row r="2331" spans="2:2" x14ac:dyDescent="0.3">
      <c r="B2331" s="2">
        <v>1</v>
      </c>
    </row>
    <row r="2332" spans="2:2" x14ac:dyDescent="0.3">
      <c r="B2332" s="2">
        <v>0</v>
      </c>
    </row>
    <row r="2333" spans="2:2" x14ac:dyDescent="0.3">
      <c r="B2333" s="2">
        <v>0</v>
      </c>
    </row>
    <row r="2334" spans="2:2" x14ac:dyDescent="0.3">
      <c r="B2334" s="2">
        <v>6.9</v>
      </c>
    </row>
    <row r="2335" spans="2:2" x14ac:dyDescent="0.3">
      <c r="B2335" s="2">
        <v>651</v>
      </c>
    </row>
    <row r="2336" spans="2:2" x14ac:dyDescent="0.3">
      <c r="B2336" s="2" t="s">
        <v>198</v>
      </c>
    </row>
    <row r="2337" spans="2:2" x14ac:dyDescent="0.3">
      <c r="B2337" s="2" t="s">
        <v>738</v>
      </c>
    </row>
    <row r="2338" spans="2:2" x14ac:dyDescent="0.3">
      <c r="B2338" s="2" t="s">
        <v>224</v>
      </c>
    </row>
    <row r="2339" spans="2:2" x14ac:dyDescent="0.3">
      <c r="B2339" s="2">
        <v>55</v>
      </c>
    </row>
    <row r="2340" spans="2:2" x14ac:dyDescent="0.3">
      <c r="B2340" s="2">
        <v>3</v>
      </c>
    </row>
    <row r="2341" spans="2:2" x14ac:dyDescent="0.3">
      <c r="B2341" s="2">
        <v>0</v>
      </c>
    </row>
    <row r="2342" spans="2:2" x14ac:dyDescent="0.3">
      <c r="B2342" s="2">
        <v>0</v>
      </c>
    </row>
    <row r="2343" spans="2:2" x14ac:dyDescent="0.3">
      <c r="B2343" s="2">
        <v>8.6999999999999993</v>
      </c>
    </row>
    <row r="2344" spans="2:2" x14ac:dyDescent="0.3">
      <c r="B2344" s="2">
        <v>652</v>
      </c>
    </row>
    <row r="2345" spans="2:2" x14ac:dyDescent="0.3">
      <c r="B2345" s="2" t="s">
        <v>209</v>
      </c>
    </row>
    <row r="2346" spans="2:2" x14ac:dyDescent="0.3">
      <c r="B2346" s="2" t="s">
        <v>739</v>
      </c>
    </row>
    <row r="2347" spans="2:2" x14ac:dyDescent="0.3">
      <c r="B2347" s="2" t="s">
        <v>246</v>
      </c>
    </row>
    <row r="2348" spans="2:2" x14ac:dyDescent="0.3">
      <c r="B2348" s="2">
        <v>54</v>
      </c>
    </row>
    <row r="2349" spans="2:2" x14ac:dyDescent="0.3">
      <c r="B2349" s="2">
        <v>2</v>
      </c>
    </row>
    <row r="2350" spans="2:2" x14ac:dyDescent="0.3">
      <c r="B2350" s="2">
        <v>0</v>
      </c>
    </row>
    <row r="2351" spans="2:2" x14ac:dyDescent="0.3">
      <c r="B2351" s="2">
        <v>0</v>
      </c>
    </row>
    <row r="2352" spans="2:2" x14ac:dyDescent="0.3">
      <c r="B2352" s="2">
        <v>8.6999999999999993</v>
      </c>
    </row>
    <row r="2353" spans="2:2" x14ac:dyDescent="0.3">
      <c r="B2353" s="2">
        <v>653</v>
      </c>
    </row>
    <row r="2354" spans="2:2" x14ac:dyDescent="0.3">
      <c r="B2354" s="2" t="s">
        <v>67</v>
      </c>
    </row>
    <row r="2355" spans="2:2" x14ac:dyDescent="0.3">
      <c r="B2355" s="2" t="s">
        <v>740</v>
      </c>
    </row>
    <row r="2356" spans="2:2" x14ac:dyDescent="0.3">
      <c r="B2356" s="2" t="s">
        <v>104</v>
      </c>
    </row>
    <row r="2357" spans="2:2" x14ac:dyDescent="0.3">
      <c r="B2357" s="2">
        <v>52</v>
      </c>
    </row>
    <row r="2358" spans="2:2" x14ac:dyDescent="0.3">
      <c r="B2358" s="2">
        <v>4</v>
      </c>
    </row>
    <row r="2359" spans="2:2" x14ac:dyDescent="0.3">
      <c r="B2359" s="2">
        <v>0</v>
      </c>
    </row>
    <row r="2360" spans="2:2" x14ac:dyDescent="0.3">
      <c r="B2360" s="2">
        <v>0</v>
      </c>
    </row>
    <row r="2361" spans="2:2" x14ac:dyDescent="0.3">
      <c r="B2361" s="2">
        <v>8.5</v>
      </c>
    </row>
    <row r="2362" spans="2:2" x14ac:dyDescent="0.3">
      <c r="B2362" s="2">
        <v>653</v>
      </c>
    </row>
    <row r="2363" spans="2:2" x14ac:dyDescent="0.3">
      <c r="B2363" s="2" t="s">
        <v>201</v>
      </c>
    </row>
    <row r="2364" spans="2:2" x14ac:dyDescent="0.3">
      <c r="B2364" s="2" t="s">
        <v>741</v>
      </c>
    </row>
    <row r="2365" spans="2:2" x14ac:dyDescent="0.3">
      <c r="B2365" s="2" t="s">
        <v>208</v>
      </c>
    </row>
    <row r="2366" spans="2:2" x14ac:dyDescent="0.3">
      <c r="B2366" s="2">
        <v>52</v>
      </c>
    </row>
    <row r="2367" spans="2:2" x14ac:dyDescent="0.3">
      <c r="B2367" s="2">
        <v>3</v>
      </c>
    </row>
    <row r="2368" spans="2:2" x14ac:dyDescent="0.3">
      <c r="B2368" s="2">
        <v>0</v>
      </c>
    </row>
    <row r="2369" spans="2:2" x14ac:dyDescent="0.3">
      <c r="B2369" s="2">
        <v>0</v>
      </c>
    </row>
    <row r="2370" spans="2:2" x14ac:dyDescent="0.3">
      <c r="B2370" s="2">
        <v>7.2</v>
      </c>
    </row>
    <row r="2371" spans="2:2" x14ac:dyDescent="0.3">
      <c r="B2371" s="2">
        <v>653</v>
      </c>
    </row>
    <row r="2372" spans="2:2" x14ac:dyDescent="0.3">
      <c r="B2372" s="2" t="s">
        <v>345</v>
      </c>
    </row>
    <row r="2373" spans="2:2" x14ac:dyDescent="0.3">
      <c r="B2373" s="2" t="s">
        <v>742</v>
      </c>
    </row>
    <row r="2374" spans="2:2" x14ac:dyDescent="0.3">
      <c r="B2374" s="2" t="s">
        <v>362</v>
      </c>
    </row>
    <row r="2375" spans="2:2" x14ac:dyDescent="0.3">
      <c r="B2375" s="2">
        <v>52</v>
      </c>
    </row>
    <row r="2376" spans="2:2" x14ac:dyDescent="0.3">
      <c r="B2376" s="2">
        <v>2</v>
      </c>
    </row>
    <row r="2377" spans="2:2" x14ac:dyDescent="0.3">
      <c r="B2377" s="2">
        <v>0</v>
      </c>
    </row>
    <row r="2378" spans="2:2" x14ac:dyDescent="0.3">
      <c r="B2378" s="2">
        <v>0</v>
      </c>
    </row>
    <row r="2379" spans="2:2" x14ac:dyDescent="0.3">
      <c r="B2379" s="2">
        <v>7.4</v>
      </c>
    </row>
    <row r="2380" spans="2:2" x14ac:dyDescent="0.3">
      <c r="B2380" s="2">
        <v>653</v>
      </c>
    </row>
    <row r="2381" spans="2:2" x14ac:dyDescent="0.3">
      <c r="B2381" s="2" t="s">
        <v>119</v>
      </c>
    </row>
    <row r="2382" spans="2:2" x14ac:dyDescent="0.3">
      <c r="B2382" s="2" t="s">
        <v>743</v>
      </c>
    </row>
    <row r="2383" spans="2:2" x14ac:dyDescent="0.3">
      <c r="B2383" s="2" t="s">
        <v>147</v>
      </c>
    </row>
    <row r="2384" spans="2:2" x14ac:dyDescent="0.3">
      <c r="B2384" s="2">
        <v>52</v>
      </c>
    </row>
    <row r="2385" spans="2:2" x14ac:dyDescent="0.3">
      <c r="B2385" s="2">
        <v>2</v>
      </c>
    </row>
    <row r="2386" spans="2:2" x14ac:dyDescent="0.3">
      <c r="B2386" s="2">
        <v>0</v>
      </c>
    </row>
    <row r="2387" spans="2:2" x14ac:dyDescent="0.3">
      <c r="B2387" s="2">
        <v>0</v>
      </c>
    </row>
    <row r="2388" spans="2:2" x14ac:dyDescent="0.3">
      <c r="B2388" s="2">
        <v>6.4</v>
      </c>
    </row>
    <row r="2389" spans="2:2" x14ac:dyDescent="0.3">
      <c r="B2389" s="2">
        <v>657</v>
      </c>
    </row>
    <row r="2390" spans="2:2" x14ac:dyDescent="0.3">
      <c r="B2390" s="2" t="s">
        <v>253</v>
      </c>
    </row>
    <row r="2391" spans="2:2" x14ac:dyDescent="0.3">
      <c r="B2391" s="2" t="s">
        <v>744</v>
      </c>
    </row>
    <row r="2392" spans="2:2" x14ac:dyDescent="0.3">
      <c r="B2392" s="2" t="s">
        <v>304</v>
      </c>
    </row>
    <row r="2393" spans="2:2" x14ac:dyDescent="0.3">
      <c r="B2393" s="2">
        <v>51</v>
      </c>
    </row>
    <row r="2394" spans="2:2" x14ac:dyDescent="0.3">
      <c r="B2394" s="2">
        <v>4</v>
      </c>
    </row>
    <row r="2395" spans="2:2" x14ac:dyDescent="0.3">
      <c r="B2395" s="2">
        <v>0</v>
      </c>
    </row>
    <row r="2396" spans="2:2" x14ac:dyDescent="0.3">
      <c r="B2396" s="2">
        <v>0</v>
      </c>
    </row>
    <row r="2397" spans="2:2" x14ac:dyDescent="0.3">
      <c r="B2397" s="2">
        <v>7.2</v>
      </c>
    </row>
    <row r="2398" spans="2:2" x14ac:dyDescent="0.3">
      <c r="B2398" s="2">
        <v>658</v>
      </c>
    </row>
    <row r="2399" spans="2:2" x14ac:dyDescent="0.3">
      <c r="B2399" s="2" t="s">
        <v>67</v>
      </c>
    </row>
    <row r="2400" spans="2:2" x14ac:dyDescent="0.3">
      <c r="B2400" s="2" t="s">
        <v>745</v>
      </c>
    </row>
    <row r="2401" spans="2:2" x14ac:dyDescent="0.3">
      <c r="B2401" s="2" t="s">
        <v>98</v>
      </c>
    </row>
    <row r="2402" spans="2:2" x14ac:dyDescent="0.3">
      <c r="B2402" s="2">
        <v>49</v>
      </c>
    </row>
    <row r="2403" spans="2:2" x14ac:dyDescent="0.3">
      <c r="B2403" s="2">
        <v>4</v>
      </c>
    </row>
    <row r="2404" spans="2:2" x14ac:dyDescent="0.3">
      <c r="B2404" s="2">
        <v>1</v>
      </c>
    </row>
    <row r="2405" spans="2:2" x14ac:dyDescent="0.3">
      <c r="B2405" s="2">
        <v>0</v>
      </c>
    </row>
    <row r="2406" spans="2:2" x14ac:dyDescent="0.3">
      <c r="B2406" s="2">
        <v>6.7</v>
      </c>
    </row>
    <row r="2407" spans="2:2" x14ac:dyDescent="0.3">
      <c r="B2407" s="2">
        <v>659</v>
      </c>
    </row>
    <row r="2408" spans="2:2" x14ac:dyDescent="0.3">
      <c r="B2408" s="2" t="s">
        <v>124</v>
      </c>
    </row>
    <row r="2409" spans="2:2" x14ac:dyDescent="0.3">
      <c r="B2409" s="2" t="s">
        <v>746</v>
      </c>
    </row>
    <row r="2410" spans="2:2" x14ac:dyDescent="0.3">
      <c r="B2410" s="2" t="s">
        <v>159</v>
      </c>
    </row>
    <row r="2411" spans="2:2" x14ac:dyDescent="0.3">
      <c r="B2411" s="2">
        <v>47</v>
      </c>
    </row>
    <row r="2412" spans="2:2" x14ac:dyDescent="0.3">
      <c r="B2412" s="2">
        <v>4</v>
      </c>
    </row>
    <row r="2413" spans="2:2" x14ac:dyDescent="0.3">
      <c r="B2413" s="2">
        <v>0</v>
      </c>
    </row>
    <row r="2414" spans="2:2" x14ac:dyDescent="0.3">
      <c r="B2414" s="2">
        <v>0</v>
      </c>
    </row>
    <row r="2415" spans="2:2" x14ac:dyDescent="0.3">
      <c r="B2415" s="2">
        <v>8.6999999999999993</v>
      </c>
    </row>
    <row r="2416" spans="2:2" x14ac:dyDescent="0.3">
      <c r="B2416" s="2">
        <v>659</v>
      </c>
    </row>
    <row r="2417" spans="2:2" x14ac:dyDescent="0.3">
      <c r="B2417" s="2" t="s">
        <v>121</v>
      </c>
    </row>
    <row r="2418" spans="2:2" x14ac:dyDescent="0.3">
      <c r="B2418" s="2" t="s">
        <v>747</v>
      </c>
    </row>
    <row r="2419" spans="2:2" x14ac:dyDescent="0.3">
      <c r="B2419" s="2" t="s">
        <v>142</v>
      </c>
    </row>
    <row r="2420" spans="2:2" x14ac:dyDescent="0.3">
      <c r="B2420" s="2">
        <v>47</v>
      </c>
    </row>
    <row r="2421" spans="2:2" x14ac:dyDescent="0.3">
      <c r="B2421" s="2">
        <v>3</v>
      </c>
    </row>
    <row r="2422" spans="2:2" x14ac:dyDescent="0.3">
      <c r="B2422" s="2">
        <v>0</v>
      </c>
    </row>
    <row r="2423" spans="2:2" x14ac:dyDescent="0.3">
      <c r="B2423" s="2">
        <v>0</v>
      </c>
    </row>
    <row r="2424" spans="2:2" x14ac:dyDescent="0.3">
      <c r="B2424" s="2">
        <v>6.5</v>
      </c>
    </row>
    <row r="2425" spans="2:2" x14ac:dyDescent="0.3">
      <c r="B2425" s="2">
        <v>661</v>
      </c>
    </row>
    <row r="2426" spans="2:2" x14ac:dyDescent="0.3">
      <c r="B2426" s="2" t="s">
        <v>75</v>
      </c>
    </row>
    <row r="2427" spans="2:2" x14ac:dyDescent="0.3">
      <c r="B2427" s="2" t="s">
        <v>748</v>
      </c>
    </row>
    <row r="2428" spans="2:2" x14ac:dyDescent="0.3">
      <c r="B2428" s="2" t="s">
        <v>77</v>
      </c>
    </row>
    <row r="2429" spans="2:2" x14ac:dyDescent="0.3">
      <c r="B2429" s="2">
        <v>45</v>
      </c>
    </row>
    <row r="2430" spans="2:2" x14ac:dyDescent="0.3">
      <c r="B2430" s="2">
        <v>1</v>
      </c>
    </row>
    <row r="2431" spans="2:2" x14ac:dyDescent="0.3">
      <c r="B2431" s="2">
        <v>0</v>
      </c>
    </row>
    <row r="2432" spans="2:2" x14ac:dyDescent="0.3">
      <c r="B2432" s="2">
        <v>0</v>
      </c>
    </row>
    <row r="2433" spans="2:2" x14ac:dyDescent="0.3">
      <c r="B2433" s="2">
        <v>6.2</v>
      </c>
    </row>
    <row r="2434" spans="2:2" x14ac:dyDescent="0.3">
      <c r="B2434" s="2">
        <v>661</v>
      </c>
    </row>
    <row r="2435" spans="2:2" x14ac:dyDescent="0.3">
      <c r="B2435" s="2" t="s">
        <v>231</v>
      </c>
    </row>
    <row r="2436" spans="2:2" x14ac:dyDescent="0.3">
      <c r="B2436" s="2" t="s">
        <v>749</v>
      </c>
    </row>
    <row r="2437" spans="2:2" x14ac:dyDescent="0.3">
      <c r="B2437" s="2" t="s">
        <v>331</v>
      </c>
    </row>
    <row r="2438" spans="2:2" x14ac:dyDescent="0.3">
      <c r="B2438" s="2">
        <v>45</v>
      </c>
    </row>
    <row r="2439" spans="2:2" x14ac:dyDescent="0.3">
      <c r="B2439" s="2">
        <v>1</v>
      </c>
    </row>
    <row r="2440" spans="2:2" x14ac:dyDescent="0.3">
      <c r="B2440" s="2">
        <v>0</v>
      </c>
    </row>
    <row r="2441" spans="2:2" x14ac:dyDescent="0.3">
      <c r="B2441" s="2">
        <v>0</v>
      </c>
    </row>
    <row r="2442" spans="2:2" x14ac:dyDescent="0.3">
      <c r="B2442" s="2">
        <v>5.3</v>
      </c>
    </row>
    <row r="2443" spans="2:2" x14ac:dyDescent="0.3">
      <c r="B2443" s="2">
        <v>663</v>
      </c>
    </row>
    <row r="2444" spans="2:2" x14ac:dyDescent="0.3">
      <c r="B2444" s="2" t="s">
        <v>75</v>
      </c>
    </row>
    <row r="2445" spans="2:2" x14ac:dyDescent="0.3">
      <c r="B2445" s="2" t="s">
        <v>750</v>
      </c>
    </row>
    <row r="2446" spans="2:2" x14ac:dyDescent="0.3">
      <c r="B2446" s="2" t="s">
        <v>77</v>
      </c>
    </row>
    <row r="2447" spans="2:2" x14ac:dyDescent="0.3">
      <c r="B2447" s="2">
        <v>40</v>
      </c>
    </row>
    <row r="2448" spans="2:2" x14ac:dyDescent="0.3">
      <c r="B2448" s="2">
        <v>3</v>
      </c>
    </row>
    <row r="2449" spans="2:2" x14ac:dyDescent="0.3">
      <c r="B2449" s="2">
        <v>1</v>
      </c>
    </row>
    <row r="2450" spans="2:2" x14ac:dyDescent="0.3">
      <c r="B2450" s="2">
        <v>0</v>
      </c>
    </row>
    <row r="2451" spans="2:2" x14ac:dyDescent="0.3">
      <c r="B2451" s="2">
        <v>7</v>
      </c>
    </row>
    <row r="2452" spans="2:2" x14ac:dyDescent="0.3">
      <c r="B2452" s="2">
        <v>664</v>
      </c>
    </row>
    <row r="2453" spans="2:2" x14ac:dyDescent="0.3">
      <c r="B2453" s="2" t="s">
        <v>58</v>
      </c>
    </row>
    <row r="2454" spans="2:2" x14ac:dyDescent="0.3">
      <c r="B2454" s="2" t="s">
        <v>751</v>
      </c>
    </row>
    <row r="2455" spans="2:2" x14ac:dyDescent="0.3">
      <c r="B2455" s="2" t="s">
        <v>94</v>
      </c>
    </row>
    <row r="2456" spans="2:2" x14ac:dyDescent="0.3">
      <c r="B2456" s="2">
        <v>39</v>
      </c>
    </row>
    <row r="2457" spans="2:2" x14ac:dyDescent="0.3">
      <c r="B2457" s="2">
        <v>5</v>
      </c>
    </row>
    <row r="2458" spans="2:2" x14ac:dyDescent="0.3">
      <c r="B2458" s="2">
        <v>0</v>
      </c>
    </row>
    <row r="2459" spans="2:2" x14ac:dyDescent="0.3">
      <c r="B2459" s="2">
        <v>0</v>
      </c>
    </row>
    <row r="2460" spans="2:2" x14ac:dyDescent="0.3">
      <c r="B2460" s="2">
        <v>8.3000000000000007</v>
      </c>
    </row>
    <row r="2461" spans="2:2" x14ac:dyDescent="0.3">
      <c r="B2461" s="2">
        <v>665</v>
      </c>
    </row>
    <row r="2462" spans="2:2" x14ac:dyDescent="0.3">
      <c r="B2462" s="2" t="s">
        <v>116</v>
      </c>
    </row>
    <row r="2463" spans="2:2" x14ac:dyDescent="0.3">
      <c r="B2463" s="2" t="s">
        <v>752</v>
      </c>
    </row>
    <row r="2464" spans="2:2" x14ac:dyDescent="0.3">
      <c r="B2464" s="2" t="s">
        <v>131</v>
      </c>
    </row>
    <row r="2465" spans="2:2" x14ac:dyDescent="0.3">
      <c r="B2465" s="2">
        <v>38</v>
      </c>
    </row>
    <row r="2466" spans="2:2" x14ac:dyDescent="0.3">
      <c r="B2466" s="2">
        <v>4</v>
      </c>
    </row>
    <row r="2467" spans="2:2" x14ac:dyDescent="0.3">
      <c r="B2467" s="2">
        <v>1</v>
      </c>
    </row>
    <row r="2468" spans="2:2" x14ac:dyDescent="0.3">
      <c r="B2468" s="2">
        <v>0</v>
      </c>
    </row>
    <row r="2469" spans="2:2" x14ac:dyDescent="0.3">
      <c r="B2469" s="2">
        <v>7.9</v>
      </c>
    </row>
    <row r="2470" spans="2:2" x14ac:dyDescent="0.3">
      <c r="B2470" s="2">
        <v>665</v>
      </c>
    </row>
    <row r="2471" spans="2:2" x14ac:dyDescent="0.3">
      <c r="B2471" s="2" t="s">
        <v>119</v>
      </c>
    </row>
    <row r="2472" spans="2:2" x14ac:dyDescent="0.3">
      <c r="B2472" s="2" t="s">
        <v>753</v>
      </c>
    </row>
    <row r="2473" spans="2:2" x14ac:dyDescent="0.3">
      <c r="B2473" s="2" t="s">
        <v>135</v>
      </c>
    </row>
    <row r="2474" spans="2:2" x14ac:dyDescent="0.3">
      <c r="B2474" s="2">
        <v>38</v>
      </c>
    </row>
    <row r="2475" spans="2:2" x14ac:dyDescent="0.3">
      <c r="B2475" s="2">
        <v>3</v>
      </c>
    </row>
    <row r="2476" spans="2:2" x14ac:dyDescent="0.3">
      <c r="B2476" s="2">
        <v>0</v>
      </c>
    </row>
    <row r="2477" spans="2:2" x14ac:dyDescent="0.3">
      <c r="B2477" s="2">
        <v>0</v>
      </c>
    </row>
    <row r="2478" spans="2:2" x14ac:dyDescent="0.3">
      <c r="B2478" s="2">
        <v>6.6</v>
      </c>
    </row>
    <row r="2479" spans="2:2" x14ac:dyDescent="0.3">
      <c r="B2479" s="2">
        <v>667</v>
      </c>
    </row>
    <row r="2480" spans="2:2" x14ac:dyDescent="0.3">
      <c r="B2480" s="2" t="s">
        <v>15</v>
      </c>
    </row>
    <row r="2481" spans="2:2" x14ac:dyDescent="0.3">
      <c r="B2481" s="2" t="s">
        <v>754</v>
      </c>
    </row>
    <row r="2482" spans="2:2" x14ac:dyDescent="0.3">
      <c r="B2482" s="2" t="s">
        <v>97</v>
      </c>
    </row>
    <row r="2483" spans="2:2" x14ac:dyDescent="0.3">
      <c r="B2483" s="2">
        <v>37</v>
      </c>
    </row>
    <row r="2484" spans="2:2" x14ac:dyDescent="0.3">
      <c r="B2484" s="2">
        <v>5</v>
      </c>
    </row>
    <row r="2485" spans="2:2" x14ac:dyDescent="0.3">
      <c r="B2485" s="2">
        <v>0</v>
      </c>
    </row>
    <row r="2486" spans="2:2" x14ac:dyDescent="0.3">
      <c r="B2486" s="2">
        <v>0</v>
      </c>
    </row>
    <row r="2487" spans="2:2" x14ac:dyDescent="0.3">
      <c r="B2487" s="2">
        <v>7.8</v>
      </c>
    </row>
    <row r="2488" spans="2:2" x14ac:dyDescent="0.3">
      <c r="B2488" s="2">
        <v>667</v>
      </c>
    </row>
    <row r="2489" spans="2:2" x14ac:dyDescent="0.3">
      <c r="B2489" s="2" t="s">
        <v>50</v>
      </c>
    </row>
    <row r="2490" spans="2:2" x14ac:dyDescent="0.3">
      <c r="B2490" s="2" t="s">
        <v>755</v>
      </c>
    </row>
    <row r="2491" spans="2:2" x14ac:dyDescent="0.3">
      <c r="B2491" s="2" t="s">
        <v>295</v>
      </c>
    </row>
    <row r="2492" spans="2:2" x14ac:dyDescent="0.3">
      <c r="B2492" s="2">
        <v>37</v>
      </c>
    </row>
    <row r="2493" spans="2:2" x14ac:dyDescent="0.3">
      <c r="B2493" s="2">
        <v>2</v>
      </c>
    </row>
    <row r="2494" spans="2:2" x14ac:dyDescent="0.3">
      <c r="B2494" s="2">
        <v>0</v>
      </c>
    </row>
    <row r="2495" spans="2:2" x14ac:dyDescent="0.3">
      <c r="B2495" s="2">
        <v>0</v>
      </c>
    </row>
    <row r="2496" spans="2:2" x14ac:dyDescent="0.3">
      <c r="B2496" s="2">
        <v>5.4</v>
      </c>
    </row>
    <row r="2497" spans="2:2" x14ac:dyDescent="0.3">
      <c r="B2497" s="2">
        <v>669</v>
      </c>
    </row>
    <row r="2498" spans="2:2" x14ac:dyDescent="0.3">
      <c r="B2498" s="2" t="s">
        <v>204</v>
      </c>
    </row>
    <row r="2499" spans="2:2" x14ac:dyDescent="0.3">
      <c r="B2499" s="2" t="s">
        <v>756</v>
      </c>
    </row>
    <row r="2500" spans="2:2" x14ac:dyDescent="0.3">
      <c r="B2500" s="2" t="s">
        <v>206</v>
      </c>
    </row>
    <row r="2501" spans="2:2" x14ac:dyDescent="0.3">
      <c r="B2501" s="2">
        <v>36</v>
      </c>
    </row>
    <row r="2502" spans="2:2" x14ac:dyDescent="0.3">
      <c r="B2502" s="2">
        <v>2</v>
      </c>
    </row>
    <row r="2503" spans="2:2" x14ac:dyDescent="0.3">
      <c r="B2503" s="2">
        <v>0</v>
      </c>
    </row>
    <row r="2504" spans="2:2" x14ac:dyDescent="0.3">
      <c r="B2504" s="2">
        <v>0</v>
      </c>
    </row>
    <row r="2505" spans="2:2" x14ac:dyDescent="0.3">
      <c r="B2505" s="2">
        <v>6.6</v>
      </c>
    </row>
    <row r="2506" spans="2:2" x14ac:dyDescent="0.3">
      <c r="B2506" s="2">
        <v>670</v>
      </c>
    </row>
    <row r="2507" spans="2:2" x14ac:dyDescent="0.3">
      <c r="B2507" s="2" t="s">
        <v>50</v>
      </c>
    </row>
    <row r="2508" spans="2:2" x14ac:dyDescent="0.3">
      <c r="B2508" s="2" t="s">
        <v>757</v>
      </c>
    </row>
    <row r="2509" spans="2:2" x14ac:dyDescent="0.3">
      <c r="B2509" s="2" t="s">
        <v>295</v>
      </c>
    </row>
    <row r="2510" spans="2:2" x14ac:dyDescent="0.3">
      <c r="B2510" s="2">
        <v>34</v>
      </c>
    </row>
    <row r="2511" spans="2:2" x14ac:dyDescent="0.3">
      <c r="B2511" s="2">
        <v>3</v>
      </c>
    </row>
    <row r="2512" spans="2:2" x14ac:dyDescent="0.3">
      <c r="B2512" s="2">
        <v>0</v>
      </c>
    </row>
    <row r="2513" spans="2:2" x14ac:dyDescent="0.3">
      <c r="B2513" s="2">
        <v>0</v>
      </c>
    </row>
    <row r="2514" spans="2:2" x14ac:dyDescent="0.3">
      <c r="B2514" s="2">
        <v>5.7</v>
      </c>
    </row>
    <row r="2515" spans="2:2" x14ac:dyDescent="0.3">
      <c r="B2515" s="2">
        <v>671</v>
      </c>
    </row>
    <row r="2516" spans="2:2" x14ac:dyDescent="0.3">
      <c r="B2516" s="2" t="s">
        <v>231</v>
      </c>
    </row>
    <row r="2517" spans="2:2" x14ac:dyDescent="0.3">
      <c r="B2517" s="2" t="s">
        <v>758</v>
      </c>
    </row>
    <row r="2518" spans="2:2" x14ac:dyDescent="0.3">
      <c r="B2518" s="2" t="s">
        <v>322</v>
      </c>
    </row>
    <row r="2519" spans="2:2" x14ac:dyDescent="0.3">
      <c r="B2519" s="2">
        <v>33</v>
      </c>
    </row>
    <row r="2520" spans="2:2" x14ac:dyDescent="0.3">
      <c r="B2520" s="2">
        <v>2</v>
      </c>
    </row>
    <row r="2521" spans="2:2" x14ac:dyDescent="0.3">
      <c r="B2521" s="2">
        <v>0</v>
      </c>
    </row>
    <row r="2522" spans="2:2" x14ac:dyDescent="0.3">
      <c r="B2522" s="2">
        <v>1</v>
      </c>
    </row>
    <row r="2523" spans="2:2" x14ac:dyDescent="0.3">
      <c r="B2523" s="2">
        <v>4.8</v>
      </c>
    </row>
    <row r="2524" spans="2:2" x14ac:dyDescent="0.3">
      <c r="B2524" s="2">
        <v>672</v>
      </c>
    </row>
    <row r="2525" spans="2:2" x14ac:dyDescent="0.3">
      <c r="B2525" s="2" t="s">
        <v>162</v>
      </c>
    </row>
    <row r="2526" spans="2:2" x14ac:dyDescent="0.3">
      <c r="B2526" s="2" t="s">
        <v>759</v>
      </c>
    </row>
    <row r="2527" spans="2:2" x14ac:dyDescent="0.3">
      <c r="B2527" s="2" t="s">
        <v>181</v>
      </c>
    </row>
    <row r="2528" spans="2:2" x14ac:dyDescent="0.3">
      <c r="B2528" s="2">
        <v>32</v>
      </c>
    </row>
    <row r="2529" spans="2:2" x14ac:dyDescent="0.3">
      <c r="B2529" s="2">
        <v>1</v>
      </c>
    </row>
    <row r="2530" spans="2:2" x14ac:dyDescent="0.3">
      <c r="B2530" s="2">
        <v>0</v>
      </c>
    </row>
    <row r="2531" spans="2:2" x14ac:dyDescent="0.3">
      <c r="B2531" s="2">
        <v>0</v>
      </c>
    </row>
    <row r="2532" spans="2:2" x14ac:dyDescent="0.3">
      <c r="B2532" s="2">
        <v>4</v>
      </c>
    </row>
    <row r="2533" spans="2:2" x14ac:dyDescent="0.3">
      <c r="B2533" s="2">
        <v>673</v>
      </c>
    </row>
    <row r="2534" spans="2:2" x14ac:dyDescent="0.3">
      <c r="B2534" s="2" t="s">
        <v>58</v>
      </c>
    </row>
    <row r="2535" spans="2:2" x14ac:dyDescent="0.3">
      <c r="B2535" s="2" t="s">
        <v>760</v>
      </c>
    </row>
    <row r="2536" spans="2:2" x14ac:dyDescent="0.3">
      <c r="B2536" s="2" t="s">
        <v>133</v>
      </c>
    </row>
    <row r="2537" spans="2:2" x14ac:dyDescent="0.3">
      <c r="B2537" s="2">
        <v>31</v>
      </c>
    </row>
    <row r="2538" spans="2:2" x14ac:dyDescent="0.3">
      <c r="B2538" s="2">
        <v>1</v>
      </c>
    </row>
    <row r="2539" spans="2:2" x14ac:dyDescent="0.3">
      <c r="B2539" s="2">
        <v>0</v>
      </c>
    </row>
    <row r="2540" spans="2:2" x14ac:dyDescent="0.3">
      <c r="B2540" s="2">
        <v>0</v>
      </c>
    </row>
    <row r="2541" spans="2:2" x14ac:dyDescent="0.3">
      <c r="B2541" s="2">
        <v>3.9</v>
      </c>
    </row>
    <row r="2542" spans="2:2" x14ac:dyDescent="0.3">
      <c r="B2542" s="2">
        <v>674</v>
      </c>
    </row>
    <row r="2543" spans="2:2" x14ac:dyDescent="0.3">
      <c r="B2543" s="2" t="s">
        <v>166</v>
      </c>
    </row>
    <row r="2544" spans="2:2" x14ac:dyDescent="0.3">
      <c r="B2544" s="2" t="s">
        <v>761</v>
      </c>
    </row>
    <row r="2545" spans="2:2" x14ac:dyDescent="0.3">
      <c r="B2545" s="2" t="s">
        <v>248</v>
      </c>
    </row>
    <row r="2546" spans="2:2" x14ac:dyDescent="0.3">
      <c r="B2546" s="2">
        <v>29</v>
      </c>
    </row>
    <row r="2547" spans="2:2" x14ac:dyDescent="0.3">
      <c r="B2547" s="2">
        <v>1</v>
      </c>
    </row>
    <row r="2548" spans="2:2" x14ac:dyDescent="0.3">
      <c r="B2548" s="2">
        <v>0</v>
      </c>
    </row>
    <row r="2549" spans="2:2" x14ac:dyDescent="0.3">
      <c r="B2549" s="2">
        <v>0</v>
      </c>
    </row>
    <row r="2550" spans="2:2" x14ac:dyDescent="0.3">
      <c r="B2550" s="2">
        <v>3.7</v>
      </c>
    </row>
    <row r="2551" spans="2:2" x14ac:dyDescent="0.3">
      <c r="B2551" s="2">
        <v>675</v>
      </c>
    </row>
    <row r="2552" spans="2:2" x14ac:dyDescent="0.3">
      <c r="B2552" s="2" t="s">
        <v>198</v>
      </c>
    </row>
    <row r="2553" spans="2:2" x14ac:dyDescent="0.3">
      <c r="B2553" s="2" t="s">
        <v>762</v>
      </c>
    </row>
    <row r="2554" spans="2:2" x14ac:dyDescent="0.3">
      <c r="B2554" s="2" t="s">
        <v>260</v>
      </c>
    </row>
    <row r="2555" spans="2:2" x14ac:dyDescent="0.3">
      <c r="B2555" s="2">
        <v>26</v>
      </c>
    </row>
    <row r="2556" spans="2:2" x14ac:dyDescent="0.3">
      <c r="B2556" s="2">
        <v>2</v>
      </c>
    </row>
    <row r="2557" spans="2:2" x14ac:dyDescent="0.3">
      <c r="B2557" s="2">
        <v>0</v>
      </c>
    </row>
    <row r="2558" spans="2:2" x14ac:dyDescent="0.3">
      <c r="B2558" s="2">
        <v>0</v>
      </c>
    </row>
    <row r="2559" spans="2:2" x14ac:dyDescent="0.3">
      <c r="B2559" s="2">
        <v>3.7</v>
      </c>
    </row>
    <row r="2560" spans="2:2" x14ac:dyDescent="0.3">
      <c r="B2560" s="2">
        <v>676</v>
      </c>
    </row>
    <row r="2561" spans="2:2" x14ac:dyDescent="0.3">
      <c r="B2561" s="2" t="s">
        <v>19</v>
      </c>
    </row>
    <row r="2562" spans="2:2" x14ac:dyDescent="0.3">
      <c r="B2562" s="2" t="s">
        <v>763</v>
      </c>
    </row>
    <row r="2563" spans="2:2" x14ac:dyDescent="0.3">
      <c r="B2563" s="2" t="s">
        <v>112</v>
      </c>
    </row>
    <row r="2564" spans="2:2" x14ac:dyDescent="0.3">
      <c r="B2564" s="2">
        <v>24</v>
      </c>
    </row>
    <row r="2565" spans="2:2" x14ac:dyDescent="0.3">
      <c r="B2565" s="2">
        <v>2</v>
      </c>
    </row>
    <row r="2566" spans="2:2" x14ac:dyDescent="0.3">
      <c r="B2566" s="2">
        <v>0</v>
      </c>
    </row>
    <row r="2567" spans="2:2" x14ac:dyDescent="0.3">
      <c r="B2567" s="2">
        <v>0</v>
      </c>
    </row>
    <row r="2568" spans="2:2" x14ac:dyDescent="0.3">
      <c r="B2568" s="2">
        <v>3.7</v>
      </c>
    </row>
    <row r="2569" spans="2:2" x14ac:dyDescent="0.3">
      <c r="B2569" s="2">
        <v>676</v>
      </c>
    </row>
    <row r="2570" spans="2:2" x14ac:dyDescent="0.3">
      <c r="B2570" s="2" t="s">
        <v>119</v>
      </c>
    </row>
    <row r="2571" spans="2:2" x14ac:dyDescent="0.3">
      <c r="B2571" s="2" t="s">
        <v>764</v>
      </c>
    </row>
    <row r="2572" spans="2:2" x14ac:dyDescent="0.3">
      <c r="B2572" s="2" t="s">
        <v>135</v>
      </c>
    </row>
    <row r="2573" spans="2:2" x14ac:dyDescent="0.3">
      <c r="B2573" s="2">
        <v>24</v>
      </c>
    </row>
    <row r="2574" spans="2:2" x14ac:dyDescent="0.3">
      <c r="B2574" s="2">
        <v>2</v>
      </c>
    </row>
    <row r="2575" spans="2:2" x14ac:dyDescent="0.3">
      <c r="B2575" s="2">
        <v>0</v>
      </c>
    </row>
    <row r="2576" spans="2:2" x14ac:dyDescent="0.3">
      <c r="B2576" s="2">
        <v>0</v>
      </c>
    </row>
    <row r="2577" spans="2:2" x14ac:dyDescent="0.3">
      <c r="B2577" s="2">
        <v>3.5</v>
      </c>
    </row>
    <row r="2578" spans="2:2" x14ac:dyDescent="0.3">
      <c r="B2578" s="2">
        <v>676</v>
      </c>
    </row>
    <row r="2579" spans="2:2" x14ac:dyDescent="0.3">
      <c r="B2579" s="2" t="s">
        <v>253</v>
      </c>
    </row>
    <row r="2580" spans="2:2" x14ac:dyDescent="0.3">
      <c r="B2580" s="2" t="s">
        <v>765</v>
      </c>
    </row>
    <row r="2581" spans="2:2" x14ac:dyDescent="0.3">
      <c r="B2581" s="2" t="s">
        <v>255</v>
      </c>
    </row>
    <row r="2582" spans="2:2" x14ac:dyDescent="0.3">
      <c r="B2582" s="2">
        <v>24</v>
      </c>
    </row>
    <row r="2583" spans="2:2" x14ac:dyDescent="0.3">
      <c r="B2583" s="2">
        <v>1</v>
      </c>
    </row>
    <row r="2584" spans="2:2" x14ac:dyDescent="0.3">
      <c r="B2584" s="2">
        <v>0</v>
      </c>
    </row>
    <row r="2585" spans="2:2" x14ac:dyDescent="0.3">
      <c r="B2585" s="2">
        <v>1</v>
      </c>
    </row>
    <row r="2586" spans="2:2" x14ac:dyDescent="0.3">
      <c r="B2586" s="2">
        <v>3.6</v>
      </c>
    </row>
    <row r="2587" spans="2:2" x14ac:dyDescent="0.3">
      <c r="B2587" s="2">
        <v>679</v>
      </c>
    </row>
    <row r="2588" spans="2:2" x14ac:dyDescent="0.3">
      <c r="B2588" s="2" t="s">
        <v>124</v>
      </c>
    </row>
    <row r="2589" spans="2:2" x14ac:dyDescent="0.3">
      <c r="B2589" s="2" t="s">
        <v>766</v>
      </c>
    </row>
    <row r="2590" spans="2:2" x14ac:dyDescent="0.3">
      <c r="B2590" s="2" t="s">
        <v>141</v>
      </c>
    </row>
    <row r="2591" spans="2:2" x14ac:dyDescent="0.3">
      <c r="B2591" s="2">
        <v>23</v>
      </c>
    </row>
    <row r="2592" spans="2:2" x14ac:dyDescent="0.3">
      <c r="B2592" s="2">
        <v>3</v>
      </c>
    </row>
    <row r="2593" spans="2:2" x14ac:dyDescent="0.3">
      <c r="B2593" s="2">
        <v>0</v>
      </c>
    </row>
    <row r="2594" spans="2:2" x14ac:dyDescent="0.3">
      <c r="B2594" s="2">
        <v>0</v>
      </c>
    </row>
    <row r="2595" spans="2:2" x14ac:dyDescent="0.3">
      <c r="B2595" s="2">
        <v>4.5</v>
      </c>
    </row>
    <row r="2596" spans="2:2" x14ac:dyDescent="0.3">
      <c r="B2596" s="2">
        <v>679</v>
      </c>
    </row>
    <row r="2597" spans="2:2" x14ac:dyDescent="0.3">
      <c r="B2597" s="2" t="s">
        <v>116</v>
      </c>
    </row>
    <row r="2598" spans="2:2" x14ac:dyDescent="0.3">
      <c r="B2598" s="2" t="s">
        <v>767</v>
      </c>
    </row>
    <row r="2599" spans="2:2" x14ac:dyDescent="0.3">
      <c r="B2599" s="2" t="s">
        <v>118</v>
      </c>
    </row>
    <row r="2600" spans="2:2" x14ac:dyDescent="0.3">
      <c r="B2600" s="2">
        <v>23</v>
      </c>
    </row>
    <row r="2601" spans="2:2" x14ac:dyDescent="0.3">
      <c r="B2601" s="2">
        <v>2</v>
      </c>
    </row>
    <row r="2602" spans="2:2" x14ac:dyDescent="0.3">
      <c r="B2602" s="2">
        <v>0</v>
      </c>
    </row>
    <row r="2603" spans="2:2" x14ac:dyDescent="0.3">
      <c r="B2603" s="2">
        <v>1</v>
      </c>
    </row>
    <row r="2604" spans="2:2" x14ac:dyDescent="0.3">
      <c r="B2604" s="2">
        <v>4.2</v>
      </c>
    </row>
    <row r="2605" spans="2:2" x14ac:dyDescent="0.3">
      <c r="B2605" s="2">
        <v>679</v>
      </c>
    </row>
    <row r="2606" spans="2:2" x14ac:dyDescent="0.3">
      <c r="B2606" s="2" t="s">
        <v>116</v>
      </c>
    </row>
    <row r="2607" spans="2:2" x14ac:dyDescent="0.3">
      <c r="B2607" s="2" t="s">
        <v>768</v>
      </c>
    </row>
    <row r="2608" spans="2:2" x14ac:dyDescent="0.3">
      <c r="B2608" s="2" t="s">
        <v>131</v>
      </c>
    </row>
    <row r="2609" spans="2:2" x14ac:dyDescent="0.3">
      <c r="B2609" s="2">
        <v>23</v>
      </c>
    </row>
    <row r="2610" spans="2:2" x14ac:dyDescent="0.3">
      <c r="B2610" s="2">
        <v>1</v>
      </c>
    </row>
    <row r="2611" spans="2:2" x14ac:dyDescent="0.3">
      <c r="B2611" s="2">
        <v>0</v>
      </c>
    </row>
    <row r="2612" spans="2:2" x14ac:dyDescent="0.3">
      <c r="B2612" s="2">
        <v>0</v>
      </c>
    </row>
    <row r="2613" spans="2:2" x14ac:dyDescent="0.3">
      <c r="B2613" s="2">
        <v>3.1</v>
      </c>
    </row>
    <row r="2614" spans="2:2" x14ac:dyDescent="0.3">
      <c r="B2614" s="2">
        <v>682</v>
      </c>
    </row>
    <row r="2615" spans="2:2" x14ac:dyDescent="0.3">
      <c r="B2615" s="2" t="s">
        <v>124</v>
      </c>
    </row>
    <row r="2616" spans="2:2" x14ac:dyDescent="0.3">
      <c r="B2616" s="2" t="s">
        <v>769</v>
      </c>
    </row>
    <row r="2617" spans="2:2" x14ac:dyDescent="0.3">
      <c r="B2617" s="2" t="s">
        <v>159</v>
      </c>
    </row>
    <row r="2618" spans="2:2" x14ac:dyDescent="0.3">
      <c r="B2618" s="2">
        <v>22</v>
      </c>
    </row>
    <row r="2619" spans="2:2" x14ac:dyDescent="0.3">
      <c r="B2619" s="2">
        <v>2</v>
      </c>
    </row>
    <row r="2620" spans="2:2" x14ac:dyDescent="0.3">
      <c r="B2620" s="2">
        <v>0</v>
      </c>
    </row>
    <row r="2621" spans="2:2" x14ac:dyDescent="0.3">
      <c r="B2621" s="2">
        <v>0</v>
      </c>
    </row>
    <row r="2622" spans="2:2" x14ac:dyDescent="0.3">
      <c r="B2622" s="2">
        <v>3.6</v>
      </c>
    </row>
    <row r="2623" spans="2:2" x14ac:dyDescent="0.3">
      <c r="B2623" s="2">
        <v>682</v>
      </c>
    </row>
    <row r="2624" spans="2:2" x14ac:dyDescent="0.3">
      <c r="B2624" s="2" t="s">
        <v>212</v>
      </c>
    </row>
    <row r="2625" spans="2:2" x14ac:dyDescent="0.3">
      <c r="B2625" s="2" t="s">
        <v>770</v>
      </c>
    </row>
    <row r="2626" spans="2:2" x14ac:dyDescent="0.3">
      <c r="B2626" s="2" t="s">
        <v>214</v>
      </c>
    </row>
    <row r="2627" spans="2:2" x14ac:dyDescent="0.3">
      <c r="B2627" s="2">
        <v>22</v>
      </c>
    </row>
    <row r="2628" spans="2:2" x14ac:dyDescent="0.3">
      <c r="B2628" s="2">
        <v>1</v>
      </c>
    </row>
    <row r="2629" spans="2:2" x14ac:dyDescent="0.3">
      <c r="B2629" s="2">
        <v>0</v>
      </c>
    </row>
    <row r="2630" spans="2:2" x14ac:dyDescent="0.3">
      <c r="B2630" s="2">
        <v>0</v>
      </c>
    </row>
    <row r="2631" spans="2:2" x14ac:dyDescent="0.3">
      <c r="B2631" s="2">
        <v>3.8</v>
      </c>
    </row>
    <row r="2632" spans="2:2" x14ac:dyDescent="0.3">
      <c r="B2632" s="2">
        <v>682</v>
      </c>
    </row>
    <row r="2633" spans="2:2" x14ac:dyDescent="0.3">
      <c r="B2633" s="2" t="s">
        <v>166</v>
      </c>
    </row>
    <row r="2634" spans="2:2" x14ac:dyDescent="0.3">
      <c r="B2634" s="2" t="s">
        <v>771</v>
      </c>
    </row>
    <row r="2635" spans="2:2" x14ac:dyDescent="0.3">
      <c r="B2635" s="2" t="s">
        <v>274</v>
      </c>
    </row>
    <row r="2636" spans="2:2" x14ac:dyDescent="0.3">
      <c r="B2636" s="2">
        <v>22</v>
      </c>
    </row>
    <row r="2637" spans="2:2" x14ac:dyDescent="0.3">
      <c r="B2637" s="2">
        <v>1</v>
      </c>
    </row>
    <row r="2638" spans="2:2" x14ac:dyDescent="0.3">
      <c r="B2638" s="2">
        <v>0</v>
      </c>
    </row>
    <row r="2639" spans="2:2" x14ac:dyDescent="0.3">
      <c r="B2639" s="2">
        <v>0</v>
      </c>
    </row>
    <row r="2640" spans="2:2" x14ac:dyDescent="0.3">
      <c r="B2640" s="2">
        <v>3.3</v>
      </c>
    </row>
    <row r="2641" spans="2:2" x14ac:dyDescent="0.3">
      <c r="B2641" s="2">
        <v>682</v>
      </c>
    </row>
    <row r="2642" spans="2:2" x14ac:dyDescent="0.3">
      <c r="B2642" s="2" t="s">
        <v>166</v>
      </c>
    </row>
    <row r="2643" spans="2:2" x14ac:dyDescent="0.3">
      <c r="B2643" s="2" t="s">
        <v>772</v>
      </c>
    </row>
    <row r="2644" spans="2:2" x14ac:dyDescent="0.3">
      <c r="B2644" s="2" t="s">
        <v>168</v>
      </c>
    </row>
    <row r="2645" spans="2:2" x14ac:dyDescent="0.3">
      <c r="B2645" s="2">
        <v>22</v>
      </c>
    </row>
    <row r="2646" spans="2:2" x14ac:dyDescent="0.3">
      <c r="B2646" s="2">
        <v>1</v>
      </c>
    </row>
    <row r="2647" spans="2:2" x14ac:dyDescent="0.3">
      <c r="B2647" s="2">
        <v>0</v>
      </c>
    </row>
    <row r="2648" spans="2:2" x14ac:dyDescent="0.3">
      <c r="B2648" s="2">
        <v>0</v>
      </c>
    </row>
    <row r="2649" spans="2:2" x14ac:dyDescent="0.3">
      <c r="B2649" s="2">
        <v>1.9</v>
      </c>
    </row>
    <row r="2650" spans="2:2" x14ac:dyDescent="0.3">
      <c r="B2650" s="2">
        <v>686</v>
      </c>
    </row>
    <row r="2651" spans="2:2" x14ac:dyDescent="0.3">
      <c r="B2651" s="2" t="s">
        <v>67</v>
      </c>
    </row>
    <row r="2652" spans="2:2" x14ac:dyDescent="0.3">
      <c r="B2652" s="2" t="s">
        <v>773</v>
      </c>
    </row>
    <row r="2653" spans="2:2" x14ac:dyDescent="0.3">
      <c r="B2653" s="2" t="s">
        <v>104</v>
      </c>
    </row>
    <row r="2654" spans="2:2" x14ac:dyDescent="0.3">
      <c r="B2654" s="2">
        <v>21</v>
      </c>
    </row>
    <row r="2655" spans="2:2" x14ac:dyDescent="0.3">
      <c r="B2655" s="2">
        <v>2</v>
      </c>
    </row>
    <row r="2656" spans="2:2" x14ac:dyDescent="0.3">
      <c r="B2656" s="2">
        <v>0</v>
      </c>
    </row>
    <row r="2657" spans="2:2" x14ac:dyDescent="0.3">
      <c r="B2657" s="2">
        <v>1</v>
      </c>
    </row>
    <row r="2658" spans="2:2" x14ac:dyDescent="0.3">
      <c r="B2658" s="2">
        <v>3.6</v>
      </c>
    </row>
    <row r="2659" spans="2:2" x14ac:dyDescent="0.3">
      <c r="B2659" s="2">
        <v>687</v>
      </c>
    </row>
    <row r="2660" spans="2:2" x14ac:dyDescent="0.3">
      <c r="B2660" s="2" t="s">
        <v>228</v>
      </c>
    </row>
    <row r="2661" spans="2:2" x14ac:dyDescent="0.3">
      <c r="B2661" s="2" t="s">
        <v>774</v>
      </c>
    </row>
    <row r="2662" spans="2:2" x14ac:dyDescent="0.3">
      <c r="B2662" s="2" t="s">
        <v>283</v>
      </c>
    </row>
    <row r="2663" spans="2:2" x14ac:dyDescent="0.3">
      <c r="B2663" s="2">
        <v>20</v>
      </c>
    </row>
    <row r="2664" spans="2:2" x14ac:dyDescent="0.3">
      <c r="B2664" s="2">
        <v>3</v>
      </c>
    </row>
    <row r="2665" spans="2:2" x14ac:dyDescent="0.3">
      <c r="B2665" s="2">
        <v>0</v>
      </c>
    </row>
    <row r="2666" spans="2:2" x14ac:dyDescent="0.3">
      <c r="B2666" s="2">
        <v>0</v>
      </c>
    </row>
    <row r="2667" spans="2:2" x14ac:dyDescent="0.3">
      <c r="B2667" s="2">
        <v>5.0999999999999996</v>
      </c>
    </row>
    <row r="2668" spans="2:2" x14ac:dyDescent="0.3">
      <c r="B2668" s="2">
        <v>687</v>
      </c>
    </row>
    <row r="2669" spans="2:2" x14ac:dyDescent="0.3">
      <c r="B2669" s="2" t="s">
        <v>332</v>
      </c>
    </row>
    <row r="2670" spans="2:2" x14ac:dyDescent="0.3">
      <c r="B2670" s="2" t="s">
        <v>775</v>
      </c>
    </row>
    <row r="2671" spans="2:2" x14ac:dyDescent="0.3">
      <c r="B2671" s="2" t="s">
        <v>477</v>
      </c>
    </row>
    <row r="2672" spans="2:2" x14ac:dyDescent="0.3">
      <c r="B2672" s="2">
        <v>20</v>
      </c>
    </row>
    <row r="2673" spans="2:2" x14ac:dyDescent="0.3">
      <c r="B2673" s="2">
        <v>3</v>
      </c>
    </row>
    <row r="2674" spans="2:2" x14ac:dyDescent="0.3">
      <c r="B2674" s="2">
        <v>0</v>
      </c>
    </row>
    <row r="2675" spans="2:2" x14ac:dyDescent="0.3">
      <c r="B2675" s="2">
        <v>0</v>
      </c>
    </row>
    <row r="2676" spans="2:2" x14ac:dyDescent="0.3">
      <c r="B2676" s="2">
        <v>4.2</v>
      </c>
    </row>
    <row r="2677" spans="2:2" x14ac:dyDescent="0.3">
      <c r="B2677" s="2">
        <v>687</v>
      </c>
    </row>
    <row r="2678" spans="2:2" x14ac:dyDescent="0.3">
      <c r="B2678" s="2" t="s">
        <v>228</v>
      </c>
    </row>
    <row r="2679" spans="2:2" x14ac:dyDescent="0.3">
      <c r="B2679" s="2" t="s">
        <v>776</v>
      </c>
    </row>
    <row r="2680" spans="2:2" x14ac:dyDescent="0.3">
      <c r="B2680" s="2" t="s">
        <v>403</v>
      </c>
    </row>
    <row r="2681" spans="2:2" x14ac:dyDescent="0.3">
      <c r="B2681" s="2">
        <v>20</v>
      </c>
    </row>
    <row r="2682" spans="2:2" x14ac:dyDescent="0.3">
      <c r="B2682" s="2">
        <v>1</v>
      </c>
    </row>
    <row r="2683" spans="2:2" x14ac:dyDescent="0.3">
      <c r="B2683" s="2">
        <v>0</v>
      </c>
    </row>
    <row r="2684" spans="2:2" x14ac:dyDescent="0.3">
      <c r="B2684" s="2">
        <v>0</v>
      </c>
    </row>
    <row r="2685" spans="2:2" x14ac:dyDescent="0.3">
      <c r="B2685" s="2">
        <v>3.2</v>
      </c>
    </row>
    <row r="2686" spans="2:2" x14ac:dyDescent="0.3">
      <c r="B2686" s="2">
        <v>687</v>
      </c>
    </row>
    <row r="2687" spans="2:2" x14ac:dyDescent="0.3">
      <c r="B2687" s="2" t="s">
        <v>212</v>
      </c>
    </row>
    <row r="2688" spans="2:2" x14ac:dyDescent="0.3">
      <c r="B2688" s="2" t="s">
        <v>777</v>
      </c>
    </row>
    <row r="2689" spans="2:2" x14ac:dyDescent="0.3">
      <c r="B2689" s="2" t="s">
        <v>455</v>
      </c>
    </row>
    <row r="2690" spans="2:2" x14ac:dyDescent="0.3">
      <c r="B2690" s="2">
        <v>20</v>
      </c>
    </row>
    <row r="2691" spans="2:2" x14ac:dyDescent="0.3">
      <c r="B2691" s="2">
        <v>1</v>
      </c>
    </row>
    <row r="2692" spans="2:2" x14ac:dyDescent="0.3">
      <c r="B2692" s="2">
        <v>0</v>
      </c>
    </row>
    <row r="2693" spans="2:2" x14ac:dyDescent="0.3">
      <c r="B2693" s="2">
        <v>0</v>
      </c>
    </row>
    <row r="2694" spans="2:2" x14ac:dyDescent="0.3">
      <c r="B2694" s="2">
        <v>2.7</v>
      </c>
    </row>
    <row r="2695" spans="2:2" x14ac:dyDescent="0.3">
      <c r="B2695" s="2">
        <v>691</v>
      </c>
    </row>
    <row r="2696" spans="2:2" x14ac:dyDescent="0.3">
      <c r="B2696" s="2" t="s">
        <v>162</v>
      </c>
    </row>
    <row r="2697" spans="2:2" x14ac:dyDescent="0.3">
      <c r="B2697" s="2" t="s">
        <v>778</v>
      </c>
    </row>
    <row r="2698" spans="2:2" x14ac:dyDescent="0.3">
      <c r="B2698" s="2" t="s">
        <v>173</v>
      </c>
    </row>
    <row r="2699" spans="2:2" x14ac:dyDescent="0.3">
      <c r="B2699" s="2">
        <v>19</v>
      </c>
    </row>
    <row r="2700" spans="2:2" x14ac:dyDescent="0.3">
      <c r="B2700" s="2">
        <v>2</v>
      </c>
    </row>
    <row r="2701" spans="2:2" x14ac:dyDescent="0.3">
      <c r="B2701" s="2">
        <v>0</v>
      </c>
    </row>
    <row r="2702" spans="2:2" x14ac:dyDescent="0.3">
      <c r="B2702" s="2">
        <v>0</v>
      </c>
    </row>
    <row r="2703" spans="2:2" x14ac:dyDescent="0.3">
      <c r="B2703" s="2">
        <v>4</v>
      </c>
    </row>
    <row r="2704" spans="2:2" x14ac:dyDescent="0.3">
      <c r="B2704" s="2">
        <v>691</v>
      </c>
    </row>
    <row r="2705" spans="2:2" x14ac:dyDescent="0.3">
      <c r="B2705" s="2" t="s">
        <v>237</v>
      </c>
    </row>
    <row r="2706" spans="2:2" x14ac:dyDescent="0.3">
      <c r="B2706" s="2" t="s">
        <v>779</v>
      </c>
    </row>
    <row r="2707" spans="2:2" x14ac:dyDescent="0.3">
      <c r="B2707" s="2" t="s">
        <v>401</v>
      </c>
    </row>
    <row r="2708" spans="2:2" x14ac:dyDescent="0.3">
      <c r="B2708" s="2">
        <v>19</v>
      </c>
    </row>
    <row r="2709" spans="2:2" x14ac:dyDescent="0.3">
      <c r="B2709" s="2">
        <v>2</v>
      </c>
    </row>
    <row r="2710" spans="2:2" x14ac:dyDescent="0.3">
      <c r="B2710" s="2">
        <v>0</v>
      </c>
    </row>
    <row r="2711" spans="2:2" x14ac:dyDescent="0.3">
      <c r="B2711" s="2">
        <v>0</v>
      </c>
    </row>
    <row r="2712" spans="2:2" x14ac:dyDescent="0.3">
      <c r="B2712" s="2">
        <v>3.7</v>
      </c>
    </row>
    <row r="2713" spans="2:2" x14ac:dyDescent="0.3">
      <c r="B2713" s="2">
        <v>693</v>
      </c>
    </row>
    <row r="2714" spans="2:2" x14ac:dyDescent="0.3">
      <c r="B2714" s="2" t="s">
        <v>67</v>
      </c>
    </row>
    <row r="2715" spans="2:2" x14ac:dyDescent="0.3">
      <c r="B2715" s="2" t="s">
        <v>780</v>
      </c>
    </row>
    <row r="2716" spans="2:2" x14ac:dyDescent="0.3">
      <c r="B2716" s="2" t="s">
        <v>98</v>
      </c>
    </row>
    <row r="2717" spans="2:2" x14ac:dyDescent="0.3">
      <c r="B2717" s="2">
        <v>18</v>
      </c>
    </row>
    <row r="2718" spans="2:2" x14ac:dyDescent="0.3">
      <c r="B2718" s="2">
        <v>2</v>
      </c>
    </row>
    <row r="2719" spans="2:2" x14ac:dyDescent="0.3">
      <c r="B2719" s="2">
        <v>0</v>
      </c>
    </row>
    <row r="2720" spans="2:2" x14ac:dyDescent="0.3">
      <c r="B2720" s="2">
        <v>0</v>
      </c>
    </row>
    <row r="2721" spans="2:2" x14ac:dyDescent="0.3">
      <c r="B2721" s="2">
        <v>3.6</v>
      </c>
    </row>
    <row r="2722" spans="2:2" x14ac:dyDescent="0.3">
      <c r="B2722" s="2">
        <v>693</v>
      </c>
    </row>
    <row r="2723" spans="2:2" x14ac:dyDescent="0.3">
      <c r="B2723" s="2" t="s">
        <v>19</v>
      </c>
    </row>
    <row r="2724" spans="2:2" x14ac:dyDescent="0.3">
      <c r="B2724" s="2" t="s">
        <v>487</v>
      </c>
    </row>
    <row r="2725" spans="2:2" x14ac:dyDescent="0.3">
      <c r="B2725" s="2" t="s">
        <v>112</v>
      </c>
    </row>
    <row r="2726" spans="2:2" x14ac:dyDescent="0.3">
      <c r="B2726" s="2">
        <v>18</v>
      </c>
    </row>
    <row r="2727" spans="2:2" x14ac:dyDescent="0.3">
      <c r="B2727" s="2">
        <v>2</v>
      </c>
    </row>
    <row r="2728" spans="2:2" x14ac:dyDescent="0.3">
      <c r="B2728" s="2">
        <v>0</v>
      </c>
    </row>
    <row r="2729" spans="2:2" x14ac:dyDescent="0.3">
      <c r="B2729" s="2">
        <v>0</v>
      </c>
    </row>
    <row r="2730" spans="2:2" x14ac:dyDescent="0.3">
      <c r="B2730" s="2">
        <v>3.3</v>
      </c>
    </row>
    <row r="2731" spans="2:2" x14ac:dyDescent="0.3">
      <c r="B2731" s="2">
        <v>695</v>
      </c>
    </row>
    <row r="2732" spans="2:2" x14ac:dyDescent="0.3">
      <c r="B2732" s="2" t="s">
        <v>237</v>
      </c>
    </row>
    <row r="2733" spans="2:2" x14ac:dyDescent="0.3">
      <c r="B2733" s="2" t="s">
        <v>781</v>
      </c>
    </row>
    <row r="2734" spans="2:2" x14ac:dyDescent="0.3">
      <c r="B2734" s="2" t="s">
        <v>270</v>
      </c>
    </row>
    <row r="2735" spans="2:2" x14ac:dyDescent="0.3">
      <c r="B2735" s="2">
        <v>17</v>
      </c>
    </row>
    <row r="2736" spans="2:2" x14ac:dyDescent="0.3">
      <c r="B2736" s="2">
        <v>1</v>
      </c>
    </row>
    <row r="2737" spans="2:2" x14ac:dyDescent="0.3">
      <c r="B2737" s="2">
        <v>0</v>
      </c>
    </row>
    <row r="2738" spans="2:2" x14ac:dyDescent="0.3">
      <c r="B2738" s="2">
        <v>0</v>
      </c>
    </row>
    <row r="2739" spans="2:2" x14ac:dyDescent="0.3">
      <c r="B2739" s="2">
        <v>2.4</v>
      </c>
    </row>
    <row r="2740" spans="2:2" x14ac:dyDescent="0.3">
      <c r="B2740" s="2">
        <v>695</v>
      </c>
    </row>
    <row r="2741" spans="2:2" x14ac:dyDescent="0.3">
      <c r="B2741" s="2" t="s">
        <v>345</v>
      </c>
    </row>
    <row r="2742" spans="2:2" x14ac:dyDescent="0.3">
      <c r="B2742" s="2" t="s">
        <v>782</v>
      </c>
    </row>
    <row r="2743" spans="2:2" x14ac:dyDescent="0.3">
      <c r="B2743" s="2" t="s">
        <v>362</v>
      </c>
    </row>
    <row r="2744" spans="2:2" x14ac:dyDescent="0.3">
      <c r="B2744" s="2">
        <v>17</v>
      </c>
    </row>
    <row r="2745" spans="2:2" x14ac:dyDescent="0.3">
      <c r="B2745" s="2">
        <v>1</v>
      </c>
    </row>
    <row r="2746" spans="2:2" x14ac:dyDescent="0.3">
      <c r="B2746" s="2">
        <v>0</v>
      </c>
    </row>
    <row r="2747" spans="2:2" x14ac:dyDescent="0.3">
      <c r="B2747" s="2">
        <v>0</v>
      </c>
    </row>
    <row r="2748" spans="2:2" x14ac:dyDescent="0.3">
      <c r="B2748" s="2">
        <v>1.9</v>
      </c>
    </row>
    <row r="2749" spans="2:2" x14ac:dyDescent="0.3">
      <c r="B2749" s="2">
        <v>695</v>
      </c>
    </row>
    <row r="2750" spans="2:2" x14ac:dyDescent="0.3">
      <c r="B2750" s="2" t="s">
        <v>75</v>
      </c>
    </row>
    <row r="2751" spans="2:2" x14ac:dyDescent="0.3">
      <c r="B2751" s="2" t="s">
        <v>783</v>
      </c>
    </row>
    <row r="2752" spans="2:2" x14ac:dyDescent="0.3">
      <c r="B2752" s="2" t="s">
        <v>115</v>
      </c>
    </row>
    <row r="2753" spans="2:2" x14ac:dyDescent="0.3">
      <c r="B2753" s="2">
        <v>17</v>
      </c>
    </row>
    <row r="2754" spans="2:2" x14ac:dyDescent="0.3">
      <c r="B2754" s="2">
        <v>1</v>
      </c>
    </row>
    <row r="2755" spans="2:2" x14ac:dyDescent="0.3">
      <c r="B2755" s="2">
        <v>0</v>
      </c>
    </row>
    <row r="2756" spans="2:2" x14ac:dyDescent="0.3">
      <c r="B2756" s="2">
        <v>0</v>
      </c>
    </row>
    <row r="2757" spans="2:2" x14ac:dyDescent="0.3">
      <c r="B2757" s="2">
        <v>1.1000000000000001</v>
      </c>
    </row>
    <row r="2758" spans="2:2" x14ac:dyDescent="0.3">
      <c r="B2758" s="2">
        <v>698</v>
      </c>
    </row>
    <row r="2759" spans="2:2" x14ac:dyDescent="0.3">
      <c r="B2759" s="2" t="s">
        <v>209</v>
      </c>
    </row>
    <row r="2760" spans="2:2" x14ac:dyDescent="0.3">
      <c r="B2760" s="2" t="s">
        <v>784</v>
      </c>
    </row>
    <row r="2761" spans="2:2" x14ac:dyDescent="0.3">
      <c r="B2761" s="2" t="s">
        <v>662</v>
      </c>
    </row>
    <row r="2762" spans="2:2" x14ac:dyDescent="0.3">
      <c r="B2762" s="2">
        <v>16</v>
      </c>
    </row>
    <row r="2763" spans="2:2" x14ac:dyDescent="0.3">
      <c r="B2763" s="2">
        <v>2</v>
      </c>
    </row>
    <row r="2764" spans="2:2" x14ac:dyDescent="0.3">
      <c r="B2764" s="2">
        <v>0</v>
      </c>
    </row>
    <row r="2765" spans="2:2" x14ac:dyDescent="0.3">
      <c r="B2765" s="2">
        <v>0</v>
      </c>
    </row>
    <row r="2766" spans="2:2" x14ac:dyDescent="0.3">
      <c r="B2766" s="2">
        <v>2.7</v>
      </c>
    </row>
    <row r="2767" spans="2:2" x14ac:dyDescent="0.3">
      <c r="B2767" s="2">
        <v>699</v>
      </c>
    </row>
    <row r="2768" spans="2:2" x14ac:dyDescent="0.3">
      <c r="B2768" s="2" t="s">
        <v>201</v>
      </c>
    </row>
    <row r="2769" spans="2:2" x14ac:dyDescent="0.3">
      <c r="B2769" s="2" t="s">
        <v>785</v>
      </c>
    </row>
    <row r="2770" spans="2:2" x14ac:dyDescent="0.3">
      <c r="B2770" s="2" t="s">
        <v>202</v>
      </c>
    </row>
    <row r="2771" spans="2:2" x14ac:dyDescent="0.3">
      <c r="B2771" s="2">
        <v>15</v>
      </c>
    </row>
    <row r="2772" spans="2:2" x14ac:dyDescent="0.3">
      <c r="B2772" s="2">
        <v>2</v>
      </c>
    </row>
    <row r="2773" spans="2:2" x14ac:dyDescent="0.3">
      <c r="B2773" s="2">
        <v>0</v>
      </c>
    </row>
    <row r="2774" spans="2:2" x14ac:dyDescent="0.3">
      <c r="B2774" s="2">
        <v>0</v>
      </c>
    </row>
    <row r="2775" spans="2:2" x14ac:dyDescent="0.3">
      <c r="B2775" s="2">
        <v>3.6</v>
      </c>
    </row>
    <row r="2776" spans="2:2" x14ac:dyDescent="0.3">
      <c r="B2776" s="2">
        <v>699</v>
      </c>
    </row>
    <row r="2777" spans="2:2" x14ac:dyDescent="0.3">
      <c r="B2777" s="2" t="s">
        <v>87</v>
      </c>
    </row>
    <row r="2778" spans="2:2" x14ac:dyDescent="0.3">
      <c r="B2778" s="2" t="s">
        <v>786</v>
      </c>
    </row>
    <row r="2779" spans="2:2" x14ac:dyDescent="0.3">
      <c r="B2779" s="2" t="s">
        <v>138</v>
      </c>
    </row>
    <row r="2780" spans="2:2" x14ac:dyDescent="0.3">
      <c r="B2780" s="2">
        <v>15</v>
      </c>
    </row>
    <row r="2781" spans="2:2" x14ac:dyDescent="0.3">
      <c r="B2781" s="2">
        <v>1</v>
      </c>
    </row>
    <row r="2782" spans="2:2" x14ac:dyDescent="0.3">
      <c r="B2782" s="2">
        <v>0</v>
      </c>
    </row>
    <row r="2783" spans="2:2" x14ac:dyDescent="0.3">
      <c r="B2783" s="2">
        <v>0</v>
      </c>
    </row>
    <row r="2784" spans="2:2" x14ac:dyDescent="0.3">
      <c r="B2784" s="2">
        <v>2.4</v>
      </c>
    </row>
    <row r="2785" spans="2:2" x14ac:dyDescent="0.3">
      <c r="B2785" s="2">
        <v>699</v>
      </c>
    </row>
    <row r="2786" spans="2:2" x14ac:dyDescent="0.3">
      <c r="B2786" s="2" t="s">
        <v>237</v>
      </c>
    </row>
    <row r="2787" spans="2:2" x14ac:dyDescent="0.3">
      <c r="B2787" s="2" t="s">
        <v>787</v>
      </c>
    </row>
    <row r="2788" spans="2:2" x14ac:dyDescent="0.3">
      <c r="B2788" s="2" t="s">
        <v>265</v>
      </c>
    </row>
    <row r="2789" spans="2:2" x14ac:dyDescent="0.3">
      <c r="B2789" s="2">
        <v>15</v>
      </c>
    </row>
    <row r="2790" spans="2:2" x14ac:dyDescent="0.3">
      <c r="B2790" s="2">
        <v>1</v>
      </c>
    </row>
    <row r="2791" spans="2:2" x14ac:dyDescent="0.3">
      <c r="B2791" s="2">
        <v>0</v>
      </c>
    </row>
    <row r="2792" spans="2:2" x14ac:dyDescent="0.3">
      <c r="B2792" s="2">
        <v>0</v>
      </c>
    </row>
    <row r="2793" spans="2:2" x14ac:dyDescent="0.3">
      <c r="B2793" s="2">
        <v>1.9</v>
      </c>
    </row>
    <row r="2794" spans="2:2" x14ac:dyDescent="0.3">
      <c r="B2794" s="2">
        <v>702</v>
      </c>
    </row>
    <row r="2795" spans="2:2" x14ac:dyDescent="0.3">
      <c r="B2795" s="2" t="s">
        <v>164</v>
      </c>
    </row>
    <row r="2796" spans="2:2" x14ac:dyDescent="0.3">
      <c r="B2796" s="2" t="s">
        <v>788</v>
      </c>
    </row>
    <row r="2797" spans="2:2" x14ac:dyDescent="0.3">
      <c r="B2797" s="2" t="s">
        <v>240</v>
      </c>
    </row>
    <row r="2798" spans="2:2" x14ac:dyDescent="0.3">
      <c r="B2798" s="2">
        <v>14</v>
      </c>
    </row>
    <row r="2799" spans="2:2" x14ac:dyDescent="0.3">
      <c r="B2799" s="2">
        <v>2</v>
      </c>
    </row>
    <row r="2800" spans="2:2" x14ac:dyDescent="0.3">
      <c r="B2800" s="2">
        <v>0</v>
      </c>
    </row>
    <row r="2801" spans="2:2" x14ac:dyDescent="0.3">
      <c r="B2801" s="2">
        <v>0</v>
      </c>
    </row>
    <row r="2802" spans="2:2" x14ac:dyDescent="0.3">
      <c r="B2802" s="2">
        <v>3.2</v>
      </c>
    </row>
    <row r="2803" spans="2:2" x14ac:dyDescent="0.3">
      <c r="B2803" s="2">
        <v>702</v>
      </c>
    </row>
    <row r="2804" spans="2:2" x14ac:dyDescent="0.3">
      <c r="B2804" s="2" t="s">
        <v>218</v>
      </c>
    </row>
    <row r="2805" spans="2:2" x14ac:dyDescent="0.3">
      <c r="B2805" s="2" t="s">
        <v>789</v>
      </c>
    </row>
    <row r="2806" spans="2:2" x14ac:dyDescent="0.3">
      <c r="B2806" s="2" t="s">
        <v>220</v>
      </c>
    </row>
    <row r="2807" spans="2:2" x14ac:dyDescent="0.3">
      <c r="B2807" s="2">
        <v>14</v>
      </c>
    </row>
    <row r="2808" spans="2:2" x14ac:dyDescent="0.3">
      <c r="B2808" s="2">
        <v>2</v>
      </c>
    </row>
    <row r="2809" spans="2:2" x14ac:dyDescent="0.3">
      <c r="B2809" s="2">
        <v>0</v>
      </c>
    </row>
    <row r="2810" spans="2:2" x14ac:dyDescent="0.3">
      <c r="B2810" s="2">
        <v>0</v>
      </c>
    </row>
    <row r="2811" spans="2:2" x14ac:dyDescent="0.3">
      <c r="B2811" s="2">
        <v>3</v>
      </c>
    </row>
    <row r="2812" spans="2:2" x14ac:dyDescent="0.3">
      <c r="B2812" s="2">
        <v>704</v>
      </c>
    </row>
    <row r="2813" spans="2:2" x14ac:dyDescent="0.3">
      <c r="B2813" s="2" t="s">
        <v>124</v>
      </c>
    </row>
    <row r="2814" spans="2:2" x14ac:dyDescent="0.3">
      <c r="B2814" s="2" t="s">
        <v>790</v>
      </c>
    </row>
    <row r="2815" spans="2:2" x14ac:dyDescent="0.3">
      <c r="B2815" s="2" t="s">
        <v>126</v>
      </c>
    </row>
    <row r="2816" spans="2:2" x14ac:dyDescent="0.3">
      <c r="B2816" s="2">
        <v>13</v>
      </c>
    </row>
    <row r="2817" spans="2:2" x14ac:dyDescent="0.3">
      <c r="B2817" s="2">
        <v>1</v>
      </c>
    </row>
    <row r="2818" spans="2:2" x14ac:dyDescent="0.3">
      <c r="B2818" s="2">
        <v>0</v>
      </c>
    </row>
    <row r="2819" spans="2:2" x14ac:dyDescent="0.3">
      <c r="B2819" s="2">
        <v>0</v>
      </c>
    </row>
    <row r="2820" spans="2:2" x14ac:dyDescent="0.3">
      <c r="B2820" s="2">
        <v>2</v>
      </c>
    </row>
    <row r="2821" spans="2:2" x14ac:dyDescent="0.3">
      <c r="B2821" s="2">
        <v>705</v>
      </c>
    </row>
    <row r="2822" spans="2:2" x14ac:dyDescent="0.3">
      <c r="B2822" s="2" t="s">
        <v>15</v>
      </c>
    </row>
    <row r="2823" spans="2:2" x14ac:dyDescent="0.3">
      <c r="B2823" s="2" t="s">
        <v>791</v>
      </c>
    </row>
    <row r="2824" spans="2:2" x14ac:dyDescent="0.3">
      <c r="B2824" s="2" t="s">
        <v>111</v>
      </c>
    </row>
    <row r="2825" spans="2:2" x14ac:dyDescent="0.3">
      <c r="B2825" s="2">
        <v>12</v>
      </c>
    </row>
    <row r="2826" spans="2:2" x14ac:dyDescent="0.3">
      <c r="B2826" s="2">
        <v>1</v>
      </c>
    </row>
    <row r="2827" spans="2:2" x14ac:dyDescent="0.3">
      <c r="B2827" s="2">
        <v>0</v>
      </c>
    </row>
    <row r="2828" spans="2:2" x14ac:dyDescent="0.3">
      <c r="B2828" s="2">
        <v>0</v>
      </c>
    </row>
    <row r="2829" spans="2:2" x14ac:dyDescent="0.3">
      <c r="B2829" s="2">
        <v>1.6</v>
      </c>
    </row>
    <row r="2830" spans="2:2" x14ac:dyDescent="0.3">
      <c r="B2830" s="2">
        <v>706</v>
      </c>
    </row>
    <row r="2831" spans="2:2" x14ac:dyDescent="0.3">
      <c r="B2831" s="2" t="s">
        <v>218</v>
      </c>
    </row>
    <row r="2832" spans="2:2" x14ac:dyDescent="0.3">
      <c r="B2832" s="2" t="s">
        <v>792</v>
      </c>
    </row>
    <row r="2833" spans="2:2" x14ac:dyDescent="0.3">
      <c r="B2833" s="2" t="s">
        <v>220</v>
      </c>
    </row>
    <row r="2834" spans="2:2" x14ac:dyDescent="0.3">
      <c r="B2834" s="2">
        <v>11</v>
      </c>
    </row>
    <row r="2835" spans="2:2" x14ac:dyDescent="0.3">
      <c r="B2835" s="2">
        <v>1</v>
      </c>
    </row>
    <row r="2836" spans="2:2" x14ac:dyDescent="0.3">
      <c r="B2836" s="2">
        <v>1</v>
      </c>
    </row>
    <row r="2837" spans="2:2" x14ac:dyDescent="0.3">
      <c r="B2837" s="2">
        <v>0</v>
      </c>
    </row>
    <row r="2838" spans="2:2" x14ac:dyDescent="0.3">
      <c r="B2838" s="2">
        <v>2.2000000000000002</v>
      </c>
    </row>
    <row r="2839" spans="2:2" x14ac:dyDescent="0.3">
      <c r="B2839" s="2">
        <v>706</v>
      </c>
    </row>
    <row r="2840" spans="2:2" x14ac:dyDescent="0.3">
      <c r="B2840" s="2" t="s">
        <v>50</v>
      </c>
    </row>
    <row r="2841" spans="2:2" x14ac:dyDescent="0.3">
      <c r="B2841" s="2" t="s">
        <v>793</v>
      </c>
    </row>
    <row r="2842" spans="2:2" x14ac:dyDescent="0.3">
      <c r="B2842" s="2" t="s">
        <v>328</v>
      </c>
    </row>
    <row r="2843" spans="2:2" x14ac:dyDescent="0.3">
      <c r="B2843" s="2">
        <v>11</v>
      </c>
    </row>
    <row r="2844" spans="2:2" x14ac:dyDescent="0.3">
      <c r="B2844" s="2">
        <v>1</v>
      </c>
    </row>
    <row r="2845" spans="2:2" x14ac:dyDescent="0.3">
      <c r="B2845" s="2">
        <v>0</v>
      </c>
    </row>
    <row r="2846" spans="2:2" x14ac:dyDescent="0.3">
      <c r="B2846" s="2">
        <v>0</v>
      </c>
    </row>
    <row r="2847" spans="2:2" x14ac:dyDescent="0.3">
      <c r="B2847" s="2">
        <v>2</v>
      </c>
    </row>
    <row r="2848" spans="2:2" x14ac:dyDescent="0.3">
      <c r="B2848" s="2">
        <v>706</v>
      </c>
    </row>
    <row r="2849" spans="2:2" x14ac:dyDescent="0.3">
      <c r="B2849" s="2" t="s">
        <v>19</v>
      </c>
    </row>
    <row r="2850" spans="2:2" x14ac:dyDescent="0.3">
      <c r="B2850" s="2" t="s">
        <v>794</v>
      </c>
    </row>
    <row r="2851" spans="2:2" x14ac:dyDescent="0.3">
      <c r="B2851" s="2" t="s">
        <v>113</v>
      </c>
    </row>
    <row r="2852" spans="2:2" x14ac:dyDescent="0.3">
      <c r="B2852" s="2">
        <v>11</v>
      </c>
    </row>
    <row r="2853" spans="2:2" x14ac:dyDescent="0.3">
      <c r="B2853" s="2">
        <v>1</v>
      </c>
    </row>
    <row r="2854" spans="2:2" x14ac:dyDescent="0.3">
      <c r="B2854" s="2">
        <v>0</v>
      </c>
    </row>
    <row r="2855" spans="2:2" x14ac:dyDescent="0.3">
      <c r="B2855" s="2">
        <v>0</v>
      </c>
    </row>
    <row r="2856" spans="2:2" x14ac:dyDescent="0.3">
      <c r="B2856" s="2">
        <v>1.7</v>
      </c>
    </row>
    <row r="2857" spans="2:2" x14ac:dyDescent="0.3">
      <c r="B2857" s="2">
        <v>709</v>
      </c>
    </row>
    <row r="2858" spans="2:2" x14ac:dyDescent="0.3">
      <c r="B2858" s="2" t="s">
        <v>19</v>
      </c>
    </row>
    <row r="2859" spans="2:2" x14ac:dyDescent="0.3">
      <c r="B2859" s="2" t="s">
        <v>795</v>
      </c>
    </row>
    <row r="2860" spans="2:2" x14ac:dyDescent="0.3">
      <c r="B2860" s="2" t="s">
        <v>113</v>
      </c>
    </row>
    <row r="2861" spans="2:2" x14ac:dyDescent="0.3">
      <c r="B2861" s="2">
        <v>10</v>
      </c>
    </row>
    <row r="2862" spans="2:2" x14ac:dyDescent="0.3">
      <c r="B2862" s="2">
        <v>1</v>
      </c>
    </row>
    <row r="2863" spans="2:2" x14ac:dyDescent="0.3">
      <c r="B2863" s="2">
        <v>0</v>
      </c>
    </row>
    <row r="2864" spans="2:2" x14ac:dyDescent="0.3">
      <c r="B2864" s="2">
        <v>0</v>
      </c>
    </row>
    <row r="2865" spans="2:2" x14ac:dyDescent="0.3">
      <c r="B2865" s="2">
        <v>1.8</v>
      </c>
    </row>
    <row r="2866" spans="2:2" x14ac:dyDescent="0.3">
      <c r="B2866" s="2">
        <v>709</v>
      </c>
    </row>
    <row r="2867" spans="2:2" x14ac:dyDescent="0.3">
      <c r="B2867" s="2" t="s">
        <v>253</v>
      </c>
    </row>
    <row r="2868" spans="2:2" x14ac:dyDescent="0.3">
      <c r="B2868" s="2" t="s">
        <v>796</v>
      </c>
    </row>
    <row r="2869" spans="2:2" x14ac:dyDescent="0.3">
      <c r="B2869" s="2" t="s">
        <v>255</v>
      </c>
    </row>
    <row r="2870" spans="2:2" x14ac:dyDescent="0.3">
      <c r="B2870" s="2">
        <v>10</v>
      </c>
    </row>
    <row r="2871" spans="2:2" x14ac:dyDescent="0.3">
      <c r="B2871" s="2">
        <v>1</v>
      </c>
    </row>
    <row r="2872" spans="2:2" x14ac:dyDescent="0.3">
      <c r="B2872" s="2">
        <v>0</v>
      </c>
    </row>
    <row r="2873" spans="2:2" x14ac:dyDescent="0.3">
      <c r="B2873" s="2">
        <v>0</v>
      </c>
    </row>
    <row r="2874" spans="2:2" x14ac:dyDescent="0.3">
      <c r="B2874" s="2">
        <v>1.6</v>
      </c>
    </row>
    <row r="2875" spans="2:2" x14ac:dyDescent="0.3">
      <c r="B2875" s="2">
        <v>711</v>
      </c>
    </row>
    <row r="2876" spans="2:2" x14ac:dyDescent="0.3">
      <c r="B2876" s="2" t="s">
        <v>107</v>
      </c>
    </row>
    <row r="2877" spans="2:2" x14ac:dyDescent="0.3">
      <c r="B2877" s="2" t="s">
        <v>797</v>
      </c>
    </row>
    <row r="2878" spans="2:2" x14ac:dyDescent="0.3">
      <c r="B2878" s="2" t="s">
        <v>156</v>
      </c>
    </row>
    <row r="2879" spans="2:2" x14ac:dyDescent="0.3">
      <c r="B2879" s="2">
        <v>9</v>
      </c>
    </row>
    <row r="2880" spans="2:2" x14ac:dyDescent="0.3">
      <c r="B2880" s="2">
        <v>2</v>
      </c>
    </row>
    <row r="2881" spans="2:2" x14ac:dyDescent="0.3">
      <c r="B2881" s="2">
        <v>0</v>
      </c>
    </row>
    <row r="2882" spans="2:2" x14ac:dyDescent="0.3">
      <c r="B2882" s="2">
        <v>0</v>
      </c>
    </row>
    <row r="2883" spans="2:2" x14ac:dyDescent="0.3">
      <c r="B2883" s="2">
        <v>2.2000000000000002</v>
      </c>
    </row>
    <row r="2884" spans="2:2" x14ac:dyDescent="0.3">
      <c r="B2884" s="2">
        <v>711</v>
      </c>
    </row>
    <row r="2885" spans="2:2" x14ac:dyDescent="0.3">
      <c r="B2885" s="2" t="s">
        <v>209</v>
      </c>
    </row>
    <row r="2886" spans="2:2" x14ac:dyDescent="0.3">
      <c r="B2886" s="2" t="s">
        <v>798</v>
      </c>
    </row>
    <row r="2887" spans="2:2" x14ac:dyDescent="0.3">
      <c r="B2887" s="2" t="s">
        <v>246</v>
      </c>
    </row>
    <row r="2888" spans="2:2" x14ac:dyDescent="0.3">
      <c r="B2888" s="2">
        <v>9</v>
      </c>
    </row>
    <row r="2889" spans="2:2" x14ac:dyDescent="0.3">
      <c r="B2889" s="2">
        <v>1</v>
      </c>
    </row>
    <row r="2890" spans="2:2" x14ac:dyDescent="0.3">
      <c r="B2890" s="2">
        <v>0</v>
      </c>
    </row>
    <row r="2891" spans="2:2" x14ac:dyDescent="0.3">
      <c r="B2891" s="2">
        <v>0</v>
      </c>
    </row>
    <row r="2892" spans="2:2" x14ac:dyDescent="0.3">
      <c r="B2892" s="2">
        <v>2.1</v>
      </c>
    </row>
    <row r="2893" spans="2:2" x14ac:dyDescent="0.3">
      <c r="B2893" s="2">
        <v>711</v>
      </c>
    </row>
    <row r="2894" spans="2:2" x14ac:dyDescent="0.3">
      <c r="B2894" s="2" t="s">
        <v>124</v>
      </c>
    </row>
    <row r="2895" spans="2:2" x14ac:dyDescent="0.3">
      <c r="B2895" s="2" t="s">
        <v>799</v>
      </c>
    </row>
    <row r="2896" spans="2:2" x14ac:dyDescent="0.3">
      <c r="B2896" s="2" t="s">
        <v>159</v>
      </c>
    </row>
    <row r="2897" spans="2:2" x14ac:dyDescent="0.3">
      <c r="B2897" s="2">
        <v>9</v>
      </c>
    </row>
    <row r="2898" spans="2:2" x14ac:dyDescent="0.3">
      <c r="B2898" s="2">
        <v>1</v>
      </c>
    </row>
    <row r="2899" spans="2:2" x14ac:dyDescent="0.3">
      <c r="B2899" s="2">
        <v>0</v>
      </c>
    </row>
    <row r="2900" spans="2:2" x14ac:dyDescent="0.3">
      <c r="B2900" s="2">
        <v>0</v>
      </c>
    </row>
    <row r="2901" spans="2:2" x14ac:dyDescent="0.3">
      <c r="B2901" s="2">
        <v>1.9</v>
      </c>
    </row>
    <row r="2902" spans="2:2" x14ac:dyDescent="0.3">
      <c r="B2902" s="2">
        <v>711</v>
      </c>
    </row>
    <row r="2903" spans="2:2" x14ac:dyDescent="0.3">
      <c r="B2903" s="2" t="s">
        <v>58</v>
      </c>
    </row>
    <row r="2904" spans="2:2" x14ac:dyDescent="0.3">
      <c r="B2904" s="2" t="s">
        <v>800</v>
      </c>
    </row>
    <row r="2905" spans="2:2" x14ac:dyDescent="0.3">
      <c r="B2905" s="2" t="s">
        <v>133</v>
      </c>
    </row>
    <row r="2906" spans="2:2" x14ac:dyDescent="0.3">
      <c r="B2906" s="2">
        <v>9</v>
      </c>
    </row>
    <row r="2907" spans="2:2" x14ac:dyDescent="0.3">
      <c r="B2907" s="2">
        <v>1</v>
      </c>
    </row>
    <row r="2908" spans="2:2" x14ac:dyDescent="0.3">
      <c r="B2908" s="2">
        <v>0</v>
      </c>
    </row>
    <row r="2909" spans="2:2" x14ac:dyDescent="0.3">
      <c r="B2909" s="2">
        <v>0</v>
      </c>
    </row>
    <row r="2910" spans="2:2" x14ac:dyDescent="0.3">
      <c r="B2910" s="2">
        <v>1.8</v>
      </c>
    </row>
    <row r="2911" spans="2:2" x14ac:dyDescent="0.3">
      <c r="B2911" s="2">
        <v>711</v>
      </c>
    </row>
    <row r="2912" spans="2:2" x14ac:dyDescent="0.3">
      <c r="B2912" s="2" t="s">
        <v>164</v>
      </c>
    </row>
    <row r="2913" spans="2:2" x14ac:dyDescent="0.3">
      <c r="B2913" s="2" t="s">
        <v>801</v>
      </c>
    </row>
    <row r="2914" spans="2:2" x14ac:dyDescent="0.3">
      <c r="B2914" s="2" t="s">
        <v>240</v>
      </c>
    </row>
    <row r="2915" spans="2:2" x14ac:dyDescent="0.3">
      <c r="B2915" s="2">
        <v>9</v>
      </c>
    </row>
    <row r="2916" spans="2:2" x14ac:dyDescent="0.3">
      <c r="B2916" s="2">
        <v>1</v>
      </c>
    </row>
    <row r="2917" spans="2:2" x14ac:dyDescent="0.3">
      <c r="B2917" s="2">
        <v>0</v>
      </c>
    </row>
    <row r="2918" spans="2:2" x14ac:dyDescent="0.3">
      <c r="B2918" s="2">
        <v>0</v>
      </c>
    </row>
    <row r="2919" spans="2:2" x14ac:dyDescent="0.3">
      <c r="B2919" s="2">
        <v>1.8</v>
      </c>
    </row>
    <row r="2920" spans="2:2" x14ac:dyDescent="0.3">
      <c r="B2920" s="2">
        <v>711</v>
      </c>
    </row>
    <row r="2921" spans="2:2" x14ac:dyDescent="0.3">
      <c r="B2921" s="2" t="s">
        <v>162</v>
      </c>
    </row>
    <row r="2922" spans="2:2" x14ac:dyDescent="0.3">
      <c r="B2922" s="2" t="s">
        <v>802</v>
      </c>
    </row>
    <row r="2923" spans="2:2" x14ac:dyDescent="0.3">
      <c r="B2923" s="2" t="s">
        <v>249</v>
      </c>
    </row>
    <row r="2924" spans="2:2" x14ac:dyDescent="0.3">
      <c r="B2924" s="2">
        <v>9</v>
      </c>
    </row>
    <row r="2925" spans="2:2" x14ac:dyDescent="0.3">
      <c r="B2925" s="2">
        <v>1</v>
      </c>
    </row>
    <row r="2926" spans="2:2" x14ac:dyDescent="0.3">
      <c r="B2926" s="2">
        <v>0</v>
      </c>
    </row>
    <row r="2927" spans="2:2" x14ac:dyDescent="0.3">
      <c r="B2927" s="2">
        <v>0</v>
      </c>
    </row>
    <row r="2928" spans="2:2" x14ac:dyDescent="0.3">
      <c r="B2928" s="2">
        <v>1.8</v>
      </c>
    </row>
    <row r="2929" spans="2:2" x14ac:dyDescent="0.3">
      <c r="B2929" s="2">
        <v>717</v>
      </c>
    </row>
    <row r="2930" spans="2:2" x14ac:dyDescent="0.3">
      <c r="B2930" s="2" t="s">
        <v>15</v>
      </c>
    </row>
    <row r="2931" spans="2:2" x14ac:dyDescent="0.3">
      <c r="B2931" s="2" t="s">
        <v>803</v>
      </c>
    </row>
    <row r="2932" spans="2:2" x14ac:dyDescent="0.3">
      <c r="B2932" s="2" t="s">
        <v>70</v>
      </c>
    </row>
    <row r="2933" spans="2:2" x14ac:dyDescent="0.3">
      <c r="B2933" s="2">
        <v>8</v>
      </c>
    </row>
    <row r="2934" spans="2:2" x14ac:dyDescent="0.3">
      <c r="B2934" s="2">
        <v>2</v>
      </c>
    </row>
    <row r="2935" spans="2:2" x14ac:dyDescent="0.3">
      <c r="B2935" s="2">
        <v>0</v>
      </c>
    </row>
    <row r="2936" spans="2:2" x14ac:dyDescent="0.3">
      <c r="B2936" s="2">
        <v>0</v>
      </c>
    </row>
    <row r="2937" spans="2:2" x14ac:dyDescent="0.3">
      <c r="B2937" s="2">
        <v>1.5</v>
      </c>
    </row>
    <row r="2938" spans="2:2" x14ac:dyDescent="0.3">
      <c r="B2938" s="2">
        <v>717</v>
      </c>
    </row>
    <row r="2939" spans="2:2" x14ac:dyDescent="0.3">
      <c r="B2939" s="2" t="s">
        <v>250</v>
      </c>
    </row>
    <row r="2940" spans="2:2" x14ac:dyDescent="0.3">
      <c r="B2940" s="2" t="s">
        <v>804</v>
      </c>
    </row>
    <row r="2941" spans="2:2" x14ac:dyDescent="0.3">
      <c r="B2941" s="2" t="s">
        <v>252</v>
      </c>
    </row>
    <row r="2942" spans="2:2" x14ac:dyDescent="0.3">
      <c r="B2942" s="2">
        <v>8</v>
      </c>
    </row>
    <row r="2943" spans="2:2" x14ac:dyDescent="0.3">
      <c r="B2943" s="2">
        <v>1</v>
      </c>
    </row>
    <row r="2944" spans="2:2" x14ac:dyDescent="0.3">
      <c r="B2944" s="2">
        <v>0</v>
      </c>
    </row>
    <row r="2945" spans="2:2" x14ac:dyDescent="0.3">
      <c r="B2945" s="2">
        <v>0</v>
      </c>
    </row>
    <row r="2946" spans="2:2" x14ac:dyDescent="0.3">
      <c r="B2946" s="2">
        <v>1.5</v>
      </c>
    </row>
    <row r="2947" spans="2:2" x14ac:dyDescent="0.3">
      <c r="B2947" s="2">
        <v>717</v>
      </c>
    </row>
    <row r="2948" spans="2:2" x14ac:dyDescent="0.3">
      <c r="B2948" s="2" t="s">
        <v>198</v>
      </c>
    </row>
    <row r="2949" spans="2:2" x14ac:dyDescent="0.3">
      <c r="B2949" s="2" t="s">
        <v>805</v>
      </c>
    </row>
    <row r="2950" spans="2:2" x14ac:dyDescent="0.3">
      <c r="B2950" s="2" t="s">
        <v>260</v>
      </c>
    </row>
    <row r="2951" spans="2:2" x14ac:dyDescent="0.3">
      <c r="B2951" s="2">
        <v>8</v>
      </c>
    </row>
    <row r="2952" spans="2:2" x14ac:dyDescent="0.3">
      <c r="B2952" s="2">
        <v>1</v>
      </c>
    </row>
    <row r="2953" spans="2:2" x14ac:dyDescent="0.3">
      <c r="B2953" s="2">
        <v>0</v>
      </c>
    </row>
    <row r="2954" spans="2:2" x14ac:dyDescent="0.3">
      <c r="B2954" s="2">
        <v>0</v>
      </c>
    </row>
    <row r="2955" spans="2:2" x14ac:dyDescent="0.3">
      <c r="B2955" s="2">
        <v>1.3</v>
      </c>
    </row>
    <row r="2956" spans="2:2" x14ac:dyDescent="0.3">
      <c r="B2956" s="2">
        <v>720</v>
      </c>
    </row>
    <row r="2957" spans="2:2" x14ac:dyDescent="0.3">
      <c r="B2957" s="2" t="s">
        <v>15</v>
      </c>
    </row>
    <row r="2958" spans="2:2" x14ac:dyDescent="0.3">
      <c r="B2958" s="2" t="s">
        <v>806</v>
      </c>
    </row>
    <row r="2959" spans="2:2" x14ac:dyDescent="0.3">
      <c r="B2959" s="2" t="s">
        <v>111</v>
      </c>
    </row>
    <row r="2960" spans="2:2" x14ac:dyDescent="0.3">
      <c r="B2960" s="2">
        <v>7</v>
      </c>
    </row>
    <row r="2961" spans="2:2" x14ac:dyDescent="0.3">
      <c r="B2961" s="2">
        <v>2</v>
      </c>
    </row>
    <row r="2962" spans="2:2" x14ac:dyDescent="0.3">
      <c r="B2962" s="2">
        <v>0</v>
      </c>
    </row>
    <row r="2963" spans="2:2" x14ac:dyDescent="0.3">
      <c r="B2963" s="2">
        <v>0</v>
      </c>
    </row>
    <row r="2964" spans="2:2" x14ac:dyDescent="0.3">
      <c r="B2964" s="2">
        <v>2.2000000000000002</v>
      </c>
    </row>
    <row r="2965" spans="2:2" x14ac:dyDescent="0.3">
      <c r="B2965" s="2">
        <v>720</v>
      </c>
    </row>
    <row r="2966" spans="2:2" x14ac:dyDescent="0.3">
      <c r="B2966" s="2" t="s">
        <v>164</v>
      </c>
    </row>
    <row r="2967" spans="2:2" x14ac:dyDescent="0.3">
      <c r="B2967" s="2" t="s">
        <v>807</v>
      </c>
    </row>
    <row r="2968" spans="2:2" x14ac:dyDescent="0.3">
      <c r="B2968" s="2" t="s">
        <v>171</v>
      </c>
    </row>
    <row r="2969" spans="2:2" x14ac:dyDescent="0.3">
      <c r="B2969" s="2">
        <v>7</v>
      </c>
    </row>
    <row r="2970" spans="2:2" x14ac:dyDescent="0.3">
      <c r="B2970" s="2">
        <v>1</v>
      </c>
    </row>
    <row r="2971" spans="2:2" x14ac:dyDescent="0.3">
      <c r="B2971" s="2">
        <v>0</v>
      </c>
    </row>
    <row r="2972" spans="2:2" x14ac:dyDescent="0.3">
      <c r="B2972" s="2">
        <v>0</v>
      </c>
    </row>
    <row r="2973" spans="2:2" x14ac:dyDescent="0.3">
      <c r="B2973" s="2">
        <v>1.3</v>
      </c>
    </row>
    <row r="2974" spans="2:2" x14ac:dyDescent="0.3">
      <c r="B2974" s="2">
        <v>720</v>
      </c>
    </row>
    <row r="2975" spans="2:2" x14ac:dyDescent="0.3">
      <c r="B2975" s="2" t="s">
        <v>121</v>
      </c>
    </row>
    <row r="2976" spans="2:2" x14ac:dyDescent="0.3">
      <c r="B2976" s="2" t="s">
        <v>808</v>
      </c>
    </row>
    <row r="2977" spans="2:2" x14ac:dyDescent="0.3">
      <c r="B2977" s="2" t="s">
        <v>374</v>
      </c>
    </row>
    <row r="2978" spans="2:2" x14ac:dyDescent="0.3">
      <c r="B2978" s="2">
        <v>7</v>
      </c>
    </row>
    <row r="2979" spans="2:2" x14ac:dyDescent="0.3">
      <c r="B2979" s="2">
        <v>1</v>
      </c>
    </row>
    <row r="2980" spans="2:2" x14ac:dyDescent="0.3">
      <c r="B2980" s="2">
        <v>0</v>
      </c>
    </row>
    <row r="2981" spans="2:2" x14ac:dyDescent="0.3">
      <c r="B2981" s="2">
        <v>0</v>
      </c>
    </row>
    <row r="2982" spans="2:2" x14ac:dyDescent="0.3">
      <c r="B2982" s="2">
        <v>1.2</v>
      </c>
    </row>
    <row r="2983" spans="2:2" x14ac:dyDescent="0.3">
      <c r="B2983" s="2">
        <v>720</v>
      </c>
    </row>
    <row r="2984" spans="2:2" x14ac:dyDescent="0.3">
      <c r="B2984" s="2" t="s">
        <v>250</v>
      </c>
    </row>
    <row r="2985" spans="2:2" x14ac:dyDescent="0.3">
      <c r="B2985" s="2" t="s">
        <v>809</v>
      </c>
    </row>
    <row r="2986" spans="2:2" x14ac:dyDescent="0.3">
      <c r="B2986" s="2" t="s">
        <v>252</v>
      </c>
    </row>
    <row r="2987" spans="2:2" x14ac:dyDescent="0.3">
      <c r="B2987" s="2">
        <v>7</v>
      </c>
    </row>
    <row r="2988" spans="2:2" x14ac:dyDescent="0.3">
      <c r="B2988" s="2">
        <v>1</v>
      </c>
    </row>
    <row r="2989" spans="2:2" x14ac:dyDescent="0.3">
      <c r="B2989" s="2">
        <v>0</v>
      </c>
    </row>
    <row r="2990" spans="2:2" x14ac:dyDescent="0.3">
      <c r="B2990" s="2">
        <v>0</v>
      </c>
    </row>
    <row r="2991" spans="2:2" x14ac:dyDescent="0.3">
      <c r="B2991" s="2" t="s">
        <v>810</v>
      </c>
    </row>
    <row r="2992" spans="2:2" x14ac:dyDescent="0.3">
      <c r="B2992" s="2">
        <v>724</v>
      </c>
    </row>
    <row r="2993" spans="2:2" x14ac:dyDescent="0.3">
      <c r="B2993" s="2" t="s">
        <v>15</v>
      </c>
    </row>
    <row r="2994" spans="2:2" x14ac:dyDescent="0.3">
      <c r="B2994" s="2" t="s">
        <v>811</v>
      </c>
    </row>
    <row r="2995" spans="2:2" x14ac:dyDescent="0.3">
      <c r="B2995" s="2" t="s">
        <v>97</v>
      </c>
    </row>
    <row r="2996" spans="2:2" x14ac:dyDescent="0.3">
      <c r="B2996" s="2">
        <v>6</v>
      </c>
    </row>
    <row r="2997" spans="2:2" x14ac:dyDescent="0.3">
      <c r="B2997" s="2">
        <v>1</v>
      </c>
    </row>
    <row r="2998" spans="2:2" x14ac:dyDescent="0.3">
      <c r="B2998" s="2">
        <v>0</v>
      </c>
    </row>
    <row r="2999" spans="2:2" x14ac:dyDescent="0.3">
      <c r="B2999" s="2">
        <v>0</v>
      </c>
    </row>
    <row r="3000" spans="2:2" x14ac:dyDescent="0.3">
      <c r="B3000" s="2">
        <v>1.3</v>
      </c>
    </row>
    <row r="3001" spans="2:2" x14ac:dyDescent="0.3">
      <c r="B3001" s="2">
        <v>724</v>
      </c>
    </row>
    <row r="3002" spans="2:2" x14ac:dyDescent="0.3">
      <c r="B3002" s="2" t="s">
        <v>75</v>
      </c>
    </row>
    <row r="3003" spans="2:2" x14ac:dyDescent="0.3">
      <c r="B3003" s="2" t="s">
        <v>812</v>
      </c>
    </row>
    <row r="3004" spans="2:2" x14ac:dyDescent="0.3">
      <c r="B3004" s="2" t="s">
        <v>183</v>
      </c>
    </row>
    <row r="3005" spans="2:2" x14ac:dyDescent="0.3">
      <c r="B3005" s="2">
        <v>6</v>
      </c>
    </row>
    <row r="3006" spans="2:2" x14ac:dyDescent="0.3">
      <c r="B3006" s="2">
        <v>1</v>
      </c>
    </row>
    <row r="3007" spans="2:2" x14ac:dyDescent="0.3">
      <c r="B3007" s="2">
        <v>0</v>
      </c>
    </row>
    <row r="3008" spans="2:2" x14ac:dyDescent="0.3">
      <c r="B3008" s="2">
        <v>0</v>
      </c>
    </row>
    <row r="3009" spans="2:2" x14ac:dyDescent="0.3">
      <c r="B3009" s="2">
        <v>1.2</v>
      </c>
    </row>
    <row r="3010" spans="2:2" x14ac:dyDescent="0.3">
      <c r="B3010" s="2">
        <v>724</v>
      </c>
    </row>
    <row r="3011" spans="2:2" x14ac:dyDescent="0.3">
      <c r="B3011" s="2" t="s">
        <v>75</v>
      </c>
    </row>
    <row r="3012" spans="2:2" x14ac:dyDescent="0.3">
      <c r="B3012" s="2" t="s">
        <v>813</v>
      </c>
    </row>
    <row r="3013" spans="2:2" x14ac:dyDescent="0.3">
      <c r="B3013" s="2" t="s">
        <v>78</v>
      </c>
    </row>
    <row r="3014" spans="2:2" x14ac:dyDescent="0.3">
      <c r="B3014" s="2">
        <v>6</v>
      </c>
    </row>
    <row r="3015" spans="2:2" x14ac:dyDescent="0.3">
      <c r="B3015" s="2">
        <v>1</v>
      </c>
    </row>
    <row r="3016" spans="2:2" x14ac:dyDescent="0.3">
      <c r="B3016" s="2">
        <v>0</v>
      </c>
    </row>
    <row r="3017" spans="2:2" x14ac:dyDescent="0.3">
      <c r="B3017" s="2">
        <v>0</v>
      </c>
    </row>
    <row r="3018" spans="2:2" x14ac:dyDescent="0.3">
      <c r="B3018" s="2">
        <v>1.1000000000000001</v>
      </c>
    </row>
    <row r="3019" spans="2:2" x14ac:dyDescent="0.3">
      <c r="B3019" s="2">
        <v>727</v>
      </c>
    </row>
    <row r="3020" spans="2:2" x14ac:dyDescent="0.3">
      <c r="B3020" s="2" t="s">
        <v>107</v>
      </c>
    </row>
    <row r="3021" spans="2:2" x14ac:dyDescent="0.3">
      <c r="B3021" s="2" t="s">
        <v>814</v>
      </c>
    </row>
    <row r="3022" spans="2:2" x14ac:dyDescent="0.3">
      <c r="B3022" s="2" t="s">
        <v>108</v>
      </c>
    </row>
    <row r="3023" spans="2:2" x14ac:dyDescent="0.3">
      <c r="B3023" s="2">
        <v>5</v>
      </c>
    </row>
    <row r="3024" spans="2:2" x14ac:dyDescent="0.3">
      <c r="B3024" s="2">
        <v>1</v>
      </c>
    </row>
    <row r="3025" spans="2:2" x14ac:dyDescent="0.3">
      <c r="B3025" s="2">
        <v>0</v>
      </c>
    </row>
    <row r="3026" spans="2:2" x14ac:dyDescent="0.3">
      <c r="B3026" s="2">
        <v>0</v>
      </c>
    </row>
    <row r="3027" spans="2:2" x14ac:dyDescent="0.3">
      <c r="B3027" s="2">
        <v>1.1000000000000001</v>
      </c>
    </row>
    <row r="3028" spans="2:2" x14ac:dyDescent="0.3">
      <c r="B3028" s="2">
        <v>728</v>
      </c>
    </row>
    <row r="3029" spans="2:2" x14ac:dyDescent="0.3">
      <c r="B3029" s="2" t="s">
        <v>116</v>
      </c>
    </row>
    <row r="3030" spans="2:2" x14ac:dyDescent="0.3">
      <c r="B3030" s="2" t="s">
        <v>815</v>
      </c>
    </row>
    <row r="3031" spans="2:2" x14ac:dyDescent="0.3">
      <c r="B3031" s="2" t="s">
        <v>177</v>
      </c>
    </row>
    <row r="3032" spans="2:2" x14ac:dyDescent="0.3">
      <c r="B3032" s="2">
        <v>4</v>
      </c>
    </row>
    <row r="3033" spans="2:2" x14ac:dyDescent="0.3">
      <c r="B3033" s="2">
        <v>1</v>
      </c>
    </row>
    <row r="3034" spans="2:2" x14ac:dyDescent="0.3">
      <c r="B3034" s="2">
        <v>0</v>
      </c>
    </row>
    <row r="3035" spans="2:2" x14ac:dyDescent="0.3">
      <c r="B3035" s="2">
        <v>0</v>
      </c>
    </row>
    <row r="3036" spans="2:2" x14ac:dyDescent="0.3">
      <c r="B3036" s="2">
        <v>1.3</v>
      </c>
    </row>
    <row r="3037" spans="2:2" x14ac:dyDescent="0.3">
      <c r="B3037" s="2">
        <v>728</v>
      </c>
    </row>
    <row r="3038" spans="2:2" x14ac:dyDescent="0.3">
      <c r="B3038" s="2" t="s">
        <v>116</v>
      </c>
    </row>
    <row r="3039" spans="2:2" x14ac:dyDescent="0.3">
      <c r="B3039" s="2" t="s">
        <v>816</v>
      </c>
    </row>
    <row r="3040" spans="2:2" x14ac:dyDescent="0.3">
      <c r="B3040" s="2" t="s">
        <v>118</v>
      </c>
    </row>
    <row r="3041" spans="2:2" x14ac:dyDescent="0.3">
      <c r="B3041" s="2">
        <v>4</v>
      </c>
    </row>
    <row r="3042" spans="2:2" x14ac:dyDescent="0.3">
      <c r="B3042" s="2">
        <v>1</v>
      </c>
    </row>
    <row r="3043" spans="2:2" x14ac:dyDescent="0.3">
      <c r="B3043" s="2">
        <v>0</v>
      </c>
    </row>
    <row r="3044" spans="2:2" x14ac:dyDescent="0.3">
      <c r="B3044" s="2">
        <v>0</v>
      </c>
    </row>
    <row r="3045" spans="2:2" x14ac:dyDescent="0.3">
      <c r="B3045" s="2">
        <v>1.2</v>
      </c>
    </row>
    <row r="3046" spans="2:2" x14ac:dyDescent="0.3">
      <c r="B3046" s="2">
        <v>728</v>
      </c>
    </row>
    <row r="3047" spans="2:2" x14ac:dyDescent="0.3">
      <c r="B3047" s="2" t="s">
        <v>216</v>
      </c>
    </row>
    <row r="3048" spans="2:2" x14ac:dyDescent="0.3">
      <c r="B3048" s="2" t="s">
        <v>817</v>
      </c>
    </row>
    <row r="3049" spans="2:2" x14ac:dyDescent="0.3">
      <c r="B3049" s="2" t="s">
        <v>313</v>
      </c>
    </row>
    <row r="3050" spans="2:2" x14ac:dyDescent="0.3">
      <c r="B3050" s="2">
        <v>4</v>
      </c>
    </row>
    <row r="3051" spans="2:2" x14ac:dyDescent="0.3">
      <c r="B3051" s="2">
        <v>1</v>
      </c>
    </row>
    <row r="3052" spans="2:2" x14ac:dyDescent="0.3">
      <c r="B3052" s="2">
        <v>0</v>
      </c>
    </row>
    <row r="3053" spans="2:2" x14ac:dyDescent="0.3">
      <c r="B3053" s="2">
        <v>0</v>
      </c>
    </row>
    <row r="3054" spans="2:2" x14ac:dyDescent="0.3">
      <c r="B3054" s="2">
        <v>1</v>
      </c>
    </row>
    <row r="3055" spans="2:2" x14ac:dyDescent="0.3">
      <c r="B3055" s="2">
        <v>728</v>
      </c>
    </row>
    <row r="3056" spans="2:2" x14ac:dyDescent="0.3">
      <c r="B3056" s="2" t="s">
        <v>216</v>
      </c>
    </row>
    <row r="3057" spans="2:2" x14ac:dyDescent="0.3">
      <c r="B3057" s="2" t="s">
        <v>818</v>
      </c>
    </row>
    <row r="3058" spans="2:2" x14ac:dyDescent="0.3">
      <c r="B3058" s="2" t="s">
        <v>503</v>
      </c>
    </row>
    <row r="3059" spans="2:2" x14ac:dyDescent="0.3">
      <c r="B3059" s="2">
        <v>4</v>
      </c>
    </row>
    <row r="3060" spans="2:2" x14ac:dyDescent="0.3">
      <c r="B3060" s="2">
        <v>1</v>
      </c>
    </row>
    <row r="3061" spans="2:2" x14ac:dyDescent="0.3">
      <c r="B3061" s="2">
        <v>0</v>
      </c>
    </row>
    <row r="3062" spans="2:2" x14ac:dyDescent="0.3">
      <c r="B3062" s="2">
        <v>0</v>
      </c>
    </row>
    <row r="3063" spans="2:2" x14ac:dyDescent="0.3">
      <c r="B3063" s="2">
        <v>0.5</v>
      </c>
    </row>
    <row r="3064" spans="2:2" x14ac:dyDescent="0.3">
      <c r="B3064" s="2">
        <v>732</v>
      </c>
    </row>
    <row r="3065" spans="2:2" x14ac:dyDescent="0.3">
      <c r="B3065" s="2" t="s">
        <v>250</v>
      </c>
    </row>
    <row r="3066" spans="2:2" x14ac:dyDescent="0.3">
      <c r="B3066" s="2" t="s">
        <v>819</v>
      </c>
    </row>
    <row r="3067" spans="2:2" x14ac:dyDescent="0.3">
      <c r="B3067" s="2" t="s">
        <v>252</v>
      </c>
    </row>
    <row r="3068" spans="2:2" x14ac:dyDescent="0.3">
      <c r="B3068" s="2">
        <v>3</v>
      </c>
    </row>
    <row r="3069" spans="2:2" x14ac:dyDescent="0.3">
      <c r="B3069" s="2">
        <v>1</v>
      </c>
    </row>
    <row r="3070" spans="2:2" x14ac:dyDescent="0.3">
      <c r="B3070" s="2">
        <v>0</v>
      </c>
    </row>
    <row r="3071" spans="2:2" x14ac:dyDescent="0.3">
      <c r="B3071" s="2">
        <v>0</v>
      </c>
    </row>
    <row r="3072" spans="2:2" x14ac:dyDescent="0.3">
      <c r="B3072" s="2">
        <v>1.3</v>
      </c>
    </row>
    <row r="3073" spans="2:2" x14ac:dyDescent="0.3">
      <c r="B3073" s="2">
        <v>732</v>
      </c>
    </row>
    <row r="3074" spans="2:2" x14ac:dyDescent="0.3">
      <c r="B3074" s="2" t="s">
        <v>164</v>
      </c>
    </row>
    <row r="3075" spans="2:2" x14ac:dyDescent="0.3">
      <c r="B3075" s="2" t="s">
        <v>820</v>
      </c>
    </row>
    <row r="3076" spans="2:2" x14ac:dyDescent="0.3">
      <c r="B3076" s="2" t="s">
        <v>171</v>
      </c>
    </row>
    <row r="3077" spans="2:2" x14ac:dyDescent="0.3">
      <c r="B3077" s="2">
        <v>3</v>
      </c>
    </row>
    <row r="3078" spans="2:2" x14ac:dyDescent="0.3">
      <c r="B3078" s="2">
        <v>1</v>
      </c>
    </row>
    <row r="3079" spans="2:2" x14ac:dyDescent="0.3">
      <c r="B3079" s="2">
        <v>0</v>
      </c>
    </row>
    <row r="3080" spans="2:2" x14ac:dyDescent="0.3">
      <c r="B3080" s="2">
        <v>0</v>
      </c>
    </row>
    <row r="3081" spans="2:2" x14ac:dyDescent="0.3">
      <c r="B3081" s="2">
        <v>1</v>
      </c>
    </row>
    <row r="3082" spans="2:2" x14ac:dyDescent="0.3">
      <c r="B3082" s="2">
        <v>732</v>
      </c>
    </row>
    <row r="3083" spans="2:2" x14ac:dyDescent="0.3">
      <c r="B3083" s="2" t="s">
        <v>218</v>
      </c>
    </row>
    <row r="3084" spans="2:2" x14ac:dyDescent="0.3">
      <c r="B3084" s="2" t="s">
        <v>821</v>
      </c>
    </row>
    <row r="3085" spans="2:2" x14ac:dyDescent="0.3">
      <c r="B3085" s="2" t="s">
        <v>369</v>
      </c>
    </row>
    <row r="3086" spans="2:2" x14ac:dyDescent="0.3">
      <c r="B3086" s="2">
        <v>3</v>
      </c>
    </row>
    <row r="3087" spans="2:2" x14ac:dyDescent="0.3">
      <c r="B3087" s="2">
        <v>1</v>
      </c>
    </row>
    <row r="3088" spans="2:2" x14ac:dyDescent="0.3">
      <c r="B3088" s="2">
        <v>0</v>
      </c>
    </row>
    <row r="3089" spans="2:2" x14ac:dyDescent="0.3">
      <c r="B3089" s="2">
        <v>0</v>
      </c>
    </row>
    <row r="3090" spans="2:2" x14ac:dyDescent="0.3">
      <c r="B3090" s="2">
        <v>0.9</v>
      </c>
    </row>
    <row r="3091" spans="2:2" x14ac:dyDescent="0.3">
      <c r="B3091" s="2">
        <v>732</v>
      </c>
    </row>
    <row r="3092" spans="2:2" x14ac:dyDescent="0.3">
      <c r="B3092" s="2" t="s">
        <v>286</v>
      </c>
    </row>
    <row r="3093" spans="2:2" x14ac:dyDescent="0.3">
      <c r="B3093" s="2" t="s">
        <v>822</v>
      </c>
    </row>
    <row r="3094" spans="2:2" x14ac:dyDescent="0.3">
      <c r="B3094" s="2" t="s">
        <v>339</v>
      </c>
    </row>
    <row r="3095" spans="2:2" x14ac:dyDescent="0.3">
      <c r="B3095" s="2">
        <v>3</v>
      </c>
    </row>
    <row r="3096" spans="2:2" x14ac:dyDescent="0.3">
      <c r="B3096" s="2">
        <v>1</v>
      </c>
    </row>
    <row r="3097" spans="2:2" x14ac:dyDescent="0.3">
      <c r="B3097" s="2">
        <v>0</v>
      </c>
    </row>
    <row r="3098" spans="2:2" x14ac:dyDescent="0.3">
      <c r="B3098" s="2">
        <v>0</v>
      </c>
    </row>
    <row r="3099" spans="2:2" x14ac:dyDescent="0.3">
      <c r="B3099" s="2">
        <v>0.8</v>
      </c>
    </row>
    <row r="3100" spans="2:2" x14ac:dyDescent="0.3">
      <c r="B3100" s="2">
        <v>736</v>
      </c>
    </row>
    <row r="3101" spans="2:2" x14ac:dyDescent="0.3">
      <c r="B3101" s="2" t="s">
        <v>204</v>
      </c>
    </row>
    <row r="3102" spans="2:2" x14ac:dyDescent="0.3">
      <c r="B3102" s="2" t="s">
        <v>823</v>
      </c>
    </row>
    <row r="3103" spans="2:2" x14ac:dyDescent="0.3">
      <c r="B3103" s="2" t="s">
        <v>397</v>
      </c>
    </row>
    <row r="3104" spans="2:2" x14ac:dyDescent="0.3">
      <c r="B3104" s="2">
        <v>2</v>
      </c>
    </row>
    <row r="3105" spans="2:2" x14ac:dyDescent="0.3">
      <c r="B3105" s="2">
        <v>1</v>
      </c>
    </row>
    <row r="3106" spans="2:2" x14ac:dyDescent="0.3">
      <c r="B3106" s="2">
        <v>0</v>
      </c>
    </row>
    <row r="3107" spans="2:2" x14ac:dyDescent="0.3">
      <c r="B3107" s="2">
        <v>0</v>
      </c>
    </row>
    <row r="3108" spans="2:2" x14ac:dyDescent="0.3">
      <c r="B3108" s="2">
        <v>1.1000000000000001</v>
      </c>
    </row>
    <row r="3109" spans="2:2" x14ac:dyDescent="0.3">
      <c r="B3109" s="2">
        <v>737</v>
      </c>
    </row>
    <row r="3110" spans="2:2" x14ac:dyDescent="0.3">
      <c r="B3110" s="2" t="s">
        <v>166</v>
      </c>
    </row>
    <row r="3111" spans="2:2" x14ac:dyDescent="0.3">
      <c r="B3111" s="2" t="s">
        <v>824</v>
      </c>
    </row>
    <row r="3112" spans="2:2" x14ac:dyDescent="0.3">
      <c r="B3112" s="2" t="s">
        <v>274</v>
      </c>
    </row>
    <row r="3113" spans="2:2" x14ac:dyDescent="0.3">
      <c r="B3113" s="2">
        <v>1</v>
      </c>
    </row>
    <row r="3114" spans="2:2" x14ac:dyDescent="0.3">
      <c r="B3114" s="2">
        <v>1</v>
      </c>
    </row>
    <row r="3115" spans="2:2" x14ac:dyDescent="0.3">
      <c r="B3115" s="2">
        <v>0</v>
      </c>
    </row>
    <row r="3116" spans="2:2" x14ac:dyDescent="0.3">
      <c r="B3116" s="2">
        <v>0</v>
      </c>
    </row>
    <row r="3117" spans="2:2" x14ac:dyDescent="0.3">
      <c r="B3117" s="2">
        <v>1</v>
      </c>
    </row>
    <row r="3118" spans="2:2" x14ac:dyDescent="0.3">
      <c r="B3118" s="2">
        <v>737</v>
      </c>
    </row>
    <row r="3119" spans="2:2" x14ac:dyDescent="0.3">
      <c r="B3119" s="2" t="s">
        <v>166</v>
      </c>
    </row>
    <row r="3120" spans="2:2" x14ac:dyDescent="0.3">
      <c r="B3120" s="2" t="s">
        <v>825</v>
      </c>
    </row>
    <row r="3121" spans="2:2" x14ac:dyDescent="0.3">
      <c r="B3121" s="2" t="s">
        <v>274</v>
      </c>
    </row>
    <row r="3122" spans="2:2" x14ac:dyDescent="0.3">
      <c r="B3122" s="2">
        <v>1</v>
      </c>
    </row>
    <row r="3123" spans="2:2" x14ac:dyDescent="0.3">
      <c r="B3123" s="2">
        <v>1</v>
      </c>
    </row>
    <row r="3124" spans="2:2" x14ac:dyDescent="0.3">
      <c r="B3124" s="2">
        <v>0</v>
      </c>
    </row>
    <row r="3125" spans="2:2" x14ac:dyDescent="0.3">
      <c r="B3125" s="2">
        <v>0</v>
      </c>
    </row>
    <row r="3126" spans="2:2" x14ac:dyDescent="0.3">
      <c r="B3126" s="2">
        <v>1</v>
      </c>
    </row>
    <row r="3127" spans="2:2" x14ac:dyDescent="0.3">
      <c r="B3127" s="2">
        <v>737</v>
      </c>
    </row>
    <row r="3128" spans="2:2" x14ac:dyDescent="0.3">
      <c r="B3128" s="2" t="s">
        <v>164</v>
      </c>
    </row>
    <row r="3129" spans="2:2" x14ac:dyDescent="0.3">
      <c r="B3129" s="2" t="s">
        <v>826</v>
      </c>
    </row>
    <row r="3130" spans="2:2" x14ac:dyDescent="0.3">
      <c r="B3130" s="2" t="s">
        <v>272</v>
      </c>
    </row>
    <row r="3131" spans="2:2" x14ac:dyDescent="0.3">
      <c r="B3131" s="2">
        <v>1</v>
      </c>
    </row>
    <row r="3132" spans="2:2" x14ac:dyDescent="0.3">
      <c r="B3132" s="2">
        <v>1</v>
      </c>
    </row>
    <row r="3133" spans="2:2" x14ac:dyDescent="0.3">
      <c r="B3133" s="2">
        <v>0</v>
      </c>
    </row>
    <row r="3134" spans="2:2" x14ac:dyDescent="0.3">
      <c r="B3134" s="2">
        <v>0</v>
      </c>
    </row>
    <row r="3135" spans="2:2" x14ac:dyDescent="0.3">
      <c r="B3135" s="2">
        <v>0.8</v>
      </c>
    </row>
    <row r="3136" spans="2:2" x14ac:dyDescent="0.3">
      <c r="B3136" s="2">
        <v>737</v>
      </c>
    </row>
    <row r="3137" spans="2:2" x14ac:dyDescent="0.3">
      <c r="B3137" s="2" t="s">
        <v>164</v>
      </c>
    </row>
    <row r="3138" spans="2:2" x14ac:dyDescent="0.3">
      <c r="B3138" s="2" t="s">
        <v>827</v>
      </c>
    </row>
    <row r="3139" spans="2:2" x14ac:dyDescent="0.3">
      <c r="B3139" s="2" t="s">
        <v>240</v>
      </c>
    </row>
    <row r="3140" spans="2:2" x14ac:dyDescent="0.3">
      <c r="B3140" s="2">
        <v>1</v>
      </c>
    </row>
    <row r="3141" spans="2:2" x14ac:dyDescent="0.3">
      <c r="B3141" s="2">
        <v>1</v>
      </c>
    </row>
    <row r="3142" spans="2:2" x14ac:dyDescent="0.3">
      <c r="B3142" s="2">
        <v>0</v>
      </c>
    </row>
    <row r="3143" spans="2:2" x14ac:dyDescent="0.3">
      <c r="B3143" s="2">
        <v>0</v>
      </c>
    </row>
    <row r="3144" spans="2:2" x14ac:dyDescent="0.3">
      <c r="B3144" s="2">
        <v>0.8</v>
      </c>
    </row>
    <row r="3145" spans="2:2" x14ac:dyDescent="0.3">
      <c r="B3145" s="2">
        <v>737</v>
      </c>
    </row>
    <row r="3146" spans="2:2" x14ac:dyDescent="0.3">
      <c r="B3146" s="2" t="s">
        <v>58</v>
      </c>
    </row>
    <row r="3147" spans="2:2" x14ac:dyDescent="0.3">
      <c r="B3147" s="2" t="s">
        <v>828</v>
      </c>
    </row>
    <row r="3148" spans="2:2" x14ac:dyDescent="0.3">
      <c r="B3148" s="2" t="s">
        <v>94</v>
      </c>
    </row>
    <row r="3149" spans="2:2" x14ac:dyDescent="0.3">
      <c r="B3149" s="2">
        <v>1</v>
      </c>
    </row>
    <row r="3150" spans="2:2" x14ac:dyDescent="0.3">
      <c r="B3150" s="2">
        <v>1</v>
      </c>
    </row>
    <row r="3151" spans="2:2" x14ac:dyDescent="0.3">
      <c r="B3151" s="2">
        <v>0</v>
      </c>
    </row>
    <row r="3152" spans="2:2" x14ac:dyDescent="0.3">
      <c r="B3152" s="2">
        <v>0</v>
      </c>
    </row>
    <row r="3153" spans="2:2" x14ac:dyDescent="0.3">
      <c r="B3153" s="2">
        <v>0.7</v>
      </c>
    </row>
    <row r="3154" spans="2:2" x14ac:dyDescent="0.3">
      <c r="B3154" s="2">
        <v>737</v>
      </c>
    </row>
    <row r="3155" spans="2:2" x14ac:dyDescent="0.3">
      <c r="B3155" s="2" t="s">
        <v>162</v>
      </c>
    </row>
    <row r="3156" spans="2:2" x14ac:dyDescent="0.3">
      <c r="B3156" s="2" t="s">
        <v>829</v>
      </c>
    </row>
    <row r="3157" spans="2:2" x14ac:dyDescent="0.3">
      <c r="B3157" s="2" t="s">
        <v>181</v>
      </c>
    </row>
    <row r="3158" spans="2:2" x14ac:dyDescent="0.3">
      <c r="B3158" s="2">
        <v>1</v>
      </c>
    </row>
    <row r="3159" spans="2:2" x14ac:dyDescent="0.3">
      <c r="B3159" s="2">
        <v>1</v>
      </c>
    </row>
    <row r="3160" spans="2:2" x14ac:dyDescent="0.3">
      <c r="B3160" s="2">
        <v>0</v>
      </c>
    </row>
    <row r="3161" spans="2:2" x14ac:dyDescent="0.3">
      <c r="B3161" s="2">
        <v>0</v>
      </c>
    </row>
    <row r="3162" spans="2:2" x14ac:dyDescent="0.3">
      <c r="B3162" s="2">
        <v>0.7</v>
      </c>
    </row>
    <row r="3163" spans="2:2" x14ac:dyDescent="0.3">
      <c r="B3163" s="2">
        <v>737</v>
      </c>
    </row>
    <row r="3164" spans="2:2" x14ac:dyDescent="0.3">
      <c r="B3164" s="2" t="s">
        <v>201</v>
      </c>
    </row>
    <row r="3165" spans="2:2" x14ac:dyDescent="0.3">
      <c r="B3165" s="2" t="s">
        <v>830</v>
      </c>
    </row>
    <row r="3166" spans="2:2" x14ac:dyDescent="0.3">
      <c r="B3166" s="2" t="s">
        <v>208</v>
      </c>
    </row>
    <row r="3167" spans="2:2" x14ac:dyDescent="0.3">
      <c r="B3167" s="2">
        <v>1</v>
      </c>
    </row>
    <row r="3168" spans="2:2" x14ac:dyDescent="0.3">
      <c r="B3168" s="2">
        <v>1</v>
      </c>
    </row>
    <row r="3169" spans="2:2" x14ac:dyDescent="0.3">
      <c r="B3169" s="2">
        <v>0</v>
      </c>
    </row>
    <row r="3170" spans="2:2" x14ac:dyDescent="0.3">
      <c r="B3170" s="2">
        <v>0</v>
      </c>
    </row>
    <row r="3171" spans="2:2" x14ac:dyDescent="0.3">
      <c r="B3171" s="2">
        <v>0.5</v>
      </c>
    </row>
    <row r="3172" spans="2:2" x14ac:dyDescent="0.3">
      <c r="B3172" s="2">
        <v>737</v>
      </c>
    </row>
    <row r="3173" spans="2:2" x14ac:dyDescent="0.3">
      <c r="B3173" s="2" t="s">
        <v>16</v>
      </c>
    </row>
    <row r="3174" spans="2:2" x14ac:dyDescent="0.3">
      <c r="B3174" s="2" t="s">
        <v>831</v>
      </c>
    </row>
    <row r="3175" spans="2:2" x14ac:dyDescent="0.3">
      <c r="B3175" s="2" t="s">
        <v>74</v>
      </c>
    </row>
    <row r="3176" spans="2:2" x14ac:dyDescent="0.3">
      <c r="B3176" s="2">
        <v>1</v>
      </c>
    </row>
    <row r="3177" spans="2:2" x14ac:dyDescent="0.3">
      <c r="B3177" s="2">
        <v>1</v>
      </c>
    </row>
    <row r="3178" spans="2:2" x14ac:dyDescent="0.3">
      <c r="B3178" s="2">
        <v>0</v>
      </c>
    </row>
    <row r="3179" spans="2:2" x14ac:dyDescent="0.3">
      <c r="B3179" s="2">
        <v>0</v>
      </c>
    </row>
    <row r="3180" spans="2:2" x14ac:dyDescent="0.3">
      <c r="B3180" s="2">
        <v>0.4</v>
      </c>
    </row>
    <row r="3181" spans="2:2" x14ac:dyDescent="0.3">
      <c r="B3181" s="2">
        <v>737</v>
      </c>
    </row>
    <row r="3182" spans="2:2" x14ac:dyDescent="0.3">
      <c r="B3182" s="2" t="s">
        <v>16</v>
      </c>
    </row>
    <row r="3183" spans="2:2" x14ac:dyDescent="0.3">
      <c r="B3183" s="2" t="s">
        <v>832</v>
      </c>
    </row>
    <row r="3184" spans="2:2" x14ac:dyDescent="0.3">
      <c r="B3184" s="2" t="s">
        <v>74</v>
      </c>
    </row>
    <row r="3185" spans="2:2" x14ac:dyDescent="0.3">
      <c r="B3185" s="2">
        <v>1</v>
      </c>
    </row>
    <row r="3186" spans="2:2" x14ac:dyDescent="0.3">
      <c r="B3186" s="2">
        <v>1</v>
      </c>
    </row>
    <row r="3187" spans="2:2" x14ac:dyDescent="0.3">
      <c r="B3187" s="2">
        <v>0</v>
      </c>
    </row>
    <row r="3188" spans="2:2" x14ac:dyDescent="0.3">
      <c r="B3188" s="2">
        <v>0</v>
      </c>
    </row>
    <row r="3189" spans="2:2" x14ac:dyDescent="0.3">
      <c r="B3189" s="2">
        <v>0.4</v>
      </c>
    </row>
    <row r="3190" spans="2:2" x14ac:dyDescent="0.3">
      <c r="B3190" s="2">
        <v>737</v>
      </c>
    </row>
    <row r="3191" spans="2:2" x14ac:dyDescent="0.3">
      <c r="B3191" s="2" t="s">
        <v>198</v>
      </c>
    </row>
    <row r="3192" spans="2:2" x14ac:dyDescent="0.3">
      <c r="B3192" s="2" t="s">
        <v>833</v>
      </c>
    </row>
    <row r="3193" spans="2:2" x14ac:dyDescent="0.3">
      <c r="B3193" s="2" t="s">
        <v>224</v>
      </c>
    </row>
    <row r="3194" spans="2:2" x14ac:dyDescent="0.3">
      <c r="B3194" s="2">
        <v>1</v>
      </c>
    </row>
    <row r="3195" spans="2:2" x14ac:dyDescent="0.3">
      <c r="B3195" s="2">
        <v>1</v>
      </c>
    </row>
    <row r="3196" spans="2:2" x14ac:dyDescent="0.3">
      <c r="B3196" s="2">
        <v>0</v>
      </c>
    </row>
    <row r="3197" spans="2:2" x14ac:dyDescent="0.3">
      <c r="B3197" s="2">
        <v>0</v>
      </c>
    </row>
    <row r="3198" spans="2:2" x14ac:dyDescent="0.3">
      <c r="B3198" s="2">
        <v>0.2</v>
      </c>
    </row>
    <row r="3199" spans="2:2" x14ac:dyDescent="0.3">
      <c r="B3199" s="2">
        <v>737</v>
      </c>
    </row>
    <row r="3200" spans="2:2" x14ac:dyDescent="0.3">
      <c r="B3200" s="2" t="s">
        <v>250</v>
      </c>
    </row>
    <row r="3201" spans="2:2" x14ac:dyDescent="0.3">
      <c r="B3201" s="2" t="s">
        <v>834</v>
      </c>
    </row>
    <row r="3202" spans="2:2" x14ac:dyDescent="0.3">
      <c r="B3202" s="2" t="s">
        <v>367</v>
      </c>
    </row>
    <row r="3203" spans="2:2" x14ac:dyDescent="0.3">
      <c r="B3203" s="2">
        <v>1</v>
      </c>
    </row>
    <row r="3204" spans="2:2" x14ac:dyDescent="0.3">
      <c r="B3204" s="2">
        <v>1</v>
      </c>
    </row>
    <row r="3205" spans="2:2" x14ac:dyDescent="0.3">
      <c r="B3205" s="2">
        <v>0</v>
      </c>
    </row>
    <row r="3206" spans="2:2" x14ac:dyDescent="0.3">
      <c r="B3206" s="2">
        <v>0</v>
      </c>
    </row>
    <row r="3207" spans="2:2" x14ac:dyDescent="0.3">
      <c r="B3207" s="2">
        <v>0</v>
      </c>
    </row>
  </sheetData>
  <mergeCells count="2">
    <mergeCell ref="P377:AA377"/>
    <mergeCell ref="P389:AA389"/>
  </mergeCells>
  <phoneticPr fontId="3" type="noConversion"/>
  <pageMargins left="0.7" right="0.7" top="0.75" bottom="0.75" header="0.3" footer="0.3"/>
  <pageSetup orientation="portrait" r:id="rId1"/>
  <ignoredErrors>
    <ignoredError sqref="N66 N99 N5 N172 N19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Bayar, Omer</dc:creator>
  <cp:lastModifiedBy>Yuang Guo</cp:lastModifiedBy>
  <dcterms:created xsi:type="dcterms:W3CDTF">2015-06-05T18:17:20Z</dcterms:created>
  <dcterms:modified xsi:type="dcterms:W3CDTF">2024-01-23T02:32:38Z</dcterms:modified>
</cp:coreProperties>
</file>