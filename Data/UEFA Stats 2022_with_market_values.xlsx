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Minutes Played</t>
        </is>
      </c>
      <c r="E1" s="1" t="inlineStr">
        <is>
          <t>Matches</t>
        </is>
      </c>
      <c r="F1" s="1" t="inlineStr">
        <is>
          <t>Goals</t>
        </is>
      </c>
      <c r="G1" s="1" t="inlineStr">
        <is>
          <t>Assists</t>
        </is>
      </c>
      <c r="H1" s="1" t="inlineStr">
        <is>
          <t>Distance Covered</t>
        </is>
      </c>
      <c r="I1" s="1" t="inlineStr">
        <is>
          <t>Top Speed</t>
        </is>
      </c>
      <c r="J1" s="1" t="inlineStr">
        <is>
          <t>Player ID</t>
        </is>
      </c>
      <c r="K1" s="1" t="inlineStr">
        <is>
          <t>Market Value History</t>
        </is>
      </c>
      <c r="L1" s="1" t="inlineStr">
        <is>
          <t>Player Country</t>
        </is>
      </c>
      <c r="M1" s="1" t="inlineStr">
        <is>
          <t>Date of Birth</t>
        </is>
      </c>
      <c r="N1" s="1" t="inlineStr">
        <is>
          <t>National Team</t>
        </is>
      </c>
      <c r="O1" s="1" t="inlineStr">
        <is>
          <t>MV22</t>
        </is>
      </c>
      <c r="P1" s="1" t="inlineStr">
        <is>
          <t>MV21</t>
        </is>
      </c>
    </row>
    <row r="2">
      <c r="A2" t="inlineStr">
        <is>
          <t>Courtois</t>
        </is>
      </c>
      <c r="B2" t="inlineStr">
        <is>
          <t>Real Madrid</t>
        </is>
      </c>
      <c r="C2" t="inlineStr">
        <is>
          <t>Goalkeeper</t>
        </is>
      </c>
      <c r="D2" t="n">
        <v>1230</v>
      </c>
      <c r="E2" t="n">
        <v>13</v>
      </c>
      <c r="F2" t="n">
        <v>0</v>
      </c>
      <c r="G2" t="n">
        <v>0</v>
      </c>
      <c r="H2" t="n">
        <v>64.3</v>
      </c>
      <c r="I2" t="n">
        <v>29.2</v>
      </c>
      <c r="J2" t="n">
        <v>108390</v>
      </c>
      <c r="K2" t="inlineStr">
        <is>
          <t>{'marketValueHistory': [{'date': 'May 27, 2009', 'age': '17', 'clubName': 'KRC Genk U19', 'clubID': '1184', 'value': '€50k'}, {'date': 'Jul 28, 2010', 'age': '18', 'clubName': 'KRC Genk', 'clubID': '1184', 'value': '€150k'}, {'date': 'Oct 6, 2010', 'age': '18', 'clubName': 'KRC Genk', 'clubID': '1184', 'value': '€1.00m'}, {'date': 'Dec 28, 2010', 'age': '18', 'clubName': 'KRC Genk', 'clubID': '1184', 'value': '€2.00m'}, {'date': 'May 24, 2011', 'age': '19', 'clubName': 'KRC Genk', 'clubID': '1184', 'value': '€3.00m'}, {'date': 'Jun 28, 2011', 'age': '19', 'clubName': 'KRC Genk', 'clubID': '1184', 'value': '€4.00m'}, {'date': 'Jul 29, 2011', 'age': '19', 'clubName': 'Atlético de Madrid', 'clubID': '13', 'value': '€6.00m'}, {'date': 'Feb 3, 2012', 'age': '19', 'clubName': 'Atlético de Madrid', 'clubID': '13', 'value': '€9.00m'}, {'date': 'Aug 1, 2012', 'age': '20', 'clubName': 'Atlético de Madrid', 'clubID': '13', 'value': '€15.00m'}, {'date': 'Jan 10, 2013', 'age': '20', 'clubName': 'Atlético de Madrid', 'clubID': '13', 'value': '€15.00m'}, {'date': 'Jun 12, 2013', 'age': '21', 'clubName': 'Atlético de Madrid', 'clubID': '13', 'value': '€18.00m'}, {'date': 'Sep 17, 2013', 'age': '21', 'clubName': 'Atlético de Madrid', 'clubID': '13', 'value': '€25.00m'}, {'date': 'Jan 23, 2014', 'age': '21', 'clubName': 'Atlético de Madrid', 'clubID': '13', 'value': '€25.00m'}, {'date': 'Aug 12, 2014', 'age': '22', 'clubName': 'Chelsea FC', 'clubID': '631', 'value': '€25.00m'}, {'date': 'Feb 12, 2015', 'age': '22', 'clubName': 'Chelsea FC', 'clubID': '631', 'value': '€30.00m'}, {'date': 'Jul 1, 2015', 'age': '23', 'clubName': 'Chelsea FC', 'clubID': '631', 'value': '€35.00m'}, {'date': 'Feb 9, 2016', 'age': '23', 'clubName': 'Chelsea FC', 'clubID': '631', 'value': '€35.00m'}, {'date': 'Jun 1, 2016', 'age': '24', 'clubName': 'Chelsea FC', 'clubID': '631', 'value': '€35.00m'}, {'date': 'Aug 1, 2016', 'age': '24', 'clubName': 'Chelsea FC', 'clubID': '631', 'value': '€35.00m'}, {'date': 'Feb 20, 2017', 'age': '24', 'clubName': 'Chelsea FC', 'clubID': '631', 'value': '€40.00m'}, {'date': 'Jun 28, 2017', 'age': '25', 'clubName': 'Chelsea FC', 'clubID': '631', 'value': '€40.00m'}, {'date': 'Jan 2, 2018', 'age': '25', 'clubName': 'Chelsea FC', 'clubID': '631', 'value': '€50.00m'}, {'date': 'Mar 23, 2018', 'age': '25', 'clubName': 'Chelsea FC', 'clubID': '631', 'value': '€60.00m'}, {'date': 'May 28, 2018', 'age': '26', 'clubName': 'Chelsea FC', 'clubID': '631', 'value': '€60.00m'}, {'date': 'Jul 16, 2018', 'age': '26', 'clubName': 'Chelsea FC', 'clubID': '631', 'value': '€65.00m'}, {'date': 'Dec 21, 2018', 'age': '26', 'clubName': 'Real Madrid', 'clubID': '418', 'value': '€65.00m'}, {'date': 'Jun 11, 2019', 'age': '27', 'clubName': 'Real Madrid', 'clubID': '418', 'value': '€55.00m'}, {'date': 'Dec 20, 2019', 'age': '27', 'clubName': 'Real Madrid', 'clubID': '418', 'value': '€55.00m'}, {'date': 'Mar 5, 2020', 'age': '27', 'clubName': 'Real Madrid', 'clubID': '418', 'value': '€60.00m'}, {'date': 'Apr 8, 2020', 'age': '27', 'clubName': 'Real Madrid', 'clubID': '418', 'value': '€48.00m'}, {'date': 'Jul 23, 2020', 'age': '28', 'clubName': 'Real Madrid', 'clubID': '418', 'value': '€60.00m'}, {'date': 'Oct 8, 2020', 'age': '28', 'clubName': 'Real Madrid', 'clubID': '418', 'value': '€75.00m'}, {'date': 'Jan 5, 2021', 'age': '28', 'clubName': 'Real Madrid', 'clubID': '418', 'value': '€75.00m'}, {'date': 'May 26, 2021', 'age': '29', 'clubName': 'Real Madrid', 'clubID': '418', 'value': '€60.00m'}, {'date': 'Dec 30, 2021', 'age': '29', 'clubName': 'Real Madrid', 'clubID': '418', 'value': '€65.00m'}, {'date': 'Jun 3, 2022', 'age': '30', 'clubName': 'Real Madrid', 'clubID': '418', 'value': '€60.00m'}, {'date': 'Nov 7, 2022', 'age': '30', 'clubName': 'Real Madrid', 'clubID': '418', 'value': '€60.00m'}, {'date': 'Jun 13, 2023', 'age': '31', 'clubName': 'Real Madrid', 'clubID': '418', 'value': '€45.00m'}, {'date': 'Dec 22, 2023', 'age': '31', 'clubName': 'Real Madrid', 'clubID': '418', 'value': '€35.00m'}, {'date': 'Mar 21, 2024', 'age': '31', 'clubName': 'Real Madrid', 'clubID': '418', 'value': '€30.00m'}, {'date': 'Jun 7, 2024', 'age': '32', 'clubName': 'Real Madrid', 'clubID': '418', 'value': '€28.00m'}, {'date': 'Oct 11, 2024', 'age': '32', 'clubName': 'Real Madrid', 'clubID': '418', 'value': '€25.00m'}, {'date': 'Dec 27, 2024', 'age': '32', 'clubName': 'Real Madrid', 'clubID': '418', 'value': '€25.00m'}, {'date': 'Jun 9, 2025', 'age': '33', 'clubName': 'Real Madrid', 'clubID': '418', 'value': '€20.00m'}, {'date': 'Dec 12, 2025', 'age': '33', 'clubName': 'Real Madrid', 'clubID': '418', 'value': '€18.00m'}]}</t>
        </is>
      </c>
      <c r="L2" t="inlineStr">
        <is>
          <t>Belgium</t>
        </is>
      </c>
      <c r="M2" t="inlineStr">
        <is>
          <t>1992-05-11</t>
        </is>
      </c>
      <c r="N2" t="inlineStr">
        <is>
          <t>Belgium</t>
        </is>
      </c>
      <c r="O2">
        <f>(60+60)/2</f>
        <v/>
      </c>
      <c r="P2">
        <f>(75+60+65)/3</f>
        <v/>
      </c>
    </row>
    <row r="3">
      <c r="A3" t="inlineStr">
        <is>
          <t>Vinicius Junior</t>
        </is>
      </c>
      <c r="B3" t="inlineStr">
        <is>
          <t>Real Madrid</t>
        </is>
      </c>
      <c r="C3" t="inlineStr">
        <is>
          <t>Forward</t>
        </is>
      </c>
      <c r="D3" t="n">
        <v>1199</v>
      </c>
      <c r="E3" t="n">
        <v>13</v>
      </c>
      <c r="F3" t="n">
        <v>4</v>
      </c>
      <c r="G3" t="n">
        <v>6</v>
      </c>
      <c r="H3" t="n">
        <v>133.2</v>
      </c>
      <c r="I3" t="n">
        <v>35.4</v>
      </c>
      <c r="J3" t="n">
        <v>371998</v>
      </c>
      <c r="K3" t="inlineStr">
        <is>
          <t>{'marketValueHistory': [{'date': 'Oct 30, 2017', 'age': '17', 'clubName': 'CR Flamengo', 'clubID': '614', 'value': '€10.00m'}, {'date': 'Dec 7, 2017', 'age': '17', 'clubName': 'CR Flamengo', 'clubID': '614', 'value': '€20.00m'}, {'date': 'May 23, 2018', 'age': '17', 'clubName': 'CR Flamengo', 'clubID': '614', 'value': '€35.00m'}, {'date': 'Dec 21, 2018', 'age': '18', 'clubName': 'Real Madrid', 'clubID': '418', 'value': '€35.00m'}, {'date': 'Feb 28, 2019', 'age': '18', 'clubName': 'Real Madrid', 'clubID': '418', 'value': '€70.00m'}, {'date': 'Jun 11, 2019', 'age': '18', 'clubName': 'Real Madrid', 'clubID': '418', 'value': '€70.00m'}, {'date': 'Dec 20, 2019', 'age': '19', 'clubName': 'Real Madrid', 'clubID': '418', 'value': '€50.00m'}, {'date': 'Apr 8, 2020', 'age': '19', 'clubName': 'Real Madrid', 'clubID': '418', 'value': '€45.00m'}, {'date': 'Oct 8, 2020', 'age': '20', 'clubName': 'Real Madrid', 'clubID': '418', 'value': '€50.00m'}, {'date': 'Jan 5, 2021', 'age': '20', 'clubName': 'Real Madrid', 'clubID': '418', 'value': '€40.00m'}, {'date': 'Jun 10, 2021', 'age': '20', 'clubName': 'Real Madrid', 'clubID': '418', 'value': '€40.00m'}, {'date': 'Oct 13, 2021', 'age': '21', 'clubName': 'Real Madrid', 'clubID': '418', 'value': '€50.00m'}, {'date': 'Dec 30, 2021', 'age': '21', 'clubName': 'Real Madrid', 'clubID': '418', 'value': '€100.00m'}, {'date': 'Jun 3, 2022', 'age': '21', 'clubName': 'Real Madrid', 'clubID': '418', 'value': '€100.00m'}, {'date': 'Sep 23, 2022', 'age': '22', 'clubName': 'Real Madrid', 'clubID': '418', 'value': '€120.00m'}, {'date': 'Nov 7, 2022', 'age': '22', 'clubName': 'Real Madrid', 'clubID': '418', 'value': '€120.00m'}, {'date': 'Jun 13, 2023', 'age': '22', 'clubName': 'Real Madrid', 'clubID': '418', 'value': '€150.00m'}, {'date': 'Dec 22, 2023', 'age': '23', 'clubName': 'Real Madrid', 'clubID': '418', 'value': '€150.00m'}, {'date': 'Jun 7, 2024', 'age': '23', 'clubName': 'Real Madrid', 'clubID': '418', 'value': '€180.00m'}, {'date': 'Oct 11, 2024', 'age': '24', 'clubName': 'Real Madrid', 'clubID': '418', 'value': '€200.00m'}, {'date': 'Dec 27, 2024', 'age': '24', 'clubName': 'Real Madrid', 'clubID': '418', 'value': '€200.00m'}, {'date': 'Jun 9, 2025', 'age': '24', 'clubName': 'Real Madrid', 'clubID': '418', 'value': '€170.00m'}, {'date': 'Oct 2, 2025', 'age': '25', 'clubName': 'Real Madrid', 'clubID': '418', 'value': '€150.00m'}, {'date': 'Dec 12, 2025', 'age': '25', 'clubName': 'Real Madrid', 'clubID': '418', 'value': '€150.00m'}]}</t>
        </is>
      </c>
      <c r="L3" t="inlineStr">
        <is>
          <t>Spain</t>
        </is>
      </c>
      <c r="M3" t="inlineStr">
        <is>
          <t>2000-07-12</t>
        </is>
      </c>
      <c r="N3" t="inlineStr">
        <is>
          <t>47</t>
        </is>
      </c>
      <c r="O3">
        <f>(100+120+120)/3</f>
        <v/>
      </c>
      <c r="P3">
        <f>(40+40+50+100)/4</f>
        <v/>
      </c>
    </row>
    <row r="4">
      <c r="A4" t="inlineStr">
        <is>
          <t>Alisson Becker</t>
        </is>
      </c>
      <c r="B4" t="inlineStr">
        <is>
          <t>Liverpool</t>
        </is>
      </c>
      <c r="C4" t="inlineStr">
        <is>
          <t>Goalkeeper</t>
        </is>
      </c>
      <c r="D4" t="n">
        <v>1170</v>
      </c>
      <c r="E4" t="n">
        <v>13</v>
      </c>
      <c r="F4" t="n">
        <v>0</v>
      </c>
      <c r="G4" t="n">
        <v>0</v>
      </c>
      <c r="H4" t="n">
        <v>68.8</v>
      </c>
      <c r="I4" t="n">
        <v>28.5</v>
      </c>
      <c r="J4" t="n">
        <v>105470</v>
      </c>
      <c r="K4" t="inlineStr">
        <is>
          <t>{'marketValueHistory': [{'date': '08/02/2012', 'age': '19', 'clubName': 'SC Internacional B', 'clubID': '15466', 'value': '€150k'}, {'date': '24/05/2012', 'age': '19', 'clubName': 'SC Internacional B', 'clubID': '15466', 'value': '€150k'}, {'date': '05/12/2012', 'age': '20', 'clubName': 'SC Internacional B', 'clubID': '15466', 'value': '€150k'}, {'date': '07/08/2014', 'age': '21', 'clubName': 'Sport Club Internacional', 'clubID': '6600', 'value': '€300k'}, {'date': '01/02/2015', 'age': '22', 'clubName': 'Sport Club Internacional', 'clubID': '6600', 'value': '€1.00m'}, {'date': '31/05/2015', 'age': '22', 'clubName': 'Sport Club Internacional', 'clubID': '6600', 'value': '€2.50m'}, {'date': '11/09/2015', 'age': '22', 'clubName': 'Sport Club Internacional', 'clubID': '6600', 'value': '€3.50m'}, {'date': '15/12/2015', 'age': '23', 'clubName': 'Sport Club Internacional', 'clubID': '6600', 'value': '€5.00m'}, {'date': '27/05/2016', 'age': '23', 'clubName': 'Sport Club Internacional', 'clubID': '6600', 'value': '€7.00m'}, {'date': '02/01/2017', 'age': '24', 'clubName': 'AS Roma', 'clubID': '12', 'value': '€7.00m'}, {'date': '08/06/2017', 'age': '24', 'clubName': 'AS Roma', 'clubID': '12', 'value': '€7.00m'}, {'date': '13/10/2017', 'age': '25', 'clubName': 'AS Roma', 'clubID': '12', 'value': '€10.00m'}, {'date': '29/12/2017', 'age': '25', 'clubName': 'AS Roma', 'clubID': '12', 'value': '€16.00m'}, {'date': '24/03/2018', 'age': '25', 'clubName': 'AS Roma', 'clubID': '12', 'value': '€45.00m'}, {'date': '07/06/2018', 'age': '25', 'clubName': 'AS Roma', 'clubID': '12', 'value': '€60.00m'}, {'date': '19/12/2018', 'age': '26', 'clubName': 'Liverpool FC', 'clubID': '31', 'value': '€65.00m'}, {'date': '13/06/2019', 'age': '26', 'clubName': 'Liverpool FC', 'clubID': '31', 'value': '€80.00m'}, {'date': '10/12/2019', 'age': '27', 'clubName': 'Liverpool FC', 'clubID': '31', 'value': '€90.00m'}, {'date': '08/04/2020', 'age': '27', 'clubName': 'Liverpool FC', 'clubID': '31', 'value': '€72.00m'}, {'date': '13/10/2020', 'age': '28', 'clubName': 'Liverpool FC', 'clubID': '31', 'value': '€80.00m'}, {'date': '18/03/2021', 'age': '28', 'clubName': 'Liverpool FC', 'clubID': '31', 'value': '€65.00m'}, {'date': '08/06/2021', 'age': '28', 'clubName': 'Liverpool FC', 'clubID': '31', 'value': '€60.00m'}, {'date': '23/12/2021', 'age': '29', 'clubName': 'Liverpool FC', 'clubID': '31', 'value': '€60.00m'}, {'date': '15/06/2022', 'age': '29', 'clubName': 'Liverpool FC', 'clubID': '31', 'value': '€50.00m'}, {'date': '03/11/2022', 'age': '30', 'clubName': 'Liverpool FC', 'clubID': '31', 'value': '€50.00m'}, {'date': '16/03/2023', 'age': '30', 'clubName': 'Liverpool FC', 'clubID': '31', 'value': '€45.00m'}, {'date': '20/06/2023', 'age': '30', 'clubName': 'Liverpool FC', 'clubID': '31', 'value': '€35.00m'}, {'date': '19/12/2023', 'age': '31', 'clubName': 'Liverpool FC', 'clubID': '31', 'value': '€32.00m'}, {'date': '27/05/2024', 'age': '31', 'clubName': 'Liverpool FC', 'clubID': '31', 'value': '€28.00m'}, {'date': '16/12/2024', 'age': '32', 'clubName': 'Liverpool FC', 'clubID': '31', 'value': '€25.00m'}, {'date': '30/05/2025', 'age': '32', 'clubName': 'Liverpool FC', 'clubID': '31', 'value': '€20.00m'}, {'date': '09/12/2025', 'age': '33', 'clubName': 'Liverpool FC', 'clubID': '31', 'value': '€17.00m'}]}</t>
        </is>
      </c>
      <c r="L4" t="inlineStr">
        <is>
          <t>Brazil</t>
        </is>
      </c>
      <c r="M4" t="inlineStr">
        <is>
          <t>1992-10-02</t>
        </is>
      </c>
      <c r="N4" t="inlineStr">
        <is>
          <t>Brazil</t>
        </is>
      </c>
      <c r="O4">
        <f>(50+50)/2</f>
        <v/>
      </c>
      <c r="P4">
        <f>(65+60+60)/3</f>
        <v/>
      </c>
    </row>
    <row r="5">
      <c r="A5" t="inlineStr">
        <is>
          <t>Benzema</t>
        </is>
      </c>
      <c r="B5" t="inlineStr">
        <is>
          <t>Real Madrid</t>
        </is>
      </c>
      <c r="C5" t="inlineStr">
        <is>
          <t>Forward</t>
        </is>
      </c>
      <c r="D5" t="n">
        <v>1106</v>
      </c>
      <c r="E5" t="n">
        <v>12</v>
      </c>
      <c r="F5" t="n">
        <v>15</v>
      </c>
      <c r="G5" t="n">
        <v>1</v>
      </c>
      <c r="H5" t="n">
        <v>121.6</v>
      </c>
      <c r="I5" t="n">
        <v>32.2</v>
      </c>
      <c r="J5" t="n">
        <v>18922</v>
      </c>
      <c r="K5" t="inlineStr">
        <is>
          <t>{'id': '18922', 'marketValue': '€15.00m', 'marketValueHistory': [{'age': '17', 'date': 'Aug 7, 2005', 'clubName': 'Olympique Lyon', 'value': '€450k', 'clubID': '1041'}, {'age': '18', 'date': 'Mar 13, 2006', 'clubName': 'Olympique Lyon', 'value': '€1.20m', 'clubID': '1041'}, {'age': '18', 'date': 'Sep 1, 2006', 'clubName': 'Olympique Lyon', 'value': '€2.00m', 'clubID': '1041'}, {'age': '19', 'date': 'May 31, 2007', 'clubName': 'Olympique Lyon', 'value': '€5.00m', 'clubID': '1041'}, {'age': '19', 'date': 'Sep 20, 2007', 'clubName': 'Olympique Lyon', 'value': '€7.50m', 'clubID': '1041'}, {'age': '19', 'date': 'Oct 28, 2007', 'clubName': 'Olympique Lyon', 'value': '€12.00m', 'clubID': '1041'}, {'age': '20', 'date': 'Dec 27, 2007', 'clubName': 'Olympique Lyon', 'value': '€15.00m', 'clubID': '1041'}, {'age': '20', 'date': 'May 5, 2008', 'clubName': 'Olympique Lyon', 'value': '€23.00m', 'clubID': '1041'}, {'age': '21', 'date': 'Dec 30, 2008', 'clubName': 'Olympique Lyon', 'value': '€27.50m', 'clubID': '1041'}, {'age': '21', 'date': 'May 18, 2009', 'clubName': 'Olympique Lyon', 'value': '€29.00m', 'clubID': '1041'}, {'age': '21', 'date': 'Jul 22, 2009', 'clubName': 'Real Madrid', 'value': '€35.00m', 'clubID': '418'}, {'age': '21', 'date': 'Dec 3, 2009', 'clubName': 'Real Madrid', 'value': '€35.00m', 'clubID': '418'}, {'age': '22', 'date': 'Apr 12, 2010', 'clubName': 'Real Madrid', 'value': '€28.00m', 'clubID': '418'}, {'age': '22', 'date': 'Aug 27, 2010', 'clubName': 'Real Madrid', 'value': '€25.00m', 'clubID': '418'}, {'age': '23', 'date': 'Feb 4, 2011', 'clubName': 'Real Madrid', 'value': '€25.00m', 'clubID': '418'}, {'age': '23', 'date': 'Jul 29, 2011', 'clubName': 'Real Madrid', 'value': '€25.00m', 'clubID': '418'}, {'age': '23', 'date': 'Sep 3, 2011', 'clubName': 'Real Madrid', 'value': '€30.00m', 'clubID': '418'}, {'age': '24', 'date': 'Feb 3, 2012', 'clubName': 'Real Madrid', 'value': '€35.00m', 'clubID': '418'}, {'age': '24', 'date': 'Aug 17, 2012', 'clubName': 'Real Madrid', 'value': '€40.00m', 'clubID': '418'}, {'age': '25', 'date': 'Jan 10, 2013', 'clubName': 'Real Madrid', 'value': '€40.00m', 'clubID': '418'}, {'age': '25', 'date': 'Jun 12, 2013', 'clubName': 'Real Madrid', 'value': '€34.00m', 'clubID': '418'}, {'age': '26', 'date': 'Jan 23, 2014', 'clubName': 'Real Madrid', 'value': '€34.00m', 'clubID': '418'}, {'age': '26', 'date': 'Jul 20, 2014', 'clubName': 'Real Madrid', 'value': '€45.00m', 'clubID': '418'}, {'age': '27', 'date': 'Jan 23, 2015', 'clubName': 'Real Madrid', 'value': '€50.00m', 'clubID': '418'}, {'age': '27', 'date': 'Jul 1, 2015', 'clubName': 'Real Madrid', 'value': '€50.00m', 'clubID': '418'}, {'age': '28', 'date': 'Feb 22, 2016', 'clubName': 'Real Madrid', 'value': '€60.00m', 'clubID': '418'}, {'age': '28', 'date': 'Jul 15, 2016', 'clubName': 'Real Madrid', 'value': '€60.00m', 'clubID': '418'}, {'age': '29', 'date': 'Jan 24, 2017', 'clubName': 'Real Madrid', 'value': '€60.00m', 'clubID': '418'}, {'age': '29', 'date': 'Jun 5, 2017', 'clubName': 'Real Madrid', 'value': '€60.00m', 'clubID': '418'}, {'age': '30', 'date': 'Jan 1, 2018', 'clubName': 'Real Madrid', 'value': '€50.00m', 'clubID': '418'}, {'age': '30', 'date': 'May 30, 2018', 'clubName': 'Real Madrid', 'value': '€40.00m', 'clubID': '418'}, {'age': '31', 'date': 'Dec 21, 2018', 'clubName': 'Real Madrid', 'value': '€40.00m', 'clubID': '418'}, {'age': '31', 'date': 'Jun 11, 2019', 'clubName': 'Real Madrid', 'value': '€40.00m', 'clubID': '418'}, {'age': '32', 'date': 'Dec 20, 2019', 'clubName': 'Real Madrid', 'value': '€40.00m', 'clubID': '418'}, {'age': '32', 'date': 'Apr 8, 2020', 'clubName': 'Real Madrid', 'value': '€32.00m', 'clubID': '418'}, {'age': '32', 'date': 'Oct 8, 2020', 'clubName': 'Real Madrid', 'value': '€25.00m', 'clubID': '418'}, {'age': '33', 'date': 'Jan 5, 2021', 'clubName': 'Real Madrid', 'value': '€25.00m', 'clubID': '418'}, {'age': '33', 'date': 'Jun 1, 2021', 'clubName': 'Real Madrid', 'value': '€25.00m', 'clubID': '418'}, {'age': '34', 'date': 'Dec 30, 2021', 'clubName': 'Real Madrid', 'value': '€25.00m', 'clubID': '418'}, {'age': '34', 'date': 'Jun 3, 2022', 'clubName': 'Real Madrid', 'value': '€30.00m', 'clubID': '418'}, {'age': '34', 'date': 'Nov 7, 2022', 'clubName': 'Real Madrid', 'value': '€35.00m', 'clubID': '418'}, {'age': '35', 'date': 'Jun 13, 2023', 'clubName': 'Real Madrid', 'value': '€25.00m', 'clubID': '418'}, {'age': '35', 'date': 'Oct 24, 2023', 'clubName': 'Al-Ittihad Club', 'value': '€15.00m', 'clubID': '8023'}, {'age': '35', 'date': 'Dec 15, 2023', 'clubName': 'Al-Ittihad Club', 'value': '€15.00m', 'clubID': '8023'}], 'ranking': {'Worldwide': '644', 'Saudi Pro League': '20', 'Al-Ittihad': '2', 'France': '63', 'Centre-Forward': '84', 'Year 1987': '2'}, 'updatedAt': datetime.datetime(2024, 5, 23, 22, 16, 40, 493703)}</t>
        </is>
      </c>
      <c r="L5" t="inlineStr">
        <is>
          <t>France</t>
        </is>
      </c>
      <c r="M5" t="inlineStr">
        <is>
          <t>1987-12-19</t>
        </is>
      </c>
      <c r="N5" t="inlineStr">
        <is>
          <t>97</t>
        </is>
      </c>
      <c r="O5">
        <f>(30+35)/2</f>
        <v/>
      </c>
      <c r="P5">
        <f>(25+25+25)/3</f>
        <v/>
      </c>
    </row>
    <row r="6">
      <c r="A6" t="inlineStr">
        <is>
          <t>Pau Torres</t>
        </is>
      </c>
      <c r="B6" t="inlineStr">
        <is>
          <t>Villarreal</t>
        </is>
      </c>
      <c r="C6" t="inlineStr">
        <is>
          <t>Defender</t>
        </is>
      </c>
      <c r="D6" t="n">
        <v>1080</v>
      </c>
      <c r="E6" t="n">
        <v>12</v>
      </c>
      <c r="F6" t="n">
        <v>1</v>
      </c>
      <c r="G6" t="n">
        <v>0</v>
      </c>
      <c r="H6" t="n">
        <v>124.3</v>
      </c>
      <c r="I6" t="n">
        <v>31.8</v>
      </c>
      <c r="J6" t="n">
        <v>399776</v>
      </c>
      <c r="K6" t="inlineStr">
        <is>
          <t>{'marketValueHistory': [{'date': '22/08/2016', 'age': '19', 'clubName': 'Villarreal CF B', 'clubID': '11972', 'value': '€100k'}, {'date': '27/10/2016', 'age': '19', 'clubName': 'Villarreal CF B', 'clubID': '11972', 'value': '€300k'}, {'date': '02/02/2017', 'age': '20', 'clubName': 'Villarreal CF B', 'clubID': '11972', 'value': '€300k'}, {'date': '05/06/2017', 'age': '20', 'clubName': 'Villarreal CF B', 'clubID': '11972', 'value': '€300k'}, {'date': '01/01/2018', 'age': '20', 'clubName': 'Villarreal CF B', 'clubID': '11972', 'value': '€500k'}, {'date': '30/06/2018', 'age': '21', 'clubName': 'Villarreal CF B', 'clubID': '11972', 'value': '€500k'}, {'date': '17/10/2018', 'age': '21', 'clubName': 'Málaga CF', 'clubID': '1084', 'value': '€1.50m'}, {'date': '19/02/2019', 'age': '22', 'clubName': 'Málaga CF', 'clubID': '1084', 'value': '€2.50m'}, {'date': '29/06/2019', 'age': '22', 'clubName': 'Málaga CF', 'clubID': '1084', 'value': '€4.00m'}, {'date': '10/09/2019', 'age': '22', 'clubName': 'Villarreal CF', 'clubID': '1050', 'value': '€6.00m'}, {'date': '20/12/2019', 'age': '22', 'clubName': 'Villarreal CF', 'clubID': '1050', 'value': '€15.00m'}, {'date': '05/03/2020', 'age': '23', 'clubName': 'Villarreal CF', 'clubID': '1050', 'value': '€20.00m'}, {'date': '08/04/2020', 'age': '23', 'clubName': 'Villarreal CF', 'clubID': '1050', 'value': '€16.00m'}, {'date': '23/07/2020', 'age': '23', 'clubName': 'Villarreal CF', 'clubID': '1050', 'value': '€30.00m'}, {'date': '08/10/2020', 'age': '23', 'clubName': 'Villarreal CF', 'clubID': '1050', 'value': '€30.00m'}, {'date': '23/11/2020', 'age': '23', 'clubName': 'Villarreal CF', 'clubID': '1050', 'value': '€40.00m'}, {'date': '05/01/2021', 'age': '23', 'clubName': 'Villarreal CF', 'clubID': '1050', 'value': '€50.00m'}, {'date': '31/05/2021', 'age': '24', 'clubName': 'Villarreal CF', 'clubID': '1050', 'value': '€50.00m'}, {'date': '30/12/2021', 'age': '24', 'clubName': 'Villarreal CF', 'clubID': '1050', 'value': '€50.00m'}, {'date': '03/06/2022', 'age': '25', 'clubName': 'Villarreal CF', 'clubID': '1050', 'value': '€50.00m'}, {'date': '07/11/2022', 'age': '25', 'clubName': 'Villarreal CF', 'clubID': '1050', 'value': '€50.00m'}, {'date': '23/03/2023', 'age': '26', 'clubName': 'Villarreal CF', 'clubID': '1050', 'value': '€45.00m'}, {'date': '13/06/2023', 'age': '26', 'clubName': 'Villarreal CF', 'clubID': '1050', 'value': '€45.00m'}, {'date': '19/12/2023', 'age': '26', 'clubName': 'Aston Villa', 'clubID': '405', 'value': '€45.00m'}, {'date': '27/05/2024', 'age': '27', 'clubName': 'Aston Villa', 'clubID': '405', 'value': '€45.00m'}, {'date': '16/12/2024', 'age': '27', 'clubName': 'Aston Villa', 'clubID': '405', 'value': '€45.00m'}, {'date': '18/03/2025', 'age': '28', 'clubName': 'Aston Villa', 'clubID': '405', 'value': '€40.00m'}, {'date': '30/05/2025', 'age': '28', 'clubName': 'Aston Villa', 'clubID': '405', 'value': '€32.00m'}, {'date': '17/10/2025', 'age': '28', 'clubName': 'Aston Villa', 'clubID': '405', 'value': '€30.00m'}, {'date': '09/12/2025', 'age': '28', 'clubName': 'Aston Villa', 'clubID': '405', 'value': '€25.00m'}, {'date': '09/03/2026', 'age': '29', 'clubName': 'Aston Villa', 'clubID': '405', 'value': '€22.00m'}]}</t>
        </is>
      </c>
      <c r="L6" t="inlineStr">
        <is>
          <t>England</t>
        </is>
      </c>
      <c r="M6" t="inlineStr">
        <is>
          <t>1997-05-03</t>
        </is>
      </c>
      <c r="N6" t="inlineStr">
        <is>
          <t>Spain</t>
        </is>
      </c>
      <c r="O6">
        <f>(50+50)/2</f>
        <v/>
      </c>
      <c r="P6">
        <f>(50+50+50)/3</f>
        <v/>
      </c>
    </row>
    <row r="7">
      <c r="A7" t="inlineStr">
        <is>
          <t>Rulli</t>
        </is>
      </c>
      <c r="B7" t="inlineStr">
        <is>
          <t>Villarreal</t>
        </is>
      </c>
      <c r="C7" t="inlineStr">
        <is>
          <t>Goalkeeper</t>
        </is>
      </c>
      <c r="D7" t="n">
        <v>1080</v>
      </c>
      <c r="E7" t="n">
        <v>12</v>
      </c>
      <c r="F7" t="n">
        <v>0</v>
      </c>
      <c r="G7" t="n">
        <v>0</v>
      </c>
      <c r="H7" t="n">
        <v>61.2</v>
      </c>
      <c r="I7" t="n">
        <v>27.6</v>
      </c>
      <c r="J7" t="n">
        <v>229604</v>
      </c>
      <c r="K7" t="inlineStr">
        <is>
          <t>{'marketValueHistory': [{'date': 'Dec 26, 2012', 'age': '20', 'clubName': 'Club Estudiantes de La Plata', 'clubID': '288', 'value': '€100k'}, {'date': 'Jun 30, 2013', 'age': '21', 'clubName': 'Club Estudiantes de La Plata', 'clubID': '288', 'value': '€500k'}, {'date': 'Feb 10, 2014', 'age': '21', 'clubName': 'Club Estudiantes de La Plata', 'clubID': '288', 'value': '€800k'}, {'date': 'Jul 31, 2014', 'age': '22', 'clubName': 'Real Sociedad', 'clubID': '681', 'value': '€2.00m'}, {'date': 'Jan 23, 2015', 'age': '22', 'clubName': 'Real Sociedad', 'clubID': '681', 'value': '€3.00m'}, {'date': 'Apr 9, 2015', 'age': '22', 'clubName': 'Real Sociedad', 'clubID': '681', 'value': '€3.50m'}, {'date': 'Jul 1, 2015', 'age': '23', 'clubName': 'Real Sociedad', 'clubID': '681', 'value': '€5.00m'}, {'date': 'Feb 22, 2016', 'age': '23', 'clubName': 'Real Sociedad', 'clubID': '681', 'value': '€6.00m'}, {'date': 'Jul 15, 2016', 'age': '24', 'clubName': 'Club Deportivo Maldonado', 'clubID': '18075', 'value': '€8.00m'}, {'date': 'Jan 24, 2017', 'age': '24', 'clubName': 'Real Sociedad', 'clubID': '681', 'value': '€10.00m'}, {'date': 'Jun 5, 2017', 'age': '25', 'clubName': 'Real Sociedad', 'clubID': '681', 'value': '€14.00m'}, {'date': 'Jan 1, 2018', 'age': '25', 'clubName': 'Real Sociedad', 'clubID': '681', 'value': '€10.00m'}, {'date': 'May 30, 2018', 'age': '26', 'clubName': 'Real Sociedad', 'clubID': '681', 'value': '€10.00m'}, {'date': 'Oct 31, 2018', 'age': '26', 'clubName': 'Real Sociedad', 'clubID': '681', 'value': '€6.00m'}, {'date': 'Dec 21, 2018', 'age': '26', 'clubName': 'Real Sociedad', 'clubID': '681', 'value': '€5.00m'}, {'date': 'Feb 28, 2019', 'age': '26', 'clubName': 'Real Sociedad', 'clubID': '681', 'value': '€7.50m'}, {'date': 'Jun 11, 2019', 'age': '27', 'clubName': 'Real Sociedad', 'clubID': '681', 'value': '€10.00m'}, {'date': 'Dec 19, 2019', 'age': '27', 'clubName': 'Montpellier HSC', 'clubID': '969', 'value': '€10.00m'}, {'date': 'Apr 8, 2020', 'age': '27', 'clubName': 'Montpellier HSC', 'clubID': '969', 'value': '€8.00m'}, {'date': 'Oct 8, 2020', 'age': '28', 'clubName': 'Villarreal CF', 'clubID': '1050', 'value': '€5.00m'}, {'date': 'Jan 5, 2021', 'age': '28', 'clubName': 'Villarreal CF', 'clubID': '1050', 'value': '€4.00m'}, {'date': 'Jun 10, 2021', 'age': '29', 'clubName': 'Villarreal CF', 'clubID': '1050', 'value': '€4.00m'}, {'date': 'Dec 30, 2021', 'age': '29', 'clubName': 'Villarreal CF', 'clubID': '1050', 'value': '€6.00m'}, {'date': 'Jun 3, 2022', 'age': '30', 'clubName': 'Villarreal CF', 'clubID': '1050', 'value': '€6.00m'}, {'date': 'Nov 7, 2022', 'age': '30', 'clubName': 'Villarreal CF', 'clubID': '1050', 'value': '€10.00m'}, {'date': 'Jun 23, 2023', 'age': '31', 'clubName': 'Ajax Amsterdam', 'clubID': '610', 'value': '€10.00m'}, {'date': 'Dec 15, 2023', 'age': '31', 'clubName': 'Ajax Amsterdam', 'clubID': '610', 'value': '€8.00m'}, {'date': 'Mar 18, 2024', 'age': '31', 'clubName': 'Ajax Amsterdam', 'clubID': '610', 'value': '€6.00m'}, {'date': 'May 31, 2024', 'age': '32', 'clubName': 'Ajax Amsterdam', 'clubID': '610', 'value': '€5.00m'}, {'date': 'Dec 10, 2024', 'age': '32', 'clubName': 'Olympique Marseille', 'clubID': '244', 'value': '€5.00m'}, {'date': 'Mar 24, 2025', 'age': '32', 'clubName': 'Olympique Marseille', 'clubID': '244', 'value': '€8.00m'}, {'date': 'Jun 3, 2025', 'age': '33', 'clubName': 'Olympique Marseille', 'clubID': '244', 'value': '€8.00m'}, {'date': 'Dec 15, 2025', 'age': '33', 'clubName': 'Olympique Marseille', 'clubID': '244', 'value': '€9.00m'}, {'date': 'Mar 27, 2026', 'age': '33', 'clubName': 'Olympique Marseille', 'clubID': '244', 'value': '€8.00m'}]}</t>
        </is>
      </c>
      <c r="L7" t="inlineStr">
        <is>
          <t>Argentina</t>
        </is>
      </c>
      <c r="M7" t="inlineStr">
        <is>
          <t>1992-05-20</t>
        </is>
      </c>
      <c r="N7" t="inlineStr">
        <is>
          <t>Argentina</t>
        </is>
      </c>
      <c r="O7">
        <f>(6+10)/2</f>
        <v/>
      </c>
      <c r="P7">
        <f>(4+4+6)/3</f>
        <v/>
      </c>
    </row>
    <row r="8">
      <c r="A8" t="inlineStr">
        <is>
          <t>Modric</t>
        </is>
      </c>
      <c r="B8" t="inlineStr">
        <is>
          <t>Real Madrid</t>
        </is>
      </c>
      <c r="C8" t="inlineStr">
        <is>
          <t>Midfielder</t>
        </is>
      </c>
      <c r="D8" t="n">
        <v>1077</v>
      </c>
      <c r="E8" t="n">
        <v>13</v>
      </c>
      <c r="F8" t="n">
        <v>0</v>
      </c>
      <c r="G8" t="n">
        <v>4</v>
      </c>
      <c r="H8" t="n">
        <v>124.5</v>
      </c>
      <c r="I8" t="n">
        <v>33.5</v>
      </c>
      <c r="J8" t="n">
        <v>27992</v>
      </c>
      <c r="K8" t="inlineStr">
        <is>
          <t>{'marketValueHistory': [{'date': 'Sep 15, 2005', 'age': '20', 'clubName': 'GNK Dinamo Zagreb', 'clubID': '419', 'value': '€150k'}, {'date': 'Dec 8, 2005', 'age': '20', 'clubName': 'GNK Dinamo Zagreb', 'clubID': '419', 'value': '€2.50m'}, {'date': 'Oct 6, 2006', 'age': '21', 'clubName': 'GNK Dinamo Zagreb', 'clubID': '419', 'value': '€4.70m'}, {'date': 'Feb 10, 2007', 'age': '21', 'clubName': 'GNK Dinamo Zagreb', 'clubID': '419', 'value': '€5.70m'}, {'date': 'Aug 20, 2007', 'age': '21', 'clubName': 'GNK Dinamo Zagreb', 'clubID': '419', 'value': '€7.50m'}, {'date': 'Oct 7, 2007', 'age': '22', 'clubName': 'GNK Dinamo Zagreb', 'clubID': '419', 'value': '€10.50m'}, {'date': 'Jan 7, 2008', 'age': '22', 'clubName': 'GNK Dinamo Zagreb', 'clubID': '419', 'value': '€12.00m'}, {'date': 'May 4, 2008', 'age': '22', 'clubName': 'GNK Dinamo Zagreb', 'clubID': '419', 'value': '€18.00m'}, {'date': 'Feb 23, 2009', 'age': '23', 'clubName': 'Tottenham Hotspur', 'clubID': '148', 'value': '€17.00m'}, {'date': 'Jun 26, 2009', 'age': '23', 'clubName': 'Tottenham Hotspur', 'clubID': '148', 'value': '€18.50m'}, {'date': 'Jan 24, 2010', 'age': '24', 'clubName': 'Tottenham Hotspur', 'clubID': '148', 'value': '€19.00m'}, {'date': 'Aug 13, 2010', 'age': '24', 'clubName': 'Tottenham Hotspur', 'clubID': '148', 'value': '€22.00m'}, {'date': 'Feb 1, 2011', 'age': '25', 'clubName': 'Tottenham Hotspur', 'clubID': '148', 'value': '€28.00m'}, {'date': 'Aug 8, 2011', 'age': '25', 'clubName': 'Tottenham Hotspur', 'clubID': '148', 'value': '€33.00m'}, {'date': 'Feb 6, 2012', 'age': '26', 'clubName': 'Tottenham Hotspur', 'clubID': '148', 'value': '€39.00m'}, {'date': 'Aug 27, 2012', 'age': '26', 'clubName': 'Real Madrid', 'clubID': '418', 'value': '€40.00m'}, {'date': 'Jan 10, 2013', 'age': '27', 'clubName': 'Real Madrid', 'clubID': '418', 'value': '€35.00m'}, {'date': 'Jun 12, 2013', 'age': '27', 'clubName': 'Real Madrid', 'clubID': '418', 'value': '€35.00m'}, {'date': 'Jan 23, 2014', 'age': '28', 'clubName': 'Real Madrid', 'clubID': '418', 'value': '€40.00m'}, {'date': 'Jul 20, 2014', 'age': '28', 'clubName': 'Real Madrid', 'clubID': '418', 'value': '€55.00m'}, {'date': 'Jan 23, 2015', 'age': '29', 'clubName': 'Real Madrid', 'clubID': '418', 'value': '€55.00m'}, {'date': 'Jul 1, 2015', 'age': '29', 'clubName': 'Real Madrid', 'clubID': '418', 'value': '€50.00m'}, {'date': 'Feb 22, 2016', 'age': '30', 'clubName': 'Real Madrid', 'clubID': '418', 'value': '€50.00m'}, {'date': 'Jun 1, 2016', 'age': '30', 'clubName': 'Real Madrid', 'clubID': '418', 'value': '€50.00m'}, {'date': 'Jul 15, 2016', 'age': '30', 'clubName': 'Real Madrid', 'clubID': '418', 'value': '€50.00m'}, {'date': 'Jan 24, 2017', 'age': '31', 'clubName': 'Real Madrid', 'clubID': '418', 'value': '€45.00m'}, {'date': 'Jun 5, 2017', 'age': '31', 'clubName': 'Real Madrid', 'clubID': '418', 'value': '€40.00m'}, {'date': 'Jan 1, 2018', 'age': '32', 'clubName': 'Real Madrid', 'clubID': '418', 'value': '€40.00m'}, {'date': 'May 30, 2018', 'age': '32', 'clubName': 'Real Madrid', 'clubID': '418', 'value': '€25.00m'}, {'date': 'Dec 21, 2018', 'age': '33', 'clubName': 'Real Madrid', 'clubID': '418', 'value': '€25.00m'}, {'date': 'Jun 11, 2019', 'age': '33', 'clubName': 'Real Madrid', 'clubID': '418', 'value': '€20.00m'}, {'date': 'Dec 20, 2019', 'age': '34', 'clubName': 'Real Madrid', 'clubID': '418', 'value': '€15.00m'}, {'date': 'Apr 8, 2020', 'age': '34', 'clubName': 'Real Madrid', 'clubID': '418', 'value': '€12.00m'}, {'date': 'Oct 8, 2020', 'age': '35', 'clubName': 'Real Madrid', 'clubID': '418', 'value': '€10.00m'}, {'date': 'Jan 5, 2021', 'age': '35', 'clubName': 'Real Madrid', 'clubID': '418', 'value': '€10.00m'}, {'date': 'May 28, 2021', 'age': '35', 'clubName': 'Real Madrid', 'clubID': '418', 'value': '€10.00m'}, {'date': 'Dec 30, 2021', 'age': '36', 'clubName': 'Real Madrid', 'clubID': '418', 'value': '€10.00m'}, {'date': 'Jun 3, 2022', 'age': '36', 'clubName': 'Real Madrid', 'clubID': '418', 'value': '€10.00m'}, {'date': 'Nov 7, 2022', 'age': '37', 'clubName': 'Real Madrid', 'clubID': '418', 'value': '€10.00m'}, {'date': 'Jun 13, 2023', 'age': '37', 'clubName': 'Real Madrid', 'clubID': '418', 'value': '€10.00m'}, {'date': 'Dec 22, 2023', 'age': '38', 'clubName': 'Real Madrid', 'clubID': '418', 'value': '€10.00m'}, {'date': 'Mar 21, 2024', 'age': '38', 'clubName': 'Real Madrid', 'clubID': '418', 'value': '€8.00m'}, {'date': 'Jun 7, 2024', 'age': '38', 'clubName': 'Real Madrid', 'clubID': '418', 'value': '€6.00m'}, {'date': 'Dec 27, 2024', 'age': '39', 'clubName': 'Real Madrid', 'clubID': '418', 'value': '€5.00m'}, {'date': 'Jun 9, 2025', 'age': '39', 'clubName': 'Real Madrid', 'clubID': '418', 'value': '€4.00m'}, {'date': 'Dec 23, 2025', 'age': '40', 'clubName': 'AC Milan', 'clubID': '5', 'value': '€4.00m'}]}</t>
        </is>
      </c>
      <c r="L8" t="inlineStr">
        <is>
          <t>Croatia</t>
        </is>
      </c>
      <c r="M8" t="inlineStr">
        <is>
          <t>1985-09-09</t>
        </is>
      </c>
      <c r="N8" t="inlineStr">
        <is>
          <t>Croatia</t>
        </is>
      </c>
      <c r="O8">
        <f>(10+10)/2</f>
        <v/>
      </c>
      <c r="P8">
        <f>(10+10+10)/3</f>
        <v/>
      </c>
    </row>
    <row r="9">
      <c r="A9" t="inlineStr">
        <is>
          <t>Eder Militao</t>
        </is>
      </c>
      <c r="B9" t="inlineStr">
        <is>
          <t>Real Madrid</t>
        </is>
      </c>
      <c r="C9" t="inlineStr">
        <is>
          <t>Defender</t>
        </is>
      </c>
      <c r="D9" t="n">
        <v>1076</v>
      </c>
      <c r="E9" t="n">
        <v>12</v>
      </c>
      <c r="F9" t="n">
        <v>0</v>
      </c>
      <c r="G9" t="n">
        <v>0</v>
      </c>
      <c r="H9" t="n">
        <v>110.4</v>
      </c>
      <c r="I9" t="n">
        <v>38.3</v>
      </c>
      <c r="J9" t="n">
        <v>401530</v>
      </c>
      <c r="K9" t="inlineStr">
        <is>
          <t>{'marketValueHistory': [{'date': 'Oct 30, 2017', 'age': '19', 'clubName': 'São Paulo Futebol Clube', 'clubID': '585', 'value': '€1.00m'}, {'date': 'Dec 7, 2017', 'age': '19', 'clubName': 'São Paulo Futebol Clube', 'clubID': '585', 'value': '€2.00m'}, {'date': 'May 23, 2018', 'age': '20', 'clubName': 'São Paulo Futebol Clube', 'clubID': '585', 'value': '€8.00m'}, {'date': 'Nov 1, 2018', 'age': '20', 'clubName': 'FC Porto', 'clubID': '720', 'value': '€20.00m'}, {'date': 'Jan 11, 2019', 'age': '20', 'clubName': 'FC Porto', 'clubID': '720', 'value': '€35.00m'}, {'date': 'Mar 18, 2019', 'age': '21', 'clubName': 'FC Porto', 'clubID': '720', 'value': '€50.00m'}, {'date': 'Jun 7, 2019', 'age': '21', 'clubName': 'FC Porto', 'clubID': '720', 'value': '€50.00m'}, {'date': 'Dec 20, 2019', 'age': '21', 'clubName': 'Real Madrid', 'clubID': '418', 'value': '€45.00m'}, {'date': 'Mar 5, 2020', 'age': '22', 'clubName': 'Real Madrid', 'clubID': '418', 'value': '€40.00m'}, {'date': 'Apr 8, 2020', 'age': '22', 'clubName': 'Real Madrid', 'clubID': '418', 'value': '€36.00m'}, {'date': 'Oct 8, 2020', 'age': '22', 'clubName': 'Real Madrid', 'clubID': '418', 'value': '€40.00m'}, {'date': 'Jan 5, 2021', 'age': '22', 'clubName': 'Real Madrid', 'clubID': '418', 'value': '€30.00m'}, {'date': 'Jun 10, 2021', 'age': '23', 'clubName': 'Real Madrid', 'clubID': '418', 'value': '€40.00m'}, {'date': 'Dec 30, 2021', 'age': '23', 'clubName': 'Real Madrid', 'clubID': '418', 'value': '€60.00m'}, {'date': 'Jun 3, 2022', 'age': '24', 'clubName': 'Real Madrid', 'clubID': '418', 'value': '€60.00m'}, {'date': 'Nov 7, 2022', 'age': '24', 'clubName': 'Real Madrid', 'clubID': '418', 'value': '€60.00m'}, {'date': 'Mar 23, 2023', 'age': '25', 'clubName': 'Real Madrid', 'clubID': '418', 'value': '€70.00m'}, {'date': 'Jun 13, 2023', 'age': '25', 'clubName': 'Real Madrid', 'clubID': '418', 'value': '€70.00m'}, {'date': 'Dec 22, 2023', 'age': '25', 'clubName': 'Real Madrid', 'clubID': '418', 'value': '€70.00m'}, {'date': 'Jun 7, 2024', 'age': '26', 'clubName': 'Real Madrid', 'clubID': '418', 'value': '€60.00m'}, {'date': 'Dec 27, 2024', 'age': '26', 'clubName': 'Real Madrid', 'clubID': '418', 'value': '€40.00m'}, {'date': 'Jun 9, 2025', 'age': '27', 'clubName': 'Real Madrid', 'clubID': '418', 'value': '€30.00m'}, {'date': 'Dec 12, 2025', 'age': '27', 'clubName': 'Real Madrid', 'clubID': '418', 'value': '€30.00m'}, {'date': 'Mar 16, 2026', 'age': '28', 'clubName': 'Real Madrid', 'clubID': '418', 'value': '€25.00m'}]}</t>
        </is>
      </c>
      <c r="L9" t="inlineStr">
        <is>
          <t>Brazil</t>
        </is>
      </c>
      <c r="M9" t="inlineStr">
        <is>
          <t>1998-01-18</t>
        </is>
      </c>
      <c r="N9" t="inlineStr">
        <is>
          <t>38</t>
        </is>
      </c>
      <c r="O9">
        <f>(60+60)/2</f>
        <v/>
      </c>
      <c r="P9">
        <f>(30+40+60)/3</f>
        <v/>
      </c>
    </row>
    <row r="10">
      <c r="A10" t="inlineStr">
        <is>
          <t>Parejo</t>
        </is>
      </c>
      <c r="B10" t="inlineStr">
        <is>
          <t>Villarreal</t>
        </is>
      </c>
      <c r="C10" t="inlineStr">
        <is>
          <t>Midfielder</t>
        </is>
      </c>
      <c r="D10" t="n">
        <v>1055</v>
      </c>
      <c r="E10" t="n">
        <v>12</v>
      </c>
      <c r="F10" t="n">
        <v>1</v>
      </c>
      <c r="G10" t="n">
        <v>3</v>
      </c>
      <c r="H10" t="n">
        <v>130.9</v>
      </c>
      <c r="I10" t="n">
        <v>28.6</v>
      </c>
      <c r="J10" t="n">
        <v>59561</v>
      </c>
      <c r="K10" t="inlineStr">
        <is>
          <t>{'marketValueHistory': [{'date': 'Nov 20, 2007', 'age': '18', 'clubName': 'Real Madrid Castilla', 'clubID': '6767', 'value': '€100k'}, {'date': 'Aug 20, 2008', 'age': '19', 'clubName': 'Queens Park Rangers', 'clubID': '1039', 'value': '€175k'}, {'date': 'Oct 9, 2008', 'age': '19', 'clubName': 'Queens Park Rangers', 'clubID': '1039', 'value': '€500k'}, {'date': 'Jan 26, 2009', 'age': '19', 'clubName': 'Real Madrid', 'clubID': '418', 'value': '€500k'}, {'date': 'Jul 22, 2009', 'age': '20', 'clubName': 'Real Madrid', 'clubID': '418', 'value': '€500k'}, {'date': 'Aug 6, 2009', 'age': '20', 'clubName': 'Getafe CF', 'clubID': '3709', 'value': '€2.00m'}, {'date': 'Dec 2, 2009', 'age': '20', 'clubName': 'Getafe CF', 'clubID': '3709', 'value': '€4.00m'}, {'date': 'Apr 11, 2010', 'age': '20', 'clubName': 'Getafe CF', 'clubID': '3709', 'value': '€5.00m'}, {'date': 'Aug 27, 2010', 'age': '21', 'clubName': 'Getafe CF', 'clubID': '3709', 'value': '€8.00m'}, {'date': 'Feb 4, 2011', 'age': '21', 'clubName': 'Getafe CF', 'clubID': '3709', 'value': '€8.00m'}, {'date': 'Jul 29, 2011', 'age': '22', 'clubName': 'Valencia CF', 'clubID': '1049', 'value': '€8.00m'}, {'date': 'Feb 3, 2012', 'age': '22', 'clubName': 'Valencia CF', 'clubID': '1049', 'value': '€6.00m'}, {'date': 'Aug 7, 2012', 'age': '23', 'clubName': 'Valencia CF', 'clubID': '1049', 'value': '€6.00m'}, {'date': 'Jan 11, 2013', 'age': '23', 'clubName': 'Valencia CF', 'clubID': '1049', 'value': '€6.00m'}, {'date': 'Jun 12, 2013', 'age': '24', 'clubName': 'Valencia CF', 'clubID': '1049', 'value': '€10.00m'}, {'date': 'Jan 23, 2014', 'age': '24', 'clubName': 'Valencia CF', 'clubID': '1049', 'value': '€10.00m'}, {'date': 'Jul 20, 2014', 'age': '25', 'clubName': 'Valencia CF', 'clubID': '1049', 'value': '€15.00m'}, {'date': 'Jan 23, 2015', 'age': '25', 'clubName': 'Valencia CF', 'clubID': '1049', 'value': '€15.00m'}, {'date': 'Jul 1, 2015', 'age': '26', 'clubName': 'Valencia CF', 'clubID': '1049', 'value': '€20.00m'}, {'date': 'Nov 23, 2015', 'age': '26', 'clubName': 'Valencia CF', 'clubID': '1049', 'value': '€22.00m'}, {'date': 'Feb 22, 2016', 'age': '26', 'clubName': 'Valencia CF', 'clubID': '1049', 'value': '€20.00m'}, {'date': 'Apr 7, 2016', 'age': '26', 'clubName': 'Valencia CF', 'clubID': '1049', 'value': '€18.00m'}, {'date': 'Jul 15, 2016', 'age': '27', 'clubName': 'Valencia CF', 'clubID': '1049', 'value': '€18.00m'}, {'date': 'Jan 24, 2017', 'age': '27', 'clubName': 'Valencia CF', 'clubID': '1049', 'value': '€15.00m'}, {'date': 'Jun 5, 2017', 'age': '28', 'clubName': 'Valencia CF', 'clubID': '1049', 'value': '€15.00m'}, {'date': 'Jan 1, 2018', 'age': '28', 'clubName': 'Valencia CF', 'clubID': '1049', 'value': '€18.00m'}, {'date': 'Mar 22, 2018', 'age': '28', 'clubName': 'Valencia CF', 'clubID': '1049', 'value': '€20.00m'}, {'date': 'May 30, 2018', 'age': '29', 'clubName': 'Valencia CF', 'clubID': '1049', 'value': '€20.00m'}, {'date': 'Dec 21, 2018', 'age': '29', 'clubName': 'Valencia CF', 'clubID': '1049', 'value': '€20.00m'}, {'date': 'Jun 11, 2019', 'age': '30', 'clubName': 'Valencia CF', 'clubID': '1049', 'value': '€30.00m'}, {'date': 'Dec 20, 2019', 'age': '30', 'clubName': 'Valencia CF', 'clubID': '1049', 'value': '€35.00m'}, {'date': 'Apr 8, 2020', 'age': '30', 'clubName': 'Valencia CF', 'clubID': '1049', 'value': '€28.00m'}, {'date': 'Jul 23, 2020', 'age': '31', 'clubName': 'Valencia CF', 'clubID': '1049', 'value': '€20.00m'}, {'date': 'Oct 8, 2020', 'age': '31', 'clubName': 'Villarreal CF', 'clubID': '1050', 'value': '€10.00m'}, {'date': 'Jan 5, 2021', 'age': '31', 'clubName': 'Villarreal CF', 'clubID': '1050', 'value': '€10.00m'}, {'date': 'Jun 10, 2021', 'age': '32', 'clubName': 'Villarreal CF', 'clubID': '1050', 'value': '€10.00m'}, {'date': 'Oct 13, 2021', 'age': '32', 'clubName': 'Villarreal CF', 'clubID': '1050', 'value': '€9.00m'}, {'date': 'Dec 30, 2021', 'age': '32', 'clubName': 'Villarreal CF', 'clubID': '1050', 'value': '€9.00m'}, {'date': 'Jun 3, 2022', 'age': '33', 'clubName': 'Villarreal CF', 'clubID': '1050', 'value': '€9.00m'}, {'date': 'Nov 7, 2022', 'age': '33', 'clubName': 'Villarreal CF', 'clubID': '1050', 'value': '€7.00m'}, {'date': 'Jun 13, 2023', 'age': '34', 'clubName': 'Villarreal CF', 'clubID': '1050', 'value': '€6.00m'}, {'date': 'Oct 13, 2023', 'age': '34', 'clubName': 'Villarreal CF', 'clubID': '1050', 'value': '€4.00m'}, {'date': 'Dec 22, 2023', 'age': '34', 'clubName': 'Villarreal CF', 'clubID': '1050', 'value': '€4.00m'}, {'date': 'Mar 21, 2024', 'age': '34', 'clubName': 'Villarreal CF', 'clubID': '1050', 'value': '€3.00m'}, {'date': 'Jun 7, 2024', 'age': '35', 'clubName': 'Villarreal CF', 'clubID': '1050', 'value': '€2.50m'}, {'date': 'Dec 27, 2024', 'age': '35', 'clubName': 'Villarreal CF', 'clubID': '1050', 'value': '€2.00m'}, {'date': 'Jun 9, 2025', 'age': '36', 'clubName': 'Villarreal CF', 'clubID': '1050', 'value': '€1.50m'}, {'date': 'Dec 12, 2025', 'age': '36', 'clubName': 'Villarreal CF', 'clubID': '1050', 'value': '€1.20m'}]}</t>
        </is>
      </c>
      <c r="L10" t="inlineStr">
        <is>
          <t>Spain</t>
        </is>
      </c>
      <c r="M10" t="inlineStr">
        <is>
          <t>1989-04-16</t>
        </is>
      </c>
      <c r="N10" t="inlineStr">
        <is>
          <t>4</t>
        </is>
      </c>
      <c r="O10">
        <f>(9+7)/2</f>
        <v/>
      </c>
      <c r="P10">
        <f>(10+10+9+9)/4</f>
        <v/>
      </c>
    </row>
    <row r="11">
      <c r="A11" t="inlineStr">
        <is>
          <t>Capoue</t>
        </is>
      </c>
      <c r="B11" t="inlineStr">
        <is>
          <t>Villarreal</t>
        </is>
      </c>
      <c r="C11" t="inlineStr">
        <is>
          <t>Midfielder</t>
        </is>
      </c>
      <c r="D11" t="n">
        <v>1046</v>
      </c>
      <c r="E11" t="n">
        <v>12</v>
      </c>
      <c r="F11" t="n">
        <v>2</v>
      </c>
      <c r="G11" t="n">
        <v>4</v>
      </c>
      <c r="H11" t="n">
        <v>131</v>
      </c>
      <c r="I11" t="n">
        <v>31.1</v>
      </c>
      <c r="J11" t="n">
        <v>63494</v>
      </c>
      <c r="K11" t="inlineStr">
        <is>
          <t>{'marketValueHistory': [{'date': '11/12/2007', 'age': '19', 'clubName': 'FC Toulouse', 'clubID': '415', 'value': '€100k'}, {'date': '27/12/2007', 'age': '19', 'clubName': 'FC Toulouse', 'clubID': '415', 'value': '€300k'}, {'date': '05/05/2008', 'age': '19', 'clubName': 'FC Toulouse', 'clubID': '415', 'value': '€400k'}, {'date': '09/10/2008', 'age': '20', 'clubName': 'FC Toulouse', 'clubID': '415', 'value': '€1.20m'}, {'date': '30/12/2008', 'age': '20', 'clubName': 'FC Toulouse', 'clubID': '415', 'value': '€2.00m'}, {'date': '18/05/2009', 'age': '20', 'clubName': 'FC Toulouse', 'clubID': '415', 'value': '€4.00m'}, {'date': '14/06/2009', 'age': '20', 'clubName': 'FC Toulouse', 'clubID': '415', 'value': '€4.50m'}, {'date': '22/12/2009', 'age': '21', 'clubName': 'FC Toulouse', 'clubID': '415', 'value': '€5.00m'}, {'date': '17/01/2010', 'age': '21', 'clubName': 'FC Toulouse', 'clubID': '415', 'value': '€7.50m'}, {'date': '24/05/2011', 'age': '22', 'clubName': 'FC Toulouse', 'clubID': '415', 'value': '€8.00m'}, {'date': '24/12/2011', 'age': '23', 'clubName': 'FC Toulouse', 'clubID': '415', 'value': '€9.25m'}, {'date': '02/02/2012', 'age': '23', 'clubName': 'FC Toulouse', 'clubID': '415', 'value': '€9.50m'}, {'date': '23/05/2012', 'age': '23', 'clubName': 'FC Toulouse', 'clubID': '415', 'value': '€12.00m'}, {'date': '07/01/2013', 'age': '24', 'clubName': 'FC Toulouse', 'clubID': '415', 'value': '€12.00m'}, {'date': '30/05/2013', 'age': '24', 'clubName': 'FC Toulouse', 'clubID': '415', 'value': '€13.00m'}, {'date': '18/09/2013', 'age': '25', 'clubName': 'Tottenham Hotspur', 'clubID': '148', 'value': '€11.00m'}, {'date': '15/01/2014', 'age': '25', 'clubName': 'Tottenham Hotspur', 'clubID': '148', 'value': '€9.00m'}, {'date': '12/08/2014', 'age': '26', 'clubName': 'Tottenham Hotspur', 'clubID': '148', 'value': '€9.00m'}, {'date': '12/02/2015', 'age': '26', 'clubName': 'Tottenham Hotspur', 'clubID': '148', 'value': '€7.50m'}, {'date': '01/07/2015', 'age': '26', 'clubName': 'Tottenham Hotspur', 'clubID': '148', 'value': '€7.50m'}, {'date': '09/02/2016', 'age': '27', 'clubName': 'Watford FC', 'clubID': '1010', 'value': '€9.00m'}, {'date': '01/08/2016', 'age': '28', 'clubName': 'Watford FC', 'clubID': '1010', 'value': '€9.00m'}, {'date': '24/10/2016', 'age': '28', 'clubName': 'Watford FC', 'clubID': '1010', 'value': '€10.00m'}, {'date': '20/02/2017', 'age': '28', 'clubName': 'Watford FC', 'clubID': '1010', 'value': '€10.00m'}, {'date': '28/06/2017', 'age': '28', 'clubName': 'Watford FC', 'clubID': '1010', 'value': '€9.00m'}, {'date': '02/01/2018', 'age': '29', 'clubName': 'Watford FC', 'clubID': '1010', 'value': '€8.00m'}, {'date': '28/05/2018', 'age': '29', 'clubName': 'Watford FC', 'clubID': '1010', 'value': '€8.00m'}, {'date': '19/12/2018', 'age': '30', 'clubName': 'Watford FC', 'clubID': '1010', 'value': '€8.00m'}, {'date': '13/06/2019', 'age': '30', 'clubName': 'Watford FC', 'clubID': '1010', 'value': '€8.00m'}, {'date': '10/12/2019', 'age': '31', 'clubName': 'Watford FC', 'clubID': '1010', 'value': '€6.50m'}, {'date': '08/04/2020', 'age': '31', 'clubName': 'Watford FC', 'clubID': '1010', 'value': '€5.20m'}, {'date': '15/10/2020', 'age': '32', 'clubName': 'Watford FC', 'clubID': '1010', 'value': '€4.00m'}, {'date': '05/01/2021', 'age': '32', 'clubName': 'Villarreal CF', 'clubID': '1050', 'value': '€2.00m'}, {'date': '10/06/2021', 'age': '32', 'clubName': 'Villarreal CF', 'clubID': '1050', 'value': '€2.00m'}, {'date': '30/12/2021', 'age': '33', 'clubName': 'Villarreal CF', 'clubID': '1050', 'value': '€2.50m'}, {'date': '21/03/2022', 'age': '33', 'clubName': 'Villarreal CF', 'clubID': '1050', 'value': '€3.00m'}, {'date': '03/06/2022', 'age': '33', 'clubName': 'Villarreal CF', 'clubID': '1050', 'value': '€3.00m'}, {'date': '07/11/2022', 'age': '34', 'clubName': 'Villarreal CF', 'clubID': '1050', 'value': '€3.00m'}, {'date': '13/06/2023', 'age': '34', 'clubName': 'Villarreal CF', 'clubID': '1050', 'value': '€3.00m'}, {'date': '13/10/2023', 'age': '35', 'clubName': 'Villarreal CF', 'clubID': '1050', 'value': '€2.00m'}, {'date': '22/12/2023', 'age': '35', 'clubName': 'Villarreal CF', 'clubID': '1050', 'value': '€2.00m'}, {'date': '07/06/2024', 'age': '35', 'clubName': 'Villarreal CF', 'clubID': '1050', 'value': '€1.50m'}, {'date': '01/07/2024', 'age': '35', 'clubName': 'Retired', 'clubID': '123', 'value': '-'}]}</t>
        </is>
      </c>
      <c r="L11" t="inlineStr">
        <is>
          <t>France</t>
        </is>
      </c>
      <c r="M11" t="inlineStr">
        <is>
          <t>1988-07-11</t>
        </is>
      </c>
      <c r="N11" t="inlineStr">
        <is>
          <t>France</t>
        </is>
      </c>
      <c r="O11">
        <f>(3+3+3)/3</f>
        <v/>
      </c>
      <c r="P11">
        <f>(2+2+2.5)/3</f>
        <v/>
      </c>
    </row>
    <row r="12">
      <c r="A12" t="inlineStr">
        <is>
          <t>Albiol</t>
        </is>
      </c>
      <c r="B12" t="inlineStr">
        <is>
          <t>Villarreal</t>
        </is>
      </c>
      <c r="C12" t="inlineStr">
        <is>
          <t>Defender</t>
        </is>
      </c>
      <c r="D12" t="n">
        <v>1045</v>
      </c>
      <c r="E12" t="n">
        <v>12</v>
      </c>
      <c r="F12" t="n">
        <v>0</v>
      </c>
      <c r="G12" t="n">
        <v>0</v>
      </c>
      <c r="H12" t="n">
        <v>115.7</v>
      </c>
      <c r="I12" t="n">
        <v>32.8</v>
      </c>
      <c r="J12" t="n">
        <v>15452</v>
      </c>
      <c r="K12" t="inlineStr">
        <is>
          <t>{'marketValueHistory': [{'date': 'Oct 4, 2004', 'age': '19', 'clubName': 'Getafe CF', 'clubID': '3709', 'value': '€800k'}, {'date': 'Feb 7, 2006', 'age': '20', 'clubName': 'Valencia CF', 'clubID': '1049', 'value': '€2.50m'}, {'date': 'Jun 21, 2007', 'age': '21', 'clubName': 'Valencia CF', 'clubID': '1049', 'value': '€10.00m'}, {'date': 'Feb 4, 2008', 'age': '22', 'clubName': 'Valencia CF', 'clubID': '1049', 'value': '€9.00m'}, {'date': 'Jul 17, 2008', 'age': '22', 'clubName': 'Valencia CF', 'clubID': '1049', 'value': '€6.00m'}, {'date': 'Jul 21, 2008', 'age': '22', 'clubName': 'Valencia CF', 'clubID': '1049', 'value': '€9.00m'}, {'date': 'Jan 26, 2009', 'age': '23', 'clubName': 'Valencia CF', 'clubID': '1049', 'value': '€9.00m'}, {'date': 'Jul 22, 2009', 'age': '23', 'clubName': 'Real Madrid', 'clubID': '418', 'value': '€12.00m'}, {'date': 'Dec 3, 2009', 'age': '24', 'clubName': 'Real Madrid', 'clubID': '418', 'value': '€15.00m'}, {'date': 'Apr 12, 2010', 'age': '24', 'clubName': 'Real Madrid', 'clubID': '418', 'value': '€18.00m'}, {'date': 'Aug 27, 2010', 'age': '24', 'clubName': 'Real Madrid', 'clubID': '418', 'value': '€18.00m'}, {'date': 'Dec 10, 2010', 'age': '25', 'clubName': 'Real Madrid', 'clubID': '418', 'value': '€15.00m'}, {'date': 'Feb 4, 2011', 'age': '25', 'clubName': 'Real Madrid', 'clubID': '418', 'value': '€15.00m'}, {'date': 'Jul 29, 2011', 'age': '25', 'clubName': 'Real Madrid', 'clubID': '418', 'value': '€12.00m'}, {'date': 'Feb 3, 2012', 'age': '26', 'clubName': 'Real Madrid', 'clubID': '418', 'value': '€9.00m'}, {'date': 'Aug 7, 2012', 'age': '26', 'clubName': 'Real Madrid', 'clubID': '418', 'value': '€9.00m'}, {'date': 'Jan 10, 2013', 'age': '27', 'clubName': 'Real Madrid', 'clubID': '418', 'value': '€8.00m'}, {'date': 'Jun 12, 2013', 'age': '27', 'clubName': 'Real Madrid', 'clubID': '418', 'value': '€8.00m'}, {'date': 'Jul 25, 2013', 'age': '27', 'clubName': 'SSC Napoli', 'clubID': '6195', 'value': '€12.00m'}, {'date': 'Jan 7, 2014', 'age': '28', 'clubName': 'SSC Napoli', 'clubID': '6195', 'value': '€12.00m'}, {'date': 'Jul 11, 2014', 'age': '28', 'clubName': 'SSC Napoli', 'clubID': '6195', 'value': '€12.00m'}, {'date': 'Nov 8, 2014', 'age': '29', 'clubName': 'SSC Napoli', 'clubID': '6195', 'value': '€10.00m'}, {'date': 'Jan 7, 2015', 'age': '29', 'clubName': 'SSC Napoli', 'clubID': '6195', 'value': '€7.50m'}, {'date': 'Jul 1, 2015', 'age': '29', 'clubName': 'SSC Napoli', 'clubID': '6195', 'value': '€7.50m'}, {'date': 'Jan 4, 2016', 'age': '30', 'clubName': 'SSC Napoli', 'clubID': '6195', 'value': '€8.50m'}, {'date': 'Jul 15, 2016', 'age': '30', 'clubName': 'SSC Napoli', 'clubID': '6195', 'value': '€8.50m'}, {'date': 'Jan 2, 2017', 'age': '31', 'clubName': 'SSC Napoli', 'clubID': '6195', 'value': '€8.50m'}, {'date': 'Jun 8, 2017', 'age': '31', 'clubName': 'SSC Napoli', 'clubID': '6195', 'value': '€8.00m'}, {'date': 'Dec 29, 2017', 'age': '32', 'clubName': 'SSC Napoli', 'clubID': '6195', 'value': '€8.00m'}, {'date': 'Jun 7, 2018', 'age': '32', 'clubName': 'SSC Napoli', 'clubID': '6195', 'value': '€8.00m'}, {'date': 'Dec 20, 2018', 'age': '33', 'clubName': 'SSC Napoli', 'clubID': '6195', 'value': '€8.00m'}, {'date': 'Jun 6, 2019', 'age': '33', 'clubName': 'SSC Napoli', 'clubID': '6195', 'value': '€5.00m'}, {'date': 'Dec 20, 2019', 'age': '34', 'clubName': 'Villarreal CF', 'clubID': '1050', 'value': '€4.00m'}, {'date': 'Apr 8, 2020', 'age': '34', 'clubName': 'Villarreal CF', 'clubID': '1050', 'value': '€3.20m'}, {'date': 'Oct 8, 2020', 'age': '35', 'clubName': 'Villarreal CF', 'clubID': '1050', 'value': '€2.50m'}, {'date': 'Jan 5, 2021', 'age': '35', 'clubName': 'Villarreal CF', 'clubID': '1050', 'value': '€2.50m'}, {'date': 'Jun 10, 2021', 'age': '35', 'clubName': 'Villarreal CF', 'clubID': '1050', 'value': '€2.50m'}, {'date': 'Dec 30, 2021', 'age': '36', 'clubName': 'Villarreal CF', 'clubID': '1050', 'value': '€2.50m'}, {'date': 'Jun 3, 2022', 'age': '36', 'clubName': 'Villarreal CF', 'clubID': '1050', 'value': '€3.00m'}, {'date': 'Nov 7, 2022', 'age': '37', 'clubName': 'Villarreal CF', 'clubID': '1050', 'value': '€3.00m'}, {'date': 'Jun 13, 2023', 'age': '37', 'clubName': 'Villarreal CF', 'clubID': '1050', 'value': '€2.50m'}, {'date': 'Dec 22, 2023', 'age': '38', 'clubName': 'Villarreal CF', 'clubID': '1050', 'value': '€2.50m'}, {'date': 'Mar 21, 2024', 'age': '38', 'clubName': 'Villarreal CF', 'clubID': '1050', 'value': '€2.00m'}, {'date': 'Jun 7, 2024', 'age': '38', 'clubName': 'Villarreal CF', 'clubID': '1050', 'value': '€1.50m'}, {'date': 'Dec 27, 2024', 'age': '39', 'clubName': 'Villarreal CF', 'clubID': '1050', 'value': '€1.30m'}, {'date': 'Jun 9, 2025', 'age': '39', 'clubName': 'Villarreal CF', 'clubID': '1050', 'value': '€1.00m'}, {'date': 'Dec 23, 2025', 'age': '40', 'clubName': 'Pisa Sporting Club', 'clubID': '4172', 'value': '€800k'}]}</t>
        </is>
      </c>
      <c r="L12" t="inlineStr">
        <is>
          <t>Spain</t>
        </is>
      </c>
      <c r="M12" t="inlineStr">
        <is>
          <t>1985-09-04</t>
        </is>
      </c>
      <c r="N12" t="inlineStr">
        <is>
          <t>Spain</t>
        </is>
      </c>
      <c r="O12">
        <f>(3+3)/2</f>
        <v/>
      </c>
      <c r="P12">
        <f>(2.5+2.5+2.5)/3</f>
        <v/>
      </c>
    </row>
    <row r="13">
      <c r="A13" t="inlineStr">
        <is>
          <t>Alaba</t>
        </is>
      </c>
      <c r="B13" t="inlineStr">
        <is>
          <t>Real Madrid</t>
        </is>
      </c>
      <c r="C13" t="inlineStr">
        <is>
          <t>Defender</t>
        </is>
      </c>
      <c r="D13" t="n">
        <v>1040</v>
      </c>
      <c r="E13" t="n">
        <v>12</v>
      </c>
      <c r="F13" t="n">
        <v>1</v>
      </c>
      <c r="G13" t="n">
        <v>0</v>
      </c>
      <c r="H13" t="n">
        <v>112.3</v>
      </c>
      <c r="I13" t="n">
        <v>36.6</v>
      </c>
      <c r="J13" t="n">
        <v>59016</v>
      </c>
      <c r="K13" t="inlineStr">
        <is>
          <t>{'marketValueHistory': [{'date': '24/06/2008', 'age': '16', 'clubName': 'Austria Vienna Reserves', 'clubID': '4383', 'value': '€200k'}, {'date': '13/10/2009', 'age': '17', 'clubName': 'FC Bayern Munich II', 'clubID': '27', 'value': '€800k'}, {'date': '11/01/2010', 'age': '17', 'clubName': 'FC Bayern Munich II', 'clubID': '27', 'value': '€1.00m'}, {'date': '16/07/2010', 'age': '18', 'clubName': 'Bayern Munich', 'clubID': '27', 'value': '€2.00m'}, {'date': '12/01/2011', 'age': '18', 'clubName': 'TSG 1899 Hoffenheim', 'clubID': '533', 'value': '€2.00m'}, {'date': '01/03/2011', 'age': '18', 'clubName': 'TSG 1899 Hoffenheim', 'clubID': '533', 'value': '€3.00m'}, {'date': '29/06/2011', 'age': '19', 'clubName': 'TSG 1899 Hoffenheim', 'clubID': '533', 'value': '€5.00m'}, {'date': '23/01/2012', 'age': '19', 'clubName': 'Bayern Munich', 'clubID': '27', 'value': '€8.50m'}, {'date': '29/06/2012', 'age': '20', 'clubName': 'Bayern Munich', 'clubID': '27', 'value': '€16.00m'}, {'date': '13/01/2013', 'age': '20', 'clubName': 'Bayern Munich', 'clubID': '27', 'value': '€22.00m'}, {'date': '30/06/2013', 'age': '21', 'clubName': 'Bayern Munich', 'clubID': '27', 'value': '€28.00m'}, {'date': '05/11/2013', 'age': '21', 'clubName': 'Bayern Munich', 'clubID': '27', 'value': '€32.00m'}, {'date': '10/07/2014', 'age': '22', 'clubName': 'Bayern Munich', 'clubID': '27', 'value': '€35.00m'}, {'date': '04/02/2015', 'age': '22', 'clubName': 'Bayern Munich', 'clubID': '27', 'value': '€38.00m'}, {'date': '01/07/2015', 'age': '23', 'clubName': 'Bayern Munich', 'clubID': '27', 'value': '€38.00m'}, {'date': '16/10/2015', 'age': '23', 'clubName': 'Bayern Munich', 'clubID': '27', 'value': '€45.00m'}, {'date': '15/02/2016', 'age': '23', 'clubName': 'Bayern Munich', 'clubID': '27', 'value': '€45.00m'}, {'date': '01/06/2016', 'age': '23', 'clubName': 'Bayern Munich', 'clubID': '27', 'value': '€45.00m'}, {'date': '22/07/2016', 'age': '24', 'clubName': 'Bayern Munich', 'clubID': '27', 'value': '€45.00m'}, {'date': '07/02/2017', 'age': '24', 'clubName': 'Bayern Munich', 'clubID': '27', 'value': '€40.00m'}, {'date': '19/06/2017', 'age': '24', 'clubName': 'Bayern Munich', 'clubID': '27', 'value': '€38.00m'}, {'date': '28/12/2017', 'age': '25', 'clubName': 'Bayern Munich', 'clubID': '27', 'value': '€38.00m'}, {'date': '04/04/2018', 'age': '25', 'clubName': 'Bayern Munich', 'clubID': '27', 'value': '€50.00m'}, {'date': '05/06/2018', 'age': '25', 'clubName': 'Bayern Munich', 'clubID': '27', 'value': '€50.00m'}, {'date': '18/12/2018', 'age': '26', 'clubName': 'Bayern Munich', 'clubID': '27', 'value': '€55.00m'}, {'date': '05/06/2019', 'age': '26', 'clubName': 'Bayern Munich', 'clubID': '27', 'value': '€55.00m'}, {'date': '17/12/2019', 'age': '27', 'clubName': 'Bayern Munich', 'clubID': '27', 'value': '€65.00m'}, {'date': '08/04/2020', 'age': '27', 'clubName': 'Bayern Munich', 'clubID': '27', 'value': '€52.00m'}, {'date': '08/07/2020', 'age': '28', 'clubName': 'Bayern Munich', 'clubID': '27', 'value': '€65.00m'}, {'date': '10/02/2021', 'age': '28', 'clubName': 'Bayern Munich', 'clubID': '27', 'value': '€55.00m'}, {'date': '27/05/2021', 'age': '28', 'clubName': 'Bayern Munich', 'clubID': '27', 'value': '€55.00m'}, {'date': '30/12/2021', 'age': '29', 'clubName': 'Real Madrid', 'clubID': '418', 'value': '€55.00m'}, {'date': '03/06/2022', 'age': '29', 'clubName': 'Real Madrid', 'clubID': '418', 'value': '€55.00m'}, {'date': '07/11/2022', 'age': '30', 'clubName': 'Real Madrid', 'clubID': '418', 'value': '€55.00m'}, {'date': '23/03/2023', 'age': '30', 'clubName': 'Real Madrid', 'clubID': '418', 'value': '€50.00m'}, {'date': '13/06/2023', 'age': '30', 'clubName': 'Real Madrid', 'clubID': '418', 'value': '€40.00m'}, {'date': '22/12/2023', 'age': '31', 'clubName': 'Real Madrid', 'clubID': '418', 'value': '€30.00m'}, {'date': '21/03/2024', 'age': '31', 'clubName': 'Real Madrid', 'clubID': '418', 'value': '€25.00m'}, {'date': '07/06/2024', 'age': '31', 'clubName': 'Real Madrid', 'clubID': '418', 'value': '€20.00m'}, {'date': '11/10/2024', 'age': '32', 'clubName': 'Real Madrid', 'clubID': '418', 'value': '€15.00m'}, {'date': '27/12/2024', 'age': '32', 'clubName': 'Real Madrid', 'clubID': '418', 'value': '€10.00m'}, {'date': '09/06/2025', 'age': '32', 'clubName': 'Real Madrid', 'clubID': '418', 'value': '€6.00m'}, {'date': '02/10/2025', 'age': '33', 'clubName': 'Real Madrid', 'clubID': '418', 'value': '€4.00m'}, {'date': '12/12/2025', 'age': '33', 'clubName': 'Real Madrid', 'clubID': '418', 'value': '€4.00m'}, {'date': '16/03/2026', 'age': '33', 'clubName': 'Real Madrid', 'clubID': '418', 'value': '€3.50m'}]}</t>
        </is>
      </c>
      <c r="L13" t="inlineStr">
        <is>
          <t>Austria</t>
        </is>
      </c>
      <c r="M13" t="inlineStr">
        <is>
          <t>1992-06-24</t>
        </is>
      </c>
      <c r="N13" t="inlineStr">
        <is>
          <t>112</t>
        </is>
      </c>
      <c r="O13">
        <f>(55+55)/2</f>
        <v/>
      </c>
      <c r="P13">
        <f>(55+55+55)/3</f>
        <v/>
      </c>
    </row>
    <row r="14">
      <c r="A14" t="inlineStr">
        <is>
          <t>Salah</t>
        </is>
      </c>
      <c r="B14" t="inlineStr">
        <is>
          <t>Liverpool</t>
        </is>
      </c>
      <c r="C14" t="inlineStr">
        <is>
          <t>Forward</t>
        </is>
      </c>
      <c r="D14" t="n">
        <v>1008</v>
      </c>
      <c r="E14" t="n">
        <v>13</v>
      </c>
      <c r="F14" t="n">
        <v>8</v>
      </c>
      <c r="G14" t="n">
        <v>2</v>
      </c>
      <c r="H14" t="n">
        <v>112</v>
      </c>
      <c r="I14" t="n">
        <v>33.7</v>
      </c>
      <c r="J14" t="n">
        <v>148455</v>
      </c>
      <c r="K14" t="inlineStr">
        <is>
          <t>{'marketValueHistory': [{'date': '06/06/2010', 'age': '17', 'clubName': 'El Mokawloon SC', 'clubID': '3369', 'value': '€25k'}, {'date': '01/01/2011', 'age': '18', 'clubName': 'El Mokawloon SC', 'clubID': '3369', 'value': '€25k'}, {'date': '09/05/2011', 'age': '18', 'clubName': 'El Mokawloon SC', 'clubID': '3369', 'value': '€50k'}, {'date': '14/07/2011', 'age': '19', 'clubName': 'El Mokawloon SC', 'clubID': '3369', 'value': '€150k'}, {'date': '25/12/2011', 'age': '19', 'clubName': 'El Mokawloon SC', 'clubID': '3369', 'value': '€300k'}, {'date': '27/05/2012', 'age': '19', 'clubName': 'El Mokawloon SC', 'clubID': '3369', 'value': '€1.50m'}, {'date': '12/07/2012', 'age': '20', 'clubName': 'FC Basel 1893', 'clubID': '26', 'value': '€2.50m'}, {'date': '05/09/2012', 'age': '20', 'clubName': 'FC Basel 1893', 'clubID': '26', 'value': '€4.00m'}, {'date': '14/04/2013', 'age': '20', 'clubName': 'FC Basel 1893', 'clubID': '26', 'value': '€5.00m'}, {'date': '17/06/2013', 'age': '21', 'clubName': 'FC Basel 1893', 'clubID': '26', 'value': '€6.50m'}, {'date': '26/11/2013', 'age': '21', 'clubName': 'FC Basel 1893', 'clubID': '26', 'value': '€8.50m'}, {'date': '05/02/2014', 'age': '21', 'clubName': 'Chelsea FC', 'clubID': '631', 'value': '€13.00m'}, {'date': '12/08/2014', 'age': '22', 'clubName': 'Chelsea FC', 'clubID': '631', 'value': '€13.00m'}, {'date': '12/02/2015', 'age': '22', 'clubName': 'ACF Fiorentina', 'clubID': '430', 'value': '€10.00m'}, {'date': '20/03/2015', 'age': '22', 'clubName': 'ACF Fiorentina', 'clubID': '430', 'value': '€12.00m'}, {'date': '01/07/2015', 'age': '23', 'clubName': 'Chelsea FC', 'clubID': '631', 'value': '€18.00m'}, {'date': '05/11/2015', 'age': '23', 'clubName': 'AS Roma', 'clubID': '12', 'value': '€20.00m'}, {'date': '04/01/2016', 'age': '23', 'clubName': 'AS Roma', 'clubID': '12', 'value': '€20.00m'}, {'date': '01/04/2016', 'age': '23', 'clubName': 'AS Roma', 'clubID': '12', 'value': '€23.00m'}, {'date': '15/07/2016', 'age': '24', 'clubName': 'AS Roma', 'clubID': '12', 'value': '€27.00m'}, {'date': '02/01/2017', 'age': '24', 'clubName': 'AS Roma', 'clubID': '12', 'value': '€30.00m'}, {'date': '08/06/2017', 'age': '24', 'clubName': 'AS Roma', 'clubID': '12', 'value': '€35.00m'}, {'date': '23/10/2017', 'age': '25', 'clubName': 'Liverpool FC', 'clubID': '31', 'value': '€40.00m'}, {'date': '02/01/2018', 'age': '25', 'clubName': 'Liverpool FC', 'clubID': '31', 'value': '€80.00m'}, {'date': '28/05/2018', 'age': '25', 'clubName': 'Liverpool FC', 'clubID': '31', 'value': '€150.00m'}, {'date': '19/12/2018', 'age': '26', 'clubName': 'Liverpool FC', 'clubID': '31', 'value': '€150.00m'}, {'date': '13/06/2019', 'age': '26', 'clubName': 'Liverpool FC', 'clubID': '31', 'value': '€150.00m'}, {'date': '10/12/2019', 'age': '27', 'clubName': 'Liverpool FC', 'clubID': '31', 'value': '€150.00m'}, {'date': '08/04/2020', 'age': '27', 'clubName': 'Liverpool FC', 'clubID': '31', 'value': '€120.00m'}, {'date': '13/10/2020', 'age': '28', 'clubName': 'Liverpool FC', 'clubID': '31', 'value': '€120.00m'}, {'date': '18/03/2021', 'age': '28', 'clubName': 'Liverpool FC', 'clubID': '31', 'value': '€110.00m'}, {'date': '08/06/2021', 'age': '28', 'clubName': 'Liverpool FC', 'clubID': '31', 'value': '€100.00m'}, {'date': '23/12/2021', 'age': '29', 'clubName': 'Liverpool FC', 'clubID': '31', 'value': '€100.00m'}, {'date': '15/06/2022', 'age': '30', 'clubName': 'Liverpool FC', 'clubID': '31', 'value': '€90.00m'}, {'date': '03/11/2022', 'age': '30', 'clubName': 'Liverpool FC', 'clubID': '31', 'value': '€80.00m'}, {'date': '16/03/2023', 'age': '30', 'clubName': 'Liverpool FC', 'clubID': '31', 'value': '€70.00m'}, {'date': '20/06/2023', 'age': '31', 'clubName': 'Liverpool FC', 'clubID': '31', 'value': '€65.00m'}, {'date': '19/12/2023', 'age': '31', 'clubName': 'Liverpool FC', 'clubID': '31', 'value': '€65.00m'}, {'date': '27/05/2024', 'age': '31', 'clubName': 'Liverpool FC', 'clubID': '31', 'value': '€55.00m'}, {'date': '16/12/2024', 'age': '32', 'clubName': 'Liverpool FC', 'clubID': '31', 'value': '€55.00m'}, {'date': '30/05/2025', 'age': '32', 'clubName': 'Liverpool FC', 'clubID': '31', 'value': '€50.00m'}, {'date': '17/10/2025', 'age': '33', 'clubName': 'Liverpool FC', 'clubID': '31', 'value': '€45.00m'}, {'date': '09/12/2025', 'age': '33', 'clubName': 'Liverpool FC', 'clubID': '31', 'value': '€30.00m'}]}</t>
        </is>
      </c>
      <c r="L14" t="inlineStr">
        <is>
          <t>Egypt</t>
        </is>
      </c>
      <c r="M14" t="inlineStr">
        <is>
          <t>1992-06-15</t>
        </is>
      </c>
      <c r="N14" t="inlineStr">
        <is>
          <t>113</t>
        </is>
      </c>
      <c r="O14">
        <f>(90+80)/2</f>
        <v/>
      </c>
      <c r="P14">
        <f>(110+100+100)/3</f>
        <v/>
      </c>
    </row>
    <row r="15">
      <c r="A15" t="inlineStr">
        <is>
          <t>Ederson</t>
        </is>
      </c>
      <c r="B15" t="inlineStr">
        <is>
          <t>Man City</t>
        </is>
      </c>
      <c r="C15" t="inlineStr">
        <is>
          <t>Goalkeeper</t>
        </is>
      </c>
      <c r="D15" t="n">
        <v>1003</v>
      </c>
      <c r="E15" t="n">
        <v>11</v>
      </c>
      <c r="F15" t="n">
        <v>0</v>
      </c>
      <c r="G15" t="n">
        <v>0</v>
      </c>
      <c r="H15" t="n">
        <v>51.6</v>
      </c>
      <c r="I15" t="n">
        <v>28.3</v>
      </c>
      <c r="J15" t="n">
        <v>238223</v>
      </c>
      <c r="K15" t="inlineStr">
        <is>
          <t>{'marketValueHistory': [{'date': 'Apr 3, 2013', 'age': '19', 'clubName': 'Rio Ave FC', 'clubID': '2425', 'value': '€300k'}, {'date': 'Jul 2, 2013', 'age': '19', 'clubName': 'Rio Ave FC', 'clubID': '2425', 'value': '€300k'}, {'date': 'Jul 25, 2014', 'age': '20', 'clubName': 'Rio Ave FC', 'clubID': '2425', 'value': '€900k'}, {'date': 'Feb 17, 2015', 'age': '21', 'clubName': 'Rio Ave FC', 'clubID': '2425', 'value': '€600k'}, {'date': 'Jul 1, 2015', 'age': '21', 'clubName': 'SL Benfica', 'clubID': '294', 'value': '€1.20m'}, {'date': 'Feb 24, 2016', 'age': '22', 'clubName': 'SL Benfica', 'clubID': '294', 'value': '€1.20m'}, {'date': 'Jul 29, 2016', 'age': '22', 'clubName': 'SL Benfica', 'clubID': '294', 'value': '€7.00m'}, {'date': 'Feb 22, 2017', 'age': '23', 'clubName': 'SL Benfica', 'clubID': '294', 'value': '€12.00m'}, {'date': 'Jun 26, 2017', 'age': '23', 'clubName': 'SL Benfica', 'clubID': '294', 'value': '€22.00m'}, {'date': 'Oct 23, 2017', 'age': '24', 'clubName': 'Manchester City', 'clubID': '281', 'value': '€25.00m'}, {'date': 'Jan 2, 2018', 'age': '24', 'clubName': 'Manchester City', 'clubID': '281', 'value': '€35.00m'}, {'date': 'Mar 23, 2018', 'age': '24', 'clubName': 'Manchester City', 'clubID': '281', 'value': '€45.00m'}, {'date': 'May 28, 2018', 'age': '24', 'clubName': 'Manchester City', 'clubID': '281', 'value': '€50.00m'}, {'date': 'Oct 17, 2018', 'age': '25', 'clubName': 'Manchester City', 'clubID': '281', 'value': '€60.00m'}, {'date': 'Dec 19, 2018', 'age': '25', 'clubName': 'Manchester City', 'clubID': '281', 'value': '€60.00m'}, {'date': 'Jun 13, 2019', 'age': '25', 'clubName': 'Manchester City', 'clubID': '281', 'value': '€70.00m'}, {'date': 'Dec 10, 2019', 'age': '26', 'clubName': 'Manchester City', 'clubID': '281', 'value': '€70.00m'}, {'date': 'Apr 8, 2020', 'age': '26', 'clubName': 'Manchester City', 'clubID': '281', 'value': '€56.00m'}, {'date': 'Oct 13, 2020', 'age': '27', 'clubName': 'Manchester City', 'clubID': '281', 'value': '€56.00m'}, {'date': 'Mar 18, 2021', 'age': '27', 'clubName': 'Manchester City', 'clubID': '281', 'value': '€56.00m'}, {'date': 'Jun 8, 2021', 'age': '27', 'clubName': 'Manchester City', 'clubID': '281', 'value': '€50.00m'}, {'date': 'Dec 23, 2021', 'age': '28', 'clubName': 'Manchester City', 'clubID': '281', 'value': '€50.00m'}, {'date': 'Jun 15, 2022', 'age': '28', 'clubName': 'Manchester City', 'clubID': '281', 'value': '€45.00m'}, {'date': 'Nov 3, 2022', 'age': '29', 'clubName': 'Manchester City', 'clubID': '281', 'value': '€45.00m'}, {'date': 'Jun 20, 2023', 'age': '29', 'clubName': 'Manchester City', 'clubID': '281', 'value': '€40.00m'}, {'date': 'Dec 19, 2023', 'age': '30', 'clubName': 'Manchester City', 'clubID': '281', 'value': '€40.00m'}, {'date': 'May 27, 2024', 'age': '30', 'clubName': 'Manchester City', 'clubID': '281', 'value': '€35.00m'}, {'date': 'Dec 16, 2024', 'age': '31', 'clubName': 'Manchester City', 'clubID': '281', 'value': '€30.00m'}, {'date': 'Mar 18, 2025', 'age': '31', 'clubName': 'Manchester City', 'clubID': '281', 'value': '€25.00m'}, {'date': 'May 30, 2025', 'age': '31', 'clubName': 'Manchester City', 'clubID': '281', 'value': '€20.00m'}, {'date': 'Oct 1, 2025', 'age': '32', 'clubName': 'Fenerbahce', 'clubID': '36', 'value': '€18.00m'}, {'date': 'Dec 17, 2025', 'age': '32', 'clubName': 'Fenerbahce', 'clubID': '36', 'value': '€15.00m'}, {'date': 'Mar 5, 2026', 'age': '32', 'clubName': 'Fenerbahce', 'clubID': '36', 'value': '€13.00m'}]}</t>
        </is>
      </c>
      <c r="L15" t="inlineStr">
        <is>
          <t>Portugal</t>
        </is>
      </c>
      <c r="M15" t="inlineStr">
        <is>
          <t>1993-08-17</t>
        </is>
      </c>
      <c r="N15" t="inlineStr">
        <is>
          <t>Brazil</t>
        </is>
      </c>
      <c r="O15">
        <f>(45+45)/2</f>
        <v/>
      </c>
      <c r="P15">
        <f>(56+50+50)/3</f>
        <v/>
      </c>
    </row>
    <row r="16">
      <c r="A16" t="inlineStr">
        <is>
          <t>Mahrez</t>
        </is>
      </c>
      <c r="B16" t="inlineStr">
        <is>
          <t>Man City</t>
        </is>
      </c>
      <c r="C16" t="inlineStr">
        <is>
          <t>Midfielder</t>
        </is>
      </c>
      <c r="D16" t="n">
        <v>986</v>
      </c>
      <c r="E16" t="n">
        <v>12</v>
      </c>
      <c r="F16" t="n">
        <v>7</v>
      </c>
      <c r="G16" t="n">
        <v>2</v>
      </c>
      <c r="H16" t="n">
        <v>120.5</v>
      </c>
      <c r="I16" t="n">
        <v>31.9</v>
      </c>
      <c r="J16" t="n">
        <v>171424</v>
      </c>
      <c r="K16" t="inlineStr">
        <is>
          <t>{'id': '171424', 'marketValue': '€16.00m', 'marketValueHistory': [{'age': '20', 'date': 'Aug 8, 2011', 'clubName': 'Le Havre AC', 'value': '€100k', 'clubID': '738'}, {'age': '20', 'date': 'Sep 3, 2011', 'clubName': 'Le Havre AC', 'value': '€200k', 'clubID': '738'}, {'age': '20', 'date': 'Dec 25, 2011', 'clubName': 'Le Havre AC', 'value': '€200k', 'clubID': '738'}, {'age': '21', 'date': 'Jun 1, 2012', 'clubName': 'Le Havre AC', 'value': '€300k', 'clubID': '738'}, {'age': '21', 'date': 'Jan 4, 2013', 'clubName': 'Le Havre AC', 'value': '€500k', 'clubID': '738'}, {'age': '22', 'date': 'May 30, 2013', 'clubName': 'Le Havre AC', 'value': '€750k', 'clubID': '738'}, {'age': '22', 'date': 'Jan 13, 2014', 'clubName': 'Leicester City', 'value': '€1.25m', 'clubID': '1003'}, {'age': '23', 'date': 'Aug 12, 2014', 'clubName': 'Leicester City', 'value': '€2.00m', 'clubID': '1003'}, {'age': '23', 'date': 'Feb 12, 2015', 'clubName': 'Leicester City', 'value': '€3.00m', 'clubID': '1003'}, {'age': '24', 'date': 'Jul 1, 2015', 'clubName': 'Leicester City', 'value': '€7.00m', 'clubID': '1003'}, {'age': '24', 'date': 'Oct 14, 2015', 'clubName': 'Leicester City', 'value': '€11.00m', 'clubID': '1003'}, {'age': '24', 'date': 'Feb 9, 2016', 'clubName': 'Leicester City', 'value': '€20.00m', 'clubID': '1003'}, {'age': '25', 'date': 'Aug 1, 2016', 'clubName': 'Leicester City', 'value': '€30.00m', 'clubID': '1003'}, {'age': '25', 'date': 'Feb 20, 2017', 'clubName': 'Leicester City', 'value': '€30.00m', 'clubID': '1003'}, {'age': '26', 'date': 'Jun 28, 2017', 'clubName': 'Leicester City', 'value': '€30.00m', 'clubID': '1003'}, {'age': '26', 'date': 'Jan 2, 2018', 'clubName': 'Leicester City', 'value': '€30.00m', 'clubID': '1003'}, {'age': '27', 'date': 'Mar 23, 2018', 'clubName': 'Leicester City', 'value': '€50.00m', 'clubID': '1003'}, {'age': '27', 'date': 'May 28, 2018', 'clubName': 'Leicester City', 'value': '€50.00m', 'clubID': '1003'}, {'age': '27', 'date': 'Aug 13, 2018', 'clubName': 'Manchester City', 'value': '€60.00m', 'clubID': '281'}, {'age': '27', 'date': 'Dec 19, 2018', 'clubName': 'Manchester City', 'value': '€60.00m', 'clubID': '281'}, {'age': '28', 'date': 'Jun 13, 2019', 'clubName': 'Manchester City', 'value': '€60.00m', 'clubID': '281'}, {'age': '28', 'date': 'Dec 10, 2019', 'clubName': 'Manchester City', 'value': '€60.00m', 'clubID': '281'}, {'age': '29', 'date': 'Apr 8, 2020', 'clubName': 'Manchester City', 'value': '€48.00m', 'clubID': '281'}, {'age': '29', 'date': 'Oct 13, 2020', 'clubName': 'Manchester City', 'value': '€48.00m', 'clubID': '281'}, {'age': '30', 'date': 'Mar 18, 2021', 'clubName': 'Manchester City', 'value': '€42.00m', 'clubID': '281'}, {'age': '30', 'date': 'Jun 8, 2021', 'clubName': 'Manchester City', 'value': '€42.00m', 'clubID': '281'}, {'age': '30', 'date': 'Dec 23, 2021', 'clubName': 'Manchester City', 'value': '€40.00m', 'clubID': '281'}, {'age': '31', 'date': 'Jun 15, 2022', 'clubName': 'Manchester City', 'value': '€35.00m', 'clubID': '281'}, {'age': '31', 'date': 'Nov 3, 2022', 'clubName': 'Manchester City', 'value': '€30.00m', 'clubID': '281'}, {'age': '32', 'date': 'Jun 20, 2023', 'clubName': 'Manchester City', 'value': '€20.00m', 'clubID': '281'}, {'age': '32', 'date': 'Oct 24, 2023', 'clubName': 'Al-Ahli SFC', 'value': '€18.00m', 'clubID': '18487'}, {'age': '32', 'date': 'Dec 15, 2023', 'clubName': 'Al-Ahli SFC', 'value': '€16.00m', 'clubID': '18487'}], 'ranking': {'Worldwide': '607', 'Saudi Pro League': '19', 'Al-Ahli': '6', 'Algeria': '6', 'Right Winger': '51', 'Year 1991': '4'}, 'updatedAt': datetime.datetime(2024, 5, 23, 22, 20, 33, 623044)}</t>
        </is>
      </c>
      <c r="L16" t="inlineStr">
        <is>
          <t>France</t>
        </is>
      </c>
      <c r="M16" t="inlineStr">
        <is>
          <t>1991-02-21</t>
        </is>
      </c>
      <c r="N16" t="inlineStr">
        <is>
          <t>Algeria</t>
        </is>
      </c>
      <c r="O16">
        <f>(35+30)/2</f>
        <v/>
      </c>
      <c r="P16">
        <f>(42+42+40)/3</f>
        <v/>
      </c>
    </row>
    <row r="17">
      <c r="A17" t="inlineStr">
        <is>
          <t>Carvajal</t>
        </is>
      </c>
      <c r="B17" t="inlineStr">
        <is>
          <t>Real Madrid</t>
        </is>
      </c>
      <c r="C17" t="inlineStr">
        <is>
          <t>Defender</t>
        </is>
      </c>
      <c r="D17" t="n">
        <v>959</v>
      </c>
      <c r="E17" t="n">
        <v>11</v>
      </c>
      <c r="F17" t="n">
        <v>0</v>
      </c>
      <c r="G17" t="n">
        <v>1</v>
      </c>
      <c r="H17" t="n">
        <v>112.9</v>
      </c>
      <c r="I17" t="n">
        <v>33.6</v>
      </c>
      <c r="J17" t="n">
        <v>138927</v>
      </c>
      <c r="K17" t="inlineStr">
        <is>
          <t>{'marketValueHistory': [{'date': '14/07/2012', 'age': '20', 'clubName': 'Bayer 04 Leverkusen', 'clubID': '15', 'value': '€6.00m'}, {'date': '13/01/2013', 'age': '21', 'clubName': 'Bayer 04 Leverkusen', 'clubID': '15', 'value': '€8.00m'}, {'date': '30/06/2013', 'age': '21', 'clubName': 'Bayer 04 Leverkusen', 'clubID': '15', 'value': '€10.00m'}, {'date': '25/07/2013', 'age': '21', 'clubName': 'Real Madrid', 'clubID': '418', 'value': '€10.00m'}, {'date': '23/01/2014', 'age': '22', 'clubName': 'Real Madrid', 'clubID': '418', 'value': '€12.00m'}, {'date': '20/07/2014', 'age': '22', 'clubName': 'Real Madrid', 'clubID': '418', 'value': '€18.00m'}, {'date': '23/01/2015', 'age': '23', 'clubName': 'Real Madrid', 'clubID': '418', 'value': '€22.00m'}, {'date': '01/07/2015', 'age': '23', 'clubName': 'Real Madrid', 'clubID': '418', 'value': '€25.00m'}, {'date': '22/02/2016', 'age': '24', 'clubName': 'Real Madrid', 'clubID': '418', 'value': '€25.00m'}, {'date': '15/07/2016', 'age': '24', 'clubName': 'Real Madrid', 'clubID': '418', 'value': '€25.00m'}, {'date': '24/01/2017', 'age': '25', 'clubName': 'Real Madrid', 'clubID': '418', 'value': '€30.00m'}, {'date': '05/06/2017', 'age': '25', 'clubName': 'Real Madrid', 'clubID': '418', 'value': '€32.00m'}, {'date': '01/01/2018', 'age': '25', 'clubName': 'Real Madrid', 'clubID': '418', 'value': '€45.00m'}, {'date': '22/03/2018', 'age': '26', 'clubName': 'Real Madrid', 'clubID': '418', 'value': '€60.00m'}, {'date': '30/05/2018', 'age': '26', 'clubName': 'Real Madrid', 'clubID': '418', 'value': '€60.00m'}, {'date': '21/12/2018', 'age': '26', 'clubName': 'Real Madrid', 'clubID': '418', 'value': '€60.00m'}, {'date': '11/06/2019', 'age': '27', 'clubName': 'Real Madrid', 'clubID': '418', 'value': '€50.00m'}, {'date': '20/12/2019', 'age': '27', 'clubName': 'Real Madrid', 'clubID': '418', 'value': '€50.00m'}, {'date': '08/04/2020', 'age': '28', 'clubName': 'Real Madrid', 'clubID': '418', 'value': '€40.00m'}, {'date': '08/10/2020', 'age': '28', 'clubName': 'Real Madrid', 'clubID': '418', 'value': '€40.00m'}, {'date': '05/01/2021', 'age': '28', 'clubName': 'Real Madrid', 'clubID': '418', 'value': '€40.00m'}, {'date': '10/06/2021', 'age': '29', 'clubName': 'Real Madrid', 'clubID': '418', 'value': '€30.00m'}, {'date': '13/10/2021', 'age': '29', 'clubName': 'Real Madrid', 'clubID': '418', 'value': '€25.00m'}, {'date': '30/12/2021', 'age': '29', 'clubName': 'Real Madrid', 'clubID': '418', 'value': '€20.00m'}, {'date': '21/03/2022', 'age': '30', 'clubName': 'Real Madrid', 'clubID': '418', 'value': '€18.00m'}, {'date': '03/06/2022', 'age': '30', 'clubName': 'Real Madrid', 'clubID': '418', 'value': '€18.00m'}, {'date': '07/11/2022', 'age': '30', 'clubName': 'Real Madrid', 'clubID': '418', 'value': '€18.00m'}, {'date': '23/03/2023', 'age': '31', 'clubName': 'Real Madrid', 'clubID': '418', 'value': '€15.00m'}, {'date': '13/06/2023', 'age': '31', 'clubName': 'Real Madrid', 'clubID': '418', 'value': '€12.00m'}, {'date': '22/12/2023', 'age': '31', 'clubName': 'Real Madrid', 'clubID': '418', 'value': '€12.00m'}, {'date': '07/06/2024', 'age': '32', 'clubName': 'Real Madrid', 'clubID': '418', 'value': '€12.00m'}, {'date': '27/12/2024', 'age': '32', 'clubName': 'Real Madrid', 'clubID': '418', 'value': '€10.00m'}, {'date': '09/06/2025', 'age': '33', 'clubName': 'Real Madrid', 'clubID': '418', 'value': '€8.00m'}, {'date': '12/12/2025', 'age': '33', 'clubName': 'Real Madrid', 'clubID': '418', 'value': '€7.00m'}, {'date': '16/03/2026', 'age': '34', 'clubName': 'Real Madrid', 'clubID': '418', 'value': '€6.00m'}]}</t>
        </is>
      </c>
      <c r="L17" t="inlineStr">
        <is>
          <t>Spain</t>
        </is>
      </c>
      <c r="M17" t="inlineStr">
        <is>
          <t>1992-01-11</t>
        </is>
      </c>
      <c r="N17" t="inlineStr">
        <is>
          <t>52</t>
        </is>
      </c>
      <c r="O17">
        <f>(18+18+18)/3</f>
        <v/>
      </c>
      <c r="P17">
        <f>(40+30+25+20)/4</f>
        <v/>
      </c>
    </row>
    <row r="18">
      <c r="A18" t="inlineStr">
        <is>
          <t>Casemiro</t>
        </is>
      </c>
      <c r="B18" t="inlineStr">
        <is>
          <t>Real Madrid</t>
        </is>
      </c>
      <c r="C18" t="inlineStr">
        <is>
          <t>Midfielder</t>
        </is>
      </c>
      <c r="D18" t="n">
        <v>914</v>
      </c>
      <c r="E18" t="n">
        <v>11</v>
      </c>
      <c r="F18" t="n">
        <v>0</v>
      </c>
      <c r="G18" t="n">
        <v>0</v>
      </c>
      <c r="H18" t="n">
        <v>107.8</v>
      </c>
      <c r="I18" t="n">
        <v>33.5</v>
      </c>
      <c r="J18" t="n">
        <v>16306</v>
      </c>
      <c r="K18" t="inlineStr">
        <is>
          <t>{'marketValueHistory': [{'date': 'Sep 6, 2010', 'age': '18', 'clubName': 'São Paulo Futebol Clube', 'clubID': '585', 'value': '€750k'}, {'date': 'Dec 10, 2010', 'age': '18', 'clubName': 'São Paulo Futebol Clube', 'clubID': '585', 'value': '€1.00m'}, {'date': 'Feb 21, 2011', 'age': '18', 'clubName': 'São Paulo Futebol Clube', 'clubID': '585', 'value': '€4.00m'}, {'date': 'May 30, 2011', 'age': '19', 'clubName': 'São Paulo Futebol Clube', 'clubID': '585', 'value': '€6.00m'}, {'date': 'Jul 20, 2011', 'age': '19', 'clubName': 'São Paulo Futebol Clube', 'clubID': '585', 'value': '€8.00m'}, {'date': 'Dec 8, 2011', 'age': '19', 'clubName': 'São Paulo Futebol Clube', 'clubID': '585', 'value': '€7.50m'}, {'date': 'Feb 2, 2012', 'age': '19', 'clubName': 'São Paulo Futebol Clube', 'clubID': '585', 'value': '€6.50m'}, {'date': 'May 24, 2012', 'age': '20', 'clubName': 'São Paulo Futebol Clube', 'clubID': '585', 'value': '€6.50m'}, {'date': 'Dec 5, 2012', 'age': '20', 'clubName': 'São Paulo Futebol Clube', 'clubID': '585', 'value': '€4.50m'}, {'date': 'Feb 5, 2013', 'age': '20', 'clubName': 'Real Madrid Castilla', 'clubID': '6767', 'value': '€4.50m'}, {'date': 'May 9, 2013', 'age': '21', 'clubName': 'Real Madrid Castilla', 'clubID': '6767', 'value': '€5.00m'}, {'date': 'Jun 22, 2013', 'age': '21', 'clubName': 'Real Madrid Castilla', 'clubID': '6767', 'value': '€6.00m'}, {'date': 'Jan 23, 2014', 'age': '21', 'clubName': 'Real Madrid', 'clubID': '418', 'value': '€6.00m'}, {'date': 'Jul 20, 2014', 'age': '22', 'clubName': 'FC Porto', 'clubID': '720', 'value': '€6.00m'}, {'date': 'Feb 17, 2015', 'age': '22', 'clubName': 'FC Porto', 'clubID': '720', 'value': '€7.00m'}, {'date': 'Jul 1, 2015', 'age': '23', 'clubName': 'FC Porto', 'clubID': '720', 'value': '€10.00m'}, {'date': 'Nov 22, 2015', 'age': '23', 'clubName': 'Real Madrid', 'clubID': '418', 'value': '€15.00m'}, {'date': 'Feb 22, 2016', 'age': '23', 'clubName': 'Real Madrid', 'clubID': '418', 'value': '€15.00m'}, {'date': 'Apr 7, 2016', 'age': '24', 'clubName': 'Real Madrid', 'clubID': '418', 'value': '€16.00m'}, {'date': 'Jul 15, 2016', 'age': '24', 'clubName': 'Real Madrid', 'clubID': '418', 'value': '€20.00m'}, {'date': 'Jan 24, 2017', 'age': '24', 'clubName': 'Real Madrid', 'clubID': '418', 'value': '€25.00m'}, {'date': 'Jun 5, 2017', 'age': '25', 'clubName': 'Real Madrid', 'clubID': '418', 'value': '€30.00m'}, {'date': 'Jan 1, 2018', 'age': '25', 'clubName': 'Real Madrid', 'clubID': '418', 'value': '€40.00m'}, {'date': 'Mar 22, 2018', 'age': '26', 'clubName': 'Real Madrid', 'clubID': '418', 'value': '€60.00m'}, {'date': 'May 30, 2018', 'age': '26', 'clubName': 'Real Madrid', 'clubID': '418', 'value': '€60.00m'}, {'date': 'Oct 31, 2018', 'age': '26', 'clubName': 'Real Madrid', 'clubID': '418', 'value': '€70.00m'}, {'date': 'Dec 21, 2018', 'age': '26', 'clubName': 'Real Madrid', 'clubID': '418', 'value': '€70.00m'}, {'date': 'Jun 11, 2019', 'age': '27', 'clubName': 'Real Madrid', 'clubID': '418', 'value': '€60.00m'}, {'date': 'Dec 20, 2019', 'age': '27', 'clubName': 'Real Madrid', 'clubID': '418', 'value': '€70.00m'}, {'date': 'Mar 5, 2020', 'age': '28', 'clubName': 'Real Madrid', 'clubID': '418', 'value': '€80.00m'}, {'date': 'Apr 8, 2020', 'age': '28', 'clubName': 'Real Madrid', 'clubID': '418', 'value': '€64.00m'}, {'date': 'Oct 8, 2020', 'age': '28', 'clubName': 'Real Madrid', 'clubID': '418', 'value': '€65.00m'}, {'date': 'Jan 5, 2021', 'age': '28', 'clubName': 'Real Madrid', 'clubID': '418', 'value': '€70.00m'}, {'date': 'Jun 10, 2021', 'age': '29', 'clubName': 'Real Madrid', 'clubID': '418', 'value': '€70.00m'}, {'date': 'Dec 30, 2021', 'age': '29', 'clubName': 'Real Madrid', 'clubID': '418', 'value': '€60.00m'}, {'date': 'Mar 21, 2022', 'age': '30', 'clubName': 'Real Madrid', 'clubID': '418', 'value': '€50.00m'}, {'date': 'Jun 3, 2022', 'age': '30', 'clubName': 'Real Madrid', 'clubID': '418', 'value': '€40.00m'}, {'date': 'Sep 15, 2022', 'age': '30', 'clubName': 'Manchester United', 'clubID': '985', 'value': '€50.00m'}, {'date': 'Nov 3, 2022', 'age': '30', 'clubName': 'Manchester United', 'clubID': '985', 'value': '€50.00m'}, {'date': 'Jun 20, 2023', 'age': '31', 'clubName': 'Manchester United', 'clubID': '985', 'value': '€40.00m'}, {'date': 'Dec 19, 2023', 'age': '31', 'clubName': 'Manchester United', 'clubID': '985', 'value': '€30.00m'}, {'date': 'May 27, 2024', 'age': '32', 'clubName': 'Manchester United', 'clubID': '985', 'value': '€20.00m'}, {'date': 'Oct 1, 2024', 'age': '32', 'clubName': 'Manchester United', 'clubID': '985', 'value': '€15.00m'}, {'date': 'Dec 16, 2024', 'age': '32', 'clubName': 'Manchester United', 'clubID': '985', 'value': '€12.00m'}, {'date': 'May 30, 2025', 'age': '33', 'clubName': 'Manchester United', 'clubID': '985', 'value': '€10.00m'}, {'date': 'Dec 9, 2025', 'age': '33', 'clubName': 'Manchester United', 'clubID': '985', 'value': '€8.00m'}]}</t>
        </is>
      </c>
      <c r="L18" t="inlineStr">
        <is>
          <t>Spain</t>
        </is>
      </c>
      <c r="M18" t="inlineStr">
        <is>
          <t>1992-02-23</t>
        </is>
      </c>
      <c r="N18" t="inlineStr">
        <is>
          <t>Brazil</t>
        </is>
      </c>
      <c r="O18">
        <f>(50+40+50+50)/4</f>
        <v/>
      </c>
      <c r="P18">
        <f>(70+70+60)/3</f>
        <v/>
      </c>
    </row>
    <row r="19">
      <c r="A19" t="inlineStr">
        <is>
          <t>Luis Diaz</t>
        </is>
      </c>
      <c r="B19" t="inlineStr">
        <is>
          <t>Liverpool</t>
        </is>
      </c>
      <c r="C19" t="inlineStr">
        <is>
          <t>Forward</t>
        </is>
      </c>
      <c r="D19" t="n">
        <v>908</v>
      </c>
      <c r="E19" t="n">
        <v>13</v>
      </c>
      <c r="F19" t="n">
        <v>4</v>
      </c>
      <c r="G19" t="n">
        <v>1</v>
      </c>
      <c r="H19" t="n">
        <v>111.4</v>
      </c>
      <c r="I19" t="n">
        <v>35.5</v>
      </c>
      <c r="J19" t="n">
        <v>480692</v>
      </c>
      <c r="K19" t="inlineStr">
        <is>
          <t>{'marketValueHistory': [{'date': 'Jan 31, 2017', 'age': '20', 'clubName': 'Barranquilla FC', 'clubID': '18127', 'value': '€75k'}, {'date': 'Nov 19, 2017', 'age': '20', 'clubName': 'Junior FC', 'clubID': '11854', 'value': '€100k'}, {'date': 'Mar 7, 2018', 'age': '21', 'clubName': 'Junior FC', 'clubID': '11854', 'value': '€250k'}, {'date': 'Jun 8, 2018', 'age': '21', 'clubName': 'Junior FC', 'clubID': '11854', 'value': '€250k'}, {'date': 'Oct 9, 2018', 'age': '21', 'clubName': 'Junior FC', 'clubID': '11854', 'value': '€500k'}, {'date': 'Dec 23, 2018', 'age': '21', 'clubName': 'Junior FC', 'clubID': '11854', 'value': '€1.50m'}, {'date': 'Jun 21, 2019', 'age': '22', 'clubName': 'Junior FC', 'clubID': '11854', 'value': '€2.00m'}, {'date': 'Oct 11, 2019', 'age': '22', 'clubName': 'FC Porto', 'clubID': '720', 'value': '€7.00m'}, {'date': 'Dec 30, 2019', 'age': '22', 'clubName': 'FC Porto', 'clubID': '720', 'value': '€11.00m'}, {'date': 'Apr 8, 2020', 'age': '23', 'clubName': 'FC Porto', 'clubID': '720', 'value': '€9.00m'}, {'date': 'Aug 17, 2020', 'age': '23', 'clubName': 'FC Porto', 'clubID': '720', 'value': '€13.00m'}, {'date': 'Jan 28, 2021', 'age': '24', 'clubName': 'FC Porto', 'clubID': '720', 'value': '€18.00m'}, {'date': 'May 21, 2021', 'age': '24', 'clubName': 'FC Porto', 'clubID': '720', 'value': '€18.00m'}, {'date': 'Jul 16, 2021', 'age': '24', 'clubName': 'FC Porto', 'clubID': '720', 'value': '€25.00m'}, {'date': 'Dec 27, 2021', 'age': '24', 'clubName': 'FC Porto', 'clubID': '720', 'value': '€40.00m'}, {'date': 'Mar 29, 2022', 'age': '25', 'clubName': 'Liverpool FC', 'clubID': '31', 'value': '€45.00m'}, {'date': 'Jun 15, 2022', 'age': '25', 'clubName': 'Liverpool FC', 'clubID': '31', 'value': '€65.00m'}, {'date': 'Sep 15, 2022', 'age': '25', 'clubName': 'Liverpool FC', 'clubID': '31', 'value': '€75.00m'}, {'date': 'Nov 3, 2022', 'age': '25', 'clubName': 'Liverpool FC', 'clubID': '31', 'value': '€75.00m'}, {'date': 'Jun 20, 2023', 'age': '26', 'clubName': 'Liverpool FC', 'clubID': '31', 'value': '€75.00m'}, {'date': 'Dec 19, 2023', 'age': '26', 'clubName': 'Liverpool FC', 'clubID': '31', 'value': '€75.00m'}, {'date': 'May 27, 2024', 'age': '27', 'clubName': 'Liverpool FC', 'clubID': '31', 'value': '€75.00m'}, {'date': 'Oct 1, 2024', 'age': '27', 'clubName': 'Liverpool FC', 'clubID': '31', 'value': '€80.00m'}, {'date': 'Dec 16, 2024', 'age': '27', 'clubName': 'Liverpool FC', 'clubID': '31', 'value': '€85.00m'}, {'date': 'May 30, 2025', 'age': '28', 'clubName': 'Liverpool FC', 'clubID': '31', 'value': '€70.00m'}, {'date': 'Dec 19, 2025', 'age': '28', 'clubName': 'Bayern Munich', 'clubID': '27', 'value': '€70.00m'}]}</t>
        </is>
      </c>
      <c r="L19" t="inlineStr">
        <is>
          <t>Germany</t>
        </is>
      </c>
      <c r="M19" t="inlineStr">
        <is>
          <t>1997-01-13</t>
        </is>
      </c>
      <c r="N19" t="inlineStr">
        <is>
          <t>Colombia</t>
        </is>
      </c>
      <c r="O19">
        <f>(45+65+75+75)/4</f>
        <v/>
      </c>
      <c r="P19">
        <f>(18+18+25+40)/4</f>
        <v/>
      </c>
    </row>
    <row r="20">
      <c r="A20" t="inlineStr">
        <is>
          <t>Danjuma</t>
        </is>
      </c>
      <c r="B20" t="inlineStr">
        <is>
          <t>Villarreal</t>
        </is>
      </c>
      <c r="C20" t="inlineStr">
        <is>
          <t>Midfielder</t>
        </is>
      </c>
      <c r="D20" t="n">
        <v>906</v>
      </c>
      <c r="E20" t="n">
        <v>11</v>
      </c>
      <c r="F20" t="n">
        <v>6</v>
      </c>
      <c r="G20" t="n">
        <v>2</v>
      </c>
      <c r="H20" t="n">
        <v>107.8</v>
      </c>
      <c r="I20" t="n">
        <v>34</v>
      </c>
      <c r="J20" t="n">
        <v>355861</v>
      </c>
      <c r="K20" t="inlineStr">
        <is>
          <t>{'marketValueHistory': [{'date': '07/12/2015', 'age': '18', 'clubName': 'PSV Eindhoven U19', 'clubID': '383', 'value': '€25k'}, {'date': '18/01/2017', 'age': '19', 'clubName': 'NEC Nijmegen', 'clubID': '467', 'value': '€75k'}, {'date': '07/06/2017', 'age': '20', 'clubName': 'NEC Nijmegen', 'clubID': '467', 'value': '€150k'}, {'date': '26/10/2017', 'age': '20', 'clubName': 'NEC Nijmegen', 'clubID': '467', 'value': '€400k'}, {'date': '01/03/2018', 'age': '21', 'clubName': 'NEC Nijmegen', 'clubID': '467', 'value': '€1.00m'}, {'date': '29/06/2018', 'age': '21', 'clubName': 'NEC Nijmegen', 'clubID': '467', 'value': '€1.50m'}, {'date': '11/09/2018', 'age': '21', 'clubName': 'Club Brugge KV', 'clubID': '2282', 'value': '€4.00m'}, {'date': '27/12/2018', 'age': '21', 'clubName': 'Club Brugge KV', 'clubID': '2282', 'value': '€10.00m'}, {'date': '10/06/2019', 'age': '22', 'clubName': 'Club Brugge KV', 'clubID': '2282', 'value': '€12.00m'}, {'date': '10/12/2019', 'age': '22', 'clubName': 'AFC Bournemouth', 'clubID': '989', 'value': '€12.00m'}, {'date': '08/04/2020', 'age': '23', 'clubName': 'AFC Bournemouth', 'clubID': '989', 'value': '€9.50m'}, {'date': '15/10/2020', 'age': '23', 'clubName': 'AFC Bournemouth', 'clubID': '989', 'value': '€10.00m'}, {'date': '10/03/2021', 'age': '24', 'clubName': 'AFC Bournemouth', 'clubID': '989', 'value': '€12.00m'}, {'date': '30/06/2021', 'age': '24', 'clubName': 'AFC Bournemouth', 'clubID': '989', 'value': '€15.00m'}, {'date': '13/10/2021', 'age': '24', 'clubName': 'Villarreal CF', 'clubID': '1050', 'value': '€25.00m'}, {'date': '30/12/2021', 'age': '24', 'clubName': 'Villarreal CF', 'clubID': '1050', 'value': '€40.00m'}, {'date': '21/03/2022', 'age': '25', 'clubName': 'Villarreal CF', 'clubID': '1050', 'value': '€50.00m'}, {'date': '03/06/2022', 'age': '25', 'clubName': 'Villarreal CF', 'clubID': '1050', 'value': '€50.00m'}, {'date': '07/11/2022', 'age': '25', 'clubName': 'Villarreal CF', 'clubID': '1050', 'value': '€35.00m'}, {'date': '16/03/2023', 'age': '26', 'clubName': 'Tottenham Hotspur', 'clubID': '148', 'value': '€27.00m'}, {'date': '20/06/2023', 'age': '26', 'clubName': 'Tottenham Hotspur', 'clubID': '148', 'value': '€25.00m'}, {'date': '09/10/2023', 'age': '26', 'clubName': 'Everton FC', 'clubID': '29', 'value': '€20.00m'}, {'date': '19/12/2023', 'age': '26', 'clubName': 'Everton FC', 'clubID': '29', 'value': '€17.00m'}, {'date': '27/05/2024', 'age': '27', 'clubName': 'Everton FC', 'clubID': '29', 'value': '€13.00m'}, {'date': '27/12/2024', 'age': '27', 'clubName': 'Girona FC', 'clubID': '12321', 'value': '€8.00m'}, {'date': '21/03/2025', 'age': '28', 'clubName': 'Girona FC', 'clubID': '12321', 'value': '€5.00m'}, {'date': '09/06/2025', 'age': '28', 'clubName': 'Girona FC', 'clubID': '12321', 'value': '€4.00m'}, {'date': '12/12/2025', 'age': '28', 'clubName': 'Valencia CF', 'clubID': '1049', 'value': '€4.00m'}]}</t>
        </is>
      </c>
      <c r="L20" t="inlineStr">
        <is>
          <t>Nigeria</t>
        </is>
      </c>
      <c r="M20" t="inlineStr">
        <is>
          <t>1997-01-31</t>
        </is>
      </c>
      <c r="N20" t="inlineStr">
        <is>
          <t>Netherlands</t>
        </is>
      </c>
      <c r="O20">
        <f>(50+50+35)/3</f>
        <v/>
      </c>
      <c r="P20">
        <f>(12+15+25+40)/4</f>
        <v/>
      </c>
    </row>
    <row r="21">
      <c r="A21" t="inlineStr">
        <is>
          <t>Kroos</t>
        </is>
      </c>
      <c r="B21" t="inlineStr">
        <is>
          <t>Real Madrid</t>
        </is>
      </c>
      <c r="C21" t="inlineStr">
        <is>
          <t>Midfielder</t>
        </is>
      </c>
      <c r="D21" t="n">
        <v>902</v>
      </c>
      <c r="E21" t="n">
        <v>12</v>
      </c>
      <c r="F21" t="n">
        <v>2</v>
      </c>
      <c r="G21" t="n">
        <v>0</v>
      </c>
      <c r="H21" t="n">
        <v>116.5</v>
      </c>
      <c r="I21" t="n">
        <v>30.7</v>
      </c>
      <c r="J21" t="n">
        <v>31909</v>
      </c>
      <c r="K21" t="inlineStr">
        <is>
          <t>{'marketValueHistory': [{'date': '21/06/2007', 'age': '17', 'clubName': 'FC Bayern Munich U19 ', 'clubID': '27', 'value': '€100k'}, {'date': '01/10/2007', 'age': '17', 'clubName': 'Bayern Munich', 'clubID': '27', 'value': '€1.00m'}, {'date': '01/01/2008', 'age': '17', 'clubName': 'Bayern Munich', 'clubID': '27', 'value': '€3.00m'}, {'date': '27/08/2008', 'age': '18', 'clubName': 'Bayern Munich', 'clubID': '27', 'value': '€5.00m'}, {'date': '17/01/2010', 'age': '20', 'clubName': 'Bayer 04 Leverkusen', 'clubID': '15', 'value': '€8.00m'}, {'date': '07/03/2010', 'age': '20', 'clubName': 'Bayer 04 Leverkusen', 'clubID': '15', 'value': '€10.00m'}, {'date': '08/05/2010', 'age': '20', 'clubName': 'Bayer 04 Leverkusen', 'clubID': '15', 'value': '€12.00m'}, {'date': '12/01/2011', 'age': '21', 'clubName': 'Bayern Munich', 'clubID': '27', 'value': '€12.00m'}, {'date': '29/06/2011', 'age': '21', 'clubName': 'Bayern Munich', 'clubID': '27', 'value': '€12.00m'}, {'date': '18/10/2011', 'age': '21', 'clubName': 'Bayern Munich', 'clubID': '27', 'value': '€16.00m'}, {'date': '23/01/2012', 'age': '22', 'clubName': 'Bayern Munich', 'clubID': '27', 'value': '€23.00m'}, {'date': '29/06/2012', 'age': '22', 'clubName': 'Bayern Munich', 'clubID': '27', 'value': '€23.00m'}, {'date': '13/01/2013', 'age': '23', 'clubName': 'Bayern Munich', 'clubID': '27', 'value': '€32.00m'}, {'date': '30/06/2013', 'age': '23', 'clubName': 'Bayern Munich', 'clubID': '27', 'value': '€32.00m'}, {'date': '12/02/2014', 'age': '24', 'clubName': 'Bayern Munich', 'clubID': '27', 'value': '€40.00m'}, {'date': '10/07/2014', 'age': '24', 'clubName': 'Bayern Munich', 'clubID': '27', 'value': '€42.00m'}, {'date': '20/07/2014', 'age': '24', 'clubName': 'Real Madrid', 'clubID': '418', 'value': '€45.00m'}, {'date': '23/01/2015', 'age': '25', 'clubName': 'Real Madrid', 'clubID': '418', 'value': '€50.00m'}, {'date': '01/07/2015', 'age': '25', 'clubName': 'Real Madrid', 'clubID': '418', 'value': '€50.00m'}, {'date': '22/02/2016', 'age': '26', 'clubName': 'Real Madrid', 'clubID': '418', 'value': '€50.00m'}, {'date': '01/06/2016', 'age': '26', 'clubName': 'Real Madrid', 'clubID': '418', 'value': '€50.00m'}, {'date': '15/07/2016', 'age': '26', 'clubName': 'Real Madrid', 'clubID': '418', 'value': '€55.00m'}, {'date': '27/10/2016', 'age': '26', 'clubName': 'Real Madrid', 'clubID': '418', 'value': '€60.00m'}, {'date': '24/01/2017', 'age': '27', 'clubName': 'Real Madrid', 'clubID': '418', 'value': '€60.00m'}, {'date': '05/06/2017', 'age': '27', 'clubName': 'Real Madrid', 'clubID': '418', 'value': '€70.00m'}, {'date': '01/01/2018', 'age': '27', 'clubName': 'Real Madrid', 'clubID': '418', 'value': '€80.00m'}, {'date': '30/05/2018', 'age': '28', 'clubName': 'Real Madrid', 'clubID': '418', 'value': '€80.00m'}, {'date': '21/12/2018', 'age': '28', 'clubName': 'Real Madrid', 'clubID': '418', 'value': '€80.00m'}, {'date': '11/06/2019', 'age': '29', 'clubName': 'Real Madrid', 'clubID': '418', 'value': '€60.00m'}, {'date': '20/12/2019', 'age': '29', 'clubName': 'Real Madrid', 'clubID': '418', 'value': '€60.00m'}, {'date': '08/04/2020', 'age': '30', 'clubName': 'Real Madrid', 'clubID': '418', 'value': '€48.00m'}, {'date': '08/10/2020', 'age': '30', 'clubName': 'Real Madrid', 'clubID': '418', 'value': '€50.00m'}, {'date': '05/01/2021', 'age': '31', 'clubName': 'Real Madrid', 'clubID': '418', 'value': '€50.00m'}, {'date': '01/06/2021', 'age': '31', 'clubName': 'Real Madrid', 'clubID': '418', 'value': '€40.00m'}, {'date': '13/10/2021', 'age': '31', 'clubName': 'Real Madrid', 'clubID': '418', 'value': '€30.00m'}, {'date': '30/12/2021', 'age': '31', 'clubName': 'Real Madrid', 'clubID': '418', 'value': '€25.00m'}, {'date': '03/06/2022', 'age': '32', 'clubName': 'Real Madrid', 'clubID': '418', 'value': '€20.00m'}, {'date': '07/11/2022', 'age': '32', 'clubName': 'Real Madrid', 'clubID': '418', 'value': '€20.00m'}, {'date': '23/03/2023', 'age': '33', 'clubName': 'Real Madrid', 'clubID': '418', 'value': '€18.00m'}, {'date': '13/06/2023', 'age': '33', 'clubName': 'Real Madrid', 'clubID': '418', 'value': '€15.00m'}, {'date': '22/12/2023', 'age': '33', 'clubName': 'Real Madrid', 'clubID': '418', 'value': '€14.00m'}, {'date': '21/03/2024', 'age': '34', 'clubName': 'Real Madrid', 'clubID': '418', 'value': '€12.00m'}, {'date': '07/06/2024', 'age': '34', 'clubName': 'Real Madrid', 'clubID': '418', 'value': '€10.00m'}, {'date': '07/07/2024', 'age': '34', 'clubName': 'Retired', 'clubID': '123', 'value': '-'}]}</t>
        </is>
      </c>
      <c r="L21" t="inlineStr">
        <is>
          <t>Germany</t>
        </is>
      </c>
      <c r="M21" t="inlineStr">
        <is>
          <t>1990-01-04</t>
        </is>
      </c>
      <c r="N21" t="inlineStr">
        <is>
          <t>Germany</t>
        </is>
      </c>
      <c r="O21">
        <f>(20+20)/2</f>
        <v/>
      </c>
      <c r="P21">
        <f>(50+40+30+25)/4</f>
        <v/>
      </c>
    </row>
    <row r="22">
      <c r="A22" t="inlineStr">
        <is>
          <t>Vertonghen</t>
        </is>
      </c>
      <c r="B22" t="inlineStr">
        <is>
          <t>Benfica</t>
        </is>
      </c>
      <c r="C22" t="inlineStr">
        <is>
          <t>Defender</t>
        </is>
      </c>
      <c r="D22" t="n">
        <v>900</v>
      </c>
      <c r="E22" t="n">
        <v>10</v>
      </c>
      <c r="F22" t="n">
        <v>0</v>
      </c>
      <c r="G22" t="n">
        <v>1</v>
      </c>
      <c r="H22" t="n">
        <v>97.90000000000001</v>
      </c>
      <c r="I22" t="n">
        <v>32.2</v>
      </c>
      <c r="J22" t="n">
        <v>43250</v>
      </c>
      <c r="K22" t="inlineStr">
        <is>
          <t>{'marketValueHistory': [{'date': '06/09/2006', 'age': '19', 'clubName': 'Ajax Amsterdam', 'clubID': '610', 'value': '€100k'}, {'date': '04/01/2007', 'age': '19', 'clubName': 'Ajax Amsterdam', 'clubID': '610', 'value': '€350k'}, {'date': '12/06/2007', 'age': '20', 'clubName': 'RKC Waalwijk', 'clubID': '235', 'value': '€700k'}, {'date': '08/08/2007', 'age': '20', 'clubName': 'Ajax Amsterdam', 'clubID': '610', 'value': '€900k'}, {'date': '07/01/2008', 'age': '20', 'clubName': 'Ajax Amsterdam', 'clubID': '610', 'value': '€1.75m'}, {'date': '18/07/2008', 'age': '21', 'clubName': 'Ajax Amsterdam', 'clubID': '610', 'value': '€3.50m'}, {'date': '08/01/2009', 'age': '21', 'clubName': 'Ajax Amsterdam', 'clubID': '610', 'value': '€5.00m'}, {'date': '22/05/2009', 'age': '22', 'clubName': 'Ajax Amsterdam', 'clubID': '610', 'value': '€5.50m'}, {'date': '30/12/2009', 'age': '22', 'clubName': 'Ajax Amsterdam', 'clubID': '610', 'value': '€6.50m'}, {'date': '18/02/2010', 'age': '22', 'clubName': 'Ajax Amsterdam', 'clubID': '610', 'value': '€8.00m'}, {'date': '17/01/2011', 'age': '23', 'clubName': 'Ajax Amsterdam', 'clubID': '610', 'value': '€10.00m'}, {'date': '15/06/2011', 'age': '24', 'clubName': 'Ajax Amsterdam', 'clubID': '610', 'value': '€12.00m'}, {'date': '30/06/2012', 'age': '25', 'clubName': 'Ajax Amsterdam', 'clubID': '610', 'value': '€15.00m'}, {'date': '28/01/2013', 'age': '25', 'clubName': 'Tottenham Hotspur', 'clubID': '148', 'value': '€19.00m'}, {'date': '02/07/2013', 'age': '26', 'clubName': 'Tottenham Hotspur', 'clubID': '148', 'value': '€22.00m'}, {'date': '15/01/2014', 'age': '26', 'clubName': 'Tottenham Hotspur', 'clubID': '148', 'value': '€22.00m'}, {'date': '12/08/2014', 'age': '27', 'clubName': 'Tottenham Hotspur', 'clubID': '148', 'value': '€19.00m'}, {'date': '12/02/2015', 'age': '27', 'clubName': 'Tottenham Hotspur', 'clubID': '148', 'value': '€19.00m'}, {'date': '01/07/2015', 'age': '28', 'clubName': 'Tottenham Hotspur', 'clubID': '148', 'value': '€19.00m'}, {'date': '09/02/2016', 'age': '28', 'clubName': 'Tottenham Hotspur', 'clubID': '148', 'value': '€21.00m'}, {'date': '01/06/2016', 'age': '29', 'clubName': 'Tottenham Hotspur', 'clubID': '148', 'value': '€23.00m'}, {'date': '01/08/2016', 'age': '29', 'clubName': 'Tottenham Hotspur', 'clubID': '148', 'value': '€23.00m'}, {'date': '20/02/2017', 'age': '29', 'clubName': 'Tottenham Hotspur', 'clubID': '148', 'value': '€25.00m'}, {'date': '28/06/2017', 'age': '30', 'clubName': 'Tottenham Hotspur', 'clubID': '148', 'value': '€28.00m'}, {'date': '02/01/2018', 'age': '30', 'clubName': 'Tottenham Hotspur', 'clubID': '148', 'value': '€28.00m'}, {'date': '23/03/2018', 'age': '30', 'clubName': 'Tottenham Hotspur', 'clubID': '148', 'value': '€32.00m'}, {'date': '28/05/2018', 'age': '31', 'clubName': 'Tottenham Hotspur', 'clubID': '148', 'value': '€32.00m'}, {'date': '19/12/2018', 'age': '31', 'clubName': 'Tottenham Hotspur', 'clubID': '148', 'value': '€30.00m'}, {'date': '13/06/2019', 'age': '32', 'clubName': 'Tottenham Hotspur', 'clubID': '148', 'value': '€28.00m'}, {'date': '12/09/2019', 'age': '32', 'clubName': 'Tottenham Hotspur', 'clubID': '148', 'value': '€22.00m'}, {'date': '10/12/2019', 'age': '32', 'clubName': 'Tottenham Hotspur', 'clubID': '148', 'value': '€18.00m'}, {'date': '08/04/2020', 'age': '32', 'clubName': 'Tottenham Hotspur', 'clubID': '148', 'value': '€14.50m'}, {'date': '22/10/2020', 'age': '33', 'clubName': 'SL Benfica', 'clubID': '294', 'value': '€10.00m'}, {'date': '28/01/2021', 'age': '33', 'clubName': 'SL Benfica', 'clubID': '294', 'value': '€10.00m'}, {'date': '25/03/2021', 'age': '33', 'clubName': 'SL Benfica', 'clubID': '294', 'value': '€7.00m'}, {'date': '26/05/2021', 'age': '34', 'clubName': 'SL Benfica', 'clubID': '294', 'value': '€6.00m'}, {'date': '27/12/2021', 'age': '34', 'clubName': 'SL Benfica', 'clubID': '294', 'value': '€4.00m'}, {'date': '10/03/2022', 'age': '34', 'clubName': 'SL Benfica', 'clubID': '294', 'value': '€3.00m'}, {'date': '31/05/2022', 'age': '35', 'clubName': 'SL Benfica', 'clubID': '294', 'value': '€2.00m'}, {'date': '04/11/2022', 'age': '35', 'clubName': 'RSC Anderlecht', 'clubID': '58', 'value': '€1.80m'}, {'date': '09/06/2023', 'age': '36', 'clubName': 'RSC Anderlecht', 'clubID': '58', 'value': '€1.50m'}, {'date': '19/12/2023', 'age': '36', 'clubName': 'RSC Anderlecht', 'clubID': '58', 'value': '€1.50m'}, {'date': '04/06/2024', 'age': '37', 'clubName': 'RSC Anderlecht', 'clubID': '58', 'value': '€1.50m'}, {'date': '11/12/2024', 'age': '37', 'clubName': 'RSC Anderlecht', 'clubID': '58', 'value': '€1.00m'}, {'date': '12/06/2025', 'age': '38', 'clubName': 'RSC Anderlecht', 'clubID': '58', 'value': '€1.00m'}, {'date': '01/07/2025', 'age': '38', 'clubName': 'Retired', 'clubID': '123', 'value': '-'}]}</t>
        </is>
      </c>
      <c r="L22" t="inlineStr">
        <is>
          <t>Belgium</t>
        </is>
      </c>
      <c r="M22" t="inlineStr">
        <is>
          <t>1987-04-24</t>
        </is>
      </c>
      <c r="N22" t="inlineStr">
        <is>
          <t>Belgium</t>
        </is>
      </c>
      <c r="O22">
        <f>(3+2+1.8)/3</f>
        <v/>
      </c>
      <c r="P22">
        <f>(10+7+6+4)/4</f>
        <v/>
      </c>
    </row>
    <row r="23">
      <c r="A23" t="inlineStr">
        <is>
          <t>Vlachodimos</t>
        </is>
      </c>
      <c r="B23" t="inlineStr">
        <is>
          <t>Benfica</t>
        </is>
      </c>
      <c r="C23" t="inlineStr">
        <is>
          <t>Goalkeeper</t>
        </is>
      </c>
      <c r="D23" t="n">
        <v>900</v>
      </c>
      <c r="E23" t="n">
        <v>10</v>
      </c>
      <c r="F23" t="n">
        <v>0</v>
      </c>
      <c r="G23" t="n">
        <v>0</v>
      </c>
      <c r="H23" t="n">
        <v>55.4</v>
      </c>
      <c r="I23" t="n">
        <v>25.4</v>
      </c>
      <c r="J23" t="n">
        <v>124419</v>
      </c>
      <c r="K23" t="inlineStr">
        <is>
          <t>{'id': '124419', 'marketValue': '€9.00m', 'marketValueHistory': [{'age': '18', 'date': 'Jun 9, 2012', 'clubName': 'VfB Stuttgart U19', 'value': '€400k', 'clubID': '2517'}, {'age': '19', 'date': 'Jun 28, 2013', 'clubName': 'VfB Stuttgart II', 'value': '€400k', 'clubID': '102'}, {'age': '19', 'date': 'Jan 24, 2014', 'clubName': 'VfB Stuttgart II', 'value': '€400k', 'clubID': '102'}, {'age': '20', 'date': 'Jun 30, 2014', 'clubName': 'VfB Stuttgart II', 'value': '€500k', 'clubID': '102'}, {'age': '20', 'date': 'Nov 6, 2014', 'clubName': 'VfB Stuttgart', 'value': '€500k', 'clubID': '79'}, {'age': '20', 'date': 'Feb 4, 2015', 'clubName': 'VfB Stuttgart', 'value': '€500k', 'clubID': '79'}, {'age': '20', 'date': 'Mar 7, 2015', 'clubName': 'VfB Stuttgart', 'value': '€450k', 'clubID': '79'}, {'age': '21', 'date': 'Jul 1, 2015', 'clubName': 'VfB Stuttgart', 'value': '€450k', 'clubID': '79'}, {'age': '21', 'date': 'Feb 21, 2016', 'clubName': 'Panathinaikos FC', 'value': '€450k', 'clubID': '265'}, {'age': '22', 'date': 'Jun 21, 2016', 'clubName': 'Panathinaikos FC', 'value': '€450k', 'clubID': '265'}, {'age': '22', 'date': 'Dec 21, 2016', 'clubName': 'Panathinaikos FC', 'value': '€500k', 'clubID': '265'}, {'age': '23', 'date': 'May 11, 2017', 'clubName': 'Panathinaikos FC', 'value': '€800k', 'clubID': '265'}, {'age': '23', 'date': 'Dec 18, 2017', 'clubName': 'Panathinaikos FC', 'value': '€1.75m', 'clubID': '265'}, {'age': '24', 'date': 'May 22, 2018', 'clubName': 'Panathinaikos FC', 'value': '€2.50m', 'clubID': '265'}, {'age': '24', 'date': 'Nov 1, 2018', 'clubName': 'SL Benfica', 'value': '€6.00m', 'clubID': '294'}, {'age': '24', 'date': 'Jan 11, 2019', 'clubName': 'SL Benfica', 'value': '€10.00m', 'clubID': '294'}, {'age': '25', 'date': 'Jun 7, 2019', 'clubName': 'SL Benfica', 'value': '€10.00m', 'clubID': '294'}, {'age': '25', 'date': 'Dec 30, 2019', 'clubName': 'SL Benfica', 'value': '€15.00m', 'clubID': '294'}, {'age': '25', 'date': 'Apr 8, 2020', 'clubName': 'SL Benfica', 'value': '€12.00m', 'clubID': '294'}, {'age': '26', 'date': 'Aug 17, 2020', 'clubName': 'SL Benfica', 'value': '€16.00m', 'clubID': '294'}, {'age': '26', 'date': 'Jan 28, 2021', 'clubName': 'SL Benfica', 'value': '€18.00m', 'clubID': '294'}, {'age': '26', 'date': 'Mar 25, 2021', 'clubName': 'SL Benfica', 'value': '€15.00m', 'clubID': '294'}, {'age': '27', 'date': 'May 21, 2021', 'clubName': 'SL Benfica', 'value': '€12.00m', 'clubID': '294'}, {'age': '27', 'date': 'Dec 27, 2021', 'clubName': 'SL Benfica', 'value': '€15.00m', 'clubID': '294'}, {'age': '28', 'date': 'May 31, 2022', 'clubName': 'SL Benfica', 'value': '€15.00m', 'clubID': '294'}, {'age': '28', 'date': 'Nov 1, 2022', 'clubName': 'SL Benfica', 'value': '€16.00m', 'clubID': '294'}, {'age': '29', 'date': 'Jun 16, 2023', 'clubName': 'SL Benfica', 'value': '€16.00m', 'clubID': '294'}, {'age': '29', 'date': 'Oct 9, 2023', 'clubName': 'Nottingham Forest', 'value': '€10.00m', 'clubID': '703'}, {'age': '29', 'date': 'Dec 19, 2023', 'clubName': 'Nottingham Forest', 'value': '€10.00m', 'clubID': '703'}, {'age': '29', 'date': 'Mar 14, 2024', 'clubName': 'Nottingham Forest', 'value': '€9.00m', 'clubID': '703'}], 'ranking': {'Worldwide': '1.147', 'Premier League': '343', 'Nottm Forest': '17', 'Greece': '6', 'Goalkeeper': '64', 'Year 1994': '61'}, 'updatedAt': datetime.datetime(2024, 5, 23, 22, 16, 3, 199726)}</t>
        </is>
      </c>
      <c r="L23" t="inlineStr">
        <is>
          <t>Greece</t>
        </is>
      </c>
      <c r="M23" t="inlineStr">
        <is>
          <t>1994-04-26</t>
        </is>
      </c>
      <c r="N23" t="inlineStr">
        <is>
          <t>Greece</t>
        </is>
      </c>
      <c r="O23">
        <f>(15+16)/2</f>
        <v/>
      </c>
      <c r="P23">
        <f>(18+15+12+15)/4</f>
        <v/>
      </c>
    </row>
    <row r="24">
      <c r="A24" t="inlineStr">
        <is>
          <t>Oblak</t>
        </is>
      </c>
      <c r="B24" t="inlineStr">
        <is>
          <t>Atletico de Madrid</t>
        </is>
      </c>
      <c r="C24" t="inlineStr">
        <is>
          <t>Goalkeeper</t>
        </is>
      </c>
      <c r="D24" t="n">
        <v>900</v>
      </c>
      <c r="E24" t="n">
        <v>10</v>
      </c>
      <c r="F24" t="n">
        <v>0</v>
      </c>
      <c r="G24" t="n">
        <v>0</v>
      </c>
      <c r="H24" t="n">
        <v>52.7</v>
      </c>
      <c r="I24" t="n">
        <v>26.7</v>
      </c>
      <c r="J24" t="n">
        <v>121483</v>
      </c>
      <c r="K24" t="inlineStr">
        <is>
          <t>{'marketValueHistory': [{'date': 'Aug 6, 2009', 'age': '16', 'clubName': 'NK Olimpija Ljubljana', 'clubID': '4772', 'value': '€150k'}, {'date': 'Sep 11, 2009', 'age': '16', 'clubName': 'NK Olimpija Ljubljana', 'clubID': '4772', 'value': '€250k'}, {'date': 'Dec 22, 2009', 'age': '16', 'clubName': 'NK Olimpija Ljubljana', 'clubID': '4772', 'value': '€750k'}, {'date': 'Jul 20, 2011', 'age': '18', 'clubName': 'SL Benfica', 'clubID': '294', 'value': '€700k'}, {'date': 'Jun 14, 2012', 'age': '19', 'clubName': 'UD Leiria', 'clubID': '2639', 'value': '€1.10m'}, {'date': 'Apr 3, 2013', 'age': '20', 'clubName': 'Rio Ave FC', 'clubID': '2425', 'value': '€2.40m'}, {'date': 'Jul 2, 2013', 'age': '20', 'clubName': 'SL Benfica', 'clubID': '294', 'value': '€3.00m'}, {'date': 'Feb 20, 2014', 'age': '21', 'clubName': 'SL Benfica', 'clubID': '294', 'value': '€4.00m'}, {'date': 'Jul 20, 2014', 'age': '21', 'clubName': 'Atlético de Madrid', 'clubID': '13', 'value': '€16.00m'}, {'date': 'Oct 5, 2014', 'age': '21', 'clubName': 'Atlético de Madrid', 'clubID': '13', 'value': '€8.00m'}, {'date': 'Jan 23, 2015', 'age': '22', 'clubName': 'Atlético de Madrid', 'clubID': '13', 'value': '€7.00m'}, {'date': 'Apr 9, 2015', 'age': '22', 'clubName': 'Atlético de Madrid', 'clubID': '13', 'value': '€8.00m'}, {'date': 'Jul 1, 2015', 'age': '22', 'clubName': 'Atlético de Madrid', 'clubID': '13', 'value': '€15.00m'}, {'date': 'Nov 22, 2015', 'age': '22', 'clubName': 'Atlético de Madrid', 'clubID': '13', 'value': '€20.00m'}, {'date': 'Feb 22, 2016', 'age': '23', 'clubName': 'Atlético de Madrid', 'clubID': '13', 'value': '€25.00m'}, {'date': 'Jul 15, 2016', 'age': '23', 'clubName': 'Atlético de Madrid', 'clubID': '13', 'value': '€35.00m'}, {'date': 'Jan 24, 2017', 'age': '24', 'clubName': 'Atlético de Madrid', 'clubID': '13', 'value': '€35.00m'}, {'date': 'Jun 5, 2017', 'age': '24', 'clubName': 'Atlético de Madrid', 'clubID': '13', 'value': '€40.00m'}, {'date': 'Jan 1, 2018', 'age': '24', 'clubName': 'Atlético de Madrid', 'clubID': '13', 'value': '€50.00m'}, {'date': 'Mar 22, 2018', 'age': '25', 'clubName': 'Atlético de Madrid', 'clubID': '13', 'value': '€70.00m'}, {'date': 'May 30, 2018', 'age': '25', 'clubName': 'Atlético de Madrid', 'clubID': '13', 'value': '€70.00m'}, {'date': 'Oct 31, 2018', 'age': '25', 'clubName': 'Atlético de Madrid', 'clubID': '13', 'value': '€80.00m'}, {'date': 'Dec 21, 2018', 'age': '25', 'clubName': 'Atlético de Madrid', 'clubID': '13', 'value': '€80.00m'}, {'date': 'Jun 11, 2019', 'age': '26', 'clubName': 'Atlético de Madrid', 'clubID': '13', 'value': '€100.00m'}, {'date': 'Dec 20, 2019', 'age': '26', 'clubName': 'Atlético de Madrid', 'clubID': '13', 'value': '€100.00m'}, {'date': 'Apr 8, 2020', 'age': '27', 'clubName': 'Atlético de Madrid', 'clubID': '13', 'value': '€80.00m'}, {'date': 'Oct 8, 2020', 'age': '27', 'clubName': 'Atlético de Madrid', 'clubID': '13', 'value': '€90.00m'}, {'date': 'Jan 5, 2021', 'age': '27', 'clubName': 'Atlético de Madrid', 'clubID': '13', 'value': '€90.00m'}, {'date': 'Jun 10, 2021', 'age': '28', 'clubName': 'Atlético de Madrid', 'clubID': '13', 'value': '€70.00m'}, {'date': 'Dec 30, 2021', 'age': '28', 'clubName': 'Atlético de Madrid', 'clubID': '13', 'value': '€60.00m'}, {'date': 'Jun 3, 2022', 'age': '29', 'clubName': 'Atlético de Madrid', 'clubID': '13', 'value': '€45.00m'}, {'date': 'Sep 23, 2022', 'age': '29', 'clubName': 'Atlético de Madrid', 'clubID': '13', 'value': '€40.00m'}, {'date': 'Nov 7, 2022', 'age': '29', 'clubName': 'Atlético de Madrid', 'clubID': '13', 'value': '€40.00m'}, {'date': 'Jun 13, 2023', 'age': '30', 'clubName': 'Atlético de Madrid', 'clubID': '13', 'value': '€35.00m'}, {'date': 'Dec 22, 2023', 'age': '30', 'clubName': 'Atlético de Madrid', 'clubID': '13', 'value': '€35.00m'}, {'date': 'Mar 21, 2024', 'age': '31', 'clubName': 'Atlético de Madrid', 'clubID': '13', 'value': '€30.00m'}, {'date': 'Jun 7, 2024', 'age': '31', 'clubName': 'Atlético de Madrid', 'clubID': '13', 'value': '€28.00m'}, {'date': 'Dec 27, 2024', 'age': '31', 'clubName': 'Atlético de Madrid', 'clubID': '13', 'value': '€25.00m'}, {'date': 'Jun 9, 2025', 'age': '32', 'clubName': 'Atlético de Madrid', 'clubID': '13', 'value': '€20.00m'}, {'date': 'Dec 12, 2025', 'age': '32', 'clubName': 'Atlético de Madrid', 'clubID': '13', 'value': '€17.00m'}]}</t>
        </is>
      </c>
      <c r="L24" t="inlineStr">
        <is>
          <t>Slovenia</t>
        </is>
      </c>
      <c r="M24" t="inlineStr">
        <is>
          <t>1993-01-07</t>
        </is>
      </c>
      <c r="N24" t="inlineStr">
        <is>
          <t>82</t>
        </is>
      </c>
      <c r="O24">
        <f>(45+40+40)/3</f>
        <v/>
      </c>
      <c r="P24">
        <f>(90+70+60)/3</f>
        <v/>
      </c>
    </row>
    <row r="25">
      <c r="A25" t="inlineStr">
        <is>
          <t>Foyth</t>
        </is>
      </c>
      <c r="B25" t="inlineStr">
        <is>
          <t>Villarreal</t>
        </is>
      </c>
      <c r="C25" t="inlineStr">
        <is>
          <t>Defender</t>
        </is>
      </c>
      <c r="D25" t="n">
        <v>891</v>
      </c>
      <c r="E25" t="n">
        <v>10</v>
      </c>
      <c r="F25" t="n">
        <v>0</v>
      </c>
      <c r="G25" t="n">
        <v>0</v>
      </c>
      <c r="H25" t="n">
        <v>98.7</v>
      </c>
      <c r="I25" t="n">
        <v>33.9</v>
      </c>
      <c r="J25" t="n">
        <v>480763</v>
      </c>
      <c r="K25" t="inlineStr">
        <is>
          <t>{'marketValueHistory': [{'date': 'Aug 30, 2017', 'age': '19', 'clubName': 'Tottenham Hotspur', 'clubID': '148', 'value': '€5.00m'}, {'date': 'Jan 2, 2018', 'age': '19', 'clubName': 'Tottenham Hotspur', 'clubID': '148', 'value': '€5.00m'}, {'date': 'May 28, 2018', 'age': '20', 'clubName': 'Tottenham Hotspur', 'clubID': '148', 'value': '€5.00m'}, {'date': 'Dec 19, 2018', 'age': '20', 'clubName': 'Tottenham Hotspur', 'clubID': '148', 'value': '€8.00m'}, {'date': 'Mar 5, 2019', 'age': '21', 'clubName': 'Tottenham Hotspur', 'clubID': '148', 'value': '€12.00m'}, {'date': 'Jun 13, 2019', 'age': '21', 'clubName': 'Tottenham Hotspur', 'clubID': '148', 'value': '€15.00m'}, {'date': 'Dec 10, 2019', 'age': '21', 'clubName': 'Tottenham Hotspur', 'clubID': '148', 'value': '€15.00m'}, {'date': 'Apr 8, 2020', 'age': '22', 'clubName': 'Tottenham Hotspur', 'clubID': '148', 'value': '€13.50m'}, {'date': 'Oct 8, 2020', 'age': '22', 'clubName': 'Villarreal CF', 'clubID': '1050', 'value': '€13.00m'}, {'date': 'Jan 5, 2021', 'age': '22', 'clubName': 'Villarreal CF', 'clubID': '1050', 'value': '€10.00m'}, {'date': 'Jun 10, 2021', 'age': '23', 'clubName': 'Villarreal CF', 'clubID': '1050', 'value': '€12.00m'}, {'date': 'Oct 13, 2021', 'age': '23', 'clubName': 'Villarreal CF', 'clubID': '1050', 'value': '€15.00m'}, {'date': 'Dec 30, 2021', 'age': '23', 'clubName': 'Villarreal CF', 'clubID': '1050', 'value': '€20.00m'}, {'date': 'Jun 3, 2022', 'age': '24', 'clubName': 'Villarreal CF', 'clubID': '1050', 'value': '€25.00m'}, {'date': 'Nov 7, 2022', 'age': '24', 'clubName': 'Villarreal CF', 'clubID': '1050', 'value': '€25.00m'}, {'date': 'Jun 13, 2023', 'age': '25', 'clubName': 'Villarreal CF', 'clubID': '1050', 'value': '€25.00m'}, {'date': 'Dec 22, 2023', 'age': '25', 'clubName': 'Villarreal CF', 'clubID': '1050', 'value': '€25.00m'}, {'date': 'Mar 21, 2024', 'age': '26', 'clubName': 'Villarreal CF', 'clubID': '1050', 'value': '€18.00m'}, {'date': 'Jun 7, 2024', 'age': '26', 'clubName': 'Villarreal CF', 'clubID': '1050', 'value': '€15.00m'}, {'date': 'Oct 11, 2024', 'age': '26', 'clubName': 'Villarreal CF', 'clubID': '1050', 'value': '€12.00m'}, {'date': 'Dec 27, 2024', 'age': '26', 'clubName': 'Villarreal CF', 'clubID': '1050', 'value': '€7.50m'}, {'date': 'Mar 21, 2025', 'age': '27', 'clubName': 'Villarreal CF', 'clubID': '1050', 'value': '€10.00m'}, {'date': 'Jun 9, 2025', 'age': '27', 'clubName': 'Villarreal CF', 'clubID': '1050', 'value': '€15.00m'}, {'date': 'Dec 12, 2025', 'age': '27', 'clubName': 'Villarreal CF', 'clubID': '1050', 'value': '€15.00m'}, {'date': 'Mar 16, 2026', 'age': '28', 'clubName': 'Villarreal CF', 'clubID': '1050', 'value': '€10.00m'}]}</t>
        </is>
      </c>
      <c r="L25" t="inlineStr">
        <is>
          <t>Argentina</t>
        </is>
      </c>
      <c r="M25" t="inlineStr">
        <is>
          <t>1998-01-12</t>
        </is>
      </c>
      <c r="N25" t="inlineStr">
        <is>
          <t>Argentina</t>
        </is>
      </c>
      <c r="O25">
        <f>(25+25)/2</f>
        <v/>
      </c>
      <c r="P25">
        <f>(10+12+15+20)/4</f>
        <v/>
      </c>
    </row>
    <row r="26">
      <c r="A26" t="inlineStr">
        <is>
          <t>Bernardo Silva</t>
        </is>
      </c>
      <c r="B26" t="inlineStr">
        <is>
          <t>Man City</t>
        </is>
      </c>
      <c r="C26" t="inlineStr">
        <is>
          <t>Midfielder</t>
        </is>
      </c>
      <c r="D26" t="n">
        <v>878</v>
      </c>
      <c r="E26" t="n">
        <v>11</v>
      </c>
      <c r="F26" t="n">
        <v>3</v>
      </c>
      <c r="G26" t="n">
        <v>3</v>
      </c>
      <c r="H26" t="n">
        <v>120.4</v>
      </c>
      <c r="I26" t="n">
        <v>31.3</v>
      </c>
      <c r="J26" t="n">
        <v>241641</v>
      </c>
      <c r="K26" t="inlineStr">
        <is>
          <t>{'marketValueHistory': [{'date': 'Nov 8, 2013', 'age': '19', 'clubName': 'SL Benfica B', 'clubID': '10330', 'value': '€600k'}, {'date': 'Feb 20, 2014', 'age': '19', 'clubName': 'SL Benfica B', 'clubID': '10330', 'value': '€2.50m'}, {'date': 'Jan 14, 2015', 'age': '20', 'clubName': 'AS Monaco', 'clubID': '162', 'value': '€3.50m'}, {'date': 'Feb 5, 2015', 'age': '20', 'clubName': 'AS Monaco', 'clubID': '162', 'value': '€10.00m'}, {'date': 'Jun 6, 2015', 'age': '20', 'clubName': 'AS Monaco', 'clubID': '162', 'value': '€12.00m'}, {'date': 'Sep 6, 2015', 'age': '21', 'clubName': 'AS Monaco', 'clubID': '162', 'value': '€15.00m'}, {'date': 'Feb 4, 2016', 'age': '21', 'clubName': 'AS Monaco', 'clubID': '162', 'value': '€15.00m'}, {'date': 'Jul 13, 2016', 'age': '21', 'clubName': 'AS Monaco', 'clubID': '162', 'value': '€16.00m'}, {'date': 'Nov 1, 2016', 'age': '22', 'clubName': 'AS Monaco', 'clubID': '162', 'value': '€20.00m'}, {'date': 'Jan 16, 2017', 'age': '22', 'clubName': 'AS Monaco', 'clubID': '162', 'value': '€25.00m'}, {'date': 'Jun 1, 2017', 'age': '22', 'clubName': 'AS Monaco', 'clubID': '162', 'value': '€40.00m'}, {'date': 'Jan 2, 2018', 'age': '23', 'clubName': 'Manchester City', 'clubID': '281', 'value': '€40.00m'}, {'date': 'May 28, 2018', 'age': '23', 'clubName': 'Manchester City', 'clubID': '281', 'value': '€50.00m'}, {'date': 'Oct 17, 2018', 'age': '24', 'clubName': 'Manchester City', 'clubID': '281', 'value': '€60.00m'}, {'date': 'Dec 19, 2018', 'age': '24', 'clubName': 'Manchester City', 'clubID': '281', 'value': '€65.00m'}, {'date': 'Mar 5, 2019', 'age': '24', 'clubName': 'Manchester City', 'clubID': '281', 'value': '€80.00m'}, {'date': 'Jun 13, 2019', 'age': '24', 'clubName': 'Manchester City', 'clubID': '281', 'value': '€100.00m'}, {'date': 'Dec 10, 2019', 'age': '25', 'clubName': 'Manchester City', 'clubID': '281', 'value': '€100.00m'}, {'date': 'Apr 8, 2020', 'age': '25', 'clubName': 'Manchester City', 'clubID': '281', 'value': '€80.00m'}, {'date': 'Oct 13, 2020', 'age': '26', 'clubName': 'Manchester City', 'clubID': '281', 'value': '€80.00m'}, {'date': 'Dec 17, 2020', 'age': '26', 'clubName': 'Manchester City', 'clubID': '281', 'value': '€70.00m'}, {'date': 'Mar 18, 2021', 'age': '26', 'clubName': 'Manchester City', 'clubID': '281', 'value': '€70.00m'}, {'date': 'Jun 1, 2021', 'age': '26', 'clubName': 'Manchester City', 'clubID': '281', 'value': '€70.00m'}, {'date': 'Dec 23, 2021', 'age': '27', 'clubName': 'Manchester City', 'clubID': '281', 'value': '€75.00m'}, {'date': 'Jun 15, 2022', 'age': '27', 'clubName': 'Manchester City', 'clubID': '281', 'value': '€80.00m'}, {'date': 'Nov 3, 2022', 'age': '28', 'clubName': 'Manchester City', 'clubID': '281', 'value': '€80.00m'}, {'date': 'Jun 20, 2023', 'age': '28', 'clubName': 'Manchester City', 'clubID': '281', 'value': '€80.00m'}, {'date': 'Dec 19, 2023', 'age': '29', 'clubName': 'Manchester City', 'clubID': '281', 'value': '€80.00m'}, {'date': 'May 27, 2024', 'age': '29', 'clubName': 'Manchester City', 'clubID': '281', 'value': '€70.00m'}, {'date': 'Dec 16, 2024', 'age': '30', 'clubName': 'Manchester City', 'clubID': '281', 'value': '€60.00m'}, {'date': 'Mar 18, 2025', 'age': '30', 'clubName': 'Manchester City', 'clubID': '281', 'value': '€45.00m'}, {'date': 'May 30, 2025', 'age': '30', 'clubName': 'Manchester City', 'clubID': '281', 'value': '€38.00m'}, {'date': 'Oct 17, 2025', 'age': '31', 'clubName': 'Manchester City', 'clubID': '281', 'value': '€32.00m'}, {'date': 'Dec 9, 2025', 'age': '31', 'clubName': 'Manchester City', 'clubID': '281', 'value': '€27.00m'}]}</t>
        </is>
      </c>
      <c r="L26" t="inlineStr">
        <is>
          <t>Portugal</t>
        </is>
      </c>
      <c r="M26" t="inlineStr">
        <is>
          <t>1994-08-10</t>
        </is>
      </c>
      <c r="N26" t="inlineStr">
        <is>
          <t>Portugal</t>
        </is>
      </c>
      <c r="O26">
        <f>(80+80)/2</f>
        <v/>
      </c>
      <c r="P26">
        <f>(70+70+75)/3</f>
        <v/>
      </c>
    </row>
    <row r="27">
      <c r="A27" t="inlineStr">
        <is>
          <t>Lewandowski</t>
        </is>
      </c>
      <c r="B27" t="inlineStr">
        <is>
          <t>Bayern</t>
        </is>
      </c>
      <c r="C27" t="inlineStr">
        <is>
          <t>Forward</t>
        </is>
      </c>
      <c r="D27" t="n">
        <v>876</v>
      </c>
      <c r="E27" t="n">
        <v>10</v>
      </c>
      <c r="F27" t="n">
        <v>13</v>
      </c>
      <c r="G27" t="n">
        <v>3</v>
      </c>
      <c r="H27" t="n">
        <v>99.7</v>
      </c>
      <c r="I27" t="n">
        <v>32.9</v>
      </c>
      <c r="J27" t="n">
        <v>38253</v>
      </c>
      <c r="K27" t="inlineStr">
        <is>
          <t>{'marketValueHistory': [{'date': '18/03/2008', 'age': '19', 'clubName': 'Znicz Pruszkow', 'clubID': '9109', 'value': '€100k'}, {'date': '19/05/2008', 'age': '19', 'clubName': 'Znicz Pruszkow', 'clubID': '9109', 'value': '€500k'}, {'date': '05/09/2008', 'age': '20', 'clubName': 'Lech Poznan', 'clubID': '238', 'value': '€800k'}, {'date': '30/12/2008', 'age': '20', 'clubName': 'Lech Poznan', 'clubID': '238', 'value': '€1.65m'}, {'date': '04/07/2009', 'age': '20', 'clubName': 'Lech Poznan', 'clubID': '238', 'value': '€3.00m'}, {'date': '17/03/2010', 'age': '21', 'clubName': 'Lech Poznan', 'clubID': '238', 'value': '€3.60m'}, {'date': '18/05/2010', 'age': '21', 'clubName': 'Lech Poznan', 'clubID': '238', 'value': '€4.50m'}, {'date': '16/07/2010', 'age': '21', 'clubName': 'Borussia Dortmund', 'clubID': '16', 'value': '€6.00m'}, {'date': '12/01/2011', 'age': '22', 'clubName': 'Borussia Dortmund', 'clubID': '16', 'value': '€6.00m'}, {'date': '29/06/2011', 'age': '22', 'clubName': 'Borussia Dortmund', 'clubID': '16', 'value': '€7.00m'}, {'date': '23/01/2012', 'age': '23', 'clubName': 'Borussia Dortmund', 'clubID': '16', 'value': '€12.00m'}, {'date': '05/03/2012', 'age': '23', 'clubName': 'Borussia Dortmund', 'clubID': '16', 'value': '€15.00m'}, {'date': '29/06/2012', 'age': '23', 'clubName': 'Borussia Dortmund', 'clubID': '16', 'value': '€20.00m'}, {'date': '26/10/2012', 'age': '24', 'clubName': 'Borussia Dortmund', 'clubID': '16', 'value': '€25.00m'}, {'date': '13/01/2013', 'age': '24', 'clubName': 'Borussia Dortmund', 'clubID': '16', 'value': '€28.00m'}, {'date': '30/06/2013', 'age': '24', 'clubName': 'Borussia Dortmund', 'clubID': '16', 'value': '€39.00m'}, {'date': '12/02/2014', 'age': '25', 'clubName': 'Borussia Dortmund', 'clubID': '16', 'value': '€50.00m'}, {'date': '10/07/2014', 'age': '25', 'clubName': 'Bayern Munich', 'clubID': '27', 'value': '€50.00m'}, {'date': '04/02/2015', 'age': '26', 'clubName': 'Bayern Munich', 'clubID': '27', 'value': '€50.00m'}, {'date': '01/07/2015', 'age': '26', 'clubName': 'Bayern Munich', 'clubID': '27', 'value': '€50.00m'}, {'date': '16/10/2015', 'age': '27', 'clubName': 'Bayern Munich', 'clubID': '27', 'value': '€70.00m'}, {'date': '15/02/2016', 'age': '27', 'clubName': 'Bayern Munich', 'clubID': '27', 'value': '€70.00m'}, {'date': '01/06/2016', 'age': '27', 'clubName': 'Bayern Munich', 'clubID': '27', 'value': '€75.00m'}, {'date': '22/07/2016', 'age': '27', 'clubName': 'Bayern Munich', 'clubID': '27', 'value': '€75.00m'}, {'date': '07/02/2017', 'age': '28', 'clubName': 'Bayern Munich', 'clubID': '27', 'value': '€80.00m'}, {'date': '19/06/2017', 'age': '28', 'clubName': 'Bayern Munich', 'clubID': '27', 'value': '€80.00m'}, {'date': '28/12/2017', 'age': '29', 'clubName': 'Bayern Munich', 'clubID': '27', 'value': '€80.00m'}, {'date': '04/04/2018', 'age': '29', 'clubName': 'Bayern Munich', 'clubID': '27', 'value': '€90.00m'}, {'date': '05/06/2018', 'age': '29', 'clubName': 'Bayern Munich', 'clubID': '27', 'value': '€90.00m'}, {'date': '16/07/2018', 'age': '29', 'clubName': 'Bayern Munich', 'clubID': '27', 'value': '€85.00m'}, {'date': '22/10/2018', 'age': '30', 'clubName': 'Bayern Munich', 'clubID': '27', 'value': '€80.00m'}, {'date': '18/12/2018', 'age': '30', 'clubName': 'Bayern Munich', 'clubID': '27', 'value': '€70.00m'}, {'date': '05/06/2019', 'age': '30', 'clubName': 'Bayern Munich', 'clubID': '27', 'value': '€65.00m'}, {'date': '17/12/2019', 'age': '31', 'clubName': 'Bayern Munich', 'clubID': '27', 'value': '€70.00m'}, {'date': '08/04/2020', 'age': '31', 'clubName': 'Bayern Munich', 'clubID': '27', 'value': '€56.00m'}, {'date': '16/09/2020', 'age': '32', 'clubName': 'Bayern Munich', 'clubID': '27', 'value': '€60.00m'}, {'date': '10/02/2021', 'age': '32', 'clubName': 'Bayern Munich', 'clubID': '27', 'value': '€60.00m'}, {'date': '31/05/2021', 'age': '32', 'clubName': 'Bayern Munich', 'clubID': '27', 'value': '€60.00m'}, {'date': '22/12/2021', 'age': '33', 'clubName': 'Bayern Munich', 'clubID': '27', 'value': '€50.00m'}, {'date': '09/06/2022', 'age': '33', 'clubName': 'Bayern Munich', 'clubID': '27', 'value': '€45.00m'}, {'date': '07/11/2022', 'age': '34', 'clubName': 'FC Barcelona', 'clubID': '131', 'value': '€45.00m'}, {'date': '23/03/2023', 'age': '34', 'clubName': 'FC Barcelona', 'clubID': '131', 'value': '€40.00m'}, {'date': '13/06/2023', 'age': '34', 'clubName': 'FC Barcelona', 'clubID': '131', 'value': '€30.00m'}, {'date': '22/12/2023', 'age': '35', 'clubName': 'FC Barcelona', 'clubID': '131', 'value': '€20.00m'}, {'date': '21/03/2024', 'age': '35', 'clubName': 'FC Barcelona', 'clubID': '131', 'value': '€15.00m'}, {'date': '07/06/2024', 'age': '35', 'clubName': 'FC Barcelona', 'clubID': '131', 'value': '€15.00m'}, {'date': '27/12/2024', 'age': '36', 'clubName': 'FC Barcelona', 'clubID': '131', 'value': '€15.00m'}, {'date': '09/06/2025', 'age': '36', 'clubName': 'FC Barcelona', 'clubID': '131', 'value': '€12.00m'}, {'date': '02/10/2025', 'age': '37', 'clubName': 'FC Barcelona', 'clubID': '131', 'value': '€10.00m'}, {'date': '12/12/2025', 'age': '37', 'clubName': 'FC Barcelona', 'clubID': '131', 'value': '€9.00m'}, {'date': '16/03/2026', 'age': '37', 'clubName': 'FC Barcelona', 'clubID': '131', 'value': '€8.00m'}]}</t>
        </is>
      </c>
      <c r="L27" t="inlineStr">
        <is>
          <t>Poland</t>
        </is>
      </c>
      <c r="M27" t="inlineStr">
        <is>
          <t>1988-08-21</t>
        </is>
      </c>
      <c r="N27" t="inlineStr">
        <is>
          <t>Poland</t>
        </is>
      </c>
      <c r="O27">
        <f>(45+45)/2</f>
        <v/>
      </c>
      <c r="P27">
        <f>(60+60+50)/3</f>
        <v/>
      </c>
    </row>
    <row r="28">
      <c r="A28" t="inlineStr">
        <is>
          <t>Mendy</t>
        </is>
      </c>
      <c r="B28" t="inlineStr">
        <is>
          <t>Real Madrid</t>
        </is>
      </c>
      <c r="C28" t="inlineStr">
        <is>
          <t>Defender</t>
        </is>
      </c>
      <c r="D28" t="n">
        <v>867</v>
      </c>
      <c r="E28" t="n">
        <v>10</v>
      </c>
      <c r="F28" t="n">
        <v>0</v>
      </c>
      <c r="G28" t="n">
        <v>2</v>
      </c>
      <c r="H28" t="n">
        <v>96.40000000000001</v>
      </c>
      <c r="I28" t="n">
        <v>33.7</v>
      </c>
      <c r="J28" t="n">
        <v>157495</v>
      </c>
      <c r="K28" t="inlineStr">
        <is>
          <t>{'marketValueHistory': [{'date': 'Aug 8, 2011', 'age': '17', 'clubName': 'Le Havre AC', 'clubID': '738', 'value': '€50k'}, {'date': 'Sep 3, 2011', 'age': '17', 'clubName': 'Le Havre AC', 'clubID': '738', 'value': '€250k'}, {'date': 'Dec 25, 2011', 'age': '17', 'clubName': 'Le Havre AC', 'clubID': '738', 'value': '€750k'}, {'date': 'Jun 1, 2012', 'age': '17', 'clubName': 'Le Havre AC', 'clubID': '738', 'value': '€900k'}, {'date': 'Jan 4, 2013', 'age': '18', 'clubName': 'Le Havre AC', 'clubID': '738', 'value': '€1.50m'}, {'date': 'May 30, 2013', 'age': '18', 'clubName': 'Le Havre AC', 'clubID': '738', 'value': '€2.00m'}, {'date': 'Jul 22, 2013', 'age': '19', 'clubName': 'Olympique Marseille', 'clubID': '244', 'value': '€4.00m'}, {'date': 'Jan 14, 2014', 'age': '19', 'clubName': 'Olympique Marseille', 'clubID': '244', 'value': '€4.00m'}, {'date': 'Aug 7, 2014', 'age': '20', 'clubName': 'Olympique Marseille', 'clubID': '244', 'value': '€4.00m'}, {'date': 'Jan 14, 2015', 'age': '20', 'clubName': 'Olympique Marseille', 'clubID': '244', 'value': '€6.00m'}, {'date': 'Jun 6, 2015', 'age': '20', 'clubName': 'Olympique Marseille', 'clubID': '244', 'value': '€6.50m'}, {'date': 'Feb 4, 2016', 'age': '21', 'clubName': 'Olympique Marseille', 'clubID': '244', 'value': '€6.50m'}, {'date': 'Jul 13, 2016', 'age': '21', 'clubName': 'AS Monaco', 'clubID': '162', 'value': '€9.00m'}, {'date': 'Jan 16, 2017', 'age': '22', 'clubName': 'AS Monaco', 'clubID': '162', 'value': '€9.00m'}, {'date': 'Jun 1, 2017', 'age': '22', 'clubName': 'AS Monaco', 'clubID': '162', 'value': '€13.00m'}, {'date': 'Aug 16, 2017', 'age': '23', 'clubName': 'Manchester City', 'clubID': '281', 'value': '€30.00m'}, {'date': 'Jan 2, 2018', 'age': '23', 'clubName': 'Manchester City', 'clubID': '281', 'value': '€40.00m'}, {'date': 'May 28, 2018', 'age': '23', 'clubName': 'Manchester City', 'clubID': '281', 'value': '€40.00m'}, {'date': 'Oct 17, 2018', 'age': '24', 'clubName': 'Manchester City', 'clubID': '281', 'value': '€45.00m'}, {'date': 'Dec 19, 2018', 'age': '24', 'clubName': 'Manchester City', 'clubID': '281', 'value': '€45.00m'}, {'date': 'Mar 5, 2019', 'age': '24', 'clubName': 'Manchester City', 'clubID': '281', 'value': '€40.00m'}, {'date': 'Jun 13, 2019', 'age': '24', 'clubName': 'Manchester City', 'clubID': '281', 'value': '€35.00m'}, {'date': 'Dec 10, 2019', 'age': '25', 'clubName': 'Manchester City', 'clubID': '281', 'value': '€35.00m'}, {'date': 'Apr 8, 2020', 'age': '25', 'clubName': 'Manchester City', 'clubID': '281', 'value': '€28.00m'}, {'date': 'Oct 13, 2020', 'age': '26', 'clubName': 'Manchester City', 'clubID': '281', 'value': '€28.00m'}, {'date': 'Mar 18, 2021', 'age': '26', 'clubName': 'Manchester City', 'clubID': '281', 'value': '€22.00m'}, {'date': 'Jun 8, 2021', 'age': '26', 'clubName': 'Manchester City', 'clubID': '281', 'value': '€20.00m'}, {'date': 'Oct 5, 2021', 'age': '27', 'clubName': 'Manchester City', 'clubID': '281', 'value': '€10.00m'}, {'date': 'Dec 23, 2021', 'age': '27', 'clubName': 'Manchester City', 'clubID': '281', 'value': '€10.00m'}, {'date': 'Mar 29, 2022', 'age': '27', 'clubName': 'Manchester City', 'clubID': '281', 'value': '-'}, {'date': 'Jul 19, 2023', 'age': '29', 'clubName': 'FC Lorient', 'clubID': '1158', 'value': '€3.00m'}, {'date': 'Dec 18, 2023', 'age': '29', 'clubName': 'FC Lorient', 'clubID': '1158', 'value': '€2.00m'}, {'date': 'Jun 3, 2024', 'age': '29', 'clubName': 'FC Lorient', 'clubID': '1158', 'value': '€2.00m'}, {'date': 'Oct 3, 2024', 'age': '30', 'clubName': 'FC Lorient', 'clubID': '1158', 'value': '€1.50m'}, {'date': 'Dec 4, 2024', 'age': '30', 'clubName': 'FC Lorient', 'clubID': '1158', 'value': '€1.20m'}, {'date': 'Jun 10, 2025', 'age': '30', 'clubName': 'FC Zürich', 'clubID': '260', 'value': '€1.00m'}, {'date': 'Dec 8, 2025', 'age': '31', 'clubName': 'Pogon Szczecin', 'clubID': '324', 'value': '€800k'}, {'date': 'Mar 26, 2026', 'age': '31', 'clubName': 'Pogon Szczecin', 'clubID': '324', 'value': '€600k'}]}</t>
        </is>
      </c>
      <c r="L28" t="inlineStr">
        <is>
          <t>France</t>
        </is>
      </c>
      <c r="M28" t="inlineStr">
        <is>
          <t>1994-07-17</t>
        </is>
      </c>
      <c r="N28" t="inlineStr">
        <is>
          <t>10</t>
        </is>
      </c>
      <c r="P28">
        <f>(22+20+10+10)/4</f>
        <v/>
      </c>
    </row>
    <row r="29">
      <c r="A29" t="inlineStr">
        <is>
          <t>Grimaldo</t>
        </is>
      </c>
      <c r="B29" t="inlineStr">
        <is>
          <t>Benfica</t>
        </is>
      </c>
      <c r="C29" t="inlineStr">
        <is>
          <t>Defender</t>
        </is>
      </c>
      <c r="D29" t="n">
        <v>863</v>
      </c>
      <c r="E29" t="n">
        <v>10</v>
      </c>
      <c r="F29" t="n">
        <v>0</v>
      </c>
      <c r="G29" t="n">
        <v>3</v>
      </c>
      <c r="H29" t="n">
        <v>107.7</v>
      </c>
      <c r="I29" t="n">
        <v>32</v>
      </c>
      <c r="J29" t="n">
        <v>193082</v>
      </c>
      <c r="K29" t="inlineStr">
        <is>
          <t>{'marketValueHistory': [{'date': 'Mar 1, 2012', 'age': '16', 'clubName': 'FC Barcelona U19', 'clubID': '2470', 'value': '€100k'}, {'date': 'Aug 7, 2012', 'age': '16', 'clubName': 'FC Barcelona B', 'clubID': '2464', 'value': '€1.00m'}, {'date': 'Jan 22, 2013', 'age': '17', 'clubName': 'FC Barcelona B', 'clubID': '2464', 'value': '€1.50m'}, {'date': 'May 9, 2013', 'age': '17', 'clubName': 'FC Barcelona B', 'clubID': '2464', 'value': '€1.50m'}, {'date': 'Oct 8, 2013', 'age': '18', 'clubName': 'FC Barcelona B', 'clubID': '2464', 'value': '€1.50m'}, {'date': 'Feb 6, 2014', 'age': '18', 'clubName': 'FC Barcelona B', 'clubID': '2464', 'value': '€1.50m'}, {'date': 'Aug 5, 2014', 'age': '18', 'clubName': 'FC Barcelona B', 'clubID': '2464', 'value': '€2.00m'}, {'date': 'Jan 8, 2015', 'age': '19', 'clubName': 'FC Barcelona B', 'clubID': '2464', 'value': '€2.00m'}, {'date': 'Feb 24, 2016', 'age': '20', 'clubName': 'SL Benfica', 'clubID': '294', 'value': '€1.50m'}, {'date': 'Jul 29, 2016', 'age': '20', 'clubName': 'SL Benfica', 'clubID': '294', 'value': '€2.00m'}, {'date': 'Oct 31, 2016', 'age': '21', 'clubName': 'SL Benfica', 'clubID': '294', 'value': '€7.00m'}, {'date': 'Feb 22, 2017', 'age': '21', 'clubName': 'SL Benfica', 'clubID': '294', 'value': '€7.00m'}, {'date': 'Jun 26, 2017', 'age': '21', 'clubName': 'SL Benfica', 'clubID': '294', 'value': '€9.00m'}, {'date': 'Feb 7, 2018', 'age': '22', 'clubName': 'SL Benfica', 'clubID': '294', 'value': '€13.00m'}, {'date': 'Jun 13, 2018', 'age': '22', 'clubName': 'SL Benfica', 'clubID': '294', 'value': '€20.00m'}, {'date': 'Nov 1, 2018', 'age': '23', 'clubName': 'SL Benfica', 'clubID': '294', 'value': '€25.00m'}, {'date': 'Jan 11, 2019', 'age': '23', 'clubName': 'SL Benfica', 'clubID': '294', 'value': '€28.00m'}, {'date': 'Jun 7, 2019', 'age': '23', 'clubName': 'SL Benfica', 'clubID': '294', 'value': '€32.00m'}, {'date': 'Dec 30, 2019', 'age': '24', 'clubName': 'SL Benfica', 'clubID': '294', 'value': '€35.00m'}, {'date': 'Apr 8, 2020', 'age': '24', 'clubName': 'SL Benfica', 'clubID': '294', 'value': '€28.00m'}, {'date': 'Aug 17, 2020', 'age': '24', 'clubName': 'SL Benfica', 'clubID': '294', 'value': '€28.00m'}, {'date': 'Jan 28, 2021', 'age': '25', 'clubName': 'SL Benfica', 'clubID': '294', 'value': '€28.00m'}, {'date': 'Mar 25, 2021', 'age': '25', 'clubName': 'SL Benfica', 'clubID': '294', 'value': '€22.00m'}, {'date': 'May 21, 2021', 'age': '25', 'clubName': 'SL Benfica', 'clubID': '294', 'value': '€22.00m'}, {'date': 'Dec 27, 2021', 'age': '26', 'clubName': 'SL Benfica', 'clubID': '294', 'value': '€20.00m'}, {'date': 'May 31, 2022', 'age': '26', 'clubName': 'SL Benfica', 'clubID': '294', 'value': '€20.00m'}, {'date': 'Nov 1, 2022', 'age': '27', 'clubName': 'SL Benfica', 'clubID': '294', 'value': '€20.00m'}, {'date': 'Mar 2, 2023', 'age': '27', 'clubName': 'SL Benfica', 'clubID': '294', 'value': '€25.00m'}, {'date': 'Jun 16, 2023', 'age': '27', 'clubName': 'SL Benfica', 'clubID': '294', 'value': '€25.00m'}, {'date': 'Dec 14, 2023', 'age': '28', 'clubName': 'Bayer 04 Leverkusen', 'clubID': '15', 'value': '€35.00m'}, {'date': 'Mar 27, 2024', 'age': '28', 'clubName': 'Bayer 04 Leverkusen', 'clubID': '15', 'value': '€45.00m'}, {'date': 'May 29, 2024', 'age': '28', 'clubName': 'Bayer 04 Leverkusen', 'clubID': '15', 'value': '€45.00m'}, {'date': 'Dec 20, 2024', 'age': '29', 'clubName': 'Bayer 04 Leverkusen', 'clubID': '15', 'value': '€40.00m'}, {'date': 'Jun 5, 2025', 'age': '29', 'clubName': 'Bayer 04 Leverkusen', 'clubID': '15', 'value': '€30.00m'}, {'date': 'Dec 19, 2025', 'age': '30', 'clubName': 'Bayer 04 Leverkusen', 'clubID': '15', 'value': '€24.00m'}]}</t>
        </is>
      </c>
      <c r="L29" t="inlineStr">
        <is>
          <t>Spain</t>
        </is>
      </c>
      <c r="M29" t="inlineStr">
        <is>
          <t>1995-09-20</t>
        </is>
      </c>
      <c r="N29" t="inlineStr">
        <is>
          <t>Spain</t>
        </is>
      </c>
      <c r="O29">
        <f>(20+20)/2</f>
        <v/>
      </c>
      <c r="P29">
        <f>(28+22+22+20)/4</f>
        <v/>
      </c>
    </row>
    <row r="30">
      <c r="A30" t="inlineStr">
        <is>
          <t>Fabinho</t>
        </is>
      </c>
      <c r="B30" t="inlineStr">
        <is>
          <t>Liverpool</t>
        </is>
      </c>
      <c r="C30" t="inlineStr">
        <is>
          <t>Midfielder</t>
        </is>
      </c>
      <c r="D30" t="n">
        <v>849</v>
      </c>
      <c r="E30" t="n">
        <v>13</v>
      </c>
      <c r="F30" t="n">
        <v>1</v>
      </c>
      <c r="G30" t="n">
        <v>0</v>
      </c>
      <c r="H30" t="n">
        <v>105.5</v>
      </c>
      <c r="I30" t="n">
        <v>31.1</v>
      </c>
      <c r="J30" t="n">
        <v>225693</v>
      </c>
      <c r="K30" t="inlineStr">
        <is>
          <t>{'id': '225693', 'marketValue': '€35.00m', 'marketValueHistory': [{'age': '18', 'date': 'Aug 19, 2012', 'clubName': 'Real Madrid Castilla', 'value': '€1.00m', 'clubID': '6767'}, {'age': '19', 'date': 'Dec 2, 2012', 'clubName': 'Real Madrid Castilla', 'value': '€1.50m', 'clubID': '6767'}, {'age': '19', 'date': 'Jan 22, 2013', 'clubName': 'Real Madrid Castilla', 'value': '€1.50m', 'clubID': '6767'}, {'age': '19', 'date': 'May 9, 2013', 'clubName': 'Real Madrid Castilla', 'value': '€2.50m', 'clubID': '6767'}, {'age': '20', 'date': 'Jan 14, 2014', 'clubName': 'AS Monaco', 'value': '€3.00m', 'clubID': '162'}, {'age': '20', 'date': 'Aug 7, 2014', 'clubName': 'AS Monaco', 'value': '€3.50m', 'clubID': '162'}, {'age': '21', 'date': 'Jan 14, 2015', 'clubName': 'AS Monaco', 'value': '€4.50m', 'clubID': '162'}, {'age': '21', 'date': 'Jun 6, 2015', 'clubName': 'AS Monaco', 'value': '€8.00m', 'clubID': '162'}, {'age': '21', 'date': 'Sep 6, 2015', 'clubName': 'AS Monaco', 'value': '€10.00m', 'clubID': '162'}, {'age': '22', 'date': 'Feb 4, 2016', 'clubName': 'AS Monaco', 'value': '€15.00m', 'clubID': '162'}, {'age': '22', 'date': 'Jul 13, 2016', 'clubName': 'AS Monaco', 'value': '€16.00m', 'clubID': '162'}, {'age': '23', 'date': 'Nov 1, 2016', 'clubName': 'AS Monaco', 'value': '€20.00m', 'clubID': '162'}, {'age': '23', 'date': 'Jan 16, 2017', 'clubName': 'AS Monaco', 'value': '€20.00m', 'clubID': '162'}, {'age': '23', 'date': 'Jun 1, 2017', 'clubName': 'AS Monaco', 'value': '€25.00m', 'clubID': '162'}, {'age': '24', 'date': 'Jan 24, 2018', 'clubName': 'AS Monaco', 'value': '€40.00m', 'clubID': '162'}, {'age': '24', 'date': 'Jun 4, 2018', 'clubName': 'AS Monaco', 'value': '€45.00m', 'clubID': '162'}, {'age': '25', 'date': 'Dec 19, 2018', 'clubName': 'Liverpool FC', 'value': '€40.00m', 'clubID': '31'}, {'age': '25', 'date': 'Mar 5, 2019', 'clubName': 'Liverpool FC', 'value': '€45.00m', 'clubID': '31'}, {'age': '25', 'date': 'Jun 13, 2019', 'clubName': 'Liverpool FC', 'value': '€50.00m', 'clubID': '31'}, {'age': '26', 'date': 'Dec 10, 2019', 'clubName': 'Liverpool FC', 'value': '€70.00m', 'clubID': '31'}, {'age': '26', 'date': 'Apr 8, 2020', 'clubName': 'Liverpool FC', 'value': '€56.00m', 'clubID': '31'}, {'age': '26', 'date': 'Oct 13, 2020', 'clubName': 'Liverpool FC', 'value': '€60.00m', 'clubID': '31'}, {'age': '27', 'date': 'Mar 18, 2021', 'clubName': 'Liverpool FC', 'value': '€60.00m', 'clubID': '31'}, {'age': '27', 'date': 'Jun 8, 2021', 'clubName': 'Liverpool FC', 'value': '€60.00m', 'clubID': '31'}, {'age': '28', 'date': 'Dec 23, 2021', 'clubName': 'Liverpool FC', 'value': '€60.00m', 'clubID': '31'}, {'age': '28', 'date': 'Jun 15, 2022', 'clubName': 'Liverpool FC', 'value': '€60.00m', 'clubID': '31'}, {'age': '29', 'date': 'Nov 3, 2022', 'clubName': 'Liverpool FC', 'value': '€55.00m', 'clubID': '31'}, {'age': '29', 'date': 'Mar 16, 2023', 'clubName': 'Liverpool FC', 'value': '€45.00m', 'clubID': '31'}, {'age': '29', 'date': 'Jun 20, 2023', 'clubName': 'Liverpool FC', 'value': '€42.00m', 'clubID': '31'}, {'age': '30', 'date': 'Oct 24, 2023', 'clubName': 'Al-Ittihad Club', 'value': '€38.00m', 'clubID': '8023'}, {'age': '30', 'date': 'Dec 15, 2023', 'clubName': 'Al-Ittihad Club', 'value': '€35.00m', 'clubID': '8023'}], 'ranking': {'Worldwide': '194', 'Saudi Pro League': '3', 'Al-Ittihad': '1', 'Brazil': '22', 'Defensive Midfield': '16', 'Year 1993': '3'}, 'updatedAt': datetime.datetime(2024, 5, 23, 22, 17, 37, 887411)}</t>
        </is>
      </c>
      <c r="L30" t="inlineStr">
        <is>
          <t>Brazil</t>
        </is>
      </c>
      <c r="M30" t="inlineStr">
        <is>
          <t>1993-10-23</t>
        </is>
      </c>
      <c r="N30" t="inlineStr">
        <is>
          <t>31</t>
        </is>
      </c>
      <c r="O30">
        <f>(60+55)/2</f>
        <v/>
      </c>
      <c r="P30">
        <f>(60+60+60)/3</f>
        <v/>
      </c>
    </row>
    <row r="31">
      <c r="A31" t="inlineStr">
        <is>
          <t>Rodri</t>
        </is>
      </c>
      <c r="B31" t="inlineStr">
        <is>
          <t>Man City</t>
        </is>
      </c>
      <c r="C31" t="inlineStr">
        <is>
          <t>Midfielder</t>
        </is>
      </c>
      <c r="D31" t="n">
        <v>842</v>
      </c>
      <c r="E31" t="n">
        <v>10</v>
      </c>
      <c r="F31" t="n">
        <v>0</v>
      </c>
      <c r="G31" t="n">
        <v>0</v>
      </c>
      <c r="H31" t="n">
        <v>114.6</v>
      </c>
      <c r="I31" t="n">
        <v>33.4</v>
      </c>
      <c r="J31" t="n">
        <v>357565</v>
      </c>
      <c r="K31" t="inlineStr">
        <is>
          <t>{'marketValueHistory': [{'date': 'Aug 1, 2016', 'age': '20', 'clubName': 'Villarreal CF', 'clubID': '1050', 'value': '€500k'}, {'date': 'Jan 24, 2017', 'age': '20', 'clubName': 'Villarreal CF', 'clubID': '1050', 'value': '€1.50m'}, {'date': 'Jun 5, 2017', 'age': '20', 'clubName': 'Villarreal CF', 'clubID': '1050', 'value': '€2.50m'}, {'date': 'Jan 1, 2018', 'age': '21', 'clubName': 'Villarreal CF', 'clubID': '1050', 'value': '€20.00m'}, {'date': 'May 30, 2018', 'age': '21', 'clubName': 'Villarreal CF', 'clubID': '1050', 'value': '€25.00m'}, {'date': 'Oct 31, 2018', 'age': '22', 'clubName': 'Atlético de Madrid', 'clubID': '13', 'value': '€40.00m'}, {'date': 'Dec 21, 2018', 'age': '22', 'clubName': 'Atlético de Madrid', 'clubID': '13', 'value': '€50.00m'}, {'date': 'Feb 28, 2019', 'age': '22', 'clubName': 'Atlético de Madrid', 'clubID': '13', 'value': '€60.00m'}, {'date': 'Jun 11, 2019', 'age': '22', 'clubName': 'Atlético de Madrid', 'clubID': '13', 'value': '€80.00m'}, {'date': 'Dec 10, 2019', 'age': '23', 'clubName': 'Manchester City', 'clubID': '281', 'value': '€80.00m'}, {'date': 'Apr 8, 2020', 'age': '23', 'clubName': 'Manchester City', 'clubID': '281', 'value': '€64.00m'}, {'date': 'Oct 13, 2020', 'age': '24', 'clubName': 'Manchester City', 'clubID': '281', 'value': '€64.00m'}, {'date': 'Mar 18, 2021', 'age': '24', 'clubName': 'Manchester City', 'clubID': '281', 'value': '€70.00m'}, {'date': 'May 31, 2021', 'age': '24', 'clubName': 'Manchester City', 'clubID': '281', 'value': '€70.00m'}, {'date': 'Dec 23, 2021', 'age': '25', 'clubName': 'Manchester City', 'clubID': '281', 'value': '€70.00m'}, {'date': 'Jun 15, 2022', 'age': '25', 'clubName': 'Manchester City', 'clubID': '281', 'value': '€80.00m'}, {'date': 'Nov 3, 2022', 'age': '26', 'clubName': 'Manchester City', 'clubID': '281', 'value': '€80.00m'}, {'date': 'Jun 20, 2023', 'age': '26', 'clubName': 'Manchester City', 'clubID': '281', 'value': '€90.00m'}, {'date': 'Oct 9, 2023', 'age': '27', 'clubName': 'Manchester City', 'clubID': '281', 'value': '€100.00m'}, {'date': 'Dec 19, 2023', 'age': '27', 'clubName': 'Manchester City', 'clubID': '281', 'value': '€110.00m'}, {'date': 'May 27, 2024', 'age': '27', 'clubName': 'Manchester City', 'clubID': '281', 'value': '€120.00m'}, {'date': 'Jul 18, 2024', 'age': '28', 'clubName': 'Manchester City', 'clubID': '281', 'value': '€130.00m'}, {'date': 'Dec 16, 2024', 'age': '28', 'clubName': 'Manchester City', 'clubID': '281', 'value': '€130.00m'}, {'date': 'May 30, 2025', 'age': '28', 'clubName': 'Manchester City', 'clubID': '281', 'value': '€110.00m'}, {'date': 'Oct 17, 2025', 'age': '29', 'clubName': 'Manchester City', 'clubID': '281', 'value': '€90.00m'}, {'date': 'Dec 9, 2025', 'age': '29', 'clubName': 'Manchester City', 'clubID': '281', 'value': '€75.00m'}, {'date': 'Mar 9, 2026', 'age': '29', 'clubName': 'Manchester City', 'clubID': '281', 'value': '€65.00m'}]}</t>
        </is>
      </c>
      <c r="L31" t="inlineStr">
        <is>
          <t>Spain</t>
        </is>
      </c>
      <c r="M31" t="inlineStr">
        <is>
          <t>1996-06-22</t>
        </is>
      </c>
      <c r="N31" t="inlineStr">
        <is>
          <t>Spain</t>
        </is>
      </c>
      <c r="O31">
        <f>(80+80)/2</f>
        <v/>
      </c>
      <c r="P31">
        <f>(70+70+70)/3</f>
        <v/>
      </c>
    </row>
    <row r="32">
      <c r="A32" t="inlineStr">
        <is>
          <t>Joao Cancelo</t>
        </is>
      </c>
      <c r="B32" t="inlineStr">
        <is>
          <t>Man City</t>
        </is>
      </c>
      <c r="C32" t="inlineStr">
        <is>
          <t>Defender</t>
        </is>
      </c>
      <c r="D32" t="n">
        <v>840</v>
      </c>
      <c r="E32" t="n">
        <v>9</v>
      </c>
      <c r="F32" t="n">
        <v>2</v>
      </c>
      <c r="G32" t="n">
        <v>3</v>
      </c>
      <c r="H32" t="n">
        <v>100.5</v>
      </c>
      <c r="I32" t="n">
        <v>32.6</v>
      </c>
      <c r="J32" t="n">
        <v>182712</v>
      </c>
      <c r="K32" t="inlineStr">
        <is>
          <t>{'marketValueHistory': [{'date': '10/11/2012', 'age': '18', 'clubName': 'SL Benfica U19', 'clubID': '8889', 'value': '€1.00m'}, {'date': '08/11/2013', 'age': '19', 'clubName': 'SL Benfica B', 'clubID': '10330', 'value': '€1.00m'}, {'date': '20/02/2014', 'age': '19', 'clubName': 'SL Benfica B', 'clubID': '10330', 'value': '€2.00m'}, {'date': '22/10/2014', 'age': '20', 'clubName': 'Valencia CF', 'clubID': '1049', 'value': '€2.00m'}, {'date': '23/01/2015', 'age': '20', 'clubName': 'Valencia CF', 'clubID': '1049', 'value': '€2.00m'}, {'date': '01/07/2015', 'age': '21', 'clubName': 'Valencia CF', 'clubID': '1049', 'value': '€5.00m'}, {'date': '22/11/2015', 'age': '21', 'clubName': 'Valencia CF', 'clubID': '1049', 'value': '€10.00m'}, {'date': '22/02/2016', 'age': '21', 'clubName': 'Valencia CF', 'clubID': '1049', 'value': '€10.00m'}, {'date': '15/07/2016', 'age': '22', 'clubName': 'Valencia CF', 'clubID': '1049', 'value': '€15.00m'}, {'date': '27/10/2016', 'age': '22', 'clubName': 'Valencia CF', 'clubID': '1049', 'value': '€20.00m'}, {'date': '24/01/2017', 'age': '22', 'clubName': 'Valencia CF', 'clubID': '1049', 'value': '€20.00m'}, {'date': '05/06/2017', 'age': '23', 'clubName': 'Valencia CF', 'clubID': '1049', 'value': '€20.00m'}, {'date': '29/12/2017', 'age': '23', 'clubName': 'Inter Milan', 'clubID': '46', 'value': '€20.00m'}, {'date': '24/03/2018', 'age': '23', 'clubName': 'Inter Milan', 'clubID': '46', 'value': '€25.00m'}, {'date': '07/06/2018', 'age': '24', 'clubName': 'Inter Milan', 'clubID': '46', 'value': '€35.00m'}, {'date': '12/10/2018', 'age': '24', 'clubName': 'Juventus FC', 'clubID': '506', 'value': '€40.00m'}, {'date': '20/12/2018', 'age': '24', 'clubName': 'Juventus FC', 'clubID': '506', 'value': '€55.00m'}, {'date': '06/06/2019', 'age': '25', 'clubName': 'Juventus FC', 'clubID': '506', 'value': '€55.00m'}, {'date': '10/12/2019', 'age': '25', 'clubName': 'Manchester City', 'clubID': '281', 'value': '€50.00m'}, {'date': '09/03/2020', 'age': '25', 'clubName': 'Manchester City', 'clubID': '281', 'value': '€45.00m'}, {'date': '08/04/2020', 'age': '25', 'clubName': 'Manchester City', 'clubID': '281', 'value': '€36.00m'}, {'date': '13/10/2020', 'age': '26', 'clubName': 'Manchester City', 'clubID': '281', 'value': '€36.00m'}, {'date': '18/03/2021', 'age': '26', 'clubName': 'Manchester City', 'clubID': '281', 'value': '€50.00m'}, {'date': '01/06/2021', 'age': '27', 'clubName': 'Manchester City', 'clubID': '281', 'value': '€55.00m'}, {'date': '23/12/2021', 'age': '27', 'clubName': 'Manchester City', 'clubID': '281', 'value': '€60.00m'}, {'date': '15/06/2022', 'age': '28', 'clubName': 'Manchester City', 'clubID': '281', 'value': '€65.00m'}, {'date': '03/11/2022', 'age': '28', 'clubName': 'Manchester City', 'clubID': '281', 'value': '€70.00m'}, {'date': '29/03/2023', 'age': '28', 'clubName': 'Bayern Munich', 'clubID': '27', 'value': '€60.00m'}, {'date': '22/06/2023', 'age': '29', 'clubName': 'Bayern Munich', 'clubID': '27', 'value': '€50.00m'}, {'date': '22/12/2023', 'age': '29', 'clubName': 'FC Barcelona', 'clubID': '131', 'value': '€40.00m'}, {'date': '21/03/2024', 'age': '29', 'clubName': 'FC Barcelona', 'clubID': '131', 'value': '€30.00m'}, {'date': '07/06/2024', 'age': '30', 'clubName': 'FC Barcelona', 'clubID': '131', 'value': '€25.00m'}, {'date': '13/12/2024', 'age': '30', 'clubName': 'Al-Hilal SFC', 'clubID': '1114', 'value': '€18.00m'}, {'date': '27/05/2025', 'age': '31', 'clubName': 'Al-Hilal SFC', 'clubID': '1114', 'value': '€15.00m'}, {'date': '18/12/2025', 'age': '31', 'clubName': 'Al-Hilal SFC', 'clubID': '1114', 'value': '€10.00m'}, {'date': '16/03/2026', 'age': '31', 'clubName': 'FC Barcelona', 'clubID': '131', 'value': '€9.00m'}]}</t>
        </is>
      </c>
      <c r="L32" t="inlineStr">
        <is>
          <t>Portugal</t>
        </is>
      </c>
      <c r="M32" t="inlineStr">
        <is>
          <t>1994-05-27</t>
        </is>
      </c>
      <c r="N32" t="inlineStr">
        <is>
          <t>66</t>
        </is>
      </c>
      <c r="O32">
        <f>(65+70)/2</f>
        <v/>
      </c>
      <c r="P32">
        <f>(50+55+60)/3</f>
        <v/>
      </c>
    </row>
    <row r="33">
      <c r="A33" t="inlineStr">
        <is>
          <t>Rudiger</t>
        </is>
      </c>
      <c r="B33" t="inlineStr">
        <is>
          <t>Chelsea</t>
        </is>
      </c>
      <c r="C33" t="inlineStr">
        <is>
          <t>Defender</t>
        </is>
      </c>
      <c r="D33" t="n">
        <v>840</v>
      </c>
      <c r="E33" t="n">
        <v>9</v>
      </c>
      <c r="F33" t="n">
        <v>1</v>
      </c>
      <c r="G33" t="n">
        <v>0</v>
      </c>
      <c r="H33" t="n">
        <v>88.40000000000001</v>
      </c>
      <c r="I33" t="n">
        <v>35.2</v>
      </c>
      <c r="J33" t="n">
        <v>86202</v>
      </c>
      <c r="K33" t="inlineStr">
        <is>
          <t>{'marketValueHistory': [{'date': 'Jul 22, 2011', 'age': '18', 'clubName': 'VfB Stuttgart II', 'clubID': '102', 'value': '€100k'}, {'date': 'Aug 25, 2011', 'age': '18', 'clubName': 'VfB Stuttgart II', 'clubID': '102', 'value': '€150k'}, {'date': 'Jan 11, 2012', 'age': '18', 'clubName': 'VfB Stuttgart II', 'clubID': '102', 'value': '€200k'}, {'date': 'Mar 5, 2012', 'age': '19', 'clubName': 'VfB Stuttgart II', 'clubID': '102', 'value': '€300k'}, {'date': 'Jun 27, 2012', 'age': '19', 'clubName': 'VfB Stuttgart II', 'clubID': '102', 'value': '€500k'}, {'date': 'Jan 13, 2013', 'age': '19', 'clubName': 'VfB Stuttgart', 'clubID': '79', 'value': '€1.00m'}, {'date': 'Mar 11, 2013', 'age': '20', 'clubName': 'VfB Stuttgart', 'clubID': '79', 'value': '€1.50m'}, {'date': 'Jun 30, 2013', 'age': '20', 'clubName': 'VfB Stuttgart', 'clubID': '79', 'value': '€2.75m'}, {'date': 'Nov 5, 2013', 'age': '20', 'clubName': 'VfB Stuttgart', 'clubID': '79', 'value': '€4.50m'}, {'date': 'Feb 12, 2014', 'age': '20', 'clubName': 'VfB Stuttgart', 'clubID': '79', 'value': '€6.00m'}, {'date': 'Jul 10, 2014', 'age': '21', 'clubName': 'VfB Stuttgart', 'clubID': '79', 'value': '€7.00m'}, {'date': 'Aug 21, 2014', 'age': '21', 'clubName': 'VfB Stuttgart', 'clubID': '79', 'value': '€10.00m'}, {'date': 'Feb 4, 2015', 'age': '21', 'clubName': 'VfB Stuttgart', 'clubID': '79', 'value': '€10.00m'}, {'date': 'Jul 1, 2015', 'age': '22', 'clubName': 'VfB Stuttgart', 'clubID': '79', 'value': '€10.00m'}, {'date': 'Jan 4, 2016', 'age': '22', 'clubName': 'AS Roma', 'clubID': '12', 'value': '€9.00m'}, {'date': 'Apr 1, 2016', 'age': '23', 'clubName': 'AS Roma', 'clubID': '12', 'value': '€10.00m'}, {'date': 'Jun 1, 2016', 'age': '23', 'clubName': 'AS Roma', 'clubID': '12', 'value': '€12.00m'}, {'date': 'Jul 15, 2016', 'age': '23', 'clubName': 'AS Roma', 'clubID': '12', 'value': '€12.00m'}, {'date': 'Jan 2, 2017', 'age': '23', 'clubName': 'AS Roma', 'clubID': '12', 'value': '€15.00m'}, {'date': 'Mar 28, 2017', 'age': '24', 'clubName': 'AS Roma', 'clubID': '12', 'value': '€18.00m'}, {'date': 'Jun 8, 2017', 'age': '24', 'clubName': 'AS Roma', 'clubID': '12', 'value': '€25.00m'}, {'date': 'Jan 2, 2018', 'age': '24', 'clubName': 'Chelsea FC', 'clubID': '631', 'value': '€30.00m'}, {'date': 'Mar 23, 2018', 'age': '25', 'clubName': 'Chelsea FC', 'clubID': '631', 'value': '€40.00m'}, {'date': 'May 28, 2018', 'age': '25', 'clubName': 'Chelsea FC', 'clubID': '631', 'value': '€40.00m'}, {'date': 'Dec 19, 2018', 'age': '25', 'clubName': 'Chelsea FC', 'clubID': '631', 'value': '€45.00m'}, {'date': 'Jun 13, 2019', 'age': '26', 'clubName': 'Chelsea FC', 'clubID': '631', 'value': '€50.00m'}, {'date': 'Dec 10, 2019', 'age': '26', 'clubName': 'Chelsea FC', 'clubID': '631', 'value': '€50.00m'}, {'date': 'Apr 8, 2020', 'age': '27', 'clubName': 'Chelsea FC', 'clubID': '631', 'value': '€40.00m'}, {'date': 'Oct 13, 2020', 'age': '27', 'clubName': 'Chelsea FC', 'clubID': '631', 'value': '€30.00m'}, {'date': 'Dec 17, 2020', 'age': '27', 'clubName': 'Chelsea FC', 'clubID': '631', 'value': '€25.00m'}, {'date': 'Mar 18, 2021', 'age': '28', 'clubName': 'Chelsea FC', 'clubID': '631', 'value': '€25.00m'}, {'date': 'Jun 1, 2021', 'age': '28', 'clubName': 'Chelsea FC', 'clubID': '631', 'value': '€28.00m'}, {'date': 'Oct 5, 2021', 'age': '28', 'clubName': 'Chelsea FC', 'clubID': '631', 'value': '€35.00m'}, {'date': 'Dec 23, 2021', 'age': '28', 'clubName': 'Chelsea FC', 'clubID': '631', 'value': '€35.00m'}, {'date': 'Jun 15, 2022', 'age': '29', 'clubName': 'Chelsea FC', 'clubID': '631', 'value': '€40.00m'}, {'date': 'Nov 7, 2022', 'age': '29', 'clubName': 'Real Madrid', 'clubID': '418', 'value': '€40.00m'}, {'date': 'Jun 13, 2023', 'age': '30', 'clubName': 'Real Madrid', 'clubID': '418', 'value': '€32.00m'}, {'date': 'Dec 22, 2023', 'age': '30', 'clubName': 'Real Madrid', 'clubID': '418', 'value': '€25.00m'}, {'date': 'Jun 7, 2024', 'age': '31', 'clubName': 'Real Madrid', 'clubID': '418', 'value': '€25.00m'}, {'date': 'Dec 27, 2024', 'age': '31', 'clubName': 'Real Madrid', 'clubID': '418', 'value': '€24.00m'}, {'date': 'Jun 9, 2025', 'age': '32', 'clubName': 'Real Madrid', 'clubID': '418', 'value': '€20.00m'}, {'date': 'Oct 2, 2025', 'age': '32', 'clubName': 'Real Madrid', 'clubID': '418', 'value': '€15.00m'}, {'date': 'Dec 12, 2025', 'age': '32', 'clubName': 'Real Madrid', 'clubID': '418', 'value': '€12.00m'}, {'date': 'Mar 16, 2026', 'age': '33', 'clubName': 'Real Madrid', 'clubID': '418', 'value': '€9.00m'}]}</t>
        </is>
      </c>
      <c r="L33" t="inlineStr">
        <is>
          <t>Germany</t>
        </is>
      </c>
      <c r="M33" t="inlineStr">
        <is>
          <t>1993-03-03</t>
        </is>
      </c>
      <c r="N33" t="inlineStr">
        <is>
          <t>82</t>
        </is>
      </c>
      <c r="O33">
        <f>(40+40)/2</f>
        <v/>
      </c>
      <c r="P33">
        <f>(25+28+35+35)/4</f>
        <v/>
      </c>
    </row>
    <row r="34">
      <c r="A34" t="inlineStr">
        <is>
          <t>Mendy</t>
        </is>
      </c>
      <c r="B34" t="inlineStr">
        <is>
          <t>Chelsea</t>
        </is>
      </c>
      <c r="C34" t="inlineStr">
        <is>
          <t>Goalkeeper</t>
        </is>
      </c>
      <c r="D34" t="n">
        <v>840</v>
      </c>
      <c r="E34" t="n">
        <v>9</v>
      </c>
      <c r="F34" t="n">
        <v>0</v>
      </c>
      <c r="G34" t="n">
        <v>0</v>
      </c>
      <c r="H34" t="n">
        <v>57.4</v>
      </c>
      <c r="I34" t="n">
        <v>34.7</v>
      </c>
      <c r="J34" t="n">
        <v>157495</v>
      </c>
      <c r="K34" t="inlineStr">
        <is>
          <t>{'marketValueHistory': [{'date': 'Aug 8, 2011', 'age': '17', 'clubName': 'Le Havre AC', 'clubID': '738', 'value': '€50k'}, {'date': 'Sep 3, 2011', 'age': '17', 'clubName': 'Le Havre AC', 'clubID': '738', 'value': '€250k'}, {'date': 'Dec 25, 2011', 'age': '17', 'clubName': 'Le Havre AC', 'clubID': '738', 'value': '€750k'}, {'date': 'Jun 1, 2012', 'age': '17', 'clubName': 'Le Havre AC', 'clubID': '738', 'value': '€900k'}, {'date': 'Jan 4, 2013', 'age': '18', 'clubName': 'Le Havre AC', 'clubID': '738', 'value': '€1.50m'}, {'date': 'May 30, 2013', 'age': '18', 'clubName': 'Le Havre AC', 'clubID': '738', 'value': '€2.00m'}, {'date': 'Jul 22, 2013', 'age': '19', 'clubName': 'Olympique Marseille', 'clubID': '244', 'value': '€4.00m'}, {'date': 'Jan 14, 2014', 'age': '19', 'clubName': 'Olympique Marseille', 'clubID': '244', 'value': '€4.00m'}, {'date': 'Aug 7, 2014', 'age': '20', 'clubName': 'Olympique Marseille', 'clubID': '244', 'value': '€4.00m'}, {'date': 'Jan 14, 2015', 'age': '20', 'clubName': 'Olympique Marseille', 'clubID': '244', 'value': '€6.00m'}, {'date': 'Jun 6, 2015', 'age': '20', 'clubName': 'Olympique Marseille', 'clubID': '244', 'value': '€6.50m'}, {'date': 'Feb 4, 2016', 'age': '21', 'clubName': 'Olympique Marseille', 'clubID': '244', 'value': '€6.50m'}, {'date': 'Jul 13, 2016', 'age': '21', 'clubName': 'AS Monaco', 'clubID': '162', 'value': '€9.00m'}, {'date': 'Jan 16, 2017', 'age': '22', 'clubName': 'AS Monaco', 'clubID': '162', 'value': '€9.00m'}, {'date': 'Jun 1, 2017', 'age': '22', 'clubName': 'AS Monaco', 'clubID': '162', 'value': '€13.00m'}, {'date': 'Aug 16, 2017', 'age': '23', 'clubName': 'Manchester City', 'clubID': '281', 'value': '€30.00m'}, {'date': 'Jan 2, 2018', 'age': '23', 'clubName': 'Manchester City', 'clubID': '281', 'value': '€40.00m'}, {'date': 'May 28, 2018', 'age': '23', 'clubName': 'Manchester City', 'clubID': '281', 'value': '€40.00m'}, {'date': 'Oct 17, 2018', 'age': '24', 'clubName': 'Manchester City', 'clubID': '281', 'value': '€45.00m'}, {'date': 'Dec 19, 2018', 'age': '24', 'clubName': 'Manchester City', 'clubID': '281', 'value': '€45.00m'}, {'date': 'Mar 5, 2019', 'age': '24', 'clubName': 'Manchester City', 'clubID': '281', 'value': '€40.00m'}, {'date': 'Jun 13, 2019', 'age': '24', 'clubName': 'Manchester City', 'clubID': '281', 'value': '€35.00m'}, {'date': 'Dec 10, 2019', 'age': '25', 'clubName': 'Manchester City', 'clubID': '281', 'value': '€35.00m'}, {'date': 'Apr 8, 2020', 'age': '25', 'clubName': 'Manchester City', 'clubID': '281', 'value': '€28.00m'}, {'date': 'Oct 13, 2020', 'age': '26', 'clubName': 'Manchester City', 'clubID': '281', 'value': '€28.00m'}, {'date': 'Mar 18, 2021', 'age': '26', 'clubName': 'Manchester City', 'clubID': '281', 'value': '€22.00m'}, {'date': 'Jun 8, 2021', 'age': '26', 'clubName': 'Manchester City', 'clubID': '281', 'value': '€20.00m'}, {'date': 'Oct 5, 2021', 'age': '27', 'clubName': 'Manchester City', 'clubID': '281', 'value': '€10.00m'}, {'date': 'Dec 23, 2021', 'age': '27', 'clubName': 'Manchester City', 'clubID': '281', 'value': '€10.00m'}, {'date': 'Mar 29, 2022', 'age': '27', 'clubName': 'Manchester City', 'clubID': '281', 'value': '-'}, {'date': 'Jul 19, 2023', 'age': '29', 'clubName': 'FC Lorient', 'clubID': '1158', 'value': '€3.00m'}, {'date': 'Dec 18, 2023', 'age': '29', 'clubName': 'FC Lorient', 'clubID': '1158', 'value': '€2.00m'}, {'date': 'Jun 3, 2024', 'age': '29', 'clubName': 'FC Lorient', 'clubID': '1158', 'value': '€2.00m'}, {'date': 'Oct 3, 2024', 'age': '30', 'clubName': 'FC Lorient', 'clubID': '1158', 'value': '€1.50m'}, {'date': 'Dec 4, 2024', 'age': '30', 'clubName': 'FC Lorient', 'clubID': '1158', 'value': '€1.20m'}, {'date': 'Jun 10, 2025', 'age': '30', 'clubName': 'FC Zürich', 'clubID': '260', 'value': '€1.00m'}, {'date': 'Dec 8, 2025', 'age': '31', 'clubName': 'Pogon Szczecin', 'clubID': '324', 'value': '€800k'}, {'date': 'Mar 26, 2026', 'age': '31', 'clubName': 'Pogon Szczecin', 'clubID': '324', 'value': '€600k'}]}</t>
        </is>
      </c>
      <c r="L34" t="inlineStr">
        <is>
          <t>France</t>
        </is>
      </c>
      <c r="M34" t="inlineStr">
        <is>
          <t>1994-07-17</t>
        </is>
      </c>
      <c r="N34" t="inlineStr">
        <is>
          <t>10</t>
        </is>
      </c>
      <c r="P34">
        <f>(22+20+10+10)/4</f>
        <v/>
      </c>
    </row>
    <row r="35">
      <c r="A35" t="inlineStr">
        <is>
          <t>Robertson</t>
        </is>
      </c>
      <c r="B35" t="inlineStr">
        <is>
          <t>Liverpool</t>
        </is>
      </c>
      <c r="C35" t="inlineStr">
        <is>
          <t>Defender</t>
        </is>
      </c>
      <c r="D35" t="n">
        <v>826</v>
      </c>
      <c r="E35" t="n">
        <v>10</v>
      </c>
      <c r="F35" t="n">
        <v>0</v>
      </c>
      <c r="G35" t="n">
        <v>2</v>
      </c>
      <c r="H35" t="n">
        <v>97.7</v>
      </c>
      <c r="I35" t="n">
        <v>34.1</v>
      </c>
      <c r="J35" t="n">
        <v>234803</v>
      </c>
      <c r="K35" t="inlineStr">
        <is>
          <t>{'marketValueHistory': [{'date': 'Oct 8, 2013', 'age': '19', 'clubName': 'Dundee United FC', 'clubID': '1519', 'value': '€75k'}, {'date': 'Feb 13, 2014', 'age': '19', 'clubName': 'Dundee United FC', 'clubID': '1519', 'value': '€600k'}, {'date': 'Aug 12, 2014', 'age': '20', 'clubName': 'Hull City', 'clubID': '3008', 'value': '€3.50m'}, {'date': 'Feb 12, 2015', 'age': '20', 'clubName': 'Hull City', 'clubID': '3008', 'value': '€5.00m'}, {'date': 'Sep 24, 2015', 'age': '21', 'clubName': 'Hull City', 'clubID': '3008', 'value': '€5.00m'}, {'date': 'Apr 20, 2016', 'age': '22', 'clubName': 'Hull City', 'clubID': '3008', 'value': '€6.00m'}, {'date': 'Aug 1, 2016', 'age': '22', 'clubName': 'Hull City', 'clubID': '3008', 'value': '€7.00m'}, {'date': 'Feb 20, 2017', 'age': '22', 'clubName': 'Hull City', 'clubID': '3008', 'value': '€7.00m'}, {'date': 'Jun 28, 2017', 'age': '23', 'clubName': 'Hull City', 'clubID': '3008', 'value': '€7.00m'}, {'date': 'Jan 2, 2018', 'age': '23', 'clubName': 'Liverpool FC', 'clubID': '31', 'value': '€10.00m'}, {'date': 'May 28, 2018', 'age': '24', 'clubName': 'Liverpool FC', 'clubID': '31', 'value': '€25.00m'}, {'date': 'Oct 17, 2018', 'age': '24', 'clubName': 'Liverpool FC', 'clubID': '31', 'value': '€35.00m'}, {'date': 'Dec 19, 2018', 'age': '24', 'clubName': 'Liverpool FC', 'clubID': '31', 'value': '€45.00m'}, {'date': 'Mar 5, 2019', 'age': '24', 'clubName': 'Liverpool FC', 'clubID': '31', 'value': '€50.00m'}, {'date': 'Jun 13, 2019', 'age': '25', 'clubName': 'Liverpool FC', 'clubID': '31', 'value': '€60.00m'}, {'date': 'Dec 10, 2019', 'age': '25', 'clubName': 'Liverpool FC', 'clubID': '31', 'value': '€80.00m'}, {'date': 'Apr 8, 2020', 'age': '26', 'clubName': 'Liverpool FC', 'clubID': '31', 'value': '€64.00m'}, {'date': 'Oct 13, 2020', 'age': '26', 'clubName': 'Liverpool FC', 'clubID': '31', 'value': '€75.00m'}, {'date': 'Mar 18, 2021', 'age': '27', 'clubName': 'Liverpool FC', 'clubID': '31', 'value': '€70.00m'}, {'date': 'May 28, 2021', 'age': '27', 'clubName': 'Liverpool FC', 'clubID': '31', 'value': '€65.00m'}, {'date': 'Dec 23, 2021', 'age': '27', 'clubName': 'Liverpool FC', 'clubID': '31', 'value': '€65.00m'}, {'date': 'Jun 15, 2022', 'age': '28', 'clubName': 'Liverpool FC', 'clubID': '31', 'value': '€65.00m'}, {'date': 'Nov 3, 2022', 'age': '28', 'clubName': 'Liverpool FC', 'clubID': '31', 'value': '€55.00m'}, {'date': 'Mar 16, 2023', 'age': '29', 'clubName': 'Liverpool FC', 'clubID': '31', 'value': '€48.00m'}, {'date': 'Jun 20, 2023', 'age': '29', 'clubName': 'Liverpool FC', 'clubID': '31', 'value': '€40.00m'}, {'date': 'Dec 19, 2023', 'age': '29', 'clubName': 'Liverpool FC', 'clubID': '31', 'value': '€35.00m'}, {'date': 'May 27, 2024', 'age': '30', 'clubName': 'Liverpool FC', 'clubID': '31', 'value': '€30.00m'}, {'date': 'Dec 16, 2024', 'age': '30', 'clubName': 'Liverpool FC', 'clubID': '31', 'value': '€25.00m'}, {'date': 'Mar 18, 2025', 'age': '31', 'clubName': 'Liverpool FC', 'clubID': '31', 'value': '€20.00m'}, {'date': 'May 30, 2025', 'age': '31', 'clubName': 'Liverpool FC', 'clubID': '31', 'value': '€18.00m'}, {'date': 'Oct 17, 2025', 'age': '31', 'clubName': 'Liverpool FC', 'clubID': '31', 'value': '€15.00m'}, {'date': 'Dec 9, 2025', 'age': '31', 'clubName': 'Liverpool FC', 'clubID': '31', 'value': '€12.00m'}, {'date': 'Mar 9, 2026', 'age': '31', 'clubName': 'Liverpool FC', 'clubID': '31', 'value': '€10.00m'}]}</t>
        </is>
      </c>
      <c r="L35" t="inlineStr">
        <is>
          <t>United Kingdom</t>
        </is>
      </c>
      <c r="M35" t="inlineStr">
        <is>
          <t>1994-03-11</t>
        </is>
      </c>
      <c r="N35" t="inlineStr">
        <is>
          <t>Scotland</t>
        </is>
      </c>
      <c r="O35">
        <f>(65+55)/2</f>
        <v/>
      </c>
      <c r="P35">
        <f>(70+65+65)/3</f>
        <v/>
      </c>
    </row>
    <row r="36">
      <c r="A36" t="inlineStr">
        <is>
          <t>Mane</t>
        </is>
      </c>
      <c r="B36" t="inlineStr">
        <is>
          <t>Liverpool</t>
        </is>
      </c>
      <c r="C36" t="inlineStr">
        <is>
          <t>Forward</t>
        </is>
      </c>
      <c r="D36" t="n">
        <v>822</v>
      </c>
      <c r="E36" t="n">
        <v>13</v>
      </c>
      <c r="F36" t="n">
        <v>5</v>
      </c>
      <c r="G36" t="n">
        <v>1</v>
      </c>
      <c r="H36" t="n">
        <v>100.3</v>
      </c>
      <c r="I36" t="n">
        <v>33.1</v>
      </c>
      <c r="J36" t="n">
        <v>288230</v>
      </c>
      <c r="K36" t="inlineStr">
        <is>
          <t>{'marketValueHistory': [{'date': '06/10/2015', 'age': '18', 'clubName': 'Stade Rennais FC', 'clubID': '273', 'value': '€250k'}, {'date': '04/02/2016', 'age': '18', 'clubName': 'Stade Rennais FC', 'clubID': '273', 'value': '€3.00m'}, {'date': '09/04/2016', 'age': '18', 'clubName': 'Stade Rennais FC', 'clubID': '273', 'value': '€12.00m'}, {'date': '22/07/2016', 'age': '19', 'clubName': 'Borussia Dortmund', 'clubID': '16', 'value': '€14.00m'}, {'date': '13/10/2016', 'age': '19', 'clubName': 'Borussia Dortmund', 'clubID': '16', 'value': '€18.00m'}, {'date': '07/02/2017', 'age': '19', 'clubName': 'Borussia Dortmund', 'clubID': '16', 'value': '€28.00m'}, {'date': '19/06/2017', 'age': '20', 'clubName': 'Borussia Dortmund', 'clubID': '16', 'value': '€33.00m'}, {'date': '01/01/2018', 'age': '20', 'clubName': 'FC Barcelona', 'clubID': '131', 'value': '€80.00m'}, {'date': '30/05/2018', 'age': '21', 'clubName': 'FC Barcelona', 'clubID': '131', 'value': '€80.00m'}, {'date': '21/12/2018', 'age': '21', 'clubName': 'FC Barcelona', 'clubID': '131', 'value': '€80.00m'}, {'date': '28/02/2019', 'age': '21', 'clubName': 'FC Barcelona', 'clubID': '131', 'value': '€120.00m'}, {'date': '11/06/2019', 'age': '22', 'clubName': 'FC Barcelona', 'clubID': '131', 'value': '€100.00m'}, {'date': '20/12/2019', 'age': '22', 'clubName': 'FC Barcelona', 'clubID': '131', 'value': '€75.00m'}, {'date': '05/03/2020', 'age': '22', 'clubName': 'FC Barcelona', 'clubID': '131', 'value': '€70.00m'}, {'date': '08/04/2020', 'age': '22', 'clubName': 'FC Barcelona', 'clubID': '131', 'value': '€56.00m'}, {'date': '08/10/2020', 'age': '23', 'clubName': 'FC Barcelona', 'clubID': '131', 'value': '€50.00m'}, {'date': '05/01/2021', 'age': '23', 'clubName': 'FC Barcelona', 'clubID': '131', 'value': '€50.00m'}, {'date': '01/06/2021', 'age': '24', 'clubName': 'FC Barcelona', 'clubID': '131', 'value': '€50.00m'}, {'date': '30/12/2021', 'age': '24', 'clubName': 'FC Barcelona', 'clubID': '131', 'value': '€30.00m'}, {'date': '03/06/2022', 'age': '25', 'clubName': 'FC Barcelona', 'clubID': '131', 'value': '€30.00m'}, {'date': '23/09/2022', 'age': '25', 'clubName': 'FC Barcelona', 'clubID': '131', 'value': '€50.00m'}, {'date': '07/11/2022', 'age': '25', 'clubName': 'FC Barcelona', 'clubID': '131', 'value': '€60.00m'}, {'date': '13/06/2023', 'age': '26', 'clubName': 'FC Barcelona', 'clubID': '131', 'value': '€60.00m'}, {'date': '18/12/2023', 'age': '26', 'clubName': 'Paris Saint-Germain', 'clubID': '583', 'value': '€60.00m'}, {'date': '03/06/2024', 'age': '27', 'clubName': 'Paris Saint-Germain', 'clubID': '583', 'value': '€60.00m'}, {'date': '10/12/2024', 'age': '27', 'clubName': 'Paris Saint-Germain', 'clubID': '583', 'value': '€55.00m'}, {'date': '24/03/2025', 'age': '27', 'clubName': 'Paris Saint-Germain', 'clubID': '583', 'value': '€75.00m'}, {'date': '03/06/2025', 'age': '28', 'clubName': 'Paris Saint-Germain', 'clubID': '583', 'value': '€90.00m'}, {'date': '10/10/2025', 'age': '28', 'clubName': 'Paris Saint-Germain', 'clubID': '583', 'value': '€100.00m'}, {'date': '15/12/2025', 'age': '28', 'clubName': 'Paris Saint-Germain', 'clubID': '583', 'value': '€100.00m'}]}</t>
        </is>
      </c>
      <c r="L36" t="inlineStr">
        <is>
          <t>France</t>
        </is>
      </c>
      <c r="M36" t="inlineStr">
        <is>
          <t>1997-05-15</t>
        </is>
      </c>
      <c r="N36" t="inlineStr">
        <is>
          <t>58</t>
        </is>
      </c>
      <c r="O36">
        <f>(30+50+60)/3</f>
        <v/>
      </c>
      <c r="P36">
        <f>(50+50+30)/3</f>
        <v/>
      </c>
    </row>
    <row r="37">
      <c r="A37" t="inlineStr">
        <is>
          <t>Reinildo</t>
        </is>
      </c>
      <c r="B37" t="inlineStr">
        <is>
          <t>Atletico de Madrid</t>
        </is>
      </c>
      <c r="C37" t="inlineStr">
        <is>
          <t>Defender</t>
        </is>
      </c>
      <c r="D37" t="n">
        <v>816</v>
      </c>
      <c r="E37" t="n">
        <v>10</v>
      </c>
      <c r="F37" t="n">
        <v>0</v>
      </c>
      <c r="G37" t="n">
        <v>0</v>
      </c>
      <c r="H37" t="n">
        <v>88.8</v>
      </c>
      <c r="I37" t="n">
        <v>37.9</v>
      </c>
      <c r="J37" t="n">
        <v>240692</v>
      </c>
      <c r="K37" t="inlineStr">
        <is>
          <t>{'marketValueHistory': [{'date': '14/03/2016', 'age': '22', 'clubName': 'SL Benfica B', 'clubID': '10330', 'value': '€25k'}, {'date': '30/09/2016', 'age': '22', 'clubName': 'SL Benfica B', 'clubID': '10330', 'value': '€150k'}, {'date': '30/06/2017', 'age': '23', 'clubName': 'SL Benfica B', 'clubID': '10330', 'value': '€200k'}, {'date': '08/09/2017', 'age': '23', 'clubName': 'SC Covilhã', 'clubID': '10140', 'value': '€200k'}, {'date': '23/02/2018', 'age': '24', 'clubName': 'SC Covilhã', 'clubID': '10140', 'value': '€250k'}, {'date': '29/06/2018', 'age': '24', 'clubName': 'SC Covilhã', 'clubID': '10140', 'value': '€425k'}, {'date': '11/01/2019', 'age': '24', 'clubName': 'B SAD', 'clubID': '2457', 'value': '€600k'}, {'date': '03/06/2019', 'age': '25', 'clubName': 'LOSC Lille', 'clubID': '1082', 'value': '€600k'}, {'date': '27/09/2019', 'age': '25', 'clubName': 'LOSC Lille', 'clubID': '1082', 'value': '€2.00m'}, {'date': '19/12/2019', 'age': '25', 'clubName': 'LOSC Lille', 'clubID': '1082', 'value': '€3.00m'}, {'date': '08/04/2020', 'age': '26', 'clubName': 'LOSC Lille', 'clubID': '1082', 'value': '€2.40m'}, {'date': '03/08/2020', 'age': '26', 'clubName': 'LOSC Lille', 'clubID': '1082', 'value': '€3.00m'}, {'date': '15/10/2020', 'age': '26', 'clubName': 'LOSC Lille', 'clubID': '1082', 'value': '€3.00m'}, {'date': '09/04/2021', 'age': '27', 'clubName': 'LOSC Lille', 'clubID': '1082', 'value': '€6.00m'}, {'date': '04/06/2021', 'age': '27', 'clubName': 'LOSC Lille', 'clubID': '1082', 'value': '€9.00m'}, {'date': '08/10/2021', 'age': '27', 'clubName': 'LOSC Lille', 'clubID': '1082', 'value': '€7.00m'}, {'date': '16/12/2021', 'age': '27', 'clubName': 'LOSC Lille', 'clubID': '1082', 'value': '€10.00m'}, {'date': '21/03/2022', 'age': '28', 'clubName': 'Atlético de Madrid', 'clubID': '13', 'value': '€15.00m'}, {'date': '03/06/2022', 'age': '28', 'clubName': 'Atlético de Madrid', 'clubID': '13', 'value': '€22.00m'}, {'date': '23/09/2022', 'age': '28', 'clubName': 'Atlético de Madrid', 'clubID': '13', 'value': '€25.00m'}, {'date': '07/11/2022', 'age': '28', 'clubName': 'Atlético de Madrid', 'clubID': '13', 'value': '€25.00m'}, {'date': '13/06/2023', 'age': '29', 'clubName': 'Atlético de Madrid', 'clubID': '13', 'value': '€25.00m'}, {'date': '13/10/2023', 'age': '29', 'clubName': 'Atlético de Madrid', 'clubID': '13', 'value': '€20.00m'}, {'date': '22/12/2023', 'age': '29', 'clubName': 'Atlético de Madrid', 'clubID': '13', 'value': '€16.00m'}, {'date': '21/03/2024', 'age': '30', 'clubName': 'Atlético de Madrid', 'clubID': '13', 'value': '€12.00m'}, {'date': '07/06/2024', 'age': '30', 'clubName': 'Atlético de Madrid', 'clubID': '13', 'value': '€9.00m'}, {'date': '27/12/2024', 'age': '30', 'clubName': 'Atlético de Madrid', 'clubID': '13', 'value': '€8.00m'}, {'date': '09/06/2025', 'age': '31', 'clubName': 'Atlético de Madrid', 'clubID': '13', 'value': '€5.00m'}, {'date': '09/12/2025', 'age': '31', 'clubName': 'Sunderland AFC', 'clubID': '289', 'value': '€5.00m'}]}</t>
        </is>
      </c>
      <c r="L37" t="inlineStr">
        <is>
          <t>Mozambique</t>
        </is>
      </c>
      <c r="M37" t="inlineStr">
        <is>
          <t>1994-01-21</t>
        </is>
      </c>
      <c r="N37" t="inlineStr">
        <is>
          <t>Mozambique</t>
        </is>
      </c>
      <c r="O37">
        <f>(15+22+25+25)/4</f>
        <v/>
      </c>
      <c r="P37">
        <f>(6+9+7+10)/4</f>
        <v/>
      </c>
    </row>
    <row r="38">
      <c r="A38" t="inlineStr">
        <is>
          <t>Van Dijk</t>
        </is>
      </c>
      <c r="B38" t="inlineStr">
        <is>
          <t>Liverpool</t>
        </is>
      </c>
      <c r="C38" t="inlineStr">
        <is>
          <t>Defender</t>
        </is>
      </c>
      <c r="D38" t="n">
        <v>810</v>
      </c>
      <c r="E38" t="n">
        <v>9</v>
      </c>
      <c r="F38" t="n">
        <v>0</v>
      </c>
      <c r="G38" t="n">
        <v>1</v>
      </c>
      <c r="H38" t="n">
        <v>82.90000000000001</v>
      </c>
      <c r="I38" t="n">
        <v>33.7</v>
      </c>
      <c r="J38" t="n">
        <v>139208</v>
      </c>
      <c r="K38" t="inlineStr">
        <is>
          <t>{'marketValueHistory': [{'date': 'May 3, 2011', 'age': '19', 'clubName': 'FC Groningen U21', 'clubID': '14725', 'value': '€50k'}, {'date': 'Jun 17, 2011', 'age': '19', 'clubName': 'FC Groningen U21', 'clubID': '14725', 'value': '€250k'}, {'date': 'Oct 21, 2011', 'age': '20', 'clubName': 'FC Groningen', 'clubID': '202', 'value': '€600k'}, {'date': 'Jan 10, 2012', 'age': '20', 'clubName': 'FC Groningen', 'clubID': '202', 'value': '€1.25m'}, {'date': 'Jul 21, 2012', 'age': '21', 'clubName': 'FC Groningen', 'clubID': '202', 'value': '€1.50m'}, {'date': 'Jan 13, 2013', 'age': '21', 'clubName': 'FC Groningen', 'clubID': '202', 'value': '€2.00m'}, {'date': 'Jun 12, 2013', 'age': '21', 'clubName': 'FC Groningen', 'clubID': '202', 'value': '€3.00m'}, {'date': 'Feb 13, 2014', 'age': '22', 'clubName': 'Celtic FC', 'clubID': '371', 'value': '€4.00m'}, {'date': 'Oct 7, 2014', 'age': '23', 'clubName': 'Celtic FC', 'clubID': '371', 'value': '€5.00m'}, {'date': 'Oct 14, 2015', 'age': '24', 'clubName': 'Southampton FC', 'clubID': '180', 'value': '€10.00m'}, {'date': 'Feb 9, 2016', 'age': '24', 'clubName': 'Southampton FC', 'clubID': '180', 'value': '€12.00m'}, {'date': 'Aug 1, 2016', 'age': '25', 'clubName': 'Southampton FC', 'clubID': '180', 'value': '€12.00m'}, {'date': 'Oct 24, 2016', 'age': '25', 'clubName': 'Southampton FC', 'clubID': '180', 'value': '€16.00m'}, {'date': 'Feb 20, 2017', 'age': '25', 'clubName': 'Southampton FC', 'clubID': '180', 'value': '€25.00m'}, {'date': 'Jun 28, 2017', 'age': '25', 'clubName': 'Southampton FC', 'clubID': '180', 'value': '€30.00m'}, {'date': 'Jan 2, 2018', 'age': '26', 'clubName': 'Liverpool FC', 'clubID': '31', 'value': '€50.00m'}, {'date': 'May 28, 2018', 'age': '26', 'clubName': 'Liverpool FC', 'clubID': '31', 'value': '€50.00m'}, {'date': 'Oct 17, 2018', 'age': '27', 'clubName': 'Liverpool FC', 'clubID': '31', 'value': '€60.00m'}, {'date': 'Dec 19, 2018', 'age': '27', 'clubName': 'Liverpool FC', 'clubID': '31', 'value': '€75.00m'}, {'date': 'Jun 13, 2019', 'age': '27', 'clubName': 'Liverpool FC', 'clubID': '31', 'value': '€90.00m'}, {'date': 'Sep 12, 2019', 'age': '28', 'clubName': 'Liverpool FC', 'clubID': '31', 'value': '€100.00m'}, {'date': 'Dec 10, 2019', 'age': '28', 'clubName': 'Liverpool FC', 'clubID': '31', 'value': '€100.00m'}, {'date': 'Apr 8, 2020', 'age': '28', 'clubName': 'Liverpool FC', 'clubID': '31', 'value': '€80.00m'}, {'date': 'Oct 13, 2020', 'age': '29', 'clubName': 'Liverpool FC', 'clubID': '31', 'value': '€80.00m'}, {'date': 'Mar 18, 2021', 'age': '29', 'clubName': 'Liverpool FC', 'clubID': '31', 'value': '€70.00m'}, {'date': 'Jun 8, 2021', 'age': '29', 'clubName': 'Liverpool FC', 'clubID': '31', 'value': '€55.00m'}, {'date': 'Dec 23, 2021', 'age': '30', 'clubName': 'Liverpool FC', 'clubID': '31', 'value': '€55.00m'}, {'date': 'Jun 15, 2022', 'age': '30', 'clubName': 'Liverpool FC', 'clubID': '31', 'value': '€55.00m'}, {'date': 'Nov 3, 2022', 'age': '31', 'clubName': 'Liverpool FC', 'clubID': '31', 'value': '€50.00m'}, {'date': 'Mar 16, 2023', 'age': '31', 'clubName': 'Liverpool FC', 'clubID': '31', 'value': '€45.00m'}, {'date': 'Jun 20, 2023', 'age': '31', 'clubName': 'Liverpool FC', 'clubID': '31', 'value': '€35.00m'}, {'date': 'Dec 19, 2023', 'age': '32', 'clubName': 'Liverpool FC', 'clubID': '31', 'value': '€32.00m'}, {'date': 'May 27, 2024', 'age': '32', 'clubName': 'Liverpool FC', 'clubID': '31', 'value': '€30.00m'}, {'date': 'Dec 16, 2024', 'age': '33', 'clubName': 'Liverpool FC', 'clubID': '31', 'value': '€28.00m'}, {'date': 'May 30, 2025', 'age': '33', 'clubName': 'Liverpool FC', 'clubID': '31', 'value': '€23.00m'}, {'date': 'Dec 9, 2025', 'age': '34', 'clubName': 'Liverpool FC', 'clubID': '31', 'value': '€18.00m'}]}</t>
        </is>
      </c>
      <c r="L38" t="inlineStr">
        <is>
          <t>Netherlands</t>
        </is>
      </c>
      <c r="M38" t="inlineStr">
        <is>
          <t>1991-07-08</t>
        </is>
      </c>
      <c r="N38" t="inlineStr">
        <is>
          <t>Netherlands</t>
        </is>
      </c>
      <c r="O38">
        <f>(55+50)/2</f>
        <v/>
      </c>
      <c r="P38">
        <f>(70+55+55)/3</f>
        <v/>
      </c>
    </row>
    <row r="39">
      <c r="A39" t="inlineStr">
        <is>
          <t>Neuer</t>
        </is>
      </c>
      <c r="B39" t="inlineStr">
        <is>
          <t>Bayern</t>
        </is>
      </c>
      <c r="C39" t="inlineStr">
        <is>
          <t>Goalkeeper</t>
        </is>
      </c>
      <c r="D39" t="n">
        <v>810</v>
      </c>
      <c r="E39" t="n">
        <v>9</v>
      </c>
      <c r="F39" t="n">
        <v>0</v>
      </c>
      <c r="G39" t="n">
        <v>1</v>
      </c>
      <c r="H39" t="n">
        <v>51.2</v>
      </c>
      <c r="I39" t="n">
        <v>26.3</v>
      </c>
      <c r="J39" t="n">
        <v>17259</v>
      </c>
      <c r="K39" t="inlineStr">
        <is>
          <t>{'marketValueHistory': [{'date': '17/03/2005', 'age': '18', 'clubName': 'FC Schalke 04 U19', 'clubID': '1463', 'value': '€75k'}, {'date': '16/09/2005', 'age': '19', 'clubName': 'FC Schalke 04', 'clubID': '33', 'value': '€150k'}, {'date': '21/08/2006', 'age': '20', 'clubName': 'FC Schalke 04', 'clubID': '33', 'value': '€350k'}, {'date': '15/01/2007', 'age': '20', 'clubName': 'FC Schalke 04', 'clubID': '33', 'value': '€1.50m'}, {'date': '21/06/2007', 'age': '21', 'clubName': 'FC Schalke 04', 'clubID': '33', 'value': '€3.00m'}, {'date': '01/01/2008', 'age': '21', 'clubName': 'FC Schalke 04', 'clubID': '33', 'value': '€4.50m'}, {'date': '04/06/2008', 'age': '22', 'clubName': 'FC Schalke 04', 'clubID': '33', 'value': '€7.00m'}, {'date': '21/01/2009', 'age': '22', 'clubName': 'FC Schalke 04', 'clubID': '33', 'value': '€9.00m'}, {'date': '10/06/2009', 'age': '23', 'clubName': 'FC Schalke 04', 'clubID': '33', 'value': '€11.00m'}, {'date': '17/01/2010', 'age': '23', 'clubName': 'FC Schalke 04', 'clubID': '33', 'value': '€15.00m'}, {'date': '16/07/2010', 'age': '24', 'clubName': 'FC Schalke 04', 'clubID': '33', 'value': '€20.00m'}, {'date': '12/01/2011', 'age': '24', 'clubName': 'FC Schalke 04', 'clubID': '33', 'value': '€24.00m'}, {'date': '29/06/2011', 'age': '25', 'clubName': 'FC Schalke 04', 'clubID': '33', 'value': '€28.00m'}, {'date': '23/01/2012', 'age': '25', 'clubName': 'Bayern Munich', 'clubID': '27', 'value': '€30.00m'}, {'date': '29/06/2012', 'age': '26', 'clubName': 'Bayern Munich', 'clubID': '27', 'value': '€30.00m'}, {'date': '13/01/2013', 'age': '26', 'clubName': 'Bayern Munich', 'clubID': '27', 'value': '€30.00m'}, {'date': '30/06/2013', 'age': '27', 'clubName': 'Bayern Munich', 'clubID': '27', 'value': '€30.00m'}, {'date': '12/02/2014', 'age': '27', 'clubName': 'Bayern Munich', 'clubID': '27', 'value': '€35.00m'}, {'date': '10/07/2014', 'age': '28', 'clubName': 'Bayern Munich', 'clubID': '27', 'value': '€40.00m'}, {'date': '04/02/2015', 'age': '28', 'clubName': 'Bayern Munich', 'clubID': '27', 'value': '€45.00m'}, {'date': '01/07/2015', 'age': '29', 'clubName': 'Bayern Munich', 'clubID': '27', 'value': '€45.00m'}, {'date': '15/02/2016', 'age': '29', 'clubName': 'Bayern Munich', 'clubID': '27', 'value': '€45.00m'}, {'date': '01/06/2016', 'age': '30', 'clubName': 'Bayern Munich', 'clubID': '27', 'value': '€45.00m'}, {'date': '22/07/2016', 'age': '30', 'clubName': 'Bayern Munich', 'clubID': '27', 'value': '€45.00m'}, {'date': '07/02/2017', 'age': '30', 'clubName': 'Bayern Munich', 'clubID': '27', 'value': '€45.00m'}, {'date': '19/06/2017', 'age': '31', 'clubName': 'Bayern Munich', 'clubID': '27', 'value': '€40.00m'}, {'date': '28/12/2017', 'age': '31', 'clubName': 'Bayern Munich', 'clubID': '27', 'value': '€35.00m'}, {'date': '05/06/2018', 'age': '32', 'clubName': 'Bayern Munich', 'clubID': '27', 'value': '€35.00m'}, {'date': '22/10/2018', 'age': '32', 'clubName': 'Bayern Munich', 'clubID': '27', 'value': '€30.00m'}, {'date': '18/12/2018', 'age': '32', 'clubName': 'Bayern Munich', 'clubID': '27', 'value': '€22.00m'}, {'date': '05/06/2019', 'age': '33', 'clubName': 'Bayern Munich', 'clubID': '27', 'value': '€18.00m'}, {'date': '17/12/2019', 'age': '33', 'clubName': 'Bayern Munich', 'clubID': '27', 'value': '€18.00m'}, {'date': '08/04/2020', 'age': '34', 'clubName': 'Bayern Munich', 'clubID': '27', 'value': '€14.50m'}, {'date': '16/09/2020', 'age': '34', 'clubName': 'Bayern Munich', 'clubID': '27', 'value': '€18.00m'}, {'date': '10/02/2021', 'age': '34', 'clubName': 'Bayern Munich', 'clubID': '27', 'value': '€18.00m'}, {'date': '01/06/2021', 'age': '35', 'clubName': 'Bayern Munich', 'clubID': '27', 'value': '€18.00m'}, {'date': '22/12/2021', 'age': '35', 'clubName': 'Bayern Munich', 'clubID': '27', 'value': '€14.00m'}, {'date': '09/06/2022', 'age': '36', 'clubName': 'Bayern Munich', 'clubID': '27', 'value': '€15.00m'}, {'date': '09/11/2022', 'age': '36', 'clubName': 'Bayern Munich', 'clubID': '27', 'value': '€12.00m'}, {'date': '29/03/2023', 'age': '37', 'clubName': 'Bayern Munich', 'clubID': '27', 'value': '€7.00m'}, {'date': '22/06/2023', 'age': '37', 'clubName': 'Bayern Munich', 'clubID': '27', 'value': '€7.00m'}, {'date': '18/10/2023', 'age': '37', 'clubName': 'Bayern Munich', 'clubID': '27', 'value': '€5.00m'}, {'date': '14/12/2023', 'age': '37', 'clubName': 'Bayern Munich', 'clubID': '27', 'value': '€5.00m'}, {'date': '29/05/2024', 'age': '38', 'clubName': 'Bayern Munich', 'clubID': '27', 'value': '€4.00m'}, {'date': '20/12/2024', 'age': '38', 'clubName': 'Bayern Munich', 'clubID': '27', 'value': '€4.00m'}, {'date': '05/06/2025', 'age': '39', 'clubName': 'Bayern Munich', 'clubID': '27', 'value': '€4.00m'}, {'date': '19/12/2025', 'age': '39', 'clubName': 'Bayern Munich', 'clubID': '27', 'value': '€4.00m'}]}</t>
        </is>
      </c>
      <c r="L39" t="inlineStr">
        <is>
          <t>Germany</t>
        </is>
      </c>
      <c r="M39" t="inlineStr">
        <is>
          <t>1986-03-27</t>
        </is>
      </c>
      <c r="N39" t="inlineStr">
        <is>
          <t>124</t>
        </is>
      </c>
      <c r="O39">
        <f>(15+12)/2</f>
        <v/>
      </c>
      <c r="P39">
        <f>(18+18+14)/3</f>
        <v/>
      </c>
    </row>
    <row r="40">
      <c r="A40" t="inlineStr">
        <is>
          <t>Weigl</t>
        </is>
      </c>
      <c r="B40" t="inlineStr">
        <is>
          <t>Benfica</t>
        </is>
      </c>
      <c r="C40" t="inlineStr">
        <is>
          <t>Midfielder</t>
        </is>
      </c>
      <c r="D40" t="n">
        <v>810</v>
      </c>
      <c r="E40" t="n">
        <v>9</v>
      </c>
      <c r="F40" t="n">
        <v>0</v>
      </c>
      <c r="G40" t="n">
        <v>0</v>
      </c>
      <c r="H40" t="n">
        <v>112</v>
      </c>
      <c r="I40" t="n">
        <v>29.9</v>
      </c>
      <c r="J40" t="n">
        <v>196792</v>
      </c>
      <c r="K40" t="inlineStr">
        <is>
          <t>{'marketValueHistory': [{'date': '22/07/2013', 'age': '17', 'clubName': 'TSV 1860 München II', 'clubID': '73', 'value': '€50k'}, {'date': '02/01/2014', 'age': '18', 'clubName': 'TSV 1860 München II', 'clubID': '73', 'value': '€75k'}, {'date': '06/02/2014', 'age': '18', 'clubName': 'TSV 1860 München II', 'clubID': '73', 'value': '€100k'}, {'date': '18/05/2014', 'age': '18', 'clubName': 'TSV 1860 Munich', 'clubID': '72', 'value': '€200k'}, {'date': '30/06/2014', 'age': '18', 'clubName': 'TSV 1860 Munich', 'clubID': '72', 'value': '€800k'}, {'date': '13/01/2015', 'age': '19', 'clubName': 'TSV 1860 Munich', 'clubID': '72', 'value': '€900k'}, {'date': '01/07/2015', 'age': '19', 'clubName': 'Borussia Dortmund', 'clubID': '16', 'value': '€2.00m'}, {'date': '16/10/2015', 'age': '20', 'clubName': 'Borussia Dortmund', 'clubID': '16', 'value': '€7.00m'}, {'date': '15/02/2016', 'age': '20', 'clubName': 'Borussia Dortmund', 'clubID': '16', 'value': '€9.00m'}, {'date': '13/04/2016', 'age': '20', 'clubName': 'Borussia Dortmund', 'clubID': '16', 'value': '€12.00m'}, {'date': '01/06/2016', 'age': '20', 'clubName': 'Borussia Dortmund', 'clubID': '16', 'value': '€14.00m'}, {'date': '22/07/2016', 'age': '20', 'clubName': 'Borussia Dortmund', 'clubID': '16', 'value': '€18.00m'}, {'date': '07/02/2017', 'age': '21', 'clubName': 'Borussia Dortmund', 'clubID': '16', 'value': '€23.00m'}, {'date': '19/06/2017', 'age': '21', 'clubName': 'Borussia Dortmund', 'clubID': '16', 'value': '€25.00m'}, {'date': '28/12/2017', 'age': '22', 'clubName': 'Borussia Dortmund', 'clubID': '16', 'value': '€30.00m'}, {'date': '05/06/2018', 'age': '22', 'clubName': 'Borussia Dortmund', 'clubID': '16', 'value': '€30.00m'}, {'date': '22/10/2018', 'age': '23', 'clubName': 'Borussia Dortmund', 'clubID': '16', 'value': '€25.00m'}, {'date': '18/12/2018', 'age': '23', 'clubName': 'Borussia Dortmund', 'clubID': '16', 'value': '€22.00m'}, {'date': '05/06/2019', 'age': '23', 'clubName': 'Borussia Dortmund', 'clubID': '16', 'value': '€25.00m'}, {'date': '17/12/2019', 'age': '24', 'clubName': 'Borussia Dortmund', 'clubID': '16', 'value': '€23.00m'}, {'date': '08/04/2020', 'age': '24', 'clubName': 'SL Benfica', 'clubID': '294', 'value': '€18.50m'}, {'date': '17/08/2020', 'age': '24', 'clubName': 'SL Benfica', 'clubID': '294', 'value': '€20.00m'}, {'date': '22/10/2020', 'age': '25', 'clubName': 'SL Benfica', 'clubID': '294', 'value': '€17.00m'}, {'date': '28/01/2021', 'age': '25', 'clubName': 'SL Benfica', 'clubID': '294', 'value': '€17.00m'}, {'date': '25/03/2021', 'age': '25', 'clubName': 'SL Benfica', 'clubID': '294', 'value': '€20.00m'}, {'date': '21/05/2021', 'age': '25', 'clubName': 'SL Benfica', 'clubID': '294', 'value': '€20.00m'}, {'date': '27/12/2021', 'age': '26', 'clubName': 'SL Benfica', 'clubID': '294', 'value': '€22.00m'}, {'date': '31/05/2022', 'age': '26', 'clubName': 'SL Benfica', 'clubID': '294', 'value': '€22.00m'}, {'date': '21/09/2022', 'age': '27', 'clubName': 'Borussia Mönchengladbach', 'clubID': '18', 'value': '€15.00m'}, {'date': '09/11/2022', 'age': '27', 'clubName': 'Borussia Mönchengladbach', 'clubID': '18', 'value': '€15.00m'}, {'date': '22/06/2023', 'age': '27', 'clubName': 'Borussia Mönchengladbach', 'clubID': '18', 'value': '€10.00m'}, {'date': '14/12/2023', 'age': '28', 'clubName': 'Borussia Mönchengladbach', 'clubID': '18', 'value': '€10.00m'}, {'date': '29/05/2024', 'age': '28', 'clubName': 'Borussia Mönchengladbach', 'clubID': '18', 'value': '€6.00m'}, {'date': '20/12/2024', 'age': '29', 'clubName': 'Borussia Mönchengladbach', 'clubID': '18', 'value': '€6.00m'}, {'date': '05/06/2025', 'age': '29', 'clubName': 'Borussia Mönchengladbach', 'clubID': '18', 'value': '€6.00m'}, {'date': '18/12/2025', 'age': '30', 'clubName': 'Al-Qadsiah FC', 'clubID': '26069', 'value': '€5.00m'}]}</t>
        </is>
      </c>
      <c r="L40" t="inlineStr">
        <is>
          <t>Germany</t>
        </is>
      </c>
      <c r="M40" t="inlineStr">
        <is>
          <t>1995-09-08</t>
        </is>
      </c>
      <c r="N40" t="inlineStr">
        <is>
          <t>Germany</t>
        </is>
      </c>
      <c r="O40">
        <f>(22+15+15)/3</f>
        <v/>
      </c>
      <c r="P40">
        <f>(17+20+20+22)/4</f>
        <v/>
      </c>
    </row>
    <row r="41">
      <c r="A41" t="inlineStr">
        <is>
          <t>Otamendi</t>
        </is>
      </c>
      <c r="B41" t="inlineStr">
        <is>
          <t>Benfica</t>
        </is>
      </c>
      <c r="C41" t="inlineStr">
        <is>
          <t>Defender</t>
        </is>
      </c>
      <c r="D41" t="n">
        <v>810</v>
      </c>
      <c r="E41" t="n">
        <v>9</v>
      </c>
      <c r="F41" t="n">
        <v>0</v>
      </c>
      <c r="G41" t="n">
        <v>0</v>
      </c>
      <c r="H41" t="n">
        <v>91.2</v>
      </c>
      <c r="I41" t="n">
        <v>31.2</v>
      </c>
      <c r="J41" t="n">
        <v>54781</v>
      </c>
      <c r="K41" t="inlineStr">
        <is>
          <t>{'marketValueHistory': [{'date': '10/10/2007', 'age': '19', 'clubName': 'CA Vélez Sarsfield II', 'clubID': '1029', 'value': '€50k'}, {'date': '20/12/2008', 'age': '20', 'clubName': 'CA Vélez Sarsfield II', 'clubID': '1029', 'value': '€50k'}, {'date': '18/05/2009', 'age': '21', 'clubName': 'CA Vélez Sarsfield', 'clubID': '1029', 'value': '€1.70m'}, {'date': '06/10/2009', 'age': '21', 'clubName': 'CA Vélez Sarsfield', 'clubID': '1029', 'value': '€2.80m'}, {'date': '21/01/2010', 'age': '21', 'clubName': 'CA Vélez Sarsfield', 'clubID': '1029', 'value': '€4.50m'}, {'date': '20/04/2010', 'age': '22', 'clubName': 'CA Vélez Sarsfield', 'clubID': '1029', 'value': '€5.00m'}, {'date': '04/02/2011', 'age': '22', 'clubName': 'FC Porto', 'clubID': '720', 'value': '€4.70m'}, {'date': '15/06/2011', 'age': '23', 'clubName': 'FC Porto', 'clubID': '720', 'value': '€7.00m'}, {'date': '21/09/2011', 'age': '23', 'clubName': 'FC Porto', 'clubID': '720', 'value': '€8.00m'}, {'date': '02/02/2012', 'age': '23', 'clubName': 'FC Porto', 'clubID': '720', 'value': '€9.50m'}, {'date': '07/07/2012', 'age': '24', 'clubName': 'FC Porto', 'clubID': '720', 'value': '€9.50m'}, {'date': '27/03/2013', 'age': '25', 'clubName': 'FC Porto', 'clubID': '720', 'value': '€12.00m'}, {'date': '02/07/2013', 'age': '25', 'clubName': 'FC Porto', 'clubID': '720', 'value': '€13.00m'}, {'date': '28/03/2014', 'age': '26', 'clubName': 'Clube Atlético Mineiro', 'clubID': '330', 'value': '€12.00m'}, {'date': '20/07/2014', 'age': '26', 'clubName': 'Valencia CF', 'clubID': '1049', 'value': '€12.00m'}, {'date': '23/01/2015', 'age': '26', 'clubName': 'Valencia CF', 'clubID': '1049', 'value': '€18.00m'}, {'date': '01/07/2015', 'age': '27', 'clubName': 'Valencia CF', 'clubID': '1049', 'value': '€25.00m'}, {'date': '14/10/2015', 'age': '27', 'clubName': 'Manchester City', 'clubID': '281', 'value': '€32.00m'}, {'date': '09/02/2016', 'age': '27', 'clubName': 'Manchester City', 'clubID': '281', 'value': '€32.00m'}, {'date': '01/08/2016', 'age': '28', 'clubName': 'Manchester City', 'clubID': '281', 'value': '€32.00m'}, {'date': '20/02/2017', 'age': '29', 'clubName': 'Manchester City', 'clubID': '281', 'value': '€30.00m'}, {'date': '28/06/2017', 'age': '29', 'clubName': 'Manchester City', 'clubID': '281', 'value': '€30.00m'}, {'date': '02/01/2018', 'age': '29', 'clubName': 'Manchester City', 'clubID': '281', 'value': '€35.00m'}, {'date': '28/05/2018', 'age': '30', 'clubName': 'Manchester City', 'clubID': '281', 'value': '€35.00m'}, {'date': '19/12/2018', 'age': '30', 'clubName': 'Manchester City', 'clubID': '281', 'value': '€35.00m'}, {'date': '05/03/2019', 'age': '31', 'clubName': 'Manchester City', 'clubID': '281', 'value': '€30.00m'}, {'date': '13/06/2019', 'age': '31', 'clubName': 'Manchester City', 'clubID': '281', 'value': '€25.00m'}, {'date': '10/12/2019', 'age': '31', 'clubName': 'Manchester City', 'clubID': '281', 'value': '€18.00m'}, {'date': '08/04/2020', 'age': '32', 'clubName': 'Manchester City', 'clubID': '281', 'value': '€14.50m'}, {'date': '22/10/2020', 'age': '32', 'clubName': 'SL Benfica', 'clubID': '294', 'value': '€11.00m'}, {'date': '28/01/2021', 'age': '32', 'clubName': 'SL Benfica', 'clubID': '294', 'value': '€8.00m'}, {'date': '21/05/2021', 'age': '33', 'clubName': 'SL Benfica', 'clubID': '294', 'value': '€8.00m'}, {'date': '27/12/2021', 'age': '33', 'clubName': 'SL Benfica', 'clubID': '294', 'value': '€6.00m'}, {'date': '10/03/2022', 'age': '34', 'clubName': 'SL Benfica', 'clubID': '294', 'value': '€4.50m'}, {'date': '31/05/2022', 'age': '34', 'clubName': 'SL Benfica', 'clubID': '294', 'value': '€3.50m'}, {'date': '01/11/2022', 'age': '34', 'clubName': 'SL Benfica', 'clubID': '294', 'value': '€3.00m'}, {'date': '16/06/2023', 'age': '35', 'clubName': 'SL Benfica', 'clubID': '294', 'value': '€2.00m'}, {'date': '27/12/2023', 'age': '35', 'clubName': 'SL Benfica', 'clubID': '294', 'value': '€1.50m'}, {'date': '06/06/2024', 'age': '36', 'clubName': 'SL Benfica', 'clubID': '294', 'value': '€1.00m'}, {'date': '19/12/2024', 'age': '36', 'clubName': 'SL Benfica', 'clubID': '294', 'value': '€1.00m'}, {'date': '30/05/2025', 'age': '37', 'clubName': 'SL Benfica', 'clubID': '294', 'value': '€1.00m'}, {'date': '18/12/2025', 'age': '37', 'clubName': 'SL Benfica', 'clubID': '294', 'value': '€1.00m'}]}</t>
        </is>
      </c>
      <c r="L41" t="inlineStr">
        <is>
          <t>Argentina</t>
        </is>
      </c>
      <c r="M41" t="inlineStr">
        <is>
          <t>1988-02-12</t>
        </is>
      </c>
      <c r="N41" t="inlineStr">
        <is>
          <t>Argentina</t>
        </is>
      </c>
      <c r="O41">
        <f>(4.5+3.5+3)/3</f>
        <v/>
      </c>
      <c r="P41">
        <f>(8+8+6)/3</f>
        <v/>
      </c>
    </row>
    <row r="42">
      <c r="A42" t="inlineStr">
        <is>
          <t>Valverde</t>
        </is>
      </c>
      <c r="B42" t="inlineStr">
        <is>
          <t>Real Madrid</t>
        </is>
      </c>
      <c r="C42" t="inlineStr">
        <is>
          <t>Midfielder</t>
        </is>
      </c>
      <c r="D42" t="n">
        <v>804</v>
      </c>
      <c r="E42" t="n">
        <v>11</v>
      </c>
      <c r="F42" t="n">
        <v>0</v>
      </c>
      <c r="G42" t="n">
        <v>1</v>
      </c>
      <c r="H42" t="n">
        <v>96.90000000000001</v>
      </c>
      <c r="I42" t="n">
        <v>37.4</v>
      </c>
      <c r="J42" t="n">
        <v>369081</v>
      </c>
      <c r="K42" t="inlineStr">
        <is>
          <t>{'marketValueHistory': [{'date': 'Aug 14, 2015', 'age': '17', 'clubName': 'CA Peñarol', 'clubID': '861', 'value': '€400k'}, {'date': 'Feb 25, 2016', 'age': '17', 'clubName': 'CA Peñarol', 'clubID': '861', 'value': '€450k'}, {'date': 'Aug 1, 2016', 'age': '18', 'clubName': 'Real Madrid Castilla', 'clubID': '6767', 'value': '€500k'}, {'date': 'Oct 27, 2016', 'age': '18', 'clubName': 'Real Madrid Castilla', 'clubID': '6767', 'value': '€1.00m'}, {'date': 'Feb 2, 2017', 'age': '18', 'clubName': 'Real Madrid Castilla', 'clubID': '6767', 'value': '€1.00m'}, {'date': 'Jun 22, 2017', 'age': '18', 'clubName': 'Real Madrid Castilla', 'clubID': '6767', 'value': '€3.00m'}, {'date': 'Jan 1, 2018', 'age': '19', 'clubName': 'Deportivo de La Coruña', 'clubID': '897', 'value': '€3.00m'}, {'date': 'May 30, 2018', 'age': '19', 'clubName': 'Deportivo de La Coruña', 'clubID': '897', 'value': '€6.00m'}, {'date': 'Dec 21, 2018', 'age': '20', 'clubName': 'Real Madrid', 'clubID': '418', 'value': '€6.00m'}, {'date': 'Jun 11, 2019', 'age': '20', 'clubName': 'Real Madrid', 'clubID': '418', 'value': '€20.00m'}, {'date': 'Dec 20, 2019', 'age': '21', 'clubName': 'Real Madrid', 'clubID': '418', 'value': '€50.00m'}, {'date': 'Mar 5, 2020', 'age': '21', 'clubName': 'Real Madrid', 'clubID': '418', 'value': '€60.00m'}, {'date': 'Apr 8, 2020', 'age': '21', 'clubName': 'Real Madrid', 'clubID': '418', 'value': '€54.00m'}, {'date': 'Oct 8, 2020', 'age': '22', 'clubName': 'Real Madrid', 'clubID': '418', 'value': '€70.00m'}, {'date': 'Jan 5, 2021', 'age': '22', 'clubName': 'Real Madrid', 'clubID': '418', 'value': '€70.00m'}, {'date': 'Jun 10, 2021', 'age': '22', 'clubName': 'Real Madrid', 'clubID': '418', 'value': '€65.00m'}, {'date': 'Dec 30, 2021', 'age': '23', 'clubName': 'Real Madrid', 'clubID': '418', 'value': '€65.00m'}, {'date': 'Jun 3, 2022', 'age': '23', 'clubName': 'Real Madrid', 'clubID': '418', 'value': '€70.00m'}, {'date': 'Sep 23, 2022', 'age': '24', 'clubName': 'Real Madrid', 'clubID': '418', 'value': '€80.00m'}, {'date': 'Nov 7, 2022', 'age': '24', 'clubName': 'Real Madrid', 'clubID': '418', 'value': '€100.00m'}, {'date': 'Jun 13, 2023', 'age': '24', 'clubName': 'Real Madrid', 'clubID': '418', 'value': '€100.00m'}, {'date': 'Dec 22, 2023', 'age': '25', 'clubName': 'Real Madrid', 'clubID': '418', 'value': '€100.00m'}, {'date': 'Jun 7, 2024', 'age': '25', 'clubName': 'Real Madrid', 'clubID': '418', 'value': '€120.00m'}, {'date': 'Oct 11, 2024', 'age': '26', 'clubName': 'Real Madrid', 'clubID': '418', 'value': '€130.00m'}, {'date': 'Dec 27, 2024', 'age': '26', 'clubName': 'Real Madrid', 'clubID': '418', 'value': '€130.00m'}, {'date': 'Jun 9, 2025', 'age': '26', 'clubName': 'Real Madrid', 'clubID': '418', 'value': '€130.00m'}, {'date': 'Dec 12, 2025', 'age': '27', 'clubName': 'Real Madrid', 'clubID': '418', 'value': '€120.00m'}]}</t>
        </is>
      </c>
      <c r="L42" t="inlineStr">
        <is>
          <t>Uruguay</t>
        </is>
      </c>
      <c r="M42" t="inlineStr">
        <is>
          <t>1998-07-22</t>
        </is>
      </c>
      <c r="N42" t="inlineStr">
        <is>
          <t>73</t>
        </is>
      </c>
      <c r="O42">
        <f>(70+80+100)/3</f>
        <v/>
      </c>
      <c r="P42">
        <f>(70+65+65)/3</f>
        <v/>
      </c>
    </row>
    <row r="43">
      <c r="A43" t="inlineStr">
        <is>
          <t>Sane</t>
        </is>
      </c>
      <c r="B43" t="inlineStr">
        <is>
          <t>Bayern</t>
        </is>
      </c>
      <c r="C43" t="inlineStr">
        <is>
          <t>Midfielder</t>
        </is>
      </c>
      <c r="D43" t="n">
        <v>798</v>
      </c>
      <c r="E43" t="n">
        <v>10</v>
      </c>
      <c r="F43" t="n">
        <v>6</v>
      </c>
      <c r="G43" t="n">
        <v>6</v>
      </c>
      <c r="H43" t="n">
        <v>94</v>
      </c>
      <c r="I43" t="n">
        <v>35.3</v>
      </c>
      <c r="J43" t="n">
        <v>192565</v>
      </c>
      <c r="K43" t="inlineStr">
        <is>
          <t>{'marketValueHistory': [{'date': '22/04/2014', 'age': '18', 'clubName': 'FC Schalke 04 U19', 'clubID': '1463', 'value': '€300k'}, {'date': '10/07/2014', 'age': '18', 'clubName': 'FC Schalke 04 U19', 'clubID': '1463', 'value': '€500k'}, {'date': '04/02/2015', 'age': '19', 'clubName': 'FC Schalke 04 U19', 'clubID': '1463', 'value': '€1.00m'}, {'date': '29/03/2015', 'age': '19', 'clubName': 'FC Schalke 04 U19', 'clubID': '1463', 'value': '€1.50m'}, {'date': '01/07/2015', 'age': '19', 'clubName': 'FC Schalke 04', 'clubID': '33', 'value': '€4.00m'}, {'date': '16/10/2015', 'age': '19', 'clubName': 'FC Schalke 04', 'clubID': '33', 'value': '€8.00m'}, {'date': '15/02/2016', 'age': '20', 'clubName': 'FC Schalke 04', 'clubID': '33', 'value': '€18.00m'}, {'date': '01/06/2016', 'age': '20', 'clubName': 'FC Schalke 04', 'clubID': '33', 'value': '€18.00m'}, {'date': '22/07/2016', 'age': '20', 'clubName': 'FC Schalke 04', 'clubID': '33', 'value': '€30.00m'}, {'date': '20/02/2017', 'age': '21', 'clubName': 'Manchester City', 'clubID': '281', 'value': '€30.00m'}, {'date': '28/06/2017', 'age': '21', 'clubName': 'Manchester City', 'clubID': '281', 'value': '€35.00m'}, {'date': '23/10/2017', 'age': '21', 'clubName': 'Manchester City', 'clubID': '281', 'value': '€45.00m'}, {'date': '02/01/2018', 'age': '21', 'clubName': 'Manchester City', 'clubID': '281', 'value': '€75.00m'}, {'date': '28/05/2018', 'age': '22', 'clubName': 'Manchester City', 'clubID': '281', 'value': '€90.00m'}, {'date': '19/12/2018', 'age': '22', 'clubName': 'Manchester City', 'clubID': '281', 'value': '€100.00m'}, {'date': '13/06/2019', 'age': '23', 'clubName': 'Manchester City', 'clubID': '281', 'value': '€100.00m'}, {'date': '10/12/2019', 'age': '23', 'clubName': 'Manchester City', 'clubID': '281', 'value': '€100.00m'}, {'date': '08/04/2020', 'age': '24', 'clubName': 'Manchester City', 'clubID': '281', 'value': '€80.00m'}, {'date': '16/09/2020', 'age': '24', 'clubName': 'Bayern Munich', 'clubID': '27', 'value': '€70.00m'}, {'date': '10/02/2021', 'age': '25', 'clubName': 'Bayern Munich', 'clubID': '27', 'value': '€60.00m'}, {'date': '31/03/2021', 'age': '25', 'clubName': 'Bayern Munich', 'clubID': '27', 'value': '€70.00m'}, {'date': '01/06/2021', 'age': '25', 'clubName': 'Bayern Munich', 'clubID': '27', 'value': '€60.00m'}, {'date': '22/12/2021', 'age': '25', 'clubName': 'Bayern Munich', 'clubID': '27', 'value': '€70.00m'}, {'date': '09/06/2022', 'age': '26', 'clubName': 'Bayern Munich', 'clubID': '27', 'value': '€60.00m'}, {'date': '09/11/2022', 'age': '26', 'clubName': 'Bayern Munich', 'clubID': '27', 'value': '€70.00m'}, {'date': '22/06/2023', 'age': '27', 'clubName': 'Bayern Munich', 'clubID': '27', 'value': '€65.00m'}, {'date': '18/10/2023', 'age': '27', 'clubName': 'Bayern Munich', 'clubID': '27', 'value': '€75.00m'}, {'date': '14/12/2023', 'age': '27', 'clubName': 'Bayern Munich', 'clubID': '27', 'value': '€80.00m'}, {'date': '27/03/2024', 'age': '28', 'clubName': 'Bayern Munich', 'clubID': '27', 'value': '€70.00m'}, {'date': '29/05/2024', 'age': '28', 'clubName': 'Bayern Munich', 'clubID': '27', 'value': '€70.00m'}, {'date': '09/10/2024', 'age': '28', 'clubName': 'Bayern Munich', 'clubID': '27', 'value': '€60.00m'}, {'date': '20/12/2024', 'age': '28', 'clubName': 'Bayern Munich', 'clubID': '27', 'value': '€45.00m'}, {'date': '27/03/2025', 'age': '29', 'clubName': 'Bayern Munich', 'clubID': '27', 'value': '€38.00m'}, {'date': '05/06/2025', 'age': '29', 'clubName': 'Bayern Munich', 'clubID': '27', 'value': '€32.00m'}, {'date': '01/10/2025', 'age': '29', 'clubName': 'Galatasaray', 'clubID': '141', 'value': '€25.00m'}, {'date': '17/12/2025', 'age': '29', 'clubName': 'Galatasaray', 'clubID': '141', 'value': '€23.00m'}, {'date': '05/03/2026', 'age': '30', 'clubName': 'Galatasaray', 'clubID': '141', 'value': '€22.00m'}]}</t>
        </is>
      </c>
      <c r="L43" t="inlineStr">
        <is>
          <t>Germany</t>
        </is>
      </c>
      <c r="M43" t="inlineStr">
        <is>
          <t>1996-01-11</t>
        </is>
      </c>
      <c r="N43" t="inlineStr">
        <is>
          <t>Germany</t>
        </is>
      </c>
      <c r="O43">
        <f>(60+70)/2</f>
        <v/>
      </c>
      <c r="P43">
        <f>(60+70+60+70)/4</f>
        <v/>
      </c>
    </row>
    <row r="44">
      <c r="A44" t="inlineStr">
        <is>
          <t>Alexander-Arnold</t>
        </is>
      </c>
      <c r="B44" t="inlineStr">
        <is>
          <t>Liverpool</t>
        </is>
      </c>
      <c r="C44" t="inlineStr">
        <is>
          <t>Defender</t>
        </is>
      </c>
      <c r="D44" t="n">
        <v>794</v>
      </c>
      <c r="E44" t="n">
        <v>9</v>
      </c>
      <c r="F44" t="n">
        <v>0</v>
      </c>
      <c r="G44" t="n">
        <v>4</v>
      </c>
      <c r="H44" t="n">
        <v>86.8</v>
      </c>
      <c r="I44" t="n">
        <v>32.9</v>
      </c>
      <c r="J44" t="n">
        <v>314353</v>
      </c>
      <c r="K44" t="inlineStr">
        <is>
          <t>{'marketValueHistory': [{'date': 'Feb 20, 2017', 'age': '18', 'clubName': 'Liverpool FC', 'clubID': '31', 'value': '€500k'}, {'date': 'Jun 28, 2017', 'age': '18', 'clubName': 'Liverpool FC', 'clubID': '31', 'value': '€1.50m'}, {'date': 'Oct 23, 2017', 'age': '19', 'clubName': 'Liverpool FC', 'clubID': '31', 'value': '€5.00m'}, {'date': 'Jan 2, 2018', 'age': '19', 'clubName': 'Liverpool FC', 'clubID': '31', 'value': '€8.00m'}, {'date': 'May 28, 2018', 'age': '19', 'clubName': 'Liverpool FC', 'clubID': '31', 'value': '€25.00m'}, {'date': 'Oct 17, 2018', 'age': '20', 'clubName': 'Liverpool FC', 'clubID': '31', 'value': '€35.00m'}, {'date': 'Dec 19, 2018', 'age': '20', 'clubName': 'Liverpool FC', 'clubID': '31', 'value': '€45.00m'}, {'date': 'Mar 5, 2019', 'age': '20', 'clubName': 'Liverpool FC', 'clubID': '31', 'value': '€50.00m'}, {'date': 'Jun 13, 2019', 'age': '20', 'clubName': 'Liverpool FC', 'clubID': '31', 'value': '€80.00m'}, {'date': 'Dec 10, 2019', 'age': '21', 'clubName': 'Liverpool FC', 'clubID': '31', 'value': '€110.00m'}, {'date': 'Apr 8, 2020', 'age': '21', 'clubName': 'Liverpool FC', 'clubID': '31', 'value': '€99.00m'}, {'date': 'Jul 30, 2020', 'age': '21', 'clubName': 'Liverpool FC', 'clubID': '31', 'value': '€110.00m'}, {'date': 'Oct 13, 2020', 'age': '22', 'clubName': 'Liverpool FC', 'clubID': '31', 'value': '€110.00m'}, {'date': 'Mar 18, 2021', 'age': '22', 'clubName': 'Liverpool FC', 'clubID': '31', 'value': '€100.00m'}, {'date': 'May 28, 2021', 'age': '22', 'clubName': 'Liverpool FC', 'clubID': '31', 'value': '€75.00m'}, {'date': 'Dec 23, 2021', 'age': '23', 'clubName': 'Liverpool FC', 'clubID': '31', 'value': '€80.00m'}, {'date': 'Jun 15, 2022', 'age': '23', 'clubName': 'Liverpool FC', 'clubID': '31', 'value': '€80.00m'}, {'date': 'Nov 3, 2022', 'age': '24', 'clubName': 'Liverpool FC', 'clubID': '31', 'value': '€70.00m'}, {'date': 'Mar 16, 2023', 'age': '24', 'clubName': 'Liverpool FC', 'clubID': '31', 'value': '€65.00m'}, {'date': 'Jun 20, 2023', 'age': '24', 'clubName': 'Liverpool FC', 'clubID': '31', 'value': '€65.00m'}, {'date': 'Dec 19, 2023', 'age': '25', 'clubName': 'Liverpool FC', 'clubID': '31', 'value': '€70.00m'}, {'date': 'May 27, 2024', 'age': '25', 'clubName': 'Liverpool FC', 'clubID': '31', 'value': '€70.00m'}, {'date': 'Dec 16, 2024', 'age': '26', 'clubName': 'Liverpool FC', 'clubID': '31', 'value': '€75.00m'}, {'date': 'May 30, 2025', 'age': '26', 'clubName': 'Liverpool FC', 'clubID': '31', 'value': '€75.00m'}, {'date': 'Dec 12, 2025', 'age': '27', 'clubName': 'Real Madrid', 'clubID': '418', 'value': '€70.00m'}, {'date': 'Mar 16, 2026', 'age': '27', 'clubName': 'Real Madrid', 'clubID': '418', 'value': '€65.00m'}]}</t>
        </is>
      </c>
      <c r="L44" t="inlineStr">
        <is>
          <t>United Kingdom</t>
        </is>
      </c>
      <c r="M44" t="inlineStr">
        <is>
          <t>1998-10-07</t>
        </is>
      </c>
      <c r="N44" t="inlineStr">
        <is>
          <t>34</t>
        </is>
      </c>
      <c r="O44">
        <f>(80+70)/2</f>
        <v/>
      </c>
      <c r="P44">
        <f>(100+75+80)/3</f>
        <v/>
      </c>
    </row>
    <row r="45">
      <c r="A45" t="inlineStr">
        <is>
          <t>Laporte</t>
        </is>
      </c>
      <c r="B45" t="inlineStr">
        <is>
          <t>Man City</t>
        </is>
      </c>
      <c r="C45" t="inlineStr">
        <is>
          <t>Defender</t>
        </is>
      </c>
      <c r="D45" t="n">
        <v>794</v>
      </c>
      <c r="E45" t="n">
        <v>9</v>
      </c>
      <c r="F45" t="n">
        <v>0</v>
      </c>
      <c r="G45" t="n">
        <v>0</v>
      </c>
      <c r="H45" t="n">
        <v>91</v>
      </c>
      <c r="I45" t="n">
        <v>33.9</v>
      </c>
      <c r="J45" t="n">
        <v>176553</v>
      </c>
      <c r="K45" t="inlineStr">
        <is>
          <t>{'id': '176553', 'marketValue': '€25.00m', 'marketValueHistory': [{'age': '18', 'date': 'Dec 17, 2012', 'clubName': 'Athletic Bilbao', 'value': '€600k', 'clubID': '621'}, {'age': '18', 'date': 'Jan 11, 2013', 'clubName': 'Athletic Bilbao', 'value': '€1.00m', 'clubID': '621'}, {'age': '19', 'date': 'Jun 12, 2013', 'clubName': 'Athletic Bilbao', 'value': '€2.00m', 'clubID': '621'}, {'age': '19', 'date': 'Oct 21, 2013', 'clubName': 'Athletic Bilbao', 'value': '€4.00m', 'clubID': '621'}, {'age': '19', 'date': 'Jan 23, 2014', 'clubName': 'Athletic Bilbao', 'value': '€10.00m', 'clubID': '621'}, {'age': '20', 'date': 'Jul 20, 2014', 'clubName': 'Athletic Bilbao', 'value': '€15.00m', 'clubID': '621'}, {'age': '20', 'date': 'Jan 23, 2015', 'clubName': 'Athletic Bilbao', 'value': '€15.00m', 'clubID': '621'}, {'age': '21', 'date': 'Jul 1, 2015', 'clubName': 'Athletic Bilbao', 'value': '€15.00m', 'clubID': '621'}, {'age': '21', 'date': 'Nov 22, 2015', 'clubName': 'Athletic Bilbao', 'value': '€20.00m', 'clubID': '621'}, {'age': '21', 'date': 'Feb 22, 2016', 'clubName': 'Athletic Bilbao', 'value': '€25.00m', 'clubID': '621'}, {'age': '22', 'date': 'Jul 15, 2016', 'clubName': 'Athletic Bilbao', 'value': '€25.00m', 'clubID': '621'}, {'age': '22', 'date': 'Jan 24, 2017', 'clubName': 'Athletic Bilbao', 'value': '€25.00m', 'clubID': '621'}, {'age': '23', 'date': 'Jun 5, 2017', 'clubName': 'Athletic Bilbao', 'value': '€25.00m', 'clubID': '621'}, {'age': '23', 'date': 'Jan 1, 2018', 'clubName': 'Athletic Bilbao', 'value': '€25.00m', 'clubID': '621'}, {'age': '23', 'date': 'Mar 23, 2018', 'clubName': 'Manchester City', 'value': '€50.00m', 'clubID': '281'}, {'age': '24', 'date': 'May 28, 2018', 'clubName': 'Manchester City', 'value': '€50.00m', 'clubID': '281'}, {'age': '24', 'date': 'Dec 19, 2018', 'clubName': 'Manchester City', 'value': '€60.00m', 'clubID': '281'}, {'age': '25', 'date': 'Jun 13, 2019', 'clubName': 'Manchester City', 'value': '€75.00m', 'clubID': '281'}, {'age': '25', 'date': 'Dec 10, 2019', 'clubName': 'Manchester City', 'value': '€75.00m', 'clubID': '281'}, {'age': '25', 'date': 'Apr 8, 2020', 'clubName': 'Manchester City', 'value': '€60.00m', 'clubID': '281'}, {'age': '26', 'date': 'Oct 13, 2020', 'clubName': 'Manchester City', 'value': '€60.00m', 'clubID': '281'}, {'age': '26', 'date': 'Mar 18, 2021', 'clubName': 'Manchester City', 'value': '€50.00m', 'clubID': '281'}, {'age': '27', 'date': 'May 31, 2021', 'clubName': 'Manchester City', 'value': '€45.00m', 'clubID': '281'}, {'age': '27', 'date': 'Dec 23, 2021', 'clubName': 'Manchester City', 'value': '€45.00m', 'clubID': '281'}, {'age': '28', 'date': 'Jun 15, 2022', 'clubName': 'Manchester City', 'value': '€45.00m', 'clubID': '281'}, {'age': '28', 'date': 'Nov 3, 2022', 'clubName': 'Manchester City', 'value': '€38.00m', 'clubID': '281'}, {'age': '28', 'date': 'Mar 16, 2023', 'clubName': 'Manchester City', 'value': '€30.00m', 'clubID': '281'}, {'age': '29', 'date': 'Jun 20, 2023', 'clubName': 'Manchester City', 'value': '€25.00m', 'clubID': '281'}, {'age': '29', 'date': 'Dec 15, 2023', 'clubName': 'Al-Nassr FC', 'value': '€25.00m', 'clubID': '18544'}], 'ranking': {'Worldwide': '325', 'Saudi Pro League': '9', 'Al-Nassr': '2', 'Spain': '26', 'Centre-Back': '58', 'Year 1994': '16'}, 'updatedAt': datetime.datetime(2024, 5, 23, 22, 25, 52, 991257)}</t>
        </is>
      </c>
      <c r="L45" t="inlineStr">
        <is>
          <t>Spain</t>
        </is>
      </c>
      <c r="M45" t="inlineStr">
        <is>
          <t>1994-05-27</t>
        </is>
      </c>
      <c r="N45" t="inlineStr">
        <is>
          <t>Spain</t>
        </is>
      </c>
      <c r="O45">
        <f>(45+38)/2</f>
        <v/>
      </c>
      <c r="P45">
        <f>(50+45+45)/3</f>
        <v/>
      </c>
    </row>
    <row r="46">
      <c r="A46" t="inlineStr">
        <is>
          <t>Muller</t>
        </is>
      </c>
      <c r="B46" t="inlineStr">
        <is>
          <t>Bayern</t>
        </is>
      </c>
      <c r="C46" t="inlineStr">
        <is>
          <t>Forward</t>
        </is>
      </c>
      <c r="D46" t="n">
        <v>778</v>
      </c>
      <c r="E46" t="n">
        <v>10</v>
      </c>
      <c r="F46" t="n">
        <v>4</v>
      </c>
      <c r="G46" t="n">
        <v>3</v>
      </c>
      <c r="H46" t="n">
        <v>98.5</v>
      </c>
      <c r="I46" t="n">
        <v>30.5</v>
      </c>
      <c r="J46" t="n">
        <v>58358</v>
      </c>
      <c r="K46" t="inlineStr">
        <is>
          <t>{'marketValueHistory': [{'date': 'Aug 22, 2008', 'age': '18', 'clubName': 'FC Bayern Munich II', 'clubID': '27', 'value': '€100k'}, {'date': 'Sep 23, 2008', 'age': '19', 'clubName': 'FC Bayern Munich II', 'clubID': '27', 'value': '€250k'}, {'date': 'Jan 21, 2009', 'age': '19', 'clubName': 'FC Bayern Munich II', 'clubID': '27', 'value': '€350k'}, {'date': 'Jun 10, 2009', 'age': '19', 'clubName': 'FC Bayern Munich II', 'clubID': '27', 'value': '€750k'}, {'date': 'Aug 30, 2009', 'age': '19', 'clubName': 'Bayern Munich', 'clubID': '27', 'value': '€1.50m'}, {'date': 'Nov 18, 2009', 'age': '20', 'clubName': 'Bayern Munich', 'clubID': '27', 'value': '€5.00m'}, {'date': 'Mar 7, 2010', 'age': '20', 'clubName': 'Bayern Munich', 'clubID': '27', 'value': '€8.00m'}, {'date': 'May 8, 2010', 'age': '20', 'clubName': 'Bayern Munich', 'clubID': '27', 'value': '€10.00m'}, {'date': 'Jul 16, 2010', 'age': '20', 'clubName': 'Bayern Munich', 'clubID': '27', 'value': '€23.00m'}, {'date': 'Jan 12, 2011', 'age': '21', 'clubName': 'Bayern Munich', 'clubID': '27', 'value': '€23.00m'}, {'date': 'Jun 29, 2011', 'age': '21', 'clubName': 'Bayern Munich', 'clubID': '27', 'value': '€28.00m'}, {'date': 'Sep 1, 2011', 'age': '21', 'clubName': 'Bayern Munich', 'clubID': '27', 'value': '€33.00m'}, {'date': 'Jan 23, 2012', 'age': '22', 'clubName': 'Bayern Munich', 'clubID': '27', 'value': '€35.00m'}, {'date': 'Jun 29, 2012', 'age': '22', 'clubName': 'Bayern Munich', 'clubID': '27', 'value': '€32.00m'}, {'date': 'Jan 13, 2013', 'age': '23', 'clubName': 'Bayern Munich', 'clubID': '27', 'value': '€37.00m'}, {'date': 'Jun 30, 2013', 'age': '23', 'clubName': 'Bayern Munich', 'clubID': '27', 'value': '€45.00m'}, {'date': 'Jul 10, 2014', 'age': '24', 'clubName': 'Bayern Munich', 'clubID': '27', 'value': '€50.00m'}, {'date': 'Feb 4, 2015', 'age': '25', 'clubName': 'Bayern Munich', 'clubID': '27', 'value': '€55.00m'}, {'date': 'Jul 1, 2015', 'age': '25', 'clubName': 'Bayern Munich', 'clubID': '27', 'value': '€55.00m'}, {'date': 'Oct 16, 2015', 'age': '26', 'clubName': 'Bayern Munich', 'clubID': '27', 'value': '€75.00m'}, {'date': 'Feb 15, 2016', 'age': '26', 'clubName': 'Bayern Munich', 'clubID': '27', 'value': '€75.00m'}, {'date': 'Jun 1, 2016', 'age': '26', 'clubName': 'Bayern Munich', 'clubID': '27', 'value': '€75.00m'}, {'date': 'Jul 22, 2016', 'age': '26', 'clubName': 'Bayern Munich', 'clubID': '27', 'value': '€75.00m'}, {'date': 'Feb 7, 2017', 'age': '27', 'clubName': 'Bayern Munich', 'clubID': '27', 'value': '€60.00m'}, {'date': 'Jun 19, 2017', 'age': '27', 'clubName': 'Bayern Munich', 'clubID': '27', 'value': '€50.00m'}, {'date': 'Dec 28, 2017', 'age': '28', 'clubName': 'Bayern Munich', 'clubID': '27', 'value': '€45.00m'}, {'date': 'Apr 4, 2018', 'age': '28', 'clubName': 'Bayern Munich', 'clubID': '27', 'value': '€55.00m'}, {'date': 'Jun 5, 2018', 'age': '28', 'clubName': 'Bayern Munich', 'clubID': '27', 'value': '€60.00m'}, {'date': 'Jul 16, 2018', 'age': '28', 'clubName': 'Bayern Munich', 'clubID': '27', 'value': '€55.00m'}, {'date': 'Oct 22, 2018', 'age': '29', 'clubName': 'Bayern Munich', 'clubID': '27', 'value': '€50.00m'}, {'date': 'Dec 18, 2018', 'age': '29', 'clubName': 'Bayern Munich', 'clubID': '27', 'value': '€40.00m'}, {'date': 'Jun 5, 2019', 'age': '29', 'clubName': 'Bayern Munich', 'clubID': '27', 'value': '€35.00m'}, {'date': 'Dec 17, 2019', 'age': '30', 'clubName': 'Bayern Munich', 'clubID': '27', 'value': '€32.00m'}, {'date': 'Apr 8, 2020', 'age': '30', 'clubName': 'Bayern Munich', 'clubID': '27', 'value': '€25.50m'}, {'date': 'Jul 8, 2020', 'age': '30', 'clubName': 'Bayern Munich', 'clubID': '27', 'value': '€30.00m'}, {'date': 'Sep 16, 2020', 'age': '31', 'clubName': 'Bayern Munich', 'clubID': '27', 'value': '€35.00m'}, {'date': 'Feb 10, 2021', 'age': '31', 'clubName': 'Bayern Munich', 'clubID': '27', 'value': '€35.00m'}, {'date': 'Jun 1, 2021', 'age': '31', 'clubName': 'Bayern Munich', 'clubID': '27', 'value': '€30.00m'}, {'date': 'Dec 22, 2021', 'age': '32', 'clubName': 'Bayern Munich', 'clubID': '27', 'value': '€25.00m'}, {'date': 'Jun 9, 2022', 'age': '32', 'clubName': 'Bayern Munich', 'clubID': '27', 'value': '€22.00m'}, {'date': 'Nov 9, 2022', 'age': '33', 'clubName': 'Bayern Munich', 'clubID': '27', 'value': '€18.00m'}, {'date': 'Jun 22, 2023', 'age': '33', 'clubName': 'Bayern Munich', 'clubID': '27', 'value': '€12.00m'}, {'date': 'Dec 14, 2023', 'age': '34', 'clubName': 'Bayern Munich', 'clubID': '27', 'value': '€10.00m'}, {'date': 'May 29, 2024', 'age': '34', 'clubName': 'Bayern Munich', 'clubID': '27', 'value': '€8.00m'}, {'date': 'Dec 20, 2024', 'age': '35', 'clubName': 'Bayern Munich', 'clubID': '27', 'value': '€6.00m'}, {'date': 'Jun 5, 2025', 'age': '35', 'clubName': 'Bayern Munich', 'clubID': '27', 'value': '€6.00m'}, {'date': 'Dec 11, 2025', 'age': '36', 'clubName': 'Vancouver Whitecaps FC', 'clubID': '6321', 'value': '€5.00m'}]}</t>
        </is>
      </c>
      <c r="L46" t="inlineStr">
        <is>
          <t>Germany</t>
        </is>
      </c>
      <c r="M46" t="inlineStr">
        <is>
          <t>1989-09-13</t>
        </is>
      </c>
      <c r="N46" t="inlineStr">
        <is>
          <t>Germany</t>
        </is>
      </c>
      <c r="O46">
        <f>(22+18)/2</f>
        <v/>
      </c>
      <c r="P46">
        <f>(35+30+25)/3</f>
        <v/>
      </c>
    </row>
    <row r="47">
      <c r="A47" t="inlineStr">
        <is>
          <t>Pavard</t>
        </is>
      </c>
      <c r="B47" t="inlineStr">
        <is>
          <t>Bayern</t>
        </is>
      </c>
      <c r="C47" t="inlineStr">
        <is>
          <t>Defender</t>
        </is>
      </c>
      <c r="D47" t="n">
        <v>764</v>
      </c>
      <c r="E47" t="n">
        <v>10</v>
      </c>
      <c r="F47" t="n">
        <v>0</v>
      </c>
      <c r="G47" t="n">
        <v>1</v>
      </c>
      <c r="H47" t="n">
        <v>96.7</v>
      </c>
      <c r="I47" t="n">
        <v>33.9</v>
      </c>
      <c r="J47" t="n">
        <v>353366</v>
      </c>
      <c r="K47" t="inlineStr">
        <is>
          <t>{'marketValueHistory': [{'date': 'Jul 2, 2015', 'age': '19', 'clubName': 'LOSC Lille', 'clubID': '1082', 'value': '€250k'}, {'date': 'Sep 6, 2015', 'age': '19', 'clubName': 'LOSC Lille', 'clubID': '1082', 'value': '€500k'}, {'date': 'Feb 4, 2016', 'age': '19', 'clubName': 'LOSC Lille', 'clubID': '1082', 'value': '€800k'}, {'date': 'Jul 13, 2016', 'age': '20', 'clubName': 'LOSC Lille', 'clubID': '1082', 'value': '€800k'}, {'date': 'Oct 6, 2016', 'age': '20', 'clubName': 'VfB Stuttgart', 'clubID': '79', 'value': '€3.00m'}, {'date': 'Jan 23, 2017', 'age': '20', 'clubName': 'VfB Stuttgart', 'clubID': '79', 'value': '€3.00m'}, {'date': 'Jun 27, 2017', 'age': '21', 'clubName': 'VfB Stuttgart', 'clubID': '79', 'value': '€3.50m'}, {'date': 'Oct 18, 2017', 'age': '21', 'clubName': 'VfB Stuttgart', 'clubID': '79', 'value': '€5.00m'}, {'date': 'Dec 28, 2017', 'age': '21', 'clubName': 'VfB Stuttgart', 'clubID': '79', 'value': '€12.00m'}, {'date': 'Apr 4, 2018', 'age': '22', 'clubName': 'VfB Stuttgart', 'clubID': '79', 'value': '€25.00m'}, {'date': 'Jun 5, 2018', 'age': '22', 'clubName': 'VfB Stuttgart', 'clubID': '79', 'value': '€30.00m'}, {'date': 'Jul 16, 2018', 'age': '22', 'clubName': 'VfB Stuttgart', 'clubID': '79', 'value': '€40.00m'}, {'date': 'Dec 18, 2018', 'age': '22', 'clubName': 'VfB Stuttgart', 'clubID': '79', 'value': '€35.00m'}, {'date': 'Jun 5, 2019', 'age': '23', 'clubName': 'VfB Stuttgart', 'clubID': '79', 'value': '€30.00m'}, {'date': 'Oct 2, 2019', 'age': '23', 'clubName': 'Bayern Munich', 'clubID': '27', 'value': '€35.00m'}, {'date': 'Dec 17, 2019', 'age': '23', 'clubName': 'Bayern Munich', 'clubID': '27', 'value': '€35.00m'}, {'date': 'Apr 8, 2020', 'age': '24', 'clubName': 'Bayern Munich', 'clubID': '27', 'value': '€28.00m'}, {'date': 'Jul 8, 2020', 'age': '24', 'clubName': 'Bayern Munich', 'clubID': '27', 'value': '€40.00m'}, {'date': 'Sep 16, 2020', 'age': '24', 'clubName': 'Bayern Munich', 'clubID': '27', 'value': '€45.00m'}, {'date': 'Feb 10, 2021', 'age': '24', 'clubName': 'Bayern Munich', 'clubID': '27', 'value': '€35.00m'}, {'date': 'Jun 1, 2021', 'age': '25', 'clubName': 'Bayern Munich', 'clubID': '27', 'value': '€35.00m'}, {'date': 'Dec 22, 2021', 'age': '25', 'clubName': 'Bayern Munich', 'clubID': '27', 'value': '€30.00m'}, {'date': 'Jun 9, 2022', 'age': '26', 'clubName': 'Bayern Munich', 'clubID': '27', 'value': '€30.00m'}, {'date': 'Nov 9, 2022', 'age': '26', 'clubName': 'Bayern Munich', 'clubID': '27', 'value': '€35.00m'}, {'date': 'Jun 22, 2023', 'age': '27', 'clubName': 'Bayern Munich', 'clubID': '27', 'value': '€40.00m'}, {'date': 'Dec 20, 2023', 'age': '27', 'clubName': 'Inter Milan', 'clubID': '46', 'value': '€40.00m'}, {'date': 'Mar 12, 2024', 'age': '27', 'clubName': 'Inter Milan', 'clubID': '46', 'value': '€50.00m'}, {'date': 'Jun 5, 2024', 'age': '28', 'clubName': 'Inter Milan', 'clubID': '46', 'value': '€50.00m'}, {'date': 'Oct 18, 2024', 'age': '28', 'clubName': 'Inter Milan', 'clubID': '46', 'value': '€45.00m'}, {'date': 'Dec 18, 2024', 'age': '28', 'clubName': 'Inter Milan', 'clubID': '46', 'value': '€40.00m'}, {'date': 'Mar 25, 2025', 'age': '28', 'clubName': 'Inter Milan', 'clubID': '46', 'value': '€30.00m'}, {'date': 'Jun 17, 2025', 'age': '29', 'clubName': 'Inter Milan', 'clubID': '46', 'value': '€25.00m'}, {'date': 'Oct 10, 2025', 'age': '29', 'clubName': 'Olympique Marseille', 'clubID': '244', 'value': '€20.00m'}, {'date': 'Dec 15, 2025', 'age': '29', 'clubName': 'Olympique Marseille', 'clubID': '244', 'value': '€20.00m'}, {'date': 'Mar 27, 2026', 'age': '29', 'clubName': 'Olympique Marseille', 'clubID': '244', 'value': '€15.00m'}]}</t>
        </is>
      </c>
      <c r="L47" t="inlineStr">
        <is>
          <t>France</t>
        </is>
      </c>
      <c r="M47" t="inlineStr">
        <is>
          <t>1996-03-28</t>
        </is>
      </c>
      <c r="N47" t="inlineStr">
        <is>
          <t>55</t>
        </is>
      </c>
      <c r="O47">
        <f>(30+35)/2</f>
        <v/>
      </c>
      <c r="P47">
        <f>(35+35+30)/3</f>
        <v/>
      </c>
    </row>
    <row r="48">
      <c r="A48" t="inlineStr">
        <is>
          <t>Thiago Silva</t>
        </is>
      </c>
      <c r="B48" t="inlineStr">
        <is>
          <t>Chelsea</t>
        </is>
      </c>
      <c r="C48" t="inlineStr">
        <is>
          <t>Defender</t>
        </is>
      </c>
      <c r="D48" t="n">
        <v>757</v>
      </c>
      <c r="E48" t="n">
        <v>9</v>
      </c>
      <c r="F48" t="n">
        <v>0</v>
      </c>
      <c r="G48" t="n">
        <v>1</v>
      </c>
      <c r="H48" t="n">
        <v>71.7</v>
      </c>
      <c r="I48" t="n">
        <v>32.1</v>
      </c>
      <c r="J48" t="n">
        <v>29241</v>
      </c>
      <c r="K48" t="inlineStr">
        <is>
          <t>{'id': '29241', 'marketValue': '€2.00m', 'marketValueHistory': [{'age': '20', 'date': 'Feb 4, 2005', 'clubName': 'FC Porto', 'value': '€3.50m', 'clubID': '720'}, {'age': '23', 'date': 'Oct 4, 2007', 'clubName': 'Fluminense Football Club', 'value': '€1.80m', 'clubID': '2462'}, {'age': '23', 'date': 'Feb 4, 2008', 'clubName': 'Fluminense Football Club', 'value': '€3.00m', 'clubID': '2462'}, {'age': '23', 'date': 'Apr 26, 2008', 'clubName': 'Fluminense Football Club', 'value': '€5.00m', 'clubID': '2462'}, {'age': '23', 'date': 'Jul 15, 2008', 'clubName': 'Fluminense Football Club', 'value': '€6.00m', 'clubID': '2462'}, {'age': '24', 'date': 'Dec 12, 2008', 'clubName': 'Fluminense Football Club', 'value': '€7.50m', 'clubID': '2462'}, {'age': '24', 'date': 'Feb 6, 2009', 'clubName': 'AC Milan', 'value': '€9.00m', 'clubID': '5'}, {'age': '25', 'date': 'Jan 27, 2010', 'clubName': 'AC Milan', 'value': '€14.50m', 'clubID': '5'}, {'age': '25', 'date': 'May 9, 2010', 'clubName': 'AC Milan', 'value': '€15.50m', 'clubID': '5'}, {'age': '25', 'date': 'Aug 2, 2010', 'clubName': 'AC Milan', 'value': '€18.50m', 'clubID': '5'}, {'age': '26', 'date': 'Jan 20, 2011', 'clubName': 'AC Milan', 'value': '€23.00m', 'clubID': '5'}, {'age': '26', 'date': 'Jun 21, 2011', 'clubName': 'AC Milan', 'value': '€30.00m', 'clubID': '5'}, {'age': '27', 'date': 'Jan 12, 2012', 'clubName': 'AC Milan', 'value': '€32.00m', 'clubID': '5'}, {'age': '27', 'date': 'Jun 8, 2012', 'clubName': 'AC Milan', 'value': '€38.00m', 'clubID': '5'}, {'age': '28', 'date': 'Jan 7, 2013', 'clubName': 'Paris Saint-Germain', 'value': '€40.00m', 'clubID': '583'}, {'age': '28', 'date': 'May 30, 2013', 'clubName': 'Paris Saint-Germain', 'value': '€40.00m', 'clubID': '583'}, {'age': '29', 'date': 'Jan 14, 2014', 'clubName': 'Paris Saint-Germain', 'value': '€40.00m', 'clubID': '583'}, {'age': '29', 'date': 'Aug 1, 2014', 'clubName': 'Paris Saint-Germain', 'value': '€40.00m', 'clubID': '583'}, {'age': '30', 'date': 'Jan 14, 2015', 'clubName': 'Paris Saint-Germain', 'value': '€35.00m', 'clubID': '583'}, {'age': '30', 'date': 'Jun 6, 2015', 'clubName': 'Paris Saint-Germain', 'value': '€30.00m', 'clubID': '583'}, {'age': '30', 'date': 'Sep 6, 2015', 'clubName': 'Paris Saint-Germain', 'value': '€25.00m', 'clubID': '583'}, {'age': '31', 'date': 'Feb 4, 2016', 'clubName': 'Paris Saint-Germain', 'value': '€20.00m', 'clubID': '583'}, {'age': '31', 'date': 'Jul 13, 2016', 'clubName': 'Paris Saint-Germain', 'value': '€16.00m', 'clubID': '583'}, {'age': '32', 'date': 'Jan 16, 2017', 'clubName': 'Paris Saint-Germain', 'value': '€16.00m', 'clubID': '583'}, {'age': '32', 'date': 'Jun 1, 2017', 'clubName': 'Paris Saint-Germain', 'value': '€12.00m', 'clubID': '583'}, {'age': '33', 'date': 'Jan 24, 2018', 'clubName': 'Paris Saint-Germain', 'value': '€10.00m', 'clubID': '583'}, {'age': '33', 'date': 'Jun 4, 2018', 'clubName': 'Paris Saint-Germain', 'value': '€10.00m', 'clubID': '583'}, {'age': '34', 'date': 'Dec 17, 2018', 'clubName': 'Paris Saint-Germain', 'value': '€10.00m', 'clubID': '583'}, {'age': '34', 'date': 'Jun 3, 2019', 'clubName': 'Paris Saint-Germain', 'value': '€10.00m', 'clubID': '583'}, {'age': '35', 'date': 'Sep 27, 2019', 'clubName': 'Paris Saint-Germain', 'value': '€6.00m', 'clubID': '583'}, {'age': '35', 'date': 'Dec 19, 2019', 'clubName': 'Paris Saint-Germain', 'value': '€6.00m', 'clubID': '583'}, {'age': '35', 'date': 'Apr 8, 2020', 'clubName': 'Paris Saint-Germain', 'value': '€4.80m', 'clubID': '583'}, {'age': '36', 'date': 'Oct 13, 2020', 'clubName': 'Chelsea FC', 'value': '€4.50m', 'clubID': '631'}, {'age': '36', 'date': 'Mar 18, 2021', 'clubName': 'Chelsea FC', 'value': '€3.50m', 'clubID': '631'}, {'age': '36', 'date': 'Jun 8, 2021', 'clubName': 'Chelsea FC', 'value': '€3.00m', 'clubID': '631'}, {'age': '37', 'date': 'Dec 23, 2021', 'clubName': 'Chelsea FC', 'value': '€2.50m', 'clubID': '631'}, {'age': '37', 'date': 'Jun 15, 2022', 'clubName': 'Chelsea FC', 'value': '€2.50m', 'clubID': '631'}, {'age': '38', 'date': 'Nov 3, 2022', 'clubName': 'Chelsea FC', 'value': '€2.50m', 'clubID': '631'}, {'age': '38', 'date': 'Jun 20, 2023', 'clubName': 'Chelsea FC', 'value': '€2.00m', 'clubID': '631'}, {'age': '39', 'date': 'Dec 19, 2023', 'clubName': 'Chelsea FC', 'value': '€2.00m', 'clubID': '631'}], 'ranking': {'Worldwide': '4.041', 'Premier League': '443', 'Chelsea': '28', 'Brazil': '341', 'Centre-Back': '699', 'Year 1984': '1'}, 'updatedAt': datetime.datetime(2024, 5, 23, 22, 17, 34, 713248)}</t>
        </is>
      </c>
      <c r="L48" t="inlineStr">
        <is>
          <t>France</t>
        </is>
      </c>
      <c r="M48" t="inlineStr">
        <is>
          <t>1984-09-22</t>
        </is>
      </c>
      <c r="N48" t="inlineStr">
        <is>
          <t>113</t>
        </is>
      </c>
      <c r="O48">
        <f>(2.5+2.5)/2</f>
        <v/>
      </c>
      <c r="P48">
        <f>(3.5+3+2.5)/3</f>
        <v/>
      </c>
    </row>
    <row r="49">
      <c r="A49" t="inlineStr">
        <is>
          <t>De Bruyne</t>
        </is>
      </c>
      <c r="B49" t="inlineStr">
        <is>
          <t>Man City</t>
        </is>
      </c>
      <c r="C49" t="inlineStr">
        <is>
          <t>Midfielder</t>
        </is>
      </c>
      <c r="D49" t="n">
        <v>734</v>
      </c>
      <c r="E49" t="n">
        <v>10</v>
      </c>
      <c r="F49" t="n">
        <v>2</v>
      </c>
      <c r="G49" t="n">
        <v>4</v>
      </c>
      <c r="H49" t="n">
        <v>95.5</v>
      </c>
      <c r="I49" t="n">
        <v>39.1</v>
      </c>
      <c r="J49" t="n">
        <v>88755</v>
      </c>
      <c r="K49" t="inlineStr">
        <is>
          <t>{'marketValueHistory': [{'date': 'Oct 22, 2008', 'age': '17', 'clubName': 'KRC Genk', 'clubID': '1184', 'value': '€100k'}, {'date': 'Sep 4, 2009', 'age': '18', 'clubName': 'KRC Genk', 'clubID': '1184', 'value': '€400k'}, {'date': 'Dec 7, 2009', 'age': '18', 'clubName': 'KRC Genk', 'clubID': '1184', 'value': '€650k'}, {'date': 'Mar 9, 2010', 'age': '18', 'clubName': 'KRC Genk', 'clubID': '1184', 'value': '€800k'}, {'date': 'Apr 14, 2010', 'age': '18', 'clubName': 'KRC Genk', 'clubID': '1184', 'value': '€1.20m'}, {'date': 'Jul 28, 2010', 'age': '19', 'clubName': 'KRC Genk', 'clubID': '1184', 'value': '€2.50m'}, {'date': 'Oct 6, 2010', 'age': '19', 'clubName': 'KRC Genk', 'clubID': '1184', 'value': '€3.50m'}, {'date': 'Dec 28, 2010', 'age': '19', 'clubName': 'KRC Genk', 'clubID': '1184', 'value': '€5.00m'}, {'date': 'May 24, 2011', 'age': '19', 'clubName': 'KRC Genk', 'clubID': '1184', 'value': '€7.00m'}, {'date': 'Jan 5, 2012', 'age': '20', 'clubName': 'KRC Genk', 'clubID': '1184', 'value': '€9.00m'}, {'date': 'Jan 13, 2013', 'age': '21', 'clubName': 'SV Werder Bremen', 'clubID': '86', 'value': '€10.00m'}, {'date': 'Jul 2, 2013', 'age': '22', 'clubName': 'Chelsea FC', 'clubID': '631', 'value': '€15.00m'}, {'date': 'Sep 18, 2013', 'age': '22', 'clubName': 'Chelsea FC', 'clubID': '631', 'value': '€17.00m'}, {'date': 'Jan 15, 2014', 'age': '22', 'clubName': 'Chelsea FC', 'clubID': '631', 'value': '€15.00m'}, {'date': 'Feb 12, 2014', 'age': '22', 'clubName': 'VfL Wolfsburg', 'clubID': '82', 'value': '€17.00m'}, {'date': 'Jul 10, 2014', 'age': '23', 'clubName': 'VfL Wolfsburg', 'clubID': '82', 'value': '€20.00m'}, {'date': 'Feb 4, 2015', 'age': '23', 'clubName': 'VfL Wolfsburg', 'clubID': '82', 'value': '€28.00m'}, {'date': 'Mar 29, 2015', 'age': '23', 'clubName': 'VfL Wolfsburg', 'clubID': '82', 'value': '€35.00m'}, {'date': 'Jul 1, 2015', 'age': '24', 'clubName': 'VfL Wolfsburg', 'clubID': '82', 'value': '€45.00m'}, {'date': 'Oct 14, 2015', 'age': '24', 'clubName': 'Manchester City', 'clubID': '281', 'value': '€60.00m'}, {'date': 'Feb 9, 2016', 'age': '24', 'clubName': 'Manchester City', 'clubID': '281', 'value': '€60.00m'}, {'date': 'Jun 1, 2016', 'age': '24', 'clubName': 'Manchester City', 'clubID': '281', 'value': '€60.00m'}, {'date': 'Aug 1, 2016', 'age': '25', 'clubName': 'Manchester City', 'clubID': '281', 'value': '€60.00m'}, {'date': 'Feb 20, 2017', 'age': '25', 'clubName': 'Manchester City', 'clubID': '281', 'value': '€65.00m'}, {'date': 'Jun 28, 2017', 'age': '26', 'clubName': 'Manchester City', 'clubID': '281', 'value': '€65.00m'}, {'date': 'Oct 23, 2017', 'age': '26', 'clubName': 'Manchester City', 'clubID': '281', 'value': '€75.00m'}, {'date': 'Jan 2, 2018', 'age': '26', 'clubName': 'Manchester City', 'clubID': '281', 'value': '€110.00m'}, {'date': 'May 28, 2018', 'age': '26', 'clubName': 'Manchester City', 'clubID': '281', 'value': '€150.00m'}, {'date': 'Dec 19, 2018', 'age': '27', 'clubName': 'Manchester City', 'clubID': '281', 'value': '€150.00m'}, {'date': 'Jun 13, 2019', 'age': '27', 'clubName': 'Manchester City', 'clubID': '281', 'value': '€130.00m'}, {'date': 'Dec 10, 2019', 'age': '28', 'clubName': 'Manchester City', 'clubID': '281', 'value': '€150.00m'}, {'date': 'Apr 8, 2020', 'age': '28', 'clubName': 'Manchester City', 'clubID': '281', 'value': '€120.00m'}, {'date': 'Oct 13, 2020', 'age': '29', 'clubName': 'Manchester City', 'clubID': '281', 'value': '€120.00m'}, {'date': 'Mar 18, 2021', 'age': '29', 'clubName': 'Manchester City', 'clubID': '281', 'value': '€100.00m'}, {'date': 'May 26, 2021', 'age': '29', 'clubName': 'Manchester City', 'clubID': '281', 'value': '€100.00m'}, {'date': 'Dec 23, 2021', 'age': '30', 'clubName': 'Manchester City', 'clubID': '281', 'value': '€90.00m'}, {'date': 'Jun 15, 2022', 'age': '30', 'clubName': 'Manchester City', 'clubID': '281', 'value': '€85.00m'}, {'date': 'Nov 3, 2022', 'age': '31', 'clubName': 'Manchester City', 'clubID': '281', 'value': '€80.00m'}, {'date': 'Jun 20, 2023', 'age': '31', 'clubName': 'Manchester City', 'clubID': '281', 'value': '€70.00m'}, {'date': 'Dec 19, 2023', 'age': '32', 'clubName': 'Manchester City', 'clubID': '281', 'value': '€60.00m'}, {'date': 'May 27, 2024', 'age': '32', 'clubName': 'Manchester City', 'clubID': '281', 'value': '€50.00m'}, {'date': 'Oct 1, 2024', 'age': '33', 'clubName': 'Manchester City', 'clubID': '281', 'value': '€45.00m'}, {'date': 'Dec 16, 2024', 'age': '33', 'clubName': 'Manchester City', 'clubID': '281', 'value': '€35.00m'}, {'date': 'Mar 18, 2025', 'age': '33', 'clubName': 'Manchester City', 'clubID': '281', 'value': '€27.00m'}, {'date': 'May 30, 2025', 'age': '33', 'clubName': 'Manchester City', 'clubID': '281', 'value': '€20.00m'}, {'date': 'Dec 23, 2025', 'age': '34', 'clubName': 'SSC Napoli', 'clubID': '6195', 'value': '€15.00m'}, {'date': 'Mar 24, 2026', 'age': '34', 'clubName': 'SSC Napoli', 'clubID': '6195', 'value': '€10.00m'}]}</t>
        </is>
      </c>
      <c r="L49" t="inlineStr">
        <is>
          <t>Belgium</t>
        </is>
      </c>
      <c r="M49" t="inlineStr">
        <is>
          <t>1991-06-28</t>
        </is>
      </c>
      <c r="N49" t="inlineStr">
        <is>
          <t>117</t>
        </is>
      </c>
      <c r="O49">
        <f>(85+80)/2</f>
        <v/>
      </c>
      <c r="P49">
        <f>(100+100+90)/3</f>
        <v/>
      </c>
    </row>
    <row r="50">
      <c r="A50" t="inlineStr">
        <is>
          <t>Konate</t>
        </is>
      </c>
      <c r="B50" t="inlineStr">
        <is>
          <t>Liverpool</t>
        </is>
      </c>
      <c r="C50" t="inlineStr">
        <is>
          <t>Defender</t>
        </is>
      </c>
      <c r="D50" t="n">
        <v>720</v>
      </c>
      <c r="E50" t="n">
        <v>8</v>
      </c>
      <c r="F50" t="n">
        <v>2</v>
      </c>
      <c r="G50" t="n">
        <v>0</v>
      </c>
      <c r="H50" t="n">
        <v>78.8</v>
      </c>
      <c r="I50" t="n">
        <v>33.8</v>
      </c>
      <c r="J50" t="n">
        <v>357119</v>
      </c>
      <c r="K50" t="inlineStr">
        <is>
          <t>{'marketValueHistory': [{'date': '20/03/2017', 'age': '17', 'clubName': 'FC Sochaux-Montbéliard', 'clubID': '750', 'value': '€300k'}, {'date': '15/06/2017', 'age': '18', 'clubName': 'FC Sochaux-Montbéliard', 'clubID': '750', 'value': '€300k'}, {'date': '28/12/2017', 'age': '18', 'clubName': 'RB Leipzig', 'clubID': '23826', 'value': '€3.00m'}, {'date': '04/04/2018', 'age': '18', 'clubName': 'RB Leipzig', 'clubID': '23826', 'value': '€7.00m'}, {'date': '05/06/2018', 'age': '19', 'clubName': 'RB Leipzig', 'clubID': '23826', 'value': '€8.00m'}, {'date': '22/10/2018', 'age': '19', 'clubName': 'RB Leipzig', 'clubID': '23826', 'value': '€12.00m'}, {'date': '18/12/2018', 'age': '19', 'clubName': 'RB Leipzig', 'clubID': '23826', 'value': '€18.00m'}, {'date': '06/03/2019', 'age': '19', 'clubName': 'RB Leipzig', 'clubID': '23826', 'value': '€30.00m'}, {'date': '05/06/2019', 'age': '20', 'clubName': 'RB Leipzig', 'clubID': '23826', 'value': '€45.00m'}, {'date': '17/12/2019', 'age': '20', 'clubName': 'RB Leipzig', 'clubID': '23826', 'value': '€45.00m'}, {'date': '08/04/2020', 'age': '20', 'clubName': 'RB Leipzig', 'clubID': '23826', 'value': '€40.50m'}, {'date': '10/02/2021', 'age': '21', 'clubName': 'RB Leipzig', 'clubID': '23826', 'value': '€35.00m'}, {'date': '09/06/2021', 'age': '22', 'clubName': 'RB Leipzig', 'clubID': '23826', 'value': '€35.00m'}, {'date': '23/12/2021', 'age': '22', 'clubName': 'Liverpool FC', 'clubID': '31', 'value': '€30.00m'}, {'date': '15/06/2022', 'age': '23', 'clubName': 'Liverpool FC', 'clubID': '31', 'value': '€40.00m'}, {'date': '03/11/2022', 'age': '23', 'clubName': 'Liverpool FC', 'clubID': '31', 'value': '€35.00m'}, {'date': '20/06/2023', 'age': '24', 'clubName': 'Liverpool FC', 'clubID': '31', 'value': '€38.00m'}, {'date': '19/12/2023', 'age': '24', 'clubName': 'Liverpool FC', 'clubID': '31', 'value': '€38.00m'}, {'date': '14/03/2024', 'age': '24', 'clubName': 'Liverpool FC', 'clubID': '31', 'value': '€45.00m'}, {'date': '27/05/2024', 'age': '25', 'clubName': 'Liverpool FC', 'clubID': '31', 'value': '€45.00m'}, {'date': '16/12/2024', 'age': '25', 'clubName': 'Liverpool FC', 'clubID': '31', 'value': '€50.00m'}, {'date': '18/03/2025', 'age': '25', 'clubName': 'Liverpool FC', 'clubID': '31', 'value': '€60.00m'}, {'date': '30/05/2025', 'age': '26', 'clubName': 'Liverpool FC', 'clubID': '31', 'value': '€60.00m'}, {'date': '17/10/2025', 'age': '26', 'clubName': 'Liverpool FC', 'clubID': '31', 'value': '€55.00m'}, {'date': '09/12/2025', 'age': '26', 'clubName': 'Liverpool FC', 'clubID': '31', 'value': '€50.00m'}]}</t>
        </is>
      </c>
      <c r="L50" t="inlineStr">
        <is>
          <t>France</t>
        </is>
      </c>
      <c r="M50" t="inlineStr">
        <is>
          <t>1999-05-25</t>
        </is>
      </c>
      <c r="N50" t="inlineStr">
        <is>
          <t>France</t>
        </is>
      </c>
      <c r="O50">
        <f>(40+35)/2</f>
        <v/>
      </c>
      <c r="P50">
        <f>(35+35+30)/3</f>
        <v/>
      </c>
    </row>
    <row r="51">
      <c r="A51" t="inlineStr">
        <is>
          <t>Skriniar</t>
        </is>
      </c>
      <c r="B51" t="inlineStr">
        <is>
          <t>Inter</t>
        </is>
      </c>
      <c r="C51" t="inlineStr">
        <is>
          <t>Defender</t>
        </is>
      </c>
      <c r="D51" t="n">
        <v>720</v>
      </c>
      <c r="E51" t="n">
        <v>8</v>
      </c>
      <c r="F51" t="n">
        <v>1</v>
      </c>
      <c r="G51" t="n">
        <v>0</v>
      </c>
      <c r="H51" t="n">
        <v>85.09999999999999</v>
      </c>
      <c r="I51" t="n">
        <v>31.8</v>
      </c>
      <c r="J51" t="n">
        <v>204069</v>
      </c>
      <c r="K51" t="inlineStr">
        <is>
          <t>{'marketValueHistory': [{'date': 'Jun 17, 2012', 'age': '17', 'clubName': 'MSK Zilina', 'clubID': '1443', 'value': '€50k'}, {'date': 'Dec 7, 2012', 'age': '17', 'clubName': 'MSK Zilina', 'clubID': '1443', 'value': '€100k'}, {'date': 'Jun 11, 2013', 'age': '18', 'clubName': 'FC ViOn Zlate Moravce-Vrable', 'clubID': '12005', 'value': '€100k'}, {'date': 'Jan 2, 2014', 'age': '18', 'clubName': 'MSK Zilina', 'clubID': '1443', 'value': '€75k'}, {'date': 'Jun 22, 2014', 'age': '19', 'clubName': 'MSK Zilina', 'clubID': '1443', 'value': '€125k'}, {'date': 'Dec 25, 2014', 'age': '19', 'clubName': 'MSK Zilina', 'clubID': '1443', 'value': '€325k'}, {'date': 'Jun 9, 2015', 'age': '20', 'clubName': 'MSK Zilina', 'clubID': '1443', 'value': '€550k'}, {'date': 'Dec 14, 2015', 'age': '20', 'clubName': 'MSK Zilina', 'clubID': '1443', 'value': '€600k'}, {'date': 'Jun 1, 2016', 'age': '21', 'clubName': 'UC Sampdoria', 'clubID': '1038', 'value': '€600k'}, {'date': 'Jul 15, 2016', 'age': '21', 'clubName': 'UC Sampdoria', 'clubID': '1038', 'value': '€800k'}, {'date': 'Oct 14, 2016', 'age': '21', 'clubName': 'UC Sampdoria', 'clubID': '1038', 'value': '€1.00m'}, {'date': 'Jan 2, 2017', 'age': '21', 'clubName': 'UC Sampdoria', 'clubID': '1038', 'value': '€2.00m'}, {'date': 'Mar 28, 2017', 'age': '22', 'clubName': 'UC Sampdoria', 'clubID': '1038', 'value': '€4.00m'}, {'date': 'Jun 8, 2017', 'age': '22', 'clubName': 'UC Sampdoria', 'clubID': '1038', 'value': '€7.00m'}, {'date': 'Oct 13, 2017', 'age': '22', 'clubName': 'Inter Milan', 'clubID': '46', 'value': '€15.00m'}, {'date': 'Dec 29, 2017', 'age': '22', 'clubName': 'Inter Milan', 'clubID': '46', 'value': '€30.00m'}, {'date': 'Mar 24, 2018', 'age': '23', 'clubName': 'Inter Milan', 'clubID': '46', 'value': '€40.00m'}, {'date': 'Jun 7, 2018', 'age': '23', 'clubName': 'Inter Milan', 'clubID': '46', 'value': '€45.00m'}, {'date': 'Oct 12, 2018', 'age': '23', 'clubName': 'Inter Milan', 'clubID': '46', 'value': '€50.00m'}, {'date': 'Dec 20, 2018', 'age': '23', 'clubName': 'Inter Milan', 'clubID': '46', 'value': '€60.00m'}, {'date': 'Jun 6, 2019', 'age': '24', 'clubName': 'Inter Milan', 'clubID': '46', 'value': '€60.00m'}, {'date': 'Dec 12, 2019', 'age': '24', 'clubName': 'Inter Milan', 'clubID': '46', 'value': '€60.00m'}, {'date': 'Apr 8, 2020', 'age': '25', 'clubName': 'Inter Milan', 'clubID': '46', 'value': '€48.00m'}, {'date': 'Aug 25, 2020', 'age': '25', 'clubName': 'Inter Milan', 'clubID': '46', 'value': '€50.00m'}, {'date': 'Dec 29, 2020', 'age': '25', 'clubName': 'Inter Milan', 'clubID': '46', 'value': '€50.00m'}, {'date': 'Mar 23, 2021', 'age': '26', 'clubName': 'Inter Milan', 'clubID': '46', 'value': '€55.00m'}, {'date': 'May 31, 2021', 'age': '26', 'clubName': 'Inter Milan', 'clubID': '46', 'value': '€60.00m'}, {'date': 'Dec 28, 2021', 'age': '26', 'clubName': 'Inter Milan', 'clubID': '46', 'value': '€65.00m'}, {'date': 'Jun 7, 2022', 'age': '27', 'clubName': 'Inter Milan', 'clubID': '46', 'value': '€65.00m'}, {'date': 'Nov 11, 2022', 'age': '27', 'clubName': 'Inter Milan', 'clubID': '46', 'value': '€60.00m'}, {'date': 'Jun 15, 2023', 'age': '28', 'clubName': 'Inter Milan', 'clubID': '46', 'value': '€50.00m'}, {'date': 'Dec 18, 2023', 'age': '28', 'clubName': 'Paris Saint-Germain', 'clubID': '583', 'value': '€45.00m'}, {'date': 'Mar 19, 2024', 'age': '29', 'clubName': 'Paris Saint-Germain', 'clubID': '583', 'value': '€40.00m'}, {'date': 'Jun 3, 2024', 'age': '29', 'clubName': 'Paris Saint-Germain', 'clubID': '583', 'value': '€30.00m'}, {'date': 'Oct 7, 2024', 'age': '29', 'clubName': 'Paris Saint-Germain', 'clubID': '583', 'value': '€20.00m'}, {'date': 'Dec 10, 2024', 'age': '29', 'clubName': 'Paris Saint-Germain', 'clubID': '583', 'value': '€15.00m'}, {'date': 'Mar 20, 2025', 'age': '30', 'clubName': 'Fenerbahce', 'clubID': '36', 'value': '€15.00m'}, {'date': 'Jun 18, 2025', 'age': '30', 'clubName': 'Fenerbahce', 'clubID': '36', 'value': '€15.00m'}, {'date': 'Oct 1, 2025', 'age': '30', 'clubName': 'Fenerbahce', 'clubID': '36', 'value': '€12.00m'}, {'date': 'Dec 17, 2025', 'age': '30', 'clubName': 'Fenerbahce', 'clubID': '36', 'value': '€11.00m'}]}</t>
        </is>
      </c>
      <c r="L51" t="inlineStr">
        <is>
          <t>Slovakia</t>
        </is>
      </c>
      <c r="M51" t="inlineStr">
        <is>
          <t>1995-02-11</t>
        </is>
      </c>
      <c r="N51" t="inlineStr">
        <is>
          <t>87</t>
        </is>
      </c>
      <c r="O51">
        <f>(65+60)/2</f>
        <v/>
      </c>
      <c r="P51">
        <f>(55+60+65)/3</f>
        <v/>
      </c>
    </row>
    <row r="52">
      <c r="A52" t="inlineStr">
        <is>
          <t>Kristensen</t>
        </is>
      </c>
      <c r="B52" t="inlineStr">
        <is>
          <t>Salzburg</t>
        </is>
      </c>
      <c r="C52" t="inlineStr">
        <is>
          <t>Defender</t>
        </is>
      </c>
      <c r="D52" t="n">
        <v>720</v>
      </c>
      <c r="E52" t="n">
        <v>8</v>
      </c>
      <c r="F52" t="n">
        <v>0</v>
      </c>
      <c r="G52" t="n">
        <v>1</v>
      </c>
      <c r="H52" t="n">
        <v>85.5</v>
      </c>
      <c r="I52" t="n">
        <v>33</v>
      </c>
      <c r="J52" t="n">
        <v>369684</v>
      </c>
      <c r="K52" t="inlineStr">
        <is>
          <t>{'marketValueHistory': [{'date': 'Aug 12, 2016', 'age': '19', 'clubName': 'FC Midtjylland', 'clubID': '865', 'value': '€400k'}, {'date': 'Dec 12, 2016', 'age': '19', 'clubName': 'FC Midtjylland', 'clubID': '865', 'value': '€600k'}, {'date': 'Mar 27, 2017', 'age': '19', 'clubName': 'FC Midtjylland', 'clubID': '865', 'value': '€700k'}, {'date': 'Jun 21, 2017', 'age': '19', 'clubName': 'FC Midtjylland', 'clubID': '865', 'value': '€1.50m'}, {'date': 'Dec 18, 2017', 'age': '20', 'clubName': 'FC Midtjylland', 'clubID': '865', 'value': '€1.75m'}, {'date': 'Mar 27, 2018', 'age': '20', 'clubName': 'Ajax Amsterdam', 'clubID': '610', 'value': '€3.00m'}, {'date': 'Jun 12, 2018', 'age': '20', 'clubName': 'Ajax Amsterdam', 'clubID': '610', 'value': '€3.00m'}, {'date': 'Oct 4, 2018', 'age': '21', 'clubName': 'Ajax Amsterdam', 'clubID': '610', 'value': '€2.00m'}, {'date': 'Dec 28, 2018', 'age': '21', 'clubName': 'Ajax Amsterdam', 'clubID': '610', 'value': '€2.50m'}, {'date': 'Jun 12, 2019', 'age': '21', 'clubName': 'Ajax Amsterdam', 'clubID': '610', 'value': '€2.50m'}, {'date': 'Sep 3, 2019', 'age': '22', 'clubName': 'Red Bull Salzburg', 'clubID': '409', 'value': '€3.00m'}, {'date': 'Dec 16, 2019', 'age': '22', 'clubName': 'Red Bull Salzburg', 'clubID': '409', 'value': '€4.00m'}, {'date': 'Apr 8, 2020', 'age': '22', 'clubName': 'Red Bull Salzburg', 'clubID': '409', 'value': '€3.20m'}, {'date': 'Jul 22, 2020', 'age': '23', 'clubName': 'Red Bull Salzburg', 'clubID': '409', 'value': '€4.00m'}, {'date': 'Dec 21, 2020', 'age': '23', 'clubName': 'Red Bull Salzburg', 'clubID': '409', 'value': '€7.00m'}, {'date': 'May 26, 2021', 'age': '23', 'clubName': 'Red Bull Salzburg', 'clubID': '409', 'value': '€8.50m'}, {'date': 'Sep 6, 2021', 'age': '24', 'clubName': 'Red Bull Salzburg', 'clubID': '409', 'value': '€12.00m'}, {'date': 'Dec 16, 2021', 'age': '24', 'clubName': 'Red Bull Salzburg', 'clubID': '409', 'value': '€13.00m'}, {'date': 'Mar 11, 2022', 'age': '24', 'clubName': 'Red Bull Salzburg', 'clubID': '409', 'value': '€15.00m'}, {'date': 'May 27, 2022', 'age': '24', 'clubName': 'Red Bull Salzburg', 'clubID': '409', 'value': '€15.00m'}, {'date': 'Nov 3, 2022', 'age': '25', 'clubName': 'Leeds United', 'clubID': '399', 'value': '€15.00m'}, {'date': 'Jun 20, 2023', 'age': '25', 'clubName': 'Leeds United', 'clubID': '399', 'value': '€13.00m'}, {'date': 'Dec 20, 2023', 'age': '26', 'clubName': 'AS Roma', 'clubID': '12', 'value': '€10.00m'}, {'date': 'Jun 5, 2024', 'age': '26', 'clubName': 'AS Roma', 'clubID': '12', 'value': '€10.00m'}, {'date': 'Dec 20, 2024', 'age': '27', 'clubName': 'Eintracht Frankfurt', 'clubID': '24', 'value': '€10.00m'}, {'date': 'Jun 5, 2025', 'age': '27', 'clubName': 'Eintracht Frankfurt', 'clubID': '24', 'value': '€14.00m'}, {'date': 'Dec 19, 2025', 'age': '28', 'clubName': 'Eintracht Frankfurt', 'clubID': '24', 'value': '€14.00m'}, {'date': 'Mar 20, 2026', 'age': '28', 'clubName': 'Eintracht Frankfurt', 'clubID': '24', 'value': '€12.00m'}]}</t>
        </is>
      </c>
      <c r="L52" t="inlineStr">
        <is>
          <t>Kingdom of Denmark</t>
        </is>
      </c>
      <c r="M52" t="inlineStr">
        <is>
          <t>1997-07-11</t>
        </is>
      </c>
      <c r="N52" t="inlineStr">
        <is>
          <t>Denmark</t>
        </is>
      </c>
      <c r="O52">
        <f>(15+15+15)/3</f>
        <v/>
      </c>
      <c r="P52">
        <f>(8.5+12+13)/3</f>
        <v/>
      </c>
    </row>
    <row r="53">
      <c r="A53" t="inlineStr">
        <is>
          <t>Li. Martinez</t>
        </is>
      </c>
      <c r="B53" t="inlineStr">
        <is>
          <t>Ajax</t>
        </is>
      </c>
      <c r="C53" t="inlineStr">
        <is>
          <t>Defender</t>
        </is>
      </c>
      <c r="D53" t="n">
        <v>720</v>
      </c>
      <c r="E53" t="n">
        <v>8</v>
      </c>
      <c r="F53" t="n">
        <v>0</v>
      </c>
      <c r="G53" t="n">
        <v>1</v>
      </c>
      <c r="H53" t="n">
        <v>83.3</v>
      </c>
      <c r="I53" t="n">
        <v>32.5</v>
      </c>
      <c r="J53" t="n">
        <v>480762</v>
      </c>
      <c r="K53" t="inlineStr">
        <is>
          <t>{'marketValueHistory': [{'date': '09/10/2017', 'age': '19', 'clubName': 'Defensa y Justicia', 'clubID': '2402', 'value': '€200k'}, {'date': '08/05/2018', 'age': '20', 'clubName': 'Defensa y Justicia', 'clubID': '2402', 'value': '€2.00m'}, {'date': '18/12/2018', 'age': '20', 'clubName': 'Defensa y Justicia', 'clubID': '2402', 'value': '€6.00m'}, {'date': '19/09/2019', 'age': '21', 'clubName': 'Ajax Amsterdam', 'clubID': '610', 'value': '€11.00m'}, {'date': '18/12/2019', 'age': '21', 'clubName': 'Ajax Amsterdam', 'clubID': '610', 'value': '€20.00m'}, {'date': '12/03/2020', 'age': '22', 'clubName': 'Ajax Amsterdam', 'clubID': '610', 'value': '€22.00m'}, {'date': '08/04/2020', 'age': '22', 'clubName': 'Ajax Amsterdam', 'clubID': '610', 'value': '€20.00m'}, {'date': '14/10/2020', 'age': '22', 'clubName': 'Ajax Amsterdam', 'clubID': '610', 'value': '€20.00m'}, {'date': '09/03/2021', 'age': '23', 'clubName': 'Ajax Amsterdam', 'clubID': '610', 'value': '€22.00m'}, {'date': '19/05/2021', 'age': '23', 'clubName': 'Ajax Amsterdam', 'clubID': '610', 'value': '€23.00m'}, {'date': '04/10/2021', 'age': '23', 'clubName': 'Ajax Amsterdam', 'clubID': '610', 'value': '€25.00m'}, {'date': '05/01/2022', 'age': '23', 'clubName': 'Ajax Amsterdam', 'clubID': '610', 'value': '€32.00m'}, {'date': '08/06/2022', 'age': '24', 'clubName': 'Ajax Amsterdam', 'clubID': '610', 'value': '€32.00m'}, {'date': '15/09/2022', 'age': '24', 'clubName': 'Manchester United', 'clubID': '985', 'value': '€50.00m'}, {'date': '03/11/2022', 'age': '24', 'clubName': 'Manchester United', 'clubID': '985', 'value': '€50.00m'}, {'date': '20/06/2023', 'age': '25', 'clubName': 'Manchester United', 'clubID': '985', 'value': '€50.00m'}, {'date': '19/12/2023', 'age': '25', 'clubName': 'Manchester United', 'clubID': '985', 'value': '€50.00m'}, {'date': '14/03/2024', 'age': '26', 'clubName': 'Manchester United', 'clubID': '985', 'value': '€45.00m'}, {'date': '27/05/2024', 'age': '26', 'clubName': 'Manchester United', 'clubID': '985', 'value': '€45.00m'}, {'date': '19/07/2024', 'age': '26', 'clubName': 'Manchester United', 'clubID': '985', 'value': '€50.00m'}, {'date': '16/12/2024', 'age': '26', 'clubName': 'Manchester United', 'clubID': '985', 'value': '€50.00m'}, {'date': '18/03/2025', 'age': '27', 'clubName': 'Manchester United', 'clubID': '985', 'value': '€45.00m'}, {'date': '30/05/2025', 'age': '27', 'clubName': 'Manchester United', 'clubID': '985', 'value': '€40.00m'}, {'date': '17/10/2025', 'age': '27', 'clubName': 'Manchester United', 'clubID': '985', 'value': '€35.00m'}, {'date': '09/12/2025', 'age': '27', 'clubName': 'Manchester United', 'clubID': '985', 'value': '€35.00m'}, {'date': '09/03/2026', 'age': '28', 'clubName': 'Manchester United', 'clubID': '985', 'value': '€40.00m'}]}</t>
        </is>
      </c>
      <c r="L53" t="inlineStr">
        <is>
          <t>Argentina</t>
        </is>
      </c>
      <c r="M53" t="inlineStr">
        <is>
          <t>1998-01-18</t>
        </is>
      </c>
      <c r="N53" t="inlineStr">
        <is>
          <t>26</t>
        </is>
      </c>
      <c r="O53">
        <f>(32+32+50+50)/4</f>
        <v/>
      </c>
      <c r="P53">
        <f>(22+23+25)/3</f>
        <v/>
      </c>
    </row>
    <row r="54">
      <c r="A54" t="inlineStr">
        <is>
          <t>Marquinhos</t>
        </is>
      </c>
      <c r="B54" t="inlineStr">
        <is>
          <t>Paris</t>
        </is>
      </c>
      <c r="C54" t="inlineStr">
        <is>
          <t>Defender</t>
        </is>
      </c>
      <c r="D54" t="n">
        <v>720</v>
      </c>
      <c r="E54" t="n">
        <v>8</v>
      </c>
      <c r="F54" t="n">
        <v>0</v>
      </c>
      <c r="G54" t="n">
        <v>1</v>
      </c>
      <c r="H54" t="n">
        <v>78.5</v>
      </c>
      <c r="I54" t="n">
        <v>33.7</v>
      </c>
      <c r="J54" t="n">
        <v>181767</v>
      </c>
      <c r="K54" t="inlineStr">
        <is>
      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      </is>
      </c>
      <c r="L54" t="inlineStr">
        <is>
          <t>Portugal</t>
        </is>
      </c>
      <c r="M54" t="inlineStr">
        <is>
          <t>1994-05-14</t>
        </is>
      </c>
      <c r="N54" t="inlineStr">
        <is>
          <t>104</t>
        </is>
      </c>
      <c r="O54">
        <f>(70+70)/2</f>
        <v/>
      </c>
      <c r="P54">
        <f>(75+75)/2</f>
        <v/>
      </c>
    </row>
    <row r="55">
      <c r="A55" t="inlineStr">
        <is>
          <t>Fonte</t>
        </is>
      </c>
      <c r="B55" t="inlineStr">
        <is>
          <t>Lille</t>
        </is>
      </c>
      <c r="C55" t="inlineStr">
        <is>
          <t>Defender</t>
        </is>
      </c>
      <c r="D55" t="n">
        <v>720</v>
      </c>
      <c r="E55" t="n">
        <v>8</v>
      </c>
      <c r="F55" t="n">
        <v>0</v>
      </c>
      <c r="G55" t="n">
        <v>0</v>
      </c>
      <c r="H55" t="n">
        <v>81.3</v>
      </c>
      <c r="I55" t="n">
        <v>30.7</v>
      </c>
      <c r="J55" t="n">
        <v>33829</v>
      </c>
      <c r="K55" t="inlineStr">
        <is>
          <t>{'marketValueHistory': [{'date': 'Dec 6, 2005', 'age': '21', 'clubName': 'Vitória Setúbal FC', 'clubID': '1085', 'value': '€500k'}, {'date': 'Jan 8, 2009', 'age': '25', 'clubName': 'Crystal Palace', 'clubID': '873', 'value': '€1.50m'}, {'date': 'Jan 28, 2010', 'age': '26', 'clubName': 'Southampton FC', 'clubID': '180', 'value': '€1.25m'}, {'date': 'Apr 27, 2010', 'age': '26', 'clubName': 'Southampton FC', 'clubID': '180', 'value': '€1.40m'}, {'date': 'Mar 21, 2011', 'age': '27', 'clubName': 'Southampton FC', 'clubID': '180', 'value': '€1.25m'}, {'date': 'Feb 7, 2012', 'age': '28', 'clubName': 'Southampton FC', 'clubID': '180', 'value': '€1.50m'}, {'date': 'Jun 22, 2012', 'age': '28', 'clubName': 'Southampton FC', 'clubID': '180', 'value': '€2.50m'}, {'date': 'Jan 28, 2013', 'age': '29', 'clubName': 'Southampton FC', 'clubID': '180', 'value': '€2.50m'}, {'date': 'Jul 2, 2013', 'age': '29', 'clubName': 'Southampton FC', 'clubID': '180', 'value': '€2.50m'}, {'date': 'Jan 15, 2014', 'age': '30', 'clubName': 'Southampton FC', 'clubID': '180', 'value': '€3.50m'}, {'date': 'Aug 12, 2014', 'age': '30', 'clubName': 'Southampton FC', 'clubID': '180', 'value': '€3.50m'}, {'date': 'Feb 12, 2015', 'age': '31', 'clubName': 'Southampton FC', 'clubID': '180', 'value': '€4.50m'}, {'date': 'Jul 1, 2015', 'age': '31', 'clubName': 'Southampton FC', 'clubID': '180', 'value': '€5.00m'}, {'date': 'Feb 9, 2016', 'age': '32', 'clubName': 'Southampton FC', 'clubID': '180', 'value': '€5.00m'}, {'date': 'Jun 1, 2016', 'age': '32', 'clubName': 'Southampton FC', 'clubID': '180', 'value': '€5.00m'}, {'date': 'Aug 1, 2016', 'age': '32', 'clubName': 'Southampton FC', 'clubID': '180', 'value': '€6.00m'}, {'date': 'Feb 20, 2017', 'age': '33', 'clubName': 'West Ham United', 'clubID': '379', 'value': '€7.00m'}, {'date': 'Jun 28, 2017', 'age': '33', 'clubName': 'West Ham United', 'clubID': '379', 'value': '€7.00m'}, {'date': 'Jan 2, 2018', 'age': '34', 'clubName': 'West Ham United', 'clubID': '379', 'value': '€5.00m'}, {'date': 'Mar 12, 2018', 'age': '34', 'clubName': 'Dalian Yifang', 'clubID': '33304', 'value': '€3.75m'}, {'date': 'Jun 5, 2018', 'age': '34', 'clubName': 'Dalian Yifang', 'clubID': '33304', 'value': '€2.00m'}, {'date': 'Dec 17, 2018', 'age': '34', 'clubName': 'LOSC Lille', 'clubID': '1082', 'value': '€2.00m'}, {'date': 'Jun 3, 2019', 'age': '35', 'clubName': 'LOSC Lille', 'clubID': '1082', 'value': '€2.00m'}, {'date': 'Dec 19, 2019', 'age': '35', 'clubName': 'LOSC Lille', 'clubID': '1082', 'value': '€1.50m'}, {'date': 'Apr 8, 2020', 'age': '36', 'clubName': 'LOSC Lille', 'clubID': '1082', 'value': '€1.20m'}, {'date': 'Oct 15, 2020', 'age': '36', 'clubName': 'LOSC Lille', 'clubID': '1082', 'value': '€1.50m'}, {'date': 'Jun 1, 2021', 'age': '37', 'clubName': 'LOSC Lille', 'clubID': '1082', 'value': '€1.50m'}, {'date': 'Dec 16, 2021', 'age': '37', 'clubName': 'LOSC Lille', 'clubID': '1082', 'value': '€1.00m'}, {'date': 'May 30, 2022', 'age': '38', 'clubName': 'LOSC Lille', 'clubID': '1082', 'value': '€800k'}, {'date': 'Nov 2, 2022', 'age': '38', 'clubName': 'LOSC Lille', 'clubID': '1082', 'value': '€700k'}, {'date': 'Jun 27, 2023', 'age': '39', 'clubName': 'LOSC Lille', 'clubID': '1082', 'value': '€600k'}, {'date': 'Dec 27, 2023', 'age': '40', 'clubName': 'SC Braga', 'clubID': '1075', 'value': '€300k'}, {'date': 'Jun 6, 2024', 'age': '40', 'clubName': 'SC Braga', 'clubID': '1075', 'value': '€100k'}, {'date': 'Dec 19, 2024', 'age': '40', 'clubName': 'Casa Pia AC', 'clubID': '3268', 'value': '€100k'}, {'date': 'May 30, 2025', 'age': '41', 'clubName': 'Casa Pia AC', 'clubID': '3268', 'value': '€100k'}, {'date': 'Dec 18, 2025', 'age': '41', 'clubName': 'Casa Pia AC', 'clubID': '3268', 'value': '€100k'}]}</t>
        </is>
      </c>
      <c r="L55" t="inlineStr">
        <is>
          <t>Portugal</t>
        </is>
      </c>
      <c r="M55" t="inlineStr">
        <is>
          <t>1983-12-22</t>
        </is>
      </c>
      <c r="N55" t="inlineStr">
        <is>
          <t>Portugal</t>
        </is>
      </c>
      <c r="O55">
        <f>(0.8+0.7)/2</f>
        <v/>
      </c>
      <c r="P55">
        <f>(1.5+1)/2</f>
        <v/>
      </c>
    </row>
    <row r="56">
      <c r="A56" t="inlineStr">
        <is>
          <t>Kohn</t>
        </is>
      </c>
      <c r="B56" t="inlineStr">
        <is>
          <t>Salzburg</t>
        </is>
      </c>
      <c r="C56" t="inlineStr">
        <is>
          <t>Goalkeeper</t>
        </is>
      </c>
      <c r="D56" t="n">
        <v>720</v>
      </c>
      <c r="E56" t="n">
        <v>8</v>
      </c>
      <c r="F56" t="n">
        <v>0</v>
      </c>
      <c r="G56" t="n">
        <v>0</v>
      </c>
      <c r="H56" t="n">
        <v>43.8</v>
      </c>
      <c r="I56" t="n">
        <v>24.9</v>
      </c>
      <c r="J56" t="n">
        <v>13769</v>
      </c>
      <c r="L56" t="inlineStr">
        <is>
          <t>Germany</t>
        </is>
      </c>
      <c r="M56" t="inlineStr">
        <is>
          <t>1965-10-09</t>
        </is>
      </c>
      <c r="N56" t="inlineStr">
        <is>
          <t>Germany</t>
        </is>
      </c>
    </row>
    <row r="57">
      <c r="A57" t="inlineStr">
        <is>
          <t>Handanovic</t>
        </is>
      </c>
      <c r="B57" t="inlineStr">
        <is>
          <t>Inter</t>
        </is>
      </c>
      <c r="C57" t="inlineStr">
        <is>
          <t>Goalkeeper</t>
        </is>
      </c>
      <c r="D57" t="n">
        <v>720</v>
      </c>
      <c r="E57" t="n">
        <v>8</v>
      </c>
      <c r="F57" t="n">
        <v>0</v>
      </c>
      <c r="G57" t="n">
        <v>0</v>
      </c>
      <c r="H57" t="n">
        <v>32</v>
      </c>
      <c r="I57" t="n">
        <v>27.7</v>
      </c>
      <c r="J57" t="n">
        <v>28021</v>
      </c>
      <c r="K57" t="inlineStr">
        <is>
          <t>{'marketValueHistory': [{'date': 'Jan 16, 2005', 'age': '20', 'clubName': 'Udinese Calcio', 'clubID': '410', 'value': '€100k'}, {'date': 'Feb 10, 2005', 'age': '20', 'clubName': 'Udinese Calcio', 'clubID': '410', 'value': '€400k'}, {'date': 'Jun 23, 2007', 'age': '22', 'clubName': 'Rimini FC', 'clubID': '4111', 'value': '€750k'}, {'date': 'Jan 17, 2008', 'age': '23', 'clubName': 'Udinese Calcio', 'clubID': '410', 'value': '€3.00m'}, {'date': 'Feb 9, 2008', 'age': '23', 'clubName': 'Udinese Calcio', 'clubID': '410', 'value': '€5.50m'}, {'date': 'Jul 3, 2008', 'age': '23', 'clubName': 'Udinese Calcio', 'clubID': '410', 'value': '€7.00m'}, {'date': 'Jan 27, 2010', 'age': '25', 'clubName': 'Udinese Calcio', 'clubID': '410', 'value': '€9.50m'}, {'date': 'Aug 1, 2010', 'age': '26', 'clubName': 'Udinese Calcio', 'clubID': '410', 'value': '€10.00m'}, {'date': 'Jun 21, 2011', 'age': '26', 'clubName': 'Udinese Calcio', 'clubID': '410', 'value': '€11.00m'}, {'date': 'Jan 11, 2012', 'age': '27', 'clubName': 'Udinese Calcio', 'clubID': '410', 'value': '€12.00m'}, {'date': 'Jun 8, 2012', 'age': '27', 'clubName': 'Udinese Calcio', 'clubID': '410', 'value': '€15.00m'}, {'date': 'Jan 15, 2013', 'age': '28', 'clubName': 'Inter Milan', 'clubID': '46', 'value': '€17.00m'}, {'date': 'Jun 19, 2013', 'age': '28', 'clubName': 'Inter Milan', 'clubID': '46', 'value': '€24.00m'}, {'date': 'Jan 7, 2014', 'age': '29', 'clubName': 'Inter Milan', 'clubID': '46', 'value': '€24.00m'}, {'date': 'Jul 1, 2014', 'age': '29', 'clubName': 'Inter Milan', 'clubID': '46', 'value': '€22.00m'}, {'date': 'Jan 7, 2015', 'age': '30', 'clubName': 'Inter Milan', 'clubID': '46', 'value': '€18.50m'}, {'date': 'Jul 1, 2015', 'age': '30', 'clubName': 'Inter Milan', 'clubID': '46', 'value': '€15.00m'}, {'date': 'Jan 4, 2016', 'age': '31', 'clubName': 'Inter Milan', 'clubID': '46', 'value': '€15.00m'}, {'date': 'Jul 15, 2016', 'age': '32', 'clubName': 'Inter Milan', 'clubID': '46', 'value': '€15.00m'}, {'date': 'Jan 2, 2017', 'age': '32', 'clubName': 'Inter Milan', 'clubID': '46', 'value': '€12.50m'}, {'date': 'Jun 8, 2017', 'age': '32', 'clubName': 'Inter Milan', 'clubID': '46', 'value': '€10.00m'}, {'date': 'Dec 29, 2017', 'age': '33', 'clubName': 'Inter Milan', 'clubID': '46', 'value': '€10.00m'}, {'date': 'Jun 7, 2018', 'age': '33', 'clubName': 'Inter Milan', 'clubID': '46', 'value': '€8.50m'}, {'date': 'Oct 12, 2018', 'age': '34', 'clubName': 'Inter Milan', 'clubID': '46', 'value': '€6.00m'}, {'date': 'Dec 20, 2018', 'age': '34', 'clubName': 'Inter Milan', 'clubID': '46', 'value': '€6.00m'}, {'date': 'Jun 6, 2019', 'age': '34', 'clubName': 'Inter Milan', 'clubID': '46', 'value': '€6.00m'}, {'date': 'Dec 12, 2019', 'age': '35', 'clubName': 'Inter Milan', 'clubID': '46', 'value': '€6.00m'}, {'date': 'Apr 8, 2020', 'age': '35', 'clubName': 'Inter Milan', 'clubID': '46', 'value': '€4.80m'}, {'date': 'Aug 25, 2020', 'age': '36', 'clubName': 'Inter Milan', 'clubID': '46', 'value': '€4.00m'}, {'date': 'Dec 29, 2020', 'age': '36', 'clubName': 'Inter Milan', 'clubID': '46', 'value': '€2.50m'}, {'date': 'Jun 3, 2021', 'age': '36', 'clubName': 'Inter Milan', 'clubID': '46', 'value': '€2.50m'}, {'date': 'Dec 28, 2021', 'age': '37', 'clubName': 'Inter Milan', 'clubID': '46', 'value': '€2.50m'}, {'date': 'Jun 7, 2022', 'age': '37', 'clubName': 'Inter Milan', 'clubID': '46', 'value': '€2.00m'}, {'date': 'Nov 11, 2022', 'age': '38', 'clubName': 'Inter Milan', 'clubID': '46', 'value': '€1.00m'}, {'date': 'Jun 15, 2023', 'age': '38', 'clubName': 'Inter Milan', 'clubID': '46', 'value': '€500k'}, {'date': 'Jul 1, 2023', 'age': '38', 'clubName': 'Retired', 'clubID': '123', 'value': '-'}]}</t>
        </is>
      </c>
      <c r="L57" t="inlineStr">
        <is>
          <t>Slovenia</t>
        </is>
      </c>
      <c r="M57" t="inlineStr">
        <is>
          <t>1984-07-14</t>
        </is>
      </c>
      <c r="N57" t="inlineStr">
        <is>
          <t>Slovenia</t>
        </is>
      </c>
      <c r="O57">
        <f>(2+1)/2</f>
        <v/>
      </c>
      <c r="P57">
        <f>(2.5+2.5)/2</f>
        <v/>
      </c>
    </row>
    <row r="58">
      <c r="A58" t="inlineStr">
        <is>
          <t>Hakimi</t>
        </is>
      </c>
      <c r="B58" t="inlineStr">
        <is>
          <t>Paris</t>
        </is>
      </c>
      <c r="C58" t="inlineStr">
        <is>
          <t>Defender</t>
        </is>
      </c>
      <c r="D58" t="n">
        <v>718</v>
      </c>
      <c r="E58" t="n">
        <v>8</v>
      </c>
      <c r="F58" t="n">
        <v>0</v>
      </c>
      <c r="G58" t="n">
        <v>0</v>
      </c>
      <c r="H58" t="n">
        <v>85.3</v>
      </c>
      <c r="I58" t="n">
        <v>35.1</v>
      </c>
      <c r="J58" t="n">
        <v>398073</v>
      </c>
      <c r="K58" t="inlineStr">
        <is>
          <t>{'marketValueHistory': [{'date': '04/09/2016', 'age': '17', 'clubName': 'Real Madrid Castilla', 'clubID': '6767', 'value': '€250k'}, {'date': '02/02/2017', 'age': '18', 'clubName': 'Real Madrid Castilla', 'clubID': '6767', 'value': '€250k'}, {'date': '31/03/2017', 'age': '18', 'clubName': 'Real Madrid Castilla', 'clubID': '6767', 'value': '€300k'}, {'date': '30/06/2017', 'age': '18', 'clubName': 'Real Madrid Castilla', 'clubID': '6767', 'value': '€300k'}, {'date': '01/01/2018', 'age': '19', 'clubName': 'Real Madrid', 'clubID': '418', 'value': '€5.00m'}, {'date': '30/05/2018', 'age': '19', 'clubName': 'Real Madrid', 'clubID': '418', 'value': '€5.00m'}, {'date': '16/07/2018', 'age': '19', 'clubName': 'Borussia Dortmund', 'clubID': '16', 'value': '€7.50m'}, {'date': '22/10/2018', 'age': '19', 'clubName': 'Borussia Dortmund', 'clubID': '16', 'value': '€11.00m'}, {'date': '18/12/2018', 'age': '20', 'clubName': 'Borussia Dortmund', 'clubID': '16', 'value': '€25.00m'}, {'date': '06/03/2019', 'age': '20', 'clubName': 'Borussia Dortmund', 'clubID': '16', 'value': '€30.00m'}, {'date': '05/06/2019', 'age': '20', 'clubName': 'Borussia Dortmund', 'clubID': '16', 'value': '€30.00m'}, {'date': '17/12/2019', 'age': '21', 'clubName': 'Borussia Dortmund', 'clubID': '16', 'value': '€45.00m'}, {'date': '11/03/2020', 'age': '21', 'clubName': 'Borussia Dortmund', 'clubID': '16', 'value': '€60.00m'}, {'date': '08/04/2020', 'age': '21', 'clubName': 'Borussia Dortmund', 'clubID': '16', 'value': '€54.00m'}, {'date': '29/10/2020', 'age': '21', 'clubName': 'Inter Milan', 'clubID': '46', 'value': '€50.00m'}, {'date': '29/12/2020', 'age': '22', 'clubName': 'Inter Milan', 'clubID': '46', 'value': '€50.00m'}, {'date': '03/06/2021', 'age': '22', 'clubName': 'Inter Milan', 'clubID': '46', 'value': '€60.00m'}, {'date': '08/10/2021', 'age': '22', 'clubName': 'Paris Saint-Germain', 'clubID': '583', 'value': '€70.00m'}, {'date': '16/12/2021', 'age': '23', 'clubName': 'Paris Saint-Germain', 'clubID': '583', 'value': '€70.00m'}, {'date': '30/05/2022', 'age': '23', 'clubName': 'Paris Saint-Germain', 'clubID': '583', 'value': '€65.00m'}, {'date': '02/11/2022', 'age': '23', 'clubName': 'Paris Saint-Germain', 'clubID': '583', 'value': '€65.00m'}, {'date': '23/12/2022', 'age': '24', 'clubName': 'Paris Saint-Germain', 'clubID': '583', 'value': '€70.00m'}, {'date': '27/06/2023', 'age': '24', 'clubName': 'Paris Saint-Germain', 'clubID': '583', 'value': '€65.00m'}, {'date': '18/12/2023', 'age': '25', 'clubName': 'Paris Saint-Germain', 'clubID': '583', 'value': '€65.00m'}, {'date': '03/06/2024', 'age': '25', 'clubName': 'Paris Saint-Germain', 'clubID': '583', 'value': '€60.00m'}, {'date': '10/12/2024', 'age': '26', 'clubName': 'Paris Saint-Germain', 'clubID': '583', 'value': '€60.00m'}, {'date': '24/03/2025', 'age': '26', 'clubName': 'Paris Saint-Germain', 'clubID': '583', 'value': '€65.00m'}, {'date': '03/06/2025', 'age': '26', 'clubName': 'Paris Saint-Germain', 'clubID': '583', 'value': '€80.00m'}, {'date': '15/12/2025', 'age': '27', 'clubName': 'Paris Saint-Germain', 'clubID': '583', 'value': '€80.00m'}]}</t>
        </is>
      </c>
      <c r="L58" t="inlineStr">
        <is>
          <t>Spain</t>
        </is>
      </c>
      <c r="M58" t="inlineStr">
        <is>
          <t>1998-11-04</t>
        </is>
      </c>
      <c r="N58" t="inlineStr">
        <is>
          <t>95</t>
        </is>
      </c>
      <c r="O58">
        <f>(65+65+70)/3</f>
        <v/>
      </c>
      <c r="P58">
        <f>(60+70+70)/3</f>
        <v/>
      </c>
    </row>
    <row r="59">
      <c r="A59" t="inlineStr">
        <is>
          <t>Ulmer</t>
        </is>
      </c>
      <c r="B59" t="inlineStr">
        <is>
          <t>Salzburg</t>
        </is>
      </c>
      <c r="C59" t="inlineStr">
        <is>
          <t>Defender</t>
        </is>
      </c>
      <c r="D59" t="n">
        <v>716</v>
      </c>
      <c r="E59" t="n">
        <v>8</v>
      </c>
      <c r="F59" t="n">
        <v>0</v>
      </c>
      <c r="G59" t="n">
        <v>0</v>
      </c>
      <c r="H59" t="n">
        <v>84.2</v>
      </c>
      <c r="I59" t="n">
        <v>33.3</v>
      </c>
      <c r="J59" t="n">
        <v>31196</v>
      </c>
      <c r="K59" t="inlineStr">
        <is>
          <t>{'marketValueHistory': [{'date': '01/07/2005', 'age': '19', 'clubName': 'Austria Vienna', 'clubID': '14', 'value': '€50k'}, {'date': '09/08/2005', 'age': '19', 'clubName': 'Austria Vienna', 'clubID': '14', 'value': '€100k'}, {'date': '10/05/2006', 'age': '20', 'clubName': 'Austria Vienna', 'clubID': '14', 'value': '€125k'}, {'date': '30/09/2006', 'age': '20', 'clubName': 'Austria Vienna', 'clubID': '14', 'value': '€150k'}, {'date': '15/02/2007', 'age': '21', 'clubName': 'Austria Vienna Reserves', 'clubID': '4383', 'value': '€175k'}, {'date': '19/03/2007', 'age': '21', 'clubName': 'Austria Vienna Reserves', 'clubID': '4383', 'value': '€200k'}, {'date': '31/07/2007', 'age': '21', 'clubName': 'Austria Vienna Reserves', 'clubID': '4383', 'value': '€175k'}, {'date': '20/10/2007', 'age': '21', 'clubName': 'Austria Vienna Reserves', 'clubID': '4383', 'value': '€225k'}, {'date': '15/09/2008', 'age': '22', 'clubName': 'SV Ried', 'clubID': '266', 'value': '€325k'}, {'date': '11/01/2009', 'age': '23', 'clubName': 'SV Ried', 'clubID': '266', 'value': '€450k'}, {'date': '18/03/2009', 'age': '23', 'clubName': 'Red Bull Salzburg', 'clubID': '409', 'value': '€650k'}, {'date': '09/06/2009', 'age': '23', 'clubName': 'Red Bull Salzburg', 'clubID': '409', 'value': '€900k'}, {'date': '08/01/2010', 'age': '24', 'clubName': 'Red Bull Salzburg', 'clubID': '409', 'value': '€1.00m'}, {'date': '15/09/2011', 'age': '25', 'clubName': 'Red Bull Salzburg', 'clubID': '409', 'value': '€800k'}, {'date': '30/12/2011', 'age': '26', 'clubName': 'Red Bull Salzburg', 'clubID': '409', 'value': '€650k'}, {'date': '30/05/2012', 'age': '26', 'clubName': 'Red Bull Salzburg', 'clubID': '409', 'value': '€900k'}, {'date': '19/12/2012', 'age': '27', 'clubName': 'Red Bull Salzburg', 'clubID': '409', 'value': '€900k'}, {'date': '04/06/2013', 'age': '27', 'clubName': 'Red Bull Salzburg', 'clubID': '409', 'value': '€700k'}, {'date': '16/09/2013', 'age': '27', 'clubName': 'Red Bull Salzburg', 'clubID': '409', 'value': '€900k'}, {'date': '27/12/2013', 'age': '28', 'clubName': 'Red Bull Salzburg', 'clubID': '409', 'value': '€1.00m'}, {'date': '20/06/2014', 'age': '28', 'clubName': 'Red Bull Salzburg', 'clubID': '409', 'value': '€1.30m'}, {'date': '11/01/2015', 'age': '29', 'clubName': 'Red Bull Salzburg', 'clubID': '409', 'value': '€1.30m'}, {'date': '17/06/2015', 'age': '29', 'clubName': 'Red Bull Salzburg', 'clubID': '409', 'value': '€1.25m'}, {'date': '02/10/2015', 'age': '29', 'clubName': 'Red Bull Salzburg', 'clubID': '409', 'value': '€1.00m'}, {'date': '29/12/2015', 'age': '30', 'clubName': 'Red Bull Salzburg', 'clubID': '409', 'value': '€900k'}, {'date': '01/06/2016', 'age': '30', 'clubName': 'Red Bull Salzburg', 'clubID': '409', 'value': '€900k'}, {'date': '22/12/2016', 'age': '31', 'clubName': 'Red Bull Salzburg', 'clubID': '409', 'value': '€900k'}, {'date': '02/06/2017', 'age': '31', 'clubName': 'Red Bull Salzburg', 'clubID': '409', 'value': '€900k'}, {'date': '02/01/2018', 'age': '32', 'clubName': 'Red Bull Salzburg', 'clubID': '409', 'value': '€900k'}, {'date': '14/06/2018', 'age': '32', 'clubName': 'Red Bull Salzburg', 'clubID': '409', 'value': '€1.00m'}, {'date': '19/12/2018', 'age': '33', 'clubName': 'Red Bull Salzburg', 'clubID': '409', 'value': '€1.00m'}, {'date': '03/06/2019', 'age': '33', 'clubName': 'Red Bull Salzburg', 'clubID': '409', 'value': '€1.00m'}, {'date': '16/12/2019', 'age': '34', 'clubName': 'Red Bull Salzburg', 'clubID': '409', 'value': '€1.00m'}, {'date': '08/04/2020', 'age': '34', 'clubName': 'Red Bull Salzburg', 'clubID': '409', 'value': '€800k'}, {'date': '22/07/2020', 'age': '34', 'clubName': 'Red Bull Salzburg', 'clubID': '409', 'value': '€800k'}, {'date': '21/12/2020', 'age': '35', 'clubName': 'Red Bull Salzburg', 'clubID': '409', 'value': '€800k'}, {'date': '27/05/2021', 'age': '35', 'clubName': 'Red Bull Salzburg', 'clubID': '409', 'value': '€800k'}, {'date': '16/12/2021', 'age': '36', 'clubName': 'Red Bull Salzburg', 'clubID': '409', 'value': '€600k'}, {'date': '27/05/2022', 'age': '36', 'clubName': 'Red Bull Salzburg', 'clubID': '409', 'value': '€600k'}, {'date': '10/11/2022', 'age': '37', 'clubName': 'Red Bull Salzburg', 'clubID': '409', 'value': '€600k'}, {'date': '12/06/2023', 'age': '37', 'clubName': 'Red Bull Salzburg', 'clubID': '409', 'value': '€400k'}, {'date': '11/12/2023', 'age': '38', 'clubName': 'Red Bull Salzburg', 'clubID': '409', 'value': '€300k'}, {'date': '21/05/2024', 'age': '38', 'clubName': 'Red Bull Salzburg', 'clubID': '409', 'value': '€200k'}, {'date': '15/02/2025', 'age': '39', 'clubName': 'Retired', 'clubID': '123', 'value': '-'}]}</t>
        </is>
      </c>
      <c r="L59" t="inlineStr">
        <is>
          <t>Austria</t>
        </is>
      </c>
      <c r="M59" t="inlineStr">
        <is>
          <t>1985-10-30</t>
        </is>
      </c>
      <c r="N59" t="inlineStr">
        <is>
          <t>Austria</t>
        </is>
      </c>
      <c r="O59">
        <f>(0.6+0.6)/2</f>
        <v/>
      </c>
      <c r="P59">
        <f>(0.8+0.6)/2</f>
        <v/>
      </c>
    </row>
    <row r="60">
      <c r="A60" t="inlineStr">
        <is>
          <t>Gilberto</t>
        </is>
      </c>
      <c r="B60" t="inlineStr">
        <is>
          <t>Benfica</t>
        </is>
      </c>
      <c r="C60" t="inlineStr">
        <is>
          <t>Defender</t>
        </is>
      </c>
      <c r="D60" t="n">
        <v>715</v>
      </c>
      <c r="E60" t="n">
        <v>9</v>
      </c>
      <c r="F60" t="n">
        <v>1</v>
      </c>
      <c r="G60" t="n">
        <v>0</v>
      </c>
      <c r="H60" t="n">
        <v>85.7</v>
      </c>
      <c r="I60" t="n">
        <v>32.3</v>
      </c>
      <c r="J60" t="n">
        <v>3194</v>
      </c>
      <c r="K60" t="inlineStr">
        <is>
          <t>{'marketValueHistory': [{'date': '04/10/2004', 'age': '27', 'clubName': 'Arsenal FC', 'clubID': '11', 'value': '€9.00m'}, {'date': '07/01/2005', 'age': '28', 'clubName': 'Arsenal FC', 'clubID': '11', 'value': '€7.00m'}, {'date': '17/10/2005', 'age': '29', 'clubName': 'Arsenal FC', 'clubID': '11', 'value': '€7.75m'}, {'date': '24/04/2007', 'age': '30', 'clubName': 'Arsenal FC', 'clubID': '11', 'value': '€10.25m'}, {'date': '04/02/2008', 'age': '31', 'clubName': 'Arsenal FC', 'clubID': '11', 'value': '€6.50m'}, {'date': '04/07/2008', 'age': '31', 'clubName': 'Arsenal FC', 'clubID': '11', 'value': '€6.00m'}, {'date': '02/03/2009', 'age': '32', 'clubName': 'Panathinaikos', 'clubID': '265', 'value': '€6.50m'}, {'date': '25/10/2009', 'age': '33', 'clubName': 'Panathinaikos', 'clubID': '265', 'value': '€6.75m'}, {'date': '03/03/2010', 'age': '33', 'clubName': 'Panathinaikos', 'clubID': '265', 'value': '€7.50m'}, {'date': '05/10/2010', 'age': '33', 'clubName': 'Panathinaikos', 'clubID': '265', 'value': '€6.50m'}, {'date': '28/02/2011', 'age': '34', 'clubName': 'Panathinaikos', 'clubID': '265', 'value': '€4.75m'}, {'date': '30/05/2011', 'age': '34', 'clubName': 'Panathinaikos', 'clubID': '265', 'value': '€1.75m'}, {'date': '29/08/2011', 'age': '34', 'clubName': 'Grêmio Foot-Ball Porto Alegrense', 'clubID': '210', 'value': '€1.25m'}, {'date': '08/12/2011', 'age': '35', 'clubName': 'Grêmio Foot-Ball Porto Alegrense', 'clubID': '210', 'value': '€900k'}, {'date': '24/05/2012', 'age': '35', 'clubName': 'Grêmio Foot-Ball Porto Alegrense', 'clubID': '210', 'value': '€400k'}, {'date': '05/12/2012', 'age': '36', 'clubName': 'Grêmio Foot-Ball Porto Alegrense', 'clubID': '210', 'value': '€250k'}, {'date': '28/03/2014', 'age': '37', 'clubName': 'Without Club', 'clubID': '515', 'value': '€500k'}, {'date': '06/08/2014', 'age': '37', 'clubName': 'Without Club', 'clubID': '515', 'value': '-'}]}</t>
        </is>
      </c>
      <c r="L60" t="inlineStr">
        <is>
          <t>Brazil</t>
        </is>
      </c>
      <c r="M60" t="inlineStr">
        <is>
          <t>1976-10-07</t>
        </is>
      </c>
      <c r="N60" t="inlineStr">
        <is>
          <t>Brazil</t>
        </is>
      </c>
    </row>
    <row r="61">
      <c r="A61" t="inlineStr">
        <is>
          <t>Aaronson</t>
        </is>
      </c>
      <c r="B61" t="inlineStr">
        <is>
          <t>Salzburg</t>
        </is>
      </c>
      <c r="C61" t="inlineStr">
        <is>
          <t>Midfielder</t>
        </is>
      </c>
      <c r="D61" t="n">
        <v>715</v>
      </c>
      <c r="E61" t="n">
        <v>8</v>
      </c>
      <c r="F61" t="n">
        <v>0</v>
      </c>
      <c r="G61" t="n">
        <v>2</v>
      </c>
      <c r="H61" t="n">
        <v>103.5</v>
      </c>
      <c r="I61" t="n">
        <v>33.1</v>
      </c>
      <c r="J61" t="n">
        <v>393323</v>
      </c>
      <c r="K61" t="inlineStr">
        <is>
          <t>{'marketValueHistory': [{'date': 'Jul 11, 2018', 'age': '17', 'clubName': 'Bethlehem Steel FC', 'clubID': '51762', 'value': '€50k'}, {'date': 'Nov 15, 2018', 'age': '18', 'clubName': 'Bethlehem Steel FC', 'clubID': '51762', 'value': '€150k'}, {'date': 'Mar 20, 2019', 'age': '18', 'clubName': 'Philadelphia Union', 'clubID': '25467', 'value': '€450k'}, {'date': 'May 27, 2019', 'age': '18', 'clubName': 'Philadelphia Union', 'clubID': '25467', 'value': '€800k'}, {'date': 'Nov 30, 2019', 'age': '19', 'clubName': 'Philadelphia Union', 'clubID': '25467', 'value': '€1.50m'}, {'date': 'Apr 8, 2020', 'age': '19', 'clubName': 'Philadelphia Union', 'clubID': '25467', 'value': '€1.30m'}, {'date': 'Aug 26, 2020', 'age': '19', 'clubName': 'Philadelphia Union', 'clubID': '25467', 'value': '€4.00m'}, {'date': 'Nov 13, 2020', 'age': '20', 'clubName': 'Philadelphia Union', 'clubID': '25467', 'value': '€8.00m'}, {'date': 'Dec 18, 2020', 'age': '20', 'clubName': 'Philadelphia Union', 'clubID': '25467', 'value': '€10.00m'}, {'date': 'Jun 2, 2021', 'age': '20', 'clubName': 'Red Bull Salzburg', 'clubID': '409', 'value': '€10.00m'}, {'date': 'Dec 16, 2021', 'age': '21', 'clubName': 'Red Bull Salzburg', 'clubID': '409', 'value': '€12.00m'}, {'date': 'Mar 11, 2022', 'age': '21', 'clubName': 'Red Bull Salzburg', 'clubID': '409', 'value': '€20.00m'}, {'date': 'May 27, 2022', 'age': '21', 'clubName': 'Red Bull Salzburg', 'clubID': '409', 'value': '€25.00m'}, {'date': 'Sep 15, 2022', 'age': '21', 'clubName': 'Leeds United', 'clubID': '399', 'value': '€30.00m'}, {'date': 'Nov 3, 2022', 'age': '22', 'clubName': 'Leeds United', 'clubID': '399', 'value': '€30.00m'}, {'date': 'Jun 20, 2023', 'age': '22', 'clubName': 'Leeds United', 'clubID': '399', 'value': '€25.00m'}, {'date': 'Oct 18, 2023', 'age': '22', 'clubName': '1.FC Union Berlin', 'clubID': '89', 'value': '€18.00m'}, {'date': 'Dec 14, 2023', 'age': '23', 'clubName': '1.FC Union Berlin', 'clubID': '89', 'value': '€14.00m'}, {'date': 'May 29, 2024', 'age': '23', 'clubName': '1.FC Union Berlin', 'clubID': '89', 'value': '€12.00m'}, {'date': 'Sep 24, 2024', 'age': '23', 'clubName': 'Leeds United', 'clubID': '399', 'value': '€11.00m'}, {'date': 'Dec 30, 2024', 'age': '24', 'clubName': 'Leeds United', 'clubID': '399', 'value': '€12.00m'}, {'date': 'Mar 28, 2025', 'age': '24', 'clubName': 'Leeds United', 'clubID': '399', 'value': '€14.00m'}, {'date': 'May 27, 2025', 'age': '24', 'clubName': 'Leeds United', 'clubID': '399', 'value': '€15.00m'}, {'date': 'Dec 9, 2025', 'age': '25', 'clubName': 'Leeds United', 'clubID': '399', 'value': '€15.00m'}, {'date': 'Mar 9, 2026', 'age': '25', 'clubName': 'Leeds United', 'clubID': '399', 'value': '€18.00m'}]}</t>
        </is>
      </c>
      <c r="L61" t="inlineStr">
        <is>
          <t>United States</t>
        </is>
      </c>
      <c r="M61" t="inlineStr">
        <is>
          <t>2000-10-22</t>
        </is>
      </c>
      <c r="N61" t="inlineStr">
        <is>
          <t>United States</t>
        </is>
      </c>
      <c r="O61">
        <f>(20+25+30+30)/4</f>
        <v/>
      </c>
      <c r="P61">
        <f>(10+12)/2</f>
        <v/>
      </c>
    </row>
    <row r="62">
      <c r="A62" t="inlineStr">
        <is>
          <t>Rafa Silva</t>
        </is>
      </c>
      <c r="B62" t="inlineStr">
        <is>
          <t>Benfica</t>
        </is>
      </c>
      <c r="C62" t="inlineStr">
        <is>
          <t>Forward</t>
        </is>
      </c>
      <c r="D62" t="n">
        <v>704</v>
      </c>
      <c r="E62" t="n">
        <v>9</v>
      </c>
      <c r="F62" t="n">
        <v>1</v>
      </c>
      <c r="G62" t="n">
        <v>1</v>
      </c>
      <c r="H62" t="n">
        <v>85.7</v>
      </c>
      <c r="I62" t="n">
        <v>34.9</v>
      </c>
      <c r="J62" t="n">
        <v>238055</v>
      </c>
      <c r="K62" t="inlineStr">
        <is>
          <t>{'marketValueHistory': [{'date': 'Oct 8, 2013', 'age': '20', 'clubName': 'SC Braga', 'clubID': '1075', 'value': '€1.50m'}, {'date': 'Feb 26, 2014', 'age': '20', 'clubName': 'SC Braga', 'clubID': '1075', 'value': '€4.00m'}, {'date': 'Jul 25, 2014', 'age': '21', 'clubName': 'SC Braga', 'clubID': '1075', 'value': '€6.50m'}, {'date': 'Feb 17, 2015', 'age': '21', 'clubName': 'SC Braga', 'clubID': '1075', 'value': '€7.50m'}, {'date': 'Jul 1, 2015', 'age': '22', 'clubName': 'SC Braga', 'clubID': '1075', 'value': '€8.00m'}, {'date': 'Feb 24, 2016', 'age': '22', 'clubName': 'SC Braga', 'clubID': '1075', 'value': '€11.00m'}, {'date': 'Jun 1, 2016', 'age': '23', 'clubName': 'SC Braga', 'clubID': '1075', 'value': '€15.00m'}, {'date': 'Jul 29, 2016', 'age': '23', 'clubName': 'SC Braga', 'clubID': '1075', 'value': '€15.00m'}, {'date': 'Feb 22, 2017', 'age': '23', 'clubName': 'SL Benfica', 'clubID': '294', 'value': '€15.00m'}, {'date': 'Jun 26, 2017', 'age': '24', 'clubName': 'SL Benfica', 'clubID': '294', 'value': '€15.00m'}, {'date': 'Nov 6, 2017', 'age': '24', 'clubName': 'SL Benfica', 'clubID': '294', 'value': '€10.00m'}, {'date': 'Feb 7, 2018', 'age': '24', 'clubName': 'SL Benfica', 'clubID': '294', 'value': '€8.00m'}, {'date': 'Jun 13, 2018', 'age': '25', 'clubName': 'SL Benfica', 'clubID': '294', 'value': '€12.00m'}, {'date': 'Nov 1, 2018', 'age': '25', 'clubName': 'SL Benfica', 'clubID': '294', 'value': '€15.00m'}, {'date': 'Jan 11, 2019', 'age': '25', 'clubName': 'SL Benfica', 'clubID': '294', 'value': '€20.00m'}, {'date': 'Mar 18, 2019', 'age': '25', 'clubName': 'SL Benfica', 'clubID': '294', 'value': '€22.00m'}, {'date': 'Jun 7, 2019', 'age': '26', 'clubName': 'SL Benfica', 'clubID': '294', 'value': '€28.00m'}, {'date': 'Dec 30, 2019', 'age': '26', 'clubName': 'SL Benfica', 'clubID': '294', 'value': '€30.00m'}, {'date': 'Apr 8, 2020', 'age': '26', 'clubName': 'SL Benfica', 'clubID': '294', 'value': '€24.00m'}, {'date': 'Aug 17, 2020', 'age': '27', 'clubName': 'SL Benfica', 'clubID': '294', 'value': '€24.00m'}, {'date': 'Jan 28, 2021', 'age': '27', 'clubName': 'SL Benfica', 'clubID': '294', 'value': '€23.00m'}, {'date': 'Jun 1, 2021', 'age': '28', 'clubName': 'SL Benfica', 'clubID': '294', 'value': '€23.00m'}, {'date': 'Sep 21, 2021', 'age': '28', 'clubName': 'SL Benfica', 'clubID': '294', 'value': '€24.00m'}, {'date': 'Dec 27, 2021', 'age': '28', 'clubName': 'SL Benfica', 'clubID': '294', 'value': '€28.00m'}, {'date': 'Mar 10, 2022', 'age': '28', 'clubName': 'SL Benfica', 'clubID': '294', 'value': '€25.00m'}, {'date': 'May 31, 2022', 'age': '29', 'clubName': 'SL Benfica', 'clubID': '294', 'value': '€20.00m'}, {'date': 'Nov 1, 2022', 'age': '29', 'clubName': 'SL Benfica', 'clubID': '294', 'value': '€23.00m'}, {'date': 'Jun 16, 2023', 'age': '30', 'clubName': 'SL Benfica', 'clubID': '294', 'value': '€22.00m'}, {'date': 'Dec 27, 2023', 'age': '30', 'clubName': 'SL Benfica', 'clubID': '294', 'value': '€18.00m'}, {'date': 'Jun 6, 2024', 'age': '31', 'clubName': 'SL Benfica', 'clubID': '294', 'value': '€14.00m'}, {'date': 'Oct 4, 2024', 'age': '31', 'clubName': 'Besiktas JK', 'clubID': '114', 'value': '€14.00m'}, {'date': 'Dec 23, 2024', 'age': '31', 'clubName': 'Besiktas JK', 'clubID': '114', 'value': '€12.00m'}, {'date': 'Mar 20, 2025', 'age': '31', 'clubName': 'Besiktas JK', 'clubID': '114', 'value': '€10.00m'}, {'date': 'Jun 18, 2025', 'age': '32', 'clubName': 'Besiktas JK', 'clubID': '114', 'value': '€9.00m'}, {'date': 'Oct 1, 2025', 'age': '32', 'clubName': 'Besiktas JK', 'clubID': '114', 'value': '€7.00m'}, {'date': 'Dec 17, 2025', 'age': '32', 'clubName': 'Besiktas JK', 'clubID': '114', 'value': '€5.00m'}]}</t>
        </is>
      </c>
      <c r="L62" t="inlineStr">
        <is>
          <t>Portugal</t>
        </is>
      </c>
      <c r="M62" t="inlineStr">
        <is>
          <t>1993-05-17</t>
        </is>
      </c>
      <c r="N62" t="inlineStr">
        <is>
          <t>25</t>
        </is>
      </c>
      <c r="O62">
        <f>(25+20+23)/3</f>
        <v/>
      </c>
      <c r="P62">
        <f>(23+23+24+28)/4</f>
        <v/>
      </c>
    </row>
    <row r="63">
      <c r="A63" t="inlineStr">
        <is>
          <t>Gravenberch</t>
        </is>
      </c>
      <c r="B63" t="inlineStr">
        <is>
          <t>Ajax</t>
        </is>
      </c>
      <c r="C63" t="inlineStr">
        <is>
          <t>Midfielder</t>
        </is>
      </c>
      <c r="D63" t="n">
        <v>703</v>
      </c>
      <c r="E63" t="n">
        <v>8</v>
      </c>
      <c r="F63" t="n">
        <v>0</v>
      </c>
      <c r="G63" t="n">
        <v>1</v>
      </c>
      <c r="H63" t="n">
        <v>89.09999999999999</v>
      </c>
      <c r="I63" t="n">
        <v>31.5</v>
      </c>
      <c r="J63" t="n">
        <v>478573</v>
      </c>
      <c r="K63" t="inlineStr">
        <is>
          <t>{'marketValueHistory': [{'date': '04/10/2018', 'age': '16', 'clubName': 'Ajax Amsterdam U21', 'clubID': '610', 'value': '€5.00m'}, {'date': '28/12/2018', 'age': '16', 'clubName': 'Ajax Amsterdam U21', 'clubID': '610', 'value': '€5.00m'}, {'date': '21/01/2019', 'age': '16', 'clubName': 'Ajax Amsterdam U21', 'clubID': '610', 'value': '€5.00m'}, {'date': '12/06/2019', 'age': '17', 'clubName': 'Ajax Amsterdam U21', 'clubID': '610', 'value': '€5.00m'}, {'date': '18/12/2019', 'age': '17', 'clubName': 'Ajax Amsterdam', 'clubID': '610', 'value': '€5.00m'}, {'date': '11/02/2020', 'age': '17', 'clubName': 'Ajax Amsterdam', 'clubID': '610', 'value': '€12.00m'}, {'date': '08/04/2020', 'age': '17', 'clubName': 'Ajax Amsterdam', 'clubID': '610', 'value': '€11.00m'}, {'date': '14/10/2020', 'age': '18', 'clubName': 'Ajax Amsterdam', 'clubID': '610', 'value': '€11.00m'}, {'date': '06/01/2021', 'age': '18', 'clubName': 'Ajax Amsterdam', 'clubID': '610', 'value': '€22.00m'}, {'date': '09/03/2021', 'age': '18', 'clubName': 'Ajax Amsterdam', 'clubID': '610', 'value': '€28.00m'}, {'date': '27/05/2021', 'age': '19', 'clubName': 'Ajax Amsterdam', 'clubID': '610', 'value': '€33.00m'}, {'date': '05/01/2022', 'age': '19', 'clubName': 'Ajax Amsterdam', 'clubID': '610', 'value': '€35.00m'}, {'date': '08/06/2022', 'age': '20', 'clubName': 'Ajax Amsterdam', 'clubID': '610', 'value': '€35.00m'}, {'date': '09/11/2022', 'age': '20', 'clubName': 'Bayern Munich', 'clubID': '27', 'value': '€30.00m'}, {'date': '22/06/2023', 'age': '21', 'clubName': 'Bayern Munich', 'clubID': '27', 'value': '€30.00m'}, {'date': '09/10/2023', 'age': '21', 'clubName': 'Liverpool FC', 'clubID': '31', 'value': '€35.00m'}, {'date': '19/12/2023', 'age': '21', 'clubName': 'Liverpool FC', 'clubID': '31', 'value': '€35.00m'}, {'date': '27/05/2024', 'age': '22', 'clubName': 'Liverpool FC', 'clubID': '31', 'value': '€35.00m'}, {'date': '01/10/2024', 'age': '22', 'clubName': 'Liverpool FC', 'clubID': '31', 'value': '€40.00m'}, {'date': '16/12/2024', 'age': '22', 'clubName': 'Liverpool FC', 'clubID': '31', 'value': '€55.00m'}, {'date': '18/03/2025', 'age': '22', 'clubName': 'Liverpool FC', 'clubID': '31', 'value': '€70.00m'}, {'date': '30/05/2025', 'age': '23', 'clubName': 'Liverpool FC', 'clubID': '31', 'value': '€75.00m'}, {'date': '17/10/2025', 'age': '23', 'clubName': 'Liverpool FC', 'clubID': '31', 'value': '€90.00m'}, {'date': '09/12/2025', 'age': '23', 'clubName': 'Liverpool FC', 'clubID': '31', 'value': '€90.00m'}]}</t>
        </is>
      </c>
      <c r="L63" t="inlineStr">
        <is>
          <t>Netherlands</t>
        </is>
      </c>
      <c r="M63" t="inlineStr">
        <is>
          <t>2002-05-16</t>
        </is>
      </c>
      <c r="N63" t="inlineStr">
        <is>
          <t>Netherlands</t>
        </is>
      </c>
      <c r="O63">
        <f>(35+35+30)/3</f>
        <v/>
      </c>
      <c r="P63">
        <f>(22+28+33)/3</f>
        <v/>
      </c>
    </row>
    <row r="64">
      <c r="A64" t="inlineStr">
        <is>
          <t>Kimmich</t>
        </is>
      </c>
      <c r="B64" t="inlineStr">
        <is>
          <t>Bayern</t>
        </is>
      </c>
      <c r="C64" t="inlineStr">
        <is>
          <t>Midfielder</t>
        </is>
      </c>
      <c r="D64" t="n">
        <v>702</v>
      </c>
      <c r="E64" t="n">
        <v>8</v>
      </c>
      <c r="F64" t="n">
        <v>0</v>
      </c>
      <c r="G64" t="n">
        <v>0</v>
      </c>
      <c r="H64" t="n">
        <v>96.40000000000001</v>
      </c>
      <c r="I64" t="n">
        <v>31.4</v>
      </c>
      <c r="J64" t="n">
        <v>161056</v>
      </c>
      <c r="K64" t="inlineStr">
        <is>
          <t>{'marketValueHistory': [{'date': '09/08/2013', 'age': '18', 'clubName': 'RB Leipzig', 'clubID': '23826', 'value': '€300k'}, {'date': '24/01/2014', 'age': '18', 'clubName': 'RB Leipzig', 'clubID': '23826', 'value': '€500k'}, {'date': '30/06/2014', 'age': '19', 'clubName': 'RB Leipzig', 'clubID': '23826', 'value': '€700k'}, {'date': '01/10/2014', 'age': '19', 'clubName': 'RB Leipzig', 'clubID': '23826', 'value': '€1.50m'}, {'date': '13/01/2015', 'age': '19', 'clubName': 'RB Leipzig', 'clubID': '23826', 'value': '€5.00m'}, {'date': '01/07/2015', 'age': '20', 'clubName': 'VfB Stuttgart', 'clubID': '79', 'value': '€5.00m'}, {'date': '15/02/2016', 'age': '21', 'clubName': 'Bayern Munich', 'clubID': '27', 'value': '€8.00m'}, {'date': '13/04/2016', 'age': '21', 'clubName': 'Bayern Munich', 'clubID': '27', 'value': '€10.00m'}, {'date': '01/06/2016', 'age': '21', 'clubName': 'Bayern Munich', 'clubID': '27', 'value': '€13.00m'}, {'date': '22/07/2016', 'age': '21', 'clubName': 'Bayern Munich', 'clubID': '27', 'value': '€20.00m'}, {'date': '07/02/2017', 'age': '21', 'clubName': 'Bayern Munich', 'clubID': '27', 'value': '€25.00m'}, {'date': '19/06/2017', 'age': '22', 'clubName': 'Bayern Munich', 'clubID': '27', 'value': '€25.00m'}, {'date': '28/12/2017', 'age': '22', 'clubName': 'Bayern Munich', 'clubID': '27', 'value': '€40.00m'}, {'date': '04/04/2018', 'age': '23', 'clubName': 'Bayern Munich', 'clubID': '27', 'value': '€55.00m'}, {'date': '05/06/2018', 'age': '23', 'clubName': 'Bayern Munich', 'clubID': '27', 'value': '€55.00m'}, {'date': '18/12/2018', 'age': '23', 'clubName': 'Bayern Munich', 'clubID': '27', 'value': '€60.00m'}, {'date': '05/06/2019', 'age': '24', 'clubName': 'Bayern Munich', 'clubID': '27', 'value': '€70.00m'}, {'date': '17/12/2019', 'age': '24', 'clubName': 'Bayern Munich', 'clubID': '27', 'value': '€80.00m'}, {'date': '08/04/2020', 'age': '25', 'clubName': 'Bayern Munich', 'clubID': '27', 'value': '€64.00m'}, {'date': '08/07/2020', 'age': '25', 'clubName': 'Bayern Munich', 'clubID': '27', 'value': '€75.00m'}, {'date': '16/09/2020', 'age': '25', 'clubName': 'Bayern Munich', 'clubID': '27', 'value': '€85.00m'}, {'date': '10/02/2021', 'age': '26', 'clubName': 'Bayern Munich', 'clubID': '27', 'value': '€90.00m'}, {'date': '01/06/2021', 'age': '26', 'clubName': 'Bayern Munich', 'clubID': '27', 'value': '€90.00m'}, {'date': '22/12/2021', 'age': '26', 'clubName': 'Bayern Munich', 'clubID': '27', 'value': '€85.00m'}, {'date': '09/06/2022', 'age': '27', 'clubName': 'Bayern Munich', 'clubID': '27', 'value': '€80.00m'}, {'date': '09/11/2022', 'age': '27', 'clubName': 'Bayern Munich', 'clubID': '27', 'value': '€80.00m'}, {'date': '22/06/2023', 'age': '28', 'clubName': 'Bayern Munich', 'clubID': '27', 'value': '€75.00m'}, {'date': '14/12/2023', 'age': '28', 'clubName': 'Bayern Munich', 'clubID': '27', 'value': '€75.00m'}, {'date': '27/03/2024', 'age': '29', 'clubName': 'Bayern Munich', 'clubID': '27', 'value': '€60.00m'}, {'date': '29/05/2024', 'age': '29', 'clubName': 'Bayern Munich', 'clubID': '27', 'value': '€50.00m'}, {'date': '20/12/2024', 'age': '29', 'clubName': 'Bayern Munich', 'clubID': '27', 'value': '€50.00m'}, {'date': '05/06/2025', 'age': '30', 'clubName': 'Bayern Munich', 'clubID': '27', 'value': '€45.00m'}, {'date': '19/12/2025', 'age': '30', 'clubName': 'Bayern Munich', 'clubID': '27', 'value': '€40.00m'}]}</t>
        </is>
      </c>
      <c r="L64" t="inlineStr">
        <is>
          <t>Germany</t>
        </is>
      </c>
      <c r="M64" t="inlineStr">
        <is>
          <t>1995-02-08</t>
        </is>
      </c>
      <c r="N64" t="inlineStr">
        <is>
          <t>Germany</t>
        </is>
      </c>
      <c r="O64">
        <f>(80+80)/2</f>
        <v/>
      </c>
      <c r="P64">
        <f>(90+90+85)/3</f>
        <v/>
      </c>
    </row>
    <row r="65">
      <c r="A65" t="inlineStr">
        <is>
          <t>Marcos Llorente</t>
        </is>
      </c>
      <c r="B65" t="inlineStr">
        <is>
          <t>Atletico de Madrid</t>
        </is>
      </c>
      <c r="C65" t="inlineStr">
        <is>
          <t>Midfielder</t>
        </is>
      </c>
      <c r="D65" t="n">
        <v>700</v>
      </c>
      <c r="E65" t="n">
        <v>9</v>
      </c>
      <c r="F65" t="n">
        <v>0</v>
      </c>
      <c r="G65" t="n">
        <v>0</v>
      </c>
      <c r="H65" t="n">
        <v>83.59999999999999</v>
      </c>
      <c r="I65" t="n">
        <v>34.7</v>
      </c>
      <c r="J65" t="n">
        <v>282411</v>
      </c>
      <c r="K65" t="inlineStr">
        <is>
          <t>{'marketValueHistory': [{'date': '07/03/2014', 'age': '19', 'clubName': 'Real Madrid U19', 'clubID': '28870', 'value': '€200k'}, {'date': '04/08/2014', 'age': '19', 'clubName': 'Real Madrid Castilla', 'clubID': '6767', 'value': '-'}, {'date': '01/08/2016', 'age': '21', 'clubName': 'Real Madrid', 'clubID': '418', 'value': '€800k'}, {'date': '27/10/2016', 'age': '21', 'clubName': 'Deportivo Alavés', 'clubID': '1108', 'value': '€5.00m'}, {'date': '24/01/2017', 'age': '21', 'clubName': 'Deportivo Alavés', 'clubID': '1108', 'value': '€7.50m'}, {'date': '05/06/2017', 'age': '22', 'clubName': 'Deportivo Alavés', 'clubID': '1108', 'value': '€15.00m'}, {'date': '01/01/2018', 'age': '22', 'clubName': 'Real Madrid', 'clubID': '418', 'value': '€15.00m'}, {'date': '22/03/2018', 'age': '23', 'clubName': 'Real Madrid', 'clubID': '418', 'value': '€12.00m'}, {'date': '30/05/2018', 'age': '23', 'clubName': 'Real Madrid', 'clubID': '418', 'value': '€12.00m'}, {'date': '21/12/2018', 'age': '23', 'clubName': 'Real Madrid', 'clubID': '418', 'value': '€15.00m'}, {'date': '11/06/2019', 'age': '24', 'clubName': 'Real Madrid', 'clubID': '418', 'value': '€20.00m'}, {'date': '10/09/2019', 'age': '24', 'clubName': 'Atlético de Madrid', 'clubID': '13', 'value': '€30.00m'}, {'date': '20/12/2019', 'age': '24', 'clubName': 'Atlético de Madrid', 'clubID': '13', 'value': '€20.00m'}, {'date': '08/04/2020', 'age': '25', 'clubName': 'Atlético de Madrid', 'clubID': '13', 'value': '€16.00m'}, {'date': '23/07/2020', 'age': '25', 'clubName': 'Atlético de Madrid', 'clubID': '13', 'value': '€40.00m'}, {'date': '08/10/2020', 'age': '25', 'clubName': 'Atlético de Madrid', 'clubID': '13', 'value': '€40.00m'}, {'date': '23/11/2020', 'age': '25', 'clubName': 'Atlético de Madrid', 'clubID': '13', 'value': '€45.00m'}, {'date': '05/01/2021', 'age': '25', 'clubName': 'Atlético de Madrid', 'clubID': '13', 'value': '€50.00m'}, {'date': '19/03/2021', 'age': '26', 'clubName': 'Atlético de Madrid', 'clubID': '13', 'value': '€70.00m'}, {'date': '31/05/2021', 'age': '26', 'clubName': 'Atlético de Madrid', 'clubID': '13', 'value': '€80.00m'}, {'date': '30/12/2021', 'age': '26', 'clubName': 'Atlético de Madrid', 'clubID': '13', 'value': '€60.00m'}, {'date': '03/06/2022', 'age': '27', 'clubName': 'Atlético de Madrid', 'clubID': '13', 'value': '€45.00m'}, {'date': '23/09/2022', 'age': '27', 'clubName': 'Atlético de Madrid', 'clubID': '13', 'value': '€40.00m'}, {'date': '07/11/2022', 'age': '27', 'clubName': 'Atlético de Madrid', 'clubID': '13', 'value': '€35.00m'}, {'date': '13/06/2023', 'age': '28', 'clubName': 'Atlético de Madrid', 'clubID': '13', 'value': '€35.00m'}, {'date': '22/12/2023', 'age': '28', 'clubName': 'Atlético de Madrid', 'clubID': '13', 'value': '€30.00m'}, {'date': '07/06/2024', 'age': '29', 'clubName': 'Atlético de Madrid', 'clubID': '13', 'value': '€30.00m'}, {'date': '27/12/2024', 'age': '29', 'clubName': 'Atlético de Madrid', 'clubID': '13', 'value': '€28.00m'}, {'date': '09/06/2025', 'age': '30', 'clubName': 'Atlético de Madrid', 'clubID': '13', 'value': '€25.00m'}, {'date': '12/12/2025', 'age': '30', 'clubName': 'Atlético de Madrid', 'clubID': '13', 'value': '€22.00m'}]}</t>
        </is>
      </c>
      <c r="L65" t="inlineStr">
        <is>
          <t>Spain</t>
        </is>
      </c>
      <c r="M65" t="inlineStr">
        <is>
          <t>1995-01-30</t>
        </is>
      </c>
      <c r="N65" t="inlineStr">
        <is>
          <t>23</t>
        </is>
      </c>
      <c r="O65">
        <f>(45+40+35)/3</f>
        <v/>
      </c>
      <c r="P65">
        <f>(50+70+80+60)/4</f>
        <v/>
      </c>
    </row>
    <row r="66">
      <c r="A66" t="inlineStr">
        <is>
          <t>Azpilicueta</t>
        </is>
      </c>
      <c r="B66" t="inlineStr">
        <is>
          <t>Chelsea</t>
        </is>
      </c>
      <c r="C66" t="inlineStr">
        <is>
          <t>Defender</t>
        </is>
      </c>
      <c r="D66" t="n">
        <v>679</v>
      </c>
      <c r="E66" t="n">
        <v>9</v>
      </c>
      <c r="F66" t="n">
        <v>1</v>
      </c>
      <c r="G66" t="n">
        <v>1</v>
      </c>
      <c r="H66" t="n">
        <v>82</v>
      </c>
      <c r="I66" t="n">
        <v>33</v>
      </c>
      <c r="J66" t="n">
        <v>57500</v>
      </c>
      <c r="K66" t="inlineStr">
        <is>
          <t>{'marketValueHistory': [{'date': '28/08/2007', 'age': '18', 'clubName': 'CA Osasuna', 'clubID': '331', 'value': '€400k'}, {'date': '04/02/2008', 'age': '18', 'clubName': 'CA Osasuna', 'clubID': '331', 'value': '€1.20m'}, {'date': '22/07/2008', 'age': '18', 'clubName': 'CA Osasuna', 'clubID': '331', 'value': '€2.00m'}, {'date': '15/10/2008', 'age': '19', 'clubName': 'CA Osasuna', 'clubID': '331', 'value': '€3.60m'}, {'date': '21/01/2009', 'age': '19', 'clubName': 'CA Osasuna', 'clubID': '331', 'value': '€3.60m'}, {'date': '22/07/2009', 'age': '19', 'clubName': 'CA Osasuna', 'clubID': '331', 'value': '€5.00m'}, {'date': '02/12/2009', 'age': '20', 'clubName': 'CA Osasuna', 'clubID': '331', 'value': '€6.00m'}, {'date': '08/04/2010', 'age': '20', 'clubName': 'CA Osasuna', 'clubID': '331', 'value': '€7.00m'}, {'date': '24/05/2011', 'age': '21', 'clubName': 'Olympique Marseille', 'clubID': '244', 'value': '€6.50m'}, {'date': '24/12/2011', 'age': '22', 'clubName': 'Olympique Marseille', 'clubID': '244', 'value': '€6.50m'}, {'date': '23/05/2012', 'age': '22', 'clubName': 'Olympique Marseille', 'clubID': '244', 'value': '€7.50m'}, {'date': '09/09/2012', 'age': '23', 'clubName': 'Chelsea FC', 'clubID': '631', 'value': '€9.00m'}, {'date': '28/01/2013', 'age': '23', 'clubName': 'Chelsea FC', 'clubID': '631', 'value': '€14.00m'}, {'date': '02/07/2013', 'age': '23', 'clubName': 'Chelsea FC', 'clubID': '631', 'value': '€18.00m'}, {'date': '15/01/2014', 'age': '24', 'clubName': 'Chelsea FC', 'clubID': '631', 'value': '€18.00m'}, {'date': '12/08/2014', 'age': '24', 'clubName': 'Chelsea FC', 'clubID': '631', 'value': '€20.00m'}, {'date': '12/02/2015', 'age': '25', 'clubName': 'Chelsea FC', 'clubID': '631', 'value': '€21.00m'}, {'date': '01/07/2015', 'age': '25', 'clubName': 'Chelsea FC', 'clubID': '631', 'value': '€23.00m'}, {'date': '09/02/2016', 'age': '26', 'clubName': 'Chelsea FC', 'clubID': '631', 'value': '€20.00m'}, {'date': '01/06/2016', 'age': '26', 'clubName': 'Chelsea FC', 'clubID': '631', 'value': '€20.00m'}, {'date': '01/08/2016', 'age': '26', 'clubName': 'Chelsea FC', 'clubID': '631', 'value': '€20.00m'}, {'date': '20/02/2017', 'age': '27', 'clubName': 'Chelsea FC', 'clubID': '631', 'value': '€25.00m'}, {'date': '28/06/2017', 'age': '27', 'clubName': 'Chelsea FC', 'clubID': '631', 'value': '€30.00m'}, {'date': '02/01/2018', 'age': '28', 'clubName': 'Chelsea FC', 'clubID': '631', 'value': '€35.00m'}, {'date': '23/03/2018', 'age': '28', 'clubName': 'Chelsea FC', 'clubID': '631', 'value': '€40.00m'}, {'date': '28/05/2018', 'age': '28', 'clubName': 'Chelsea FC', 'clubID': '631', 'value': '€40.00m'}, {'date': '19/12/2018', 'age': '29', 'clubName': 'Chelsea FC', 'clubID': '631', 'value': '€40.00m'}, {'date': '13/06/2019', 'age': '29', 'clubName': 'Chelsea FC', 'clubID': '631', 'value': '€35.00m'}, {'date': '10/12/2019', 'age': '30', 'clubName': 'Chelsea FC', 'clubID': '631', 'value': '€30.00m'}, {'date': '08/04/2020', 'age': '30', 'clubName': 'Chelsea FC', 'clubID': '631', 'value': '€24.00m'}, {'date': '13/10/2020', 'age': '31', 'clubName': 'Chelsea FC', 'clubID': '631', 'value': '€20.00m'}, {'date': '17/12/2020', 'age': '31', 'clubName': 'Chelsea FC', 'clubID': '631', 'value': '€17.00m'}, {'date': '18/03/2021', 'age': '31', 'clubName': 'Chelsea FC', 'clubID': '631', 'value': '€17.00m'}, {'date': '31/05/2021', 'age': '31', 'clubName': 'Chelsea FC', 'clubID': '631', 'value': '€13.00m'}, {'date': '23/12/2021', 'age': '32', 'clubName': 'Chelsea FC', 'clubID': '631', 'value': '€11.00m'}, {'date': '15/06/2022', 'age': '32', 'clubName': 'Chelsea FC', 'clubID': '631', 'value': '€9.00m'}, {'date': '03/11/2022', 'age': '33', 'clubName': 'Chelsea FC', 'clubID': '631', 'value': '€8.00m'}, {'date': '20/06/2023', 'age': '33', 'clubName': 'Chelsea FC', 'clubID': '631', 'value': '€5.00m'}, {'date': '22/12/2023', 'age': '34', 'clubName': 'Atlético de Madrid', 'clubID': '13', 'value': '€4.00m'}, {'date': '21/03/2024', 'age': '34', 'clubName': 'Atlético de Madrid', 'clubID': '13', 'value': '€3.00m'}, {'date': '07/06/2024', 'age': '34', 'clubName': 'Atlético de Madrid', 'clubID': '13', 'value': '€2.00m'}, {'date': '27/12/2024', 'age': '35', 'clubName': 'Atlético de Madrid', 'clubID': '13', 'value': '€1.80m'}, {'date': '09/06/2025', 'age': '35', 'clubName': 'Atlético de Madrid', 'clubID': '13', 'value': '€1.50m'}, {'date': '12/12/2025', 'age': '36', 'clubName': 'Sevilla FC', 'clubID': '368', 'value': '€1.20m'}]}</t>
        </is>
      </c>
      <c r="L66" t="inlineStr">
        <is>
          <t>Spain</t>
        </is>
      </c>
      <c r="M66" t="inlineStr">
        <is>
          <t>1989-08-28</t>
        </is>
      </c>
      <c r="N66" t="inlineStr">
        <is>
          <t>Spain</t>
        </is>
      </c>
      <c r="O66">
        <f>(9+8)/2</f>
        <v/>
      </c>
      <c r="P66">
        <f>(17+13+11)/3</f>
        <v/>
      </c>
    </row>
    <row r="67">
      <c r="A67" t="inlineStr">
        <is>
          <t>David</t>
        </is>
      </c>
      <c r="B67" t="inlineStr">
        <is>
          <t>Lille</t>
        </is>
      </c>
      <c r="C67" t="inlineStr">
        <is>
          <t>Forward</t>
        </is>
      </c>
      <c r="D67" t="n">
        <v>679</v>
      </c>
      <c r="E67" t="n">
        <v>8</v>
      </c>
      <c r="F67" t="n">
        <v>3</v>
      </c>
      <c r="G67" t="n">
        <v>0</v>
      </c>
      <c r="H67" t="n">
        <v>86.09999999999999</v>
      </c>
      <c r="I67" t="n">
        <v>32.6</v>
      </c>
      <c r="J67" t="n">
        <v>59016</v>
      </c>
      <c r="K67" t="inlineStr">
        <is>
          <t>{'marketValueHistory': [{'date': '24/06/2008', 'age': '16', 'clubName': 'Austria Vienna Reserves', 'clubID': '4383', 'value': '€200k'}, {'date': '13/10/2009', 'age': '17', 'clubName': 'FC Bayern Munich II', 'clubID': '27', 'value': '€800k'}, {'date': '11/01/2010', 'age': '17', 'clubName': 'FC Bayern Munich II', 'clubID': '27', 'value': '€1.00m'}, {'date': '16/07/2010', 'age': '18', 'clubName': 'Bayern Munich', 'clubID': '27', 'value': '€2.00m'}, {'date': '12/01/2011', 'age': '18', 'clubName': 'TSG 1899 Hoffenheim', 'clubID': '533', 'value': '€2.00m'}, {'date': '01/03/2011', 'age': '18', 'clubName': 'TSG 1899 Hoffenheim', 'clubID': '533', 'value': '€3.00m'}, {'date': '29/06/2011', 'age': '19', 'clubName': 'TSG 1899 Hoffenheim', 'clubID': '533', 'value': '€5.00m'}, {'date': '23/01/2012', 'age': '19', 'clubName': 'Bayern Munich', 'clubID': '27', 'value': '€8.50m'}, {'date': '29/06/2012', 'age': '20', 'clubName': 'Bayern Munich', 'clubID': '27', 'value': '€16.00m'}, {'date': '13/01/2013', 'age': '20', 'clubName': 'Bayern Munich', 'clubID': '27', 'value': '€22.00m'}, {'date': '30/06/2013', 'age': '21', 'clubName': 'Bayern Munich', 'clubID': '27', 'value': '€28.00m'}, {'date': '05/11/2013', 'age': '21', 'clubName': 'Bayern Munich', 'clubID': '27', 'value': '€32.00m'}, {'date': '10/07/2014', 'age': '22', 'clubName': 'Bayern Munich', 'clubID': '27', 'value': '€35.00m'}, {'date': '04/02/2015', 'age': '22', 'clubName': 'Bayern Munich', 'clubID': '27', 'value': '€38.00m'}, {'date': '01/07/2015', 'age': '23', 'clubName': 'Bayern Munich', 'clubID': '27', 'value': '€38.00m'}, {'date': '16/10/2015', 'age': '23', 'clubName': 'Bayern Munich', 'clubID': '27', 'value': '€45.00m'}, {'date': '15/02/2016', 'age': '23', 'clubName': 'Bayern Munich', 'clubID': '27', 'value': '€45.00m'}, {'date': '01/06/2016', 'age': '23', 'clubName': 'Bayern Munich', 'clubID': '27', 'value': '€45.00m'}, {'date': '22/07/2016', 'age': '24', 'clubName': 'Bayern Munich', 'clubID': '27', 'value': '€45.00m'}, {'date': '07/02/2017', 'age': '24', 'clubName': 'Bayern Munich', 'clubID': '27', 'value': '€40.00m'}, {'date': '19/06/2017', 'age': '24', 'clubName': 'Bayern Munich', 'clubID': '27', 'value': '€38.00m'}, {'date': '28/12/2017', 'age': '25', 'clubName': 'Bayern Munich', 'clubID': '27', 'value': '€38.00m'}, {'date': '04/04/2018', 'age': '25', 'clubName': 'Bayern Munich', 'clubID': '27', 'value': '€50.00m'}, {'date': '05/06/2018', 'age': '25', 'clubName': 'Bayern Munich', 'clubID': '27', 'value': '€50.00m'}, {'date': '18/12/2018', 'age': '26', 'clubName': 'Bayern Munich', 'clubID': '27', 'value': '€55.00m'}, {'date': '05/06/2019', 'age': '26', 'clubName': 'Bayern Munich', 'clubID': '27', 'value': '€55.00m'}, {'date': '17/12/2019', 'age': '27', 'clubName': 'Bayern Munich', 'clubID': '27', 'value': '€65.00m'}, {'date': '08/04/2020', 'age': '27', 'clubName': 'Bayern Munich', 'clubID': '27', 'value': '€52.00m'}, {'date': '08/07/2020', 'age': '28', 'clubName': 'Bayern Munich', 'clubID': '27', 'value': '€65.00m'}, {'date': '10/02/2021', 'age': '28', 'clubName': 'Bayern Munich', 'clubID': '27', 'value': '€55.00m'}, {'date': '27/05/2021', 'age': '28', 'clubName': 'Bayern Munich', 'clubID': '27', 'value': '€55.00m'}, {'date': '30/12/2021', 'age': '29', 'clubName': 'Real Madrid', 'clubID': '418', 'value': '€55.00m'}, {'date': '03/06/2022', 'age': '29', 'clubName': 'Real Madrid', 'clubID': '418', 'value': '€55.00m'}, {'date': '07/11/2022', 'age': '30', 'clubName': 'Real Madrid', 'clubID': '418', 'value': '€55.00m'}, {'date': '23/03/2023', 'age': '30', 'clubName': 'Real Madrid', 'clubID': '418', 'value': '€50.00m'}, {'date': '13/06/2023', 'age': '30', 'clubName': 'Real Madrid', 'clubID': '418', 'value': '€40.00m'}, {'date': '22/12/2023', 'age': '31', 'clubName': 'Real Madrid', 'clubID': '418', 'value': '€30.00m'}, {'date': '21/03/2024', 'age': '31', 'clubName': 'Real Madrid', 'clubID': '418', 'value': '€25.00m'}, {'date': '07/06/2024', 'age': '31', 'clubName': 'Real Madrid', 'clubID': '418', 'value': '€20.00m'}, {'date': '11/10/2024', 'age': '32', 'clubName': 'Real Madrid', 'clubID': '418', 'value': '€15.00m'}, {'date': '27/12/2024', 'age': '32', 'clubName': 'Real Madrid', 'clubID': '418', 'value': '€10.00m'}, {'date': '09/06/2025', 'age': '32', 'clubName': 'Real Madrid', 'clubID': '418', 'value': '€6.00m'}, {'date': '02/10/2025', 'age': '33', 'clubName': 'Real Madrid', 'clubID': '418', 'value': '€4.00m'}, {'date': '12/12/2025', 'age': '33', 'clubName': 'Real Madrid', 'clubID': '418', 'value': '€4.00m'}, {'date': '16/03/2026', 'age': '33', 'clubName': 'Real Madrid', 'clubID': '418', 'value': '€3.50m'}]}</t>
        </is>
      </c>
      <c r="L67" t="inlineStr">
        <is>
          <t>Austria</t>
        </is>
      </c>
      <c r="M67" t="inlineStr">
        <is>
          <t>1992-06-24</t>
        </is>
      </c>
      <c r="N67" t="inlineStr">
        <is>
          <t>112</t>
        </is>
      </c>
      <c r="O67">
        <f>(55+55)/2</f>
        <v/>
      </c>
      <c r="P67">
        <f>(55+55+55)/3</f>
        <v/>
      </c>
    </row>
    <row r="68">
      <c r="A68" t="inlineStr">
        <is>
          <t>Mbappe</t>
        </is>
      </c>
      <c r="B68" t="inlineStr">
        <is>
          <t>Paris</t>
        </is>
      </c>
      <c r="C68" t="inlineStr">
        <is>
          <t>Forward</t>
        </is>
      </c>
      <c r="D68" t="n">
        <v>673</v>
      </c>
      <c r="E68" t="n">
        <v>8</v>
      </c>
      <c r="F68" t="n">
        <v>6</v>
      </c>
      <c r="G68" t="n">
        <v>4</v>
      </c>
      <c r="H68" t="n">
        <v>65.2</v>
      </c>
      <c r="I68" t="n">
        <v>36.7</v>
      </c>
      <c r="J68" t="n">
        <v>342229</v>
      </c>
      <c r="K68" t="inlineStr">
        <is>
          <t>{'marketValueHistory': [{'date': '02/12/2015', 'age': '16', 'clubName': 'AS Monaco U19', 'clubID': '9669', 'value': '€50k'}, {'date': '04/02/2016', 'age': '17', 'clubName': 'AS Monaco', 'clubID': '162', 'value': '€250k'}, {'date': '09/04/2016', 'age': '17', 'clubName': 'AS Monaco', 'clubID': '162', 'value': '€1.00m'}, {'date': '13/07/2016', 'age': '17', 'clubName': 'AS Monaco', 'clubID': '162', 'value': '€1.50m'}, {'date': '01/11/2016', 'age': '17', 'clubName': 'AS Monaco', 'clubID': '162', 'value': '€4.00m'}, {'date': '16/01/2017', 'age': '18', 'clubName': 'AS Monaco', 'clubID': '162', 'value': '€10.00m'}, {'date': '01/06/2017', 'age': '18', 'clubName': 'AS Monaco', 'clubID': '162', 'value': '€35.00m'}, {'date': '12/10/2017', 'age': '18', 'clubName': 'Paris Saint-Germain', 'clubID': '583', 'value': '€90.00m'}, {'date': '24/01/2018', 'age': '19', 'clubName': 'Paris Saint-Germain', 'clubID': '583', 'value': '€120.00m'}, {'date': '04/06/2018', 'age': '19', 'clubName': 'Paris Saint-Germain', 'clubID': '583', 'value': '€120.00m'}, {'date': '16/07/2018', 'age': '19', 'clubName': 'Paris Saint-Germain', 'clubID': '583', 'value': '€150.00m'}, {'date': '24/10/2018', 'age': '19', 'clubName': 'Paris Saint-Germain', 'clubID': '583', 'value': '€180.00m'}, {'date': '17/12/2018', 'age': '19', 'clubName': 'Paris Saint-Germain', 'clubID': '583', 'value': '€200.00m'}, {'date': '03/06/2019', 'age': '20', 'clubName': 'Paris Saint-Germain', 'clubID': '583', 'value': '€200.00m'}, {'date': '19/12/2019', 'age': '20', 'clubName': 'Paris Saint-Germain', 'clubID': '583', 'value': '€200.00m'}, {'date': '08/04/2020', 'age': '21', 'clubName': 'Paris Saint-Germain', 'clubID': '583', 'value': '€180.00m'}, {'date': '15/10/2020', 'age': '21', 'clubName': 'Paris Saint-Germain', 'clubID': '583', 'value': '€180.00m'}, {'date': '09/04/2021', 'age': '22', 'clubName': 'Paris Saint-Germain', 'clubID': '583', 'value': '€160.00m'}, {'date': '01/06/2021', 'age': '22', 'clubName': 'Paris Saint-Germain', 'clubID': '583', 'value': '€160.00m'}, {'date': '16/12/2021', 'age': '22', 'clubName': 'Paris Saint-Germain', 'clubID': '583', 'value': '€160.00m'}, {'date': '30/05/2022', 'age': '23', 'clubName': 'Paris Saint-Germain', 'clubID': '583', 'value': '€160.00m'}, {'date': '02/11/2022', 'age': '23', 'clubName': 'Paris Saint-Germain', 'clubID': '583', 'value': '€160.00m'}, {'date': '23/12/2022', 'age': '24', 'clubName': 'Paris Saint-Germain', 'clubID': '583', 'value': '€180.00m'}, {'date': '27/06/2023', 'age': '24', 'clubName': 'Paris Saint-Germain', 'clubID': '583', 'value': '€180.00m'}, {'date': '18/12/2023', 'age': '24', 'clubName': 'Paris Saint-Germain', 'clubID': '583', 'value': '€180.00m'}, {'date': '03/06/2024', 'age': '25', 'clubName': 'Paris Saint-Germain', 'clubID': '583', 'value': '€180.00m'}, {'date': '27/12/2024', 'age': '26', 'clubName': 'Real Madrid', 'clubID': '418', 'value': '€160.00m'}, {'date': '21/03/2025', 'age': '26', 'clubName': 'Real Madrid', 'clubID': '418', 'value': '€170.00m'}, {'date': '09/06/2025', 'age': '26', 'clubName': 'Real Madrid', 'clubID': '418', 'value': '€180.00m'}, {'date': '12/12/2025', 'age': '26', 'clubName': 'Real Madrid', 'clubID': '418', 'value': '€200.00m'}]}</t>
        </is>
      </c>
      <c r="L68" t="inlineStr">
        <is>
          <t>France</t>
        </is>
      </c>
      <c r="M68" t="inlineStr">
        <is>
          <t>1998-12-20</t>
        </is>
      </c>
      <c r="N68" t="inlineStr">
        <is>
          <t>96</t>
        </is>
      </c>
      <c r="O68">
        <f>(160+160+180)/3</f>
        <v/>
      </c>
      <c r="P68">
        <f>(160+160+160)/3</f>
        <v/>
      </c>
    </row>
    <row r="69">
      <c r="A69" t="inlineStr">
        <is>
          <t>Havertz</t>
        </is>
      </c>
      <c r="B69" t="inlineStr">
        <is>
          <t>Chelsea</t>
        </is>
      </c>
      <c r="C69" t="inlineStr">
        <is>
          <t>Midfielder</t>
        </is>
      </c>
      <c r="D69" t="n">
        <v>672</v>
      </c>
      <c r="E69" t="n">
        <v>9</v>
      </c>
      <c r="F69" t="n">
        <v>3</v>
      </c>
      <c r="G69" t="n">
        <v>0</v>
      </c>
      <c r="H69" t="n">
        <v>86.3</v>
      </c>
      <c r="I69" t="n">
        <v>33.9</v>
      </c>
      <c r="J69" t="n">
        <v>309400</v>
      </c>
      <c r="K69" t="inlineStr">
        <is>
          <t>{'marketValueHistory': [{'date': '01/07/2016', 'age': '17', 'clubName': 'Bayer 04 Leverkusen', 'clubID': '15', 'value': '€100k'}, {'date': '07/02/2017', 'age': '17', 'clubName': 'Bayer 04 Leverkusen', 'clubID': '15', 'value': '€1.50m'}, {'date': '22/03/2017', 'age': '17', 'clubName': 'Bayer 04 Leverkusen', 'clubID': '15', 'value': '€5.00m'}, {'date': '19/06/2017', 'age': '18', 'clubName': 'Bayer 04 Leverkusen', 'clubID': '15', 'value': '€8.00m'}, {'date': '28/12/2017', 'age': '18', 'clubName': 'Bayer 04 Leverkusen', 'clubID': '15', 'value': '€18.00m'}, {'date': '04/04/2018', 'age': '18', 'clubName': 'Bayer 04 Leverkusen', 'clubID': '15', 'value': '€25.00m'}, {'date': '05/06/2018', 'age': '18', 'clubName': 'Bayer 04 Leverkusen', 'clubID': '15', 'value': '€28.00m'}, {'date': '22/08/2018', 'age': '19', 'clubName': 'Bayer 04 Leverkusen', 'clubID': '15', 'value': '€35.00m'}, {'date': '22/10/2018', 'age': '19', 'clubName': 'Bayer 04 Leverkusen', 'clubID': '15', 'value': '€55.00m'}, {'date': '18/12/2018', 'age': '19', 'clubName': 'Bayer 04 Leverkusen', 'clubID': '15', 'value': '€65.00m'}, {'date': '05/06/2019', 'age': '19', 'clubName': 'Bayer 04 Leverkusen', 'clubID': '15', 'value': '€90.00m'}, {'date': '17/12/2019', 'age': '20', 'clubName': 'Bayer 04 Leverkusen', 'clubID': '15', 'value': '€90.00m'}, {'date': '08/04/2020', 'age': '20', 'clubName': 'Bayer 04 Leverkusen', 'clubID': '15', 'value': '€81.00m'}, {'date': '13/10/2020', 'age': '21', 'clubName': 'Chelsea FC', 'clubID': '631', 'value': '€81.00m'}, {'date': '18/03/2021', 'age': '21', 'clubName': 'Chelsea FC', 'clubID': '631', 'value': '€70.00m'}, {'date': '01/06/2021', 'age': '21', 'clubName': 'Chelsea FC', 'clubID': '631', 'value': '€70.00m'}, {'date': '23/12/2021', 'age': '22', 'clubName': 'Chelsea FC', 'clubID': '631', 'value': '€70.00m'}, {'date': '15/06/2022', 'age': '23', 'clubName': 'Chelsea FC', 'clubID': '631', 'value': '€70.00m'}, {'date': '03/11/2022', 'age': '23', 'clubName': 'Chelsea FC', 'clubID': '631', 'value': '€70.00m'}, {'date': '16/03/2023', 'age': '23', 'clubName': 'Chelsea FC', 'clubID': '631', 'value': '€60.00m'}, {'date': '20/06/2023', 'age': '24', 'clubName': 'Chelsea FC', 'clubID': '631', 'value': '€55.00m'}, {'date': '09/10/2023', 'age': '24', 'clubName': 'Arsenal FC', 'clubID': '11', 'value': '€60.00m'}, {'date': '19/12/2023', 'age': '24', 'clubName': 'Arsenal FC', 'clubID': '11', 'value': '€55.00m'}, {'date': '14/03/2024', 'age': '24', 'clubName': 'Arsenal FC', 'clubID': '11', 'value': '€60.00m'}, {'date': '27/05/2024', 'age': '24', 'clubName': 'Arsenal FC', 'clubID': '11', 'value': '€70.00m'}, {'date': '01/10/2024', 'age': '25', 'clubName': 'Arsenal FC', 'clubID': '11', 'value': '€75.00m'}, {'date': '16/12/2024', 'age': '25', 'clubName': 'Arsenal FC', 'clubID': '11', 'value': '€75.00m'}, {'date': '18/03/2025', 'age': '25', 'clubName': 'Arsenal FC', 'clubID': '11', 'value': '€70.00m'}, {'date': '30/05/2025', 'age': '25', 'clubName': 'Arsenal FC', 'clubID': '11', 'value': '€65.00m'}, {'date': '17/10/2025', 'age': '26', 'clubName': 'Arsenal FC', 'clubID': '11', 'value': '€60.00m'}, {'date': '09/12/2025', 'age': '26', 'clubName': 'Arsenal FC', 'clubID': '11', 'value': '€55.00m'}, {'date': '09/03/2026', 'age': '26', 'clubName': 'Arsenal FC', 'clubID': '11', 'value': '€50.00m'}]}</t>
        </is>
      </c>
      <c r="L69" t="inlineStr">
        <is>
          <t>Germany</t>
        </is>
      </c>
      <c r="M69" t="inlineStr">
        <is>
          <t>1999-06-11</t>
        </is>
      </c>
      <c r="N69" t="inlineStr">
        <is>
          <t>Germany</t>
        </is>
      </c>
      <c r="O69">
        <f>(70+70)/2</f>
        <v/>
      </c>
      <c r="P69">
        <f>(70+70+70)/3</f>
        <v/>
      </c>
    </row>
    <row r="70">
      <c r="A70" t="inlineStr">
        <is>
          <t>Camara</t>
        </is>
      </c>
      <c r="B70" t="inlineStr">
        <is>
          <t>Salzburg</t>
        </is>
      </c>
      <c r="C70" t="inlineStr">
        <is>
          <t>Midfielder</t>
        </is>
      </c>
      <c r="D70" t="n">
        <v>672</v>
      </c>
      <c r="E70" t="n">
        <v>8</v>
      </c>
      <c r="F70" t="n">
        <v>0</v>
      </c>
      <c r="G70" t="n">
        <v>0</v>
      </c>
      <c r="H70" t="n">
        <v>80.90000000000001</v>
      </c>
      <c r="I70" t="n">
        <v>31.6</v>
      </c>
      <c r="J70" t="n">
        <v>543382</v>
      </c>
      <c r="K70" t="inlineStr">
        <is>
          <t>{'marketValueHistory': [{'date': '30/01/2018', 'age': '18', 'clubName': 'FC Liefering', 'clubID': '37024', 'value': '€200k'}, {'date': '13/06/2018', 'age': '18', 'clubName': 'FC Liefering', 'clubID': '37024', 'value': '€400k'}, {'date': '01/12/2018', 'age': '18', 'clubName': 'FC Liefering', 'clubID': '37024', 'value': '€400k'}, {'date': '03/06/2019', 'age': '19', 'clubName': 'TSV Hartberg', 'clubID': '4467', 'value': '€600k'}, {'date': '16/12/2019', 'age': '19', 'clubName': 'Red Bull Salzburg', 'clubID': '409', 'value': '€1.50m'}, {'date': '08/04/2020', 'age': '20', 'clubName': 'Red Bull Salzburg', 'clubID': '409', 'value': '€1.30m'}, {'date': '22/07/2020', 'age': '20', 'clubName': 'Red Bull Salzburg', 'clubID': '409', 'value': '€5.00m'}, {'date': '21/12/2020', 'age': '20', 'clubName': 'Red Bull Salzburg', 'clubID': '409', 'value': '€10.00m'}, {'date': '02/06/2021', 'age': '21', 'clubName': 'Red Bull Salzburg', 'clubID': '409', 'value': '€10.00m'}, {'date': '06/09/2021', 'age': '21', 'clubName': 'Red Bull Salzburg', 'clubID': '409', 'value': '€16.00m'}, {'date': '16/12/2021', 'age': '21', 'clubName': 'Red Bull Salzburg', 'clubID': '409', 'value': '€23.00m'}, {'date': '27/05/2022', 'age': '22', 'clubName': 'Red Bull Salzburg', 'clubID': '409', 'value': '€27.00m'}, {'date': '02/11/2022', 'age': '22', 'clubName': 'AS Monaco', 'clubID': '162', 'value': '€25.00m'}, {'date': '27/03/2023', 'age': '23', 'clubName': 'AS Monaco', 'clubID': '162', 'value': '€28.00m'}, {'date': '27/06/2023', 'age': '23', 'clubName': 'AS Monaco', 'clubID': '162', 'value': '€30.00m'}, {'date': '18/12/2023', 'age': '23', 'clubName': 'AS Monaco', 'clubID': '162', 'value': '€25.00m'}, {'date': '03/06/2024', 'age': '24', 'clubName': 'AS Monaco', 'clubID': '162', 'value': '€20.00m'}, {'date': '10/12/2024', 'age': '24', 'clubName': 'Al-Sadd SC', 'clubID': '656', 'value': '€16.00m'}, {'date': '28/05/2025', 'age': '25', 'clubName': 'Al-Sadd SC', 'clubID': '656', 'value': '€14.00m'}, {'date': '30/12/2025', 'age': '25', 'clubName': 'Al-Sadd SC', 'clubID': '656', 'value': '€11.00m'}]}</t>
        </is>
      </c>
      <c r="L70" t="inlineStr">
        <is>
          <t>Mali</t>
        </is>
      </c>
      <c r="M70" t="inlineStr">
        <is>
          <t>2000-01-06</t>
        </is>
      </c>
      <c r="N70" t="inlineStr">
        <is>
          <t>35</t>
        </is>
      </c>
      <c r="O70">
        <f>(27+25)/2</f>
        <v/>
      </c>
      <c r="P70">
        <f>(10+16+23)/3</f>
        <v/>
      </c>
    </row>
    <row r="71">
      <c r="A71" t="inlineStr">
        <is>
          <t>Haller</t>
        </is>
      </c>
      <c r="B71" t="inlineStr">
        <is>
          <t>Ajax</t>
        </is>
      </c>
      <c r="C71" t="inlineStr">
        <is>
          <t>Forward</t>
        </is>
      </c>
      <c r="D71" t="n">
        <v>668</v>
      </c>
      <c r="E71" t="n">
        <v>8</v>
      </c>
      <c r="F71" t="n">
        <v>11</v>
      </c>
      <c r="G71" t="n">
        <v>1</v>
      </c>
      <c r="H71" t="n">
        <v>82.2</v>
      </c>
      <c r="I71" t="n">
        <v>31.8</v>
      </c>
      <c r="J71" t="n">
        <v>181375</v>
      </c>
      <c r="K71" t="inlineStr">
        <is>
          <t>{'marketValueHistory': [{'date': 'Jul 20, 2011', 'age': '17', 'clubName': 'AJ Auxerre B', 'clubID': '10820', 'value': '€100k'}, {'date': 'Dec 24, 2011', 'age': '17', 'clubName': 'AJ Auxerre B', 'clubID': '10820', 'value': '€200k'}, {'date': 'May 23, 2012', 'age': '17', 'clubName': 'AJ Auxerre B', 'clubID': '10820', 'value': '€200k'}, {'date': 'Jan 4, 2013', 'age': '18', 'clubName': 'AJ Auxerre', 'clubID': '290', 'value': '€400k'}, {'date': 'May 29, 2013', 'age': '18', 'clubName': 'AJ Auxerre', 'clubID': '290', 'value': '€750k'}, {'date': 'Jan 13, 2014', 'age': '19', 'clubName': 'AJ Auxerre', 'clubID': '290', 'value': '€1.25m'}, {'date': 'Nov 20, 2014', 'age': '20', 'clubName': 'AJ Auxerre', 'clubID': '290', 'value': '€1.25m'}, {'date': 'Feb 16, 2015', 'age': '20', 'clubName': 'FC Utrecht', 'clubID': '200', 'value': '€1.25m'}, {'date': 'Jul 1, 2015', 'age': '21', 'clubName': 'FC Utrecht', 'clubID': '200', 'value': '€2.00m'}, {'date': 'Nov 11, 2015', 'age': '21', 'clubName': 'FC Utrecht', 'clubID': '200', 'value': '€3.50m'}, {'date': 'Feb 5, 2016', 'age': '21', 'clubName': 'FC Utrecht', 'clubID': '200', 'value': '€6.50m'}, {'date': 'Jul 15, 2016', 'age': '22', 'clubName': 'FC Utrecht', 'clubID': '200', 'value': '€7.50m'}, {'date': 'Jan 18, 2017', 'age': '22', 'clubName': 'FC Utrecht', 'clubID': '200', 'value': '€8.00m'}, {'date': 'Jun 7, 2017', 'age': '22', 'clubName': 'FC Utrecht', 'clubID': '200', 'value': '€8.00m'}, {'date': 'Dec 28, 2017', 'age': '23', 'clubName': 'Eintracht Frankfurt', 'clubID': '24', 'value': '€12.00m'}, {'date': 'Jun 5, 2018', 'age': '23', 'clubName': 'Eintracht Frankfurt', 'clubID': '24', 'value': '€12.00m'}, {'date': 'Aug 22, 2018', 'age': '24', 'clubName': 'Eintracht Frankfurt', 'clubID': '24', 'value': '€11.00m'}, {'date': 'Oct 22, 2018', 'age': '24', 'clubName': 'Eintracht Frankfurt', 'clubID': '24', 'value': '€15.00m'}, {'date': 'Dec 18, 2018', 'age': '24', 'clubName': 'Eintracht Frankfurt', 'clubID': '24', 'value': '€35.00m'}, {'date': 'Mar 6, 2019', 'age': '24', 'clubName': 'Eintracht Frankfurt', 'clubID': '24', 'value': '€40.00m'}, {'date': 'Jun 5, 2019', 'age': '24', 'clubName': 'Eintracht Frankfurt', 'clubID': '24', 'value': '€40.00m'}, {'date': 'Sep 12, 2019', 'age': '25', 'clubName': 'West Ham United', 'clubID': '379', 'value': '€45.00m'}, {'date': 'Dec 10, 2019', 'age': '25', 'clubName': 'West Ham United', 'clubID': '379', 'value': '€45.00m'}, {'date': 'Apr 8, 2020', 'age': '25', 'clubName': 'West Ham United', 'clubID': '379', 'value': '€36.00m'}, {'date': 'Oct 13, 2020', 'age': '26', 'clubName': 'West Ham United', 'clubID': '379', 'value': '€30.00m'}, {'date': 'May 19, 2021', 'age': '26', 'clubName': 'Ajax Amsterdam', 'clubID': '610', 'value': '€27.00m'}, {'date': 'Jan 5, 2022', 'age': '27', 'clubName': 'Ajax Amsterdam', 'clubID': '610', 'value': '€30.00m'}, {'date': 'Jun 8, 2022', 'age': '27', 'clubName': 'Ajax Amsterdam', 'clubID': '610', 'value': '€35.00m'}, {'date': 'Nov 9, 2022', 'age': '28', 'clubName': 'Borussia Dortmund', 'clubID': '16', 'value': '€35.00m'}, {'date': 'Mar 29, 2023', 'age': '28', 'clubName': 'Borussia Dortmund', 'clubID': '16', 'value': '€30.00m'}, {'date': 'Jun 22, 2023', 'age': '29', 'clubName': 'Borussia Dortmund', 'clubID': '16', 'value': '€30.00m'}, {'date': 'Oct 18, 2023', 'age': '29', 'clubName': 'Borussia Dortmund', 'clubID': '16', 'value': '€25.00m'}, {'date': 'Dec 14, 2023', 'age': '29', 'clubName': 'Borussia Dortmund', 'clubID': '16', 'value': '€18.00m'}, {'date': 'Mar 27, 2024', 'age': '29', 'clubName': 'Borussia Dortmund', 'clubID': '16', 'value': '€14.00m'}, {'date': 'May 29, 2024', 'age': '29', 'clubName': 'Borussia Dortmund', 'clubID': '16', 'value': '€10.00m'}, {'date': 'Oct 11, 2024', 'age': '30', 'clubName': 'CD Leganés', 'clubID': '1244', 'value': '€7.50m'}, {'date': 'Dec 27, 2024', 'age': '30', 'clubName': 'CD Leganés', 'clubID': '1244', 'value': '€3.00m'}, {'date': 'May 28, 2025', 'age': '30', 'clubName': 'FC Utrecht', 'clubID': '200', 'value': '€3.00m'}, {'date': 'Dec 2, 2025', 'age': '31', 'clubName': 'FC Utrecht', 'clubID': '200', 'value': '€2.00m'}, {'date': 'Mar 11, 2026', 'age': '31', 'clubName': 'FC Utrecht', 'clubID': '200', 'value': '€1.30m'}]}</t>
        </is>
      </c>
      <c r="L71" t="inlineStr">
        <is>
          <t>France</t>
        </is>
      </c>
      <c r="M71" t="inlineStr">
        <is>
          <t>1994-06-22</t>
        </is>
      </c>
      <c r="N71" t="inlineStr">
        <is>
          <t>34</t>
        </is>
      </c>
      <c r="O71">
        <f>(30+35+35)/3</f>
        <v/>
      </c>
      <c r="P71">
        <f>27</f>
        <v/>
      </c>
    </row>
    <row r="72">
      <c r="A72" t="inlineStr">
        <is>
          <t>Henderson</t>
        </is>
      </c>
      <c r="B72" t="inlineStr">
        <is>
          <t>Liverpool</t>
        </is>
      </c>
      <c r="C72" t="inlineStr">
        <is>
          <t>Midfielder</t>
        </is>
      </c>
      <c r="D72" t="n">
        <v>666</v>
      </c>
      <c r="E72" t="n">
        <v>12</v>
      </c>
      <c r="F72" t="n">
        <v>1</v>
      </c>
      <c r="G72" t="n">
        <v>2</v>
      </c>
      <c r="H72" t="n">
        <v>85.7</v>
      </c>
      <c r="I72" t="n">
        <v>31.3</v>
      </c>
      <c r="J72" t="n">
        <v>61651</v>
      </c>
      <c r="K72" t="inlineStr">
        <is>
          <t>{'id': '61651', 'marketValue': '€6.00m', 'marketValueHistory': [{'age': '18', 'date': 'Aug 24, 2008', 'clubName': 'Sunderland AFC', 'value': '€50k', 'clubID': '289'}, {'age': '19', 'date': 'Jan 24, 2010', 'clubName': 'Sunderland AFC', 'value': '€3.00m', 'clubID': '289'}, {'age': '20', 'date': 'Aug 13, 2010', 'clubName': 'Sunderland AFC', 'value': '€4.00m', 'clubID': '289'}, {'age': '20', 'date': 'Feb 1, 2011', 'clubName': 'Sunderland AFC', 'value': '€8.50m', 'clubID': '289'}, {'age': '21', 'date': 'Aug 8, 2011', 'clubName': 'Liverpool FC', 'value': '€13.00m', 'clubID': '31'}, {'age': '21', 'date': 'Feb 6, 2012', 'clubName': 'Liverpool FC', 'value': '€15.00m', 'clubID': '31'}, {'age': '22', 'date': 'Jun 24, 2012', 'clubName': 'Liverpool FC', 'value': '€15.00m', 'clubID': '31'}, {'age': '22', 'date': 'Jan 28, 2013', 'clubName': 'Liverpool FC', 'value': '€10.50m', 'clubID': '31'}, {'age': '23', 'date': 'Jul 2, 2013', 'clubName': 'Liverpool FC', 'value': '€13.00m', 'clubID': '31'}, {'age': '23', 'date': 'Jan 15, 2014', 'clubName': 'Liverpool FC', 'value': '€15.00m', 'clubID': '31'}, {'age': '24', 'date': 'Aug 12, 2014', 'clubName': 'Liverpool FC', 'value': '€18.00m', 'clubID': '31'}, {'age': '24', 'date': 'Feb 12, 2015', 'clubName': 'Liverpool FC', 'value': '€23.00m', 'clubID': '31'}, {'age': '25', 'date': 'Jul 1, 2015', 'clubName': 'Liverpool FC', 'value': '€28.00m', 'clubID': '31'}, {'age': '25', 'date': 'Feb 9, 2016', 'clubName': 'Liverpool FC', 'value': '€28.00m', 'clubID': '31'}, {'age': '25', 'date': 'Jun 1, 2016', 'clubName': 'Liverpool FC', 'value': '€28.00m', 'clubID': '31'}, {'age': '26', 'date': 'Aug 1, 2016', 'clubName': 'Liverpool FC', 'value': '€28.00m', 'clubID': '31'}, {'age': '26', 'date': 'Feb 20, 2017', 'clubName': 'Liverpool FC', 'value': '€28.00m', 'clubID': '31'}, {'age': '27', 'date': 'Jun 28, 2017', 'clubName': 'Liverpool FC', 'value': '€28.00m', 'clubID': '31'}, {'age': '27', 'date': 'Jan 2, 2018', 'clubName': 'Liverpool FC', 'value': '€25.00m', 'clubID': '31'}, {'age': '27', 'date': 'May 28, 2018', 'clubName': 'Liverpool FC', 'value': '€25.00m', 'clubID': '31'}, {'age': '28', 'date': 'Jul 16, 2018', 'clubName': 'Liverpool FC', 'value': '€28.00m', 'clubID': '31'}, {'age': '28', 'date': 'Dec 19, 2018', 'clubName': 'Liverpool FC', 'value': '€28.00m', 'clubID': '31'}, {'age': '28', 'date': 'Jun 13, 2019', 'clubName': 'Liverpool FC', 'value': '€35.00m', 'clubID': '31'}, {'age': '29', 'date': 'Dec 10, 2019', 'clubName': 'Liverpool FC', 'value': '€35.00m', 'clubID': '31'}, {'age': '29', 'date': 'Apr 8, 2020', 'clubName': 'Liverpool FC', 'value': '€28.00m', 'clubID': '31'}, {'age': '30', 'date': 'Oct 13, 2020', 'clubName': 'Liverpool FC', 'value': '€28.00m', 'clubID': '31'}, {'age': '30', 'date': 'Mar 18, 2021', 'clubName': 'Liverpool FC', 'value': '€22.00m', 'clubID': '31'}, {'age': '30', 'date': 'May 28, 2021', 'clubName': 'Liverpool FC', 'value': '€20.00m', 'clubID': '31'}, {'age': '31', 'date': 'Dec 23, 2021', 'clubName': 'Liverpool FC', 'value': '€18.00m', 'clubID': '31'}, {'age': '31', 'date': 'Jun 15, 2022', 'clubName': 'Liverpool FC', 'value': '€15.00m', 'clubID': '31'}, {'age': '32', 'date': 'Nov 3, 2022', 'clubName': 'Liverpool FC', 'value': '€15.00m', 'clubID': '31'}, {'age': '32', 'date': 'Mar 16, 2023', 'clubName': 'Liverpool FC', 'value': '€10.00m', 'clubID': '31'}, {'age': '33', 'date': 'Jun 20, 2023', 'clubName': 'Liverpool FC', 'value': '€10.00m', 'clubID': '31'}, {'age': '33', 'date': 'Oct 24, 2023', 'clubName': 'Al-Ettifaq FC', 'value': '€8.00m', 'clubID': '7732'}, {'age': '33', 'date': 'Dec 15, 2023', 'clubName': 'Al-Ettifaq FC', 'value': '€7.50m', 'clubID': '7732'}, {'age': '33', 'date': 'Mar 18, 2024', 'clubName': 'Ajax Amsterdam', 'value': '€6.00m', 'clubID': '610'}], 'ranking': {'Worldwide': '1.591', 'Eredivisie': '49', 'Ajax': '16', 'England': '151', 'Central Midfield': '215', 'Year 1990': '9'}, 'updatedAt': datetime.datetime(2024, 5, 23, 22, 26, 13, 61203)}</t>
        </is>
      </c>
      <c r="L72" t="inlineStr">
        <is>
          <t>United Kingdom</t>
        </is>
      </c>
      <c r="M72" t="inlineStr">
        <is>
          <t>1990-06-17</t>
        </is>
      </c>
      <c r="N72" t="inlineStr">
        <is>
          <t>88</t>
        </is>
      </c>
      <c r="O72">
        <f>(15+15)/2</f>
        <v/>
      </c>
      <c r="P72">
        <f>(22+20+18)/3</f>
        <v/>
      </c>
    </row>
    <row r="73">
      <c r="A73" t="inlineStr">
        <is>
          <t>Bastoni</t>
        </is>
      </c>
      <c r="B73" t="inlineStr">
        <is>
          <t>Inter</t>
        </is>
      </c>
      <c r="C73" t="inlineStr">
        <is>
          <t>Defender</t>
        </is>
      </c>
      <c r="D73" t="n">
        <v>666</v>
      </c>
      <c r="E73" t="n">
        <v>8</v>
      </c>
      <c r="F73" t="n">
        <v>0</v>
      </c>
      <c r="G73" t="n">
        <v>0</v>
      </c>
      <c r="H73" t="n">
        <v>76.59999999999999</v>
      </c>
      <c r="I73" t="n">
        <v>35.9</v>
      </c>
      <c r="J73" t="n">
        <v>315853</v>
      </c>
      <c r="K73" t="inlineStr">
        <is>
          <t>{'marketValueHistory': [{'date': 'Oct 17, 2016', 'age': '17', 'clubName': 'Atalanta Primavera', 'clubID': '11998', 'value': '€75k'}, {'date': 'Mar 28, 2017', 'age': '17', 'clubName': 'Atalanta BC', 'clubID': '800', 'value': '€800k'}, {'date': 'Jun 8, 2017', 'age': '18', 'clubName': 'Atalanta BC', 'clubID': '800', 'value': '€1.50m'}, {'date': 'Oct 13, 2017', 'age': '18', 'clubName': 'Atalanta BC', 'clubID': '800', 'value': '€2.50m'}, {'date': 'Dec 29, 2017', 'age': '18', 'clubName': 'Atalanta BC', 'clubID': '800', 'value': '€2.50m'}, {'date': 'Jun 7, 2018', 'age': '19', 'clubName': 'Atalanta BC', 'clubID': '800', 'value': '€2.50m'}, {'date': 'Dec 20, 2018', 'age': '19', 'clubName': 'Parma Calcio 1913', 'clubID': '130', 'value': '€7.50m'}, {'date': 'Mar 1, 2019', 'age': '19', 'clubName': 'Parma Calcio 1913', 'clubID': '130', 'value': '€15.00m'}, {'date': 'Jun 6, 2019', 'age': '20', 'clubName': 'Parma Calcio 1913', 'clubID': '130', 'value': '€15.00m'}, {'date': 'Dec 12, 2019', 'age': '20', 'clubName': 'Inter Milan', 'clubID': '46', 'value': '€23.00m'}, {'date': 'Mar 3, 2020', 'age': '20', 'clubName': 'Inter Milan', 'clubID': '46', 'value': '€35.00m'}, {'date': 'Apr 8, 2020', 'age': '20', 'clubName': 'Inter Milan', 'clubID': '46', 'value': '€31.50m'}, {'date': 'Aug 25, 2020', 'age': '21', 'clubName': 'Inter Milan', 'clubID': '46', 'value': '€45.00m'}, {'date': 'Dec 29, 2020', 'age': '21', 'clubName': 'Inter Milan', 'clubID': '46', 'value': '€50.00m'}, {'date': 'Mar 23, 2021', 'age': '21', 'clubName': 'Inter Milan', 'clubID': '46', 'value': '€55.00m'}, {'date': 'May 25, 2021', 'age': '22', 'clubName': 'Inter Milan', 'clubID': '46', 'value': '€60.00m'}, {'date': 'Dec 28, 2021', 'age': '22', 'clubName': 'Inter Milan', 'clubID': '46', 'value': '€60.00m'}, {'date': 'Jun 7, 2022', 'age': '23', 'clubName': 'Inter Milan', 'clubID': '46', 'value': '€60.00m'}, {'date': 'Nov 11, 2022', 'age': '23', 'clubName': 'Inter Milan', 'clubID': '46', 'value': '€55.00m'}, {'date': 'Jun 15, 2023', 'age': '24', 'clubName': 'Inter Milan', 'clubID': '46', 'value': '€60.00m'}, {'date': 'Dec 20, 2023', 'age': '24', 'clubName': 'Inter Milan', 'clubID': '46', 'value': '€60.00m'}, {'date': 'Mar 12, 2024', 'age': '24', 'clubName': 'Inter Milan', 'clubID': '46', 'value': '€70.00m'}, {'date': 'Jun 5, 2024', 'age': '25', 'clubName': 'Inter Milan', 'clubID': '46', 'value': '€70.00m'}, {'date': 'Dec 18, 2024', 'age': '25', 'clubName': 'Inter Milan', 'clubID': '46', 'value': '€75.00m'}, {'date': 'Mar 25, 2025', 'age': '25', 'clubName': 'Inter Milan', 'clubID': '46', 'value': '€80.00m'}, {'date': 'Jun 17, 2025', 'age': '26', 'clubName': 'Inter Milan', 'clubID': '46', 'value': '€80.00m'}, {'date': 'Dec 23, 2025', 'age': '26', 'clubName': 'Inter Milan', 'clubID': '46', 'value': '€80.00m'}, {'date': 'Mar 24, 2026', 'age': '26', 'clubName': 'Inter Milan', 'clubID': '46', 'value': '€70.00m'}]}</t>
        </is>
      </c>
      <c r="L73" t="inlineStr">
        <is>
          <t>Italy</t>
        </is>
      </c>
      <c r="M73" t="inlineStr">
        <is>
          <t>1999-04-13</t>
        </is>
      </c>
      <c r="N73" t="inlineStr">
        <is>
          <t>Italy</t>
        </is>
      </c>
      <c r="O73">
        <f>(60+55)/2</f>
        <v/>
      </c>
      <c r="P73">
        <f>(55+60+60)/3</f>
        <v/>
      </c>
    </row>
    <row r="74">
      <c r="A74" t="inlineStr">
        <is>
          <t>Koke</t>
        </is>
      </c>
      <c r="B74" t="inlineStr">
        <is>
          <t>Atletico de Madrid</t>
        </is>
      </c>
      <c r="C74" t="inlineStr">
        <is>
          <t>Midfielder</t>
        </is>
      </c>
      <c r="D74" t="n">
        <v>665</v>
      </c>
      <c r="E74" t="n">
        <v>9</v>
      </c>
      <c r="F74" t="n">
        <v>0</v>
      </c>
      <c r="G74" t="n">
        <v>1</v>
      </c>
      <c r="H74" t="n">
        <v>91.2</v>
      </c>
      <c r="I74" t="n">
        <v>28.1</v>
      </c>
      <c r="J74" t="n">
        <v>74229</v>
      </c>
      <c r="K74" t="inlineStr">
        <is>
          <t>{'marketValueHistory': [{'date': 'Feb 11, 2011', 'age': '19', 'clubName': 'Atlético de Madrid', 'clubID': '13', 'value': '€600k'}, {'date': 'Feb 28, 2011', 'age': '19', 'clubName': 'Atlético de Madrid', 'clubID': '13', 'value': '€1.00m'}, {'date': 'Jul 29, 2011', 'age': '19', 'clubName': 'Atlético de Madrid', 'clubID': '13', 'value': '€3.00m'}, {'date': 'Feb 3, 2012', 'age': '20', 'clubName': 'Atlético de Madrid', 'clubID': '13', 'value': '€3.00m'}, {'date': 'Apr 14, 2012', 'age': '20', 'clubName': 'Atlético de Madrid', 'clubID': '13', 'value': '€3.50m'}, {'date': 'Aug 1, 2012', 'age': '20', 'clubName': 'Atlético de Madrid', 'clubID': '13', 'value': '€5.00m'}, {'date': 'Jan 10, 2013', 'age': '21', 'clubName': 'Atlético de Madrid', 'clubID': '13', 'value': '€8.00m'}, {'date': 'Jun 12, 2013', 'age': '21', 'clubName': 'Atlético de Madrid', 'clubID': '13', 'value': '€14.00m'}, {'date': 'Oct 21, 2013', 'age': '21', 'clubName': 'Atlético de Madrid', 'clubID': '13', 'value': '€20.00m'}, {'date': 'Jan 23, 2014', 'age': '22', 'clubName': 'Atlético de Madrid', 'clubID': '13', 'value': '€25.00m'}, {'date': 'Mar 31, 2014', 'age': '22', 'clubName': 'Atlético de Madrid', 'clubID': '13', 'value': '€30.00m'}, {'date': 'Jul 20, 2014', 'age': '22', 'clubName': 'Atlético de Madrid', 'clubID': '13', 'value': '€40.00m'}, {'date': 'Jan 23, 2015', 'age': '23', 'clubName': 'Atlético de Madrid', 'clubID': '13', 'value': '€50.00m'}, {'date': 'Jul 1, 2015', 'age': '23', 'clubName': 'Atlético de Madrid', 'clubID': '13', 'value': '€50.00m'}, {'date': 'Feb 22, 2016', 'age': '24', 'clubName': 'Atlético de Madrid', 'clubID': '13', 'value': '€50.00m'}, {'date': 'Jun 1, 2016', 'age': '24', 'clubName': 'Atlético de Madrid', 'clubID': '13', 'value': '€60.00m'}, {'date': 'Jul 15, 2016', 'age': '24', 'clubName': 'Atlético de Madrid', 'clubID': '13', 'value': '€60.00m'}, {'date': 'Jan 24, 2017', 'age': '25', 'clubName': 'Atlético de Madrid', 'clubID': '13', 'value': '€55.00m'}, {'date': 'Jun 5, 2017', 'age': '25', 'clubName': 'Atlético de Madrid', 'clubID': '13', 'value': '€60.00m'}, {'date': 'Jan 1, 2018', 'age': '25', 'clubName': 'Atlético de Madrid', 'clubID': '13', 'value': '€70.00m'}, {'date': 'May 30, 2018', 'age': '26', 'clubName': 'Atlético de Madrid', 'clubID': '13', 'value': '€70.00m'}, {'date': 'Dec 21, 2018', 'age': '26', 'clubName': 'Atlético de Madrid', 'clubID': '13', 'value': '€70.00m'}, {'date': 'Jun 11, 2019', 'age': '27', 'clubName': 'Atlético de Madrid', 'clubID': '13', 'value': '€70.00m'}, {'date': 'Dec 20, 2019', 'age': '27', 'clubName': 'Atlético de Madrid', 'clubID': '13', 'value': '€60.00m'}, {'date': 'Apr 8, 2020', 'age': '28', 'clubName': 'Atlético de Madrid', 'clubID': '13', 'value': '€48.00m'}, {'date': 'Oct 8, 2020', 'age': '28', 'clubName': 'Atlético de Madrid', 'clubID': '13', 'value': '€60.00m'}, {'date': 'Jan 5, 2021', 'age': '28', 'clubName': 'Atlético de Madrid', 'clubID': '13', 'value': '€60.00m'}, {'date': 'May 31, 2021', 'age': '29', 'clubName': 'Atlético de Madrid', 'clubID': '13', 'value': '€60.00m'}, {'date': 'Dec 30, 2021', 'age': '29', 'clubName': 'Atlético de Madrid', 'clubID': '13', 'value': '€40.00m'}, {'date': 'Mar 21, 2022', 'age': '30', 'clubName': 'Atlético de Madrid', 'clubID': '13', 'value': '€35.00m'}, {'date': 'Jun 3, 2022', 'age': '30', 'clubName': 'Atlético de Madrid', 'clubID': '13', 'value': '€25.00m'}, {'date': 'Sep 23, 2022', 'age': '30', 'clubName': 'Atlético de Madrid', 'clubID': '13', 'value': '€20.00m'}, {'date': 'Nov 7, 2022', 'age': '30', 'clubName': 'Atlético de Madrid', 'clubID': '13', 'value': '€18.00m'}, {'date': 'Mar 23, 2023', 'age': '31', 'clubName': 'Atlético de Madrid', 'clubID': '13', 'value': '€16.00m'}, {'date': 'Jun 13, 2023', 'age': '31', 'clubName': 'Atlético de Madrid', 'clubID': '13', 'value': '€16.00m'}, {'date': 'Dec 22, 2023', 'age': '31', 'clubName': 'Atlético de Madrid', 'clubID': '13', 'value': '€14.00m'}, {'date': 'Mar 21, 2024', 'age': '32', 'clubName': 'Atlético de Madrid', 'clubID': '13', 'value': '€12.00m'}, {'date': 'Jun 7, 2024', 'age': '32', 'clubName': 'Atlético de Madrid', 'clubID': '13', 'value': '€12.00m'}, {'date': 'Dec 27, 2024', 'age': '32', 'clubName': 'Atlético de Madrid', 'clubID': '13', 'value': '€10.00m'}, {'date': 'Jun 9, 2025', 'age': '33', 'clubName': 'Atlético de Madrid', 'clubID': '13', 'value': '€8.00m'}, {'date': 'Dec 12, 2025', 'age': '33', 'clubName': 'Atlético de Madrid', 'clubID': '13', 'value': '€7.00m'}, {'date': 'Mar 16, 2026', 'age': '34', 'clubName': 'Atlético de Madrid', 'clubID': '13', 'value': '€6.00m'}]}</t>
        </is>
      </c>
      <c r="L74" t="inlineStr">
        <is>
          <t>Spain</t>
        </is>
      </c>
      <c r="M74" t="inlineStr">
        <is>
          <t>1992-01-08</t>
        </is>
      </c>
      <c r="N74" t="inlineStr">
        <is>
          <t>Spain</t>
        </is>
      </c>
      <c r="O74">
        <f>(35+25+20+18)/4</f>
        <v/>
      </c>
      <c r="P74">
        <f>(60+60+40)/3</f>
        <v/>
      </c>
    </row>
    <row r="75">
      <c r="A75" t="inlineStr">
        <is>
          <t>Ruben Dias</t>
        </is>
      </c>
      <c r="B75" t="inlineStr">
        <is>
          <t>Man City</t>
        </is>
      </c>
      <c r="C75" t="inlineStr">
        <is>
          <t>Defender</t>
        </is>
      </c>
      <c r="D75" t="n">
        <v>664</v>
      </c>
      <c r="E75" t="n">
        <v>8</v>
      </c>
      <c r="F75" t="n">
        <v>0</v>
      </c>
      <c r="G75" t="n">
        <v>0</v>
      </c>
      <c r="H75" t="n">
        <v>83.3</v>
      </c>
      <c r="I75" t="n">
        <v>32.3</v>
      </c>
      <c r="J75" t="n">
        <v>258004</v>
      </c>
      <c r="K75" t="inlineStr">
        <is>
          <t>{'marketValueHistory': [{'date': 'Jul 31, 2015', 'age': '18', 'clubName': 'SL Benfica B', 'clubID': '10330', 'value': '€25k'}, {'date': 'Mar 14, 2016', 'age': '18', 'clubName': 'SL Benfica B', 'clubID': '10330', 'value': '€350k'}, {'date': 'Sep 30, 2016', 'age': '19', 'clubName': 'SL Benfica B', 'clubID': '10330', 'value': '€800k'}, {'date': 'Jun 30, 2017', 'age': '20', 'clubName': 'SL Benfica B', 'clubID': '10330', 'value': '€1.00m'}, {'date': 'Sep 8, 2017', 'age': '20', 'clubName': 'SL Benfica', 'clubID': '294', 'value': '€1.00m'}, {'date': 'Nov 6, 2017', 'age': '20', 'clubName': 'SL Benfica', 'clubID': '294', 'value': '€2.50m'}, {'date': 'Feb 7, 2018', 'age': '20', 'clubName': 'SL Benfica', 'clubID': '294', 'value': '€7.00m'}, {'date': 'Apr 16, 2018', 'age': '20', 'clubName': 'SL Benfica', 'clubID': '294', 'value': '€14.00m'}, {'date': 'Jun 13, 2018', 'age': '21', 'clubName': 'SL Benfica', 'clubID': '294', 'value': '€22.00m'}, {'date': 'Nov 1, 2018', 'age': '21', 'clubName': 'SL Benfica', 'clubID': '294', 'value': '€28.00m'}, {'date': 'Jan 11, 2019', 'age': '21', 'clubName': 'SL Benfica', 'clubID': '294', 'value': '€28.00m'}, {'date': 'Jun 7, 2019', 'age': '22', 'clubName': 'SL Benfica', 'clubID': '294', 'value': '€32.00m'}, {'date': 'Dec 30, 2019', 'age': '22', 'clubName': 'SL Benfica', 'clubID': '294', 'value': '€38.00m'}, {'date': 'Apr 8, 2020', 'age': '22', 'clubName': 'SL Benfica', 'clubID': '294', 'value': '€30.50m'}, {'date': 'Aug 17, 2020', 'age': '23', 'clubName': 'SL Benfica', 'clubID': '294', 'value': '€35.00m'}, {'date': 'Oct 13, 2020', 'age': '23', 'clubName': 'Manchester City', 'clubID': '281', 'value': '€50.00m'}, {'date': 'Dec 17, 2020', 'age': '23', 'clubName': 'Manchester City', 'clubID': '281', 'value': '€60.00m'}, {'date': 'Mar 18, 2021', 'age': '23', 'clubName': 'Manchester City', 'clubID': '281', 'value': '€70.00m'}, {'date': 'Jun 1, 2021', 'age': '24', 'clubName': 'Manchester City', 'clubID': '281', 'value': '€75.00m'}, {'date': 'Dec 23, 2021', 'age': '24', 'clubName': 'Manchester City', 'clubID': '281', 'value': '€75.00m'}, {'date': 'Jun 15, 2022', 'age': '25', 'clubName': 'Manchester City', 'clubID': '281', 'value': '€75.00m'}, {'date': 'Nov 3, 2022', 'age': '25', 'clubName': 'Manchester City', 'clubID': '281', 'value': '€75.00m'}, {'date': 'Jun 20, 2023', 'age': '26', 'clubName': 'Manchester City', 'clubID': '281', 'value': '€80.00m'}, {'date': 'Dec 19, 2023', 'age': '26', 'clubName': 'Manchester City', 'clubID': '281', 'value': '€80.00m'}, {'date': 'May 27, 2024', 'age': '27', 'clubName': 'Manchester City', 'clubID': '281', 'value': '€80.00m'}, {'date': 'Dec 16, 2024', 'age': '27', 'clubName': 'Manchester City', 'clubID': '281', 'value': '€75.00m'}, {'date': 'Mar 18, 2025', 'age': '27', 'clubName': 'Manchester City', 'clubID': '281', 'value': '€70.00m'}, {'date': 'May 30, 2025', 'age': '28', 'clubName': 'Manchester City', 'clubID': '281', 'value': '€65.00m'}, {'date': 'Oct 17, 2025', 'age': '28', 'clubName': 'Manchester City', 'clubID': '281', 'value': '€60.00m'}, {'date': 'Dec 9, 2025', 'age': '28', 'clubName': 'Manchester City', 'clubID': '281', 'value': '€60.00m'}]}</t>
        </is>
      </c>
      <c r="L75" t="inlineStr">
        <is>
          <t>Portugal</t>
        </is>
      </c>
      <c r="M75" t="inlineStr">
        <is>
          <t>1997-05-14</t>
        </is>
      </c>
      <c r="N75" t="inlineStr">
        <is>
          <t>74</t>
        </is>
      </c>
      <c r="O75">
        <f>(75+75)/2</f>
        <v/>
      </c>
      <c r="P75">
        <f>(70+75+75)/3</f>
        <v/>
      </c>
    </row>
    <row r="76">
      <c r="A76" t="inlineStr">
        <is>
          <t>Mazraoui</t>
        </is>
      </c>
      <c r="B76" t="inlineStr">
        <is>
          <t>Ajax</t>
        </is>
      </c>
      <c r="C76" t="inlineStr">
        <is>
          <t>Defender</t>
        </is>
      </c>
      <c r="D76" t="n">
        <v>661</v>
      </c>
      <c r="E76" t="n">
        <v>8</v>
      </c>
      <c r="F76" t="n">
        <v>0</v>
      </c>
      <c r="G76" t="n">
        <v>2</v>
      </c>
      <c r="H76" t="n">
        <v>81.5</v>
      </c>
      <c r="I76" t="n">
        <v>32.2</v>
      </c>
      <c r="J76" t="n">
        <v>340456</v>
      </c>
      <c r="K76" t="inlineStr">
        <is>
          <t>{'marketValueHistory': [{'date': '01/07/2016', 'age': '18', 'clubName': 'Ajax Amsterdam U21', 'clubID': '610', 'value': '€25k'}, {'date': '02/02/2017', 'age': '19', 'clubName': 'Ajax Amsterdam U21', 'clubID': '610', 'value': '€75k'}, {'date': '21/06/2017', 'age': '19', 'clubName': 'Ajax Amsterdam U21', 'clubID': '610', 'value': '€200k'}, {'date': '01/03/2018', 'age': '20', 'clubName': 'Ajax Amsterdam U21', 'clubID': '610', 'value': '€600k'}, {'date': '12/06/2018', 'age': '20', 'clubName': 'Ajax Amsterdam', 'clubID': '610', 'value': '€1.50m'}, {'date': '04/10/2018', 'age': '20', 'clubName': 'Ajax Amsterdam', 'clubID': '610', 'value': '€6.00m'}, {'date': '28/12/2018', 'age': '21', 'clubName': 'Ajax Amsterdam', 'clubID': '610', 'value': '€12.00m'}, {'date': '12/06/2019', 'age': '21', 'clubName': 'Ajax Amsterdam', 'clubID': '610', 'value': '€18.00m'}, {'date': '19/09/2019', 'age': '21', 'clubName': 'Ajax Amsterdam', 'clubID': '610', 'value': '€15.00m'}, {'date': '18/12/2019', 'age': '22', 'clubName': 'Ajax Amsterdam', 'clubID': '610', 'value': '€15.00m'}, {'date': '12/03/2020', 'age': '22', 'clubName': 'Ajax Amsterdam', 'clubID': '610', 'value': '€12.00m'}, {'date': '08/04/2020', 'age': '22', 'clubName': 'Ajax Amsterdam', 'clubID': '610', 'value': '€9.50m'}, {'date': '14/10/2020', 'age': '22', 'clubName': 'Ajax Amsterdam', 'clubID': '610', 'value': '€14.00m'}, {'date': '06/01/2021', 'age': '23', 'clubName': 'Ajax Amsterdam', 'clubID': '610', 'value': '€15.00m'}, {'date': '09/03/2021', 'age': '23', 'clubName': 'Ajax Amsterdam', 'clubID': '610', 'value': '€17.00m'}, {'date': '19/05/2021', 'age': '23', 'clubName': 'Ajax Amsterdam', 'clubID': '610', 'value': '€17.00m'}, {'date': '04/10/2021', 'age': '23', 'clubName': 'Ajax Amsterdam', 'clubID': '610', 'value': '€18.00m'}, {'date': '05/01/2022', 'age': '24', 'clubName': 'Ajax Amsterdam', 'clubID': '610', 'value': '€20.00m'}, {'date': '08/06/2022', 'age': '24', 'clubName': 'Ajax Amsterdam', 'clubID': '610', 'value': '€20.00m'}, {'date': '09/11/2022', 'age': '24', 'clubName': 'Bayern Munich', 'clubID': '27', 'value': '€25.00m'}, {'date': '23/12/2022', 'age': '25', 'clubName': 'Bayern Munich', 'clubID': '27', 'value': '€28.00m'}, {'date': '22/06/2023', 'age': '25', 'clubName': 'Bayern Munich', 'clubID': '27', 'value': '€28.00m'}, {'date': '14/12/2023', 'age': '26', 'clubName': 'Bayern Munich', 'clubID': '27', 'value': '€30.00m'}, {'date': '29/05/2024', 'age': '26', 'clubName': 'Bayern Munich', 'clubID': '27', 'value': '€30.00m'}, {'date': '16/12/2024', 'age': '27', 'clubName': 'Manchester United', 'clubID': '985', 'value': '€32.00m'}, {'date': '30/05/2025', 'age': '27', 'clubName': 'Manchester United', 'clubID': '985', 'value': '€25.00m'}, {'date': '09/12/2025', 'age': '28', 'clubName': 'Manchester United', 'clubID': '985', 'value': '€22.00m'}, {'date': '09/03/2026', 'age': '28', 'clubName': 'Manchester United', 'clubID': '985', 'value': '€20.00m'}]}</t>
        </is>
      </c>
      <c r="L76" t="inlineStr">
        <is>
          <t>Morocco</t>
        </is>
      </c>
      <c r="M76" t="inlineStr">
        <is>
          <t>1997-11-14</t>
        </is>
      </c>
      <c r="N76" t="inlineStr">
        <is>
          <t>Morocco</t>
        </is>
      </c>
      <c r="O76">
        <f>(20+20+25+28)/4</f>
        <v/>
      </c>
      <c r="P76">
        <f>(15+17+17+18)/4</f>
        <v/>
      </c>
    </row>
    <row r="77">
      <c r="A77" t="inlineStr">
        <is>
          <t>Gundogan</t>
        </is>
      </c>
      <c r="B77" t="inlineStr">
        <is>
          <t>Man City</t>
        </is>
      </c>
      <c r="C77" t="inlineStr">
        <is>
          <t>Midfielder</t>
        </is>
      </c>
      <c r="D77" t="n">
        <v>660</v>
      </c>
      <c r="E77" t="n">
        <v>10</v>
      </c>
      <c r="F77" t="n">
        <v>0</v>
      </c>
      <c r="G77" t="n">
        <v>2</v>
      </c>
      <c r="H77" t="n">
        <v>86.5</v>
      </c>
      <c r="I77" t="n">
        <v>32.1</v>
      </c>
      <c r="J77" t="n">
        <v>53622</v>
      </c>
      <c r="K77" t="inlineStr">
        <is>
          <t>{'marketValueHistory': [{'date': '21/01/2008', 'age': '17', 'clubName': 'VfL Bochum U19', 'clubID': '3862', 'value': '€50k'}, {'date': '30/01/2009', 'age': '18', 'clubName': 'VfL Bochum U19', 'clubID': '3862', 'value': '€100k'}, {'date': '30/08/2009', 'age': '18', 'clubName': '1.FC Nuremberg', 'clubID': '4', 'value': '€700k'}, {'date': '10/03/2010', 'age': '19', 'clubName': '1.FC Nuremberg', 'clubID': '4', 'value': '€1.00m'}, {'date': '13/06/2010', 'age': '19', 'clubName': '1.FC Nuremberg', 'clubID': '4', 'value': '€2.00m'}, {'date': '16/07/2010', 'age': '19', 'clubName': '1.FC Nuremberg', 'clubID': '4', 'value': '€3.50m'}, {'date': '29/08/2010', 'age': '19', 'clubName': '1.FC Nuremberg', 'clubID': '4', 'value': '€4.50m'}, {'date': '28/09/2010', 'age': '19', 'clubName': '1.FC Nuremberg', 'clubID': '4', 'value': '€6.00m'}, {'date': '12/01/2011', 'age': '20', 'clubName': '1.FC Nuremberg', 'clubID': '4', 'value': '€7.00m'}, {'date': '29/06/2011', 'age': '20', 'clubName': '1.FC Nuremberg', 'clubID': '4', 'value': '€6.50m'}, {'date': '23/01/2012', 'age': '21', 'clubName': 'Borussia Dortmund', 'clubID': '16', 'value': '€6.00m'}, {'date': '29/06/2012', 'age': '21', 'clubName': 'Borussia Dortmund', 'clubID': '16', 'value': '€9.00m'}, {'date': '30/10/2012', 'age': '22', 'clubName': 'Borussia Dortmund', 'clubID': '16', 'value': '€14.00m'}, {'date': '13/01/2013', 'age': '22', 'clubName': 'Borussia Dortmund', 'clubID': '16', 'value': '€14.00m'}, {'date': '11/03/2013', 'age': '22', 'clubName': 'Borussia Dortmund', 'clubID': '16', 'value': '€20.00m'}, {'date': '30/06/2013', 'age': '22', 'clubName': 'Borussia Dortmund', 'clubID': '16', 'value': '€27.00m'}, {'date': '10/07/2014', 'age': '23', 'clubName': 'Borussia Dortmund', 'clubID': '16', 'value': '€20.00m'}, {'date': '04/02/2015', 'age': '24', 'clubName': 'Borussia Dortmund', 'clubID': '16', 'value': '€20.00m'}, {'date': '01/07/2015', 'age': '24', 'clubName': 'Borussia Dortmund', 'clubID': '16', 'value': '€20.00m'}, {'date': '16/10/2015', 'age': '24', 'clubName': 'Borussia Dortmund', 'clubID': '16', 'value': '€25.00m'}, {'date': '15/02/2016', 'age': '25', 'clubName': 'Borussia Dortmund', 'clubID': '16', 'value': '€30.00m'}, {'date': '01/08/2016', 'age': '25', 'clubName': 'Manchester City', 'clubID': '281', 'value': '€30.00m'}, {'date': '20/02/2017', 'age': '26', 'clubName': 'Manchester City', 'clubID': '281', 'value': '€30.00m'}, {'date': '28/06/2017', 'age': '26', 'clubName': 'Manchester City', 'clubID': '281', 'value': '€30.00m'}, {'date': '02/01/2018', 'age': '27', 'clubName': 'Manchester City', 'clubID': '281', 'value': '€30.00m'}, {'date': '28/05/2018', 'age': '27', 'clubName': 'Manchester City', 'clubID': '281', 'value': '€40.00m'}, {'date': '19/12/2018', 'age': '28', 'clubName': 'Manchester City', 'clubID': '281', 'value': '€40.00m'}, {'date': '13/06/2019', 'age': '28', 'clubName': 'Manchester City', 'clubID': '281', 'value': '€50.00m'}, {'date': '10/12/2019', 'age': '29', 'clubName': 'Manchester City', 'clubID': '281', 'value': '€50.00m'}, {'date': '08/04/2020', 'age': '29', 'clubName': 'Manchester City', 'clubID': '281', 'value': '€40.00m'}, {'date': '13/10/2020', 'age': '29', 'clubName': 'Manchester City', 'clubID': '281', 'value': '€40.00m'}, {'date': '18/03/2021', 'age': '30', 'clubName': 'Manchester City', 'clubID': '281', 'value': '€40.00m'}, {'date': '01/06/2021', 'age': '30', 'clubName': 'Manchester City', 'clubID': '281', 'value': '€40.00m'}, {'date': '23/12/2021', 'age': '31', 'clubName': 'Manchester City', 'clubID': '281', 'value': '€35.00m'}, {'date': '15/06/2022', 'age': '31', 'clubName': 'Manchester City', 'clubID': '281', 'value': '€25.00m'}, {'date': '03/11/2022', 'age': '32', 'clubName': 'Manchester City', 'clubID': '281', 'value': '€25.00m'}, {'date': '20/06/2023', 'age': '32', 'clubName': 'Manchester City', 'clubID': '281', 'value': '€20.00m'}, {'date': '22/12/2023', 'age': '33', 'clubName': 'FC Barcelona', 'clubID': '131', 'value': '€18.00m'}, {'date': '21/03/2024', 'age': '33', 'clubName': 'FC Barcelona', 'clubID': '131', 'value': '€16.00m'}, {'date': '07/06/2024', 'age': '33', 'clubName': 'FC Barcelona', 'clubID': '131', 'value': '€15.00m'}, {'date': '01/10/2024', 'age': '33', 'clubName': 'Manchester City', 'clubID': '281', 'value': '€12.00m'}, {'date': '16/12/2024', 'age': '34', 'clubName': 'Manchester City', 'clubID': '281', 'value': '€10.00m'}, {'date': '18/03/2025', 'age': '34', 'clubName': 'Manchester City', 'clubID': '281', 'value': '€7.00m'}, {'date': '30/05/2025', 'age': '34', 'clubName': 'Manchester City', 'clubID': '281', 'value': '€5.00m'}, {'date': '01/10/2025', 'age': '34', 'clubName': 'Galatasaray', 'clubID': '141', 'value': '€4.00m'}, {'date': '17/12/2025', 'age': '35', 'clubName': 'Galatasaray', 'clubID': '141', 'value': '€3.50m'}, {'date': '05/03/2026', 'age': '35', 'clubName': 'Galatasaray', 'clubID': '141', 'value': '€2.50m'}]}</t>
        </is>
      </c>
      <c r="L77" t="inlineStr">
        <is>
          <t>Germany</t>
        </is>
      </c>
      <c r="M77" t="inlineStr">
        <is>
          <t>1990-10-24</t>
        </is>
      </c>
      <c r="N77" t="inlineStr">
        <is>
          <t>Germany</t>
        </is>
      </c>
      <c r="O77">
        <f>(25+25)/2</f>
        <v/>
      </c>
      <c r="P77">
        <f>(40+40+35)/3</f>
        <v/>
      </c>
    </row>
    <row r="78">
      <c r="A78" t="inlineStr">
        <is>
          <t>Upamecano</t>
        </is>
      </c>
      <c r="B78" t="inlineStr">
        <is>
          <t>Bayern</t>
        </is>
      </c>
      <c r="C78" t="inlineStr">
        <is>
          <t>Defender</t>
        </is>
      </c>
      <c r="D78" t="n">
        <v>660</v>
      </c>
      <c r="E78" t="n">
        <v>8</v>
      </c>
      <c r="F78" t="n">
        <v>0</v>
      </c>
      <c r="G78" t="n">
        <v>0</v>
      </c>
      <c r="H78" t="n">
        <v>82.3</v>
      </c>
      <c r="I78" t="n">
        <v>34.4</v>
      </c>
      <c r="J78" t="n">
        <v>344695</v>
      </c>
      <c r="K78" t="inlineStr">
        <is>
          <t>{'marketValueHistory': [{'date': 'Jul 15, 2015', 'age': '16', 'clubName': 'Red Bull Salzburg', 'clubID': '409', 'value': '€800k'}, {'date': 'Jun 1, 2016', 'age': '17', 'clubName': 'Red Bull Salzburg', 'clubID': '409', 'value': '€1.00m'}, {'date': 'Oct 6, 2016', 'age': '17', 'clubName': 'Red Bull Salzburg', 'clubID': '409', 'value': '€3.00m'}, {'date': 'Dec 22, 2016', 'age': '18', 'clubName': 'Red Bull Salzburg', 'clubID': '409', 'value': '€5.00m'}, {'date': 'Jun 19, 2017', 'age': '18', 'clubName': 'RB Leipzig', 'clubID': '23826', 'value': '€7.50m'}, {'date': 'Oct 18, 2017', 'age': '18', 'clubName': 'RB Leipzig', 'clubID': '23826', 'value': '€12.00m'}, {'date': 'Dec 28, 2017', 'age': '19', 'clubName': 'RB Leipzig', 'clubID': '23826', 'value': '€20.00m'}, {'date': 'Apr 4, 2018', 'age': '19', 'clubName': 'RB Leipzig', 'clubID': '23826', 'value': '€25.00m'}, {'date': 'Jun 5, 2018', 'age': '19', 'clubName': 'RB Leipzig', 'clubID': '23826', 'value': '€30.00m'}, {'date': 'Dec 18, 2018', 'age': '20', 'clubName': 'RB Leipzig', 'clubID': '23826', 'value': '€30.00m'}, {'date': 'Jun 5, 2019', 'age': '20', 'clubName': 'RB Leipzig', 'clubID': '23826', 'value': '€30.00m'}, {'date': 'Oct 2, 2019', 'age': '20', 'clubName': 'RB Leipzig', 'clubID': '23826', 'value': '€40.00m'}, {'date': 'Dec 17, 2019', 'age': '21', 'clubName': 'RB Leipzig', 'clubID': '23826', 'value': '€50.00m'}, {'date': 'Apr 8, 2020', 'age': '21', 'clubName': 'RB Leipzig', 'clubID': '23826', 'value': '€45.00m'}, {'date': 'Sep 16, 2020', 'age': '21', 'clubName': 'RB Leipzig', 'clubID': '23826', 'value': '€60.00m'}, {'date': 'Feb 10, 2021', 'age': '22', 'clubName': 'RB Leipzig', 'clubID': '23826', 'value': '€60.00m'}, {'date': 'Jun 9, 2021', 'age': '22', 'clubName': 'RB Leipzig', 'clubID': '23826', 'value': '€60.00m'}, {'date': 'Dec 22, 2021', 'age': '23', 'clubName': 'Bayern Munich', 'clubID': '27', 'value': '€55.00m'}, {'date': 'Mar 24, 2022', 'age': '23', 'clubName': 'Bayern Munich', 'clubID': '27', 'value': '€45.00m'}, {'date': 'Jun 9, 2022', 'age': '23', 'clubName': 'Bayern Munich', 'clubID': '27', 'value': '€40.00m'}, {'date': 'Nov 9, 2022', 'age': '24', 'clubName': 'Bayern Munich', 'clubID': '27', 'value': '€50.00m'}, {'date': 'Dec 23, 2022', 'age': '24', 'clubName': 'Bayern Munich', 'clubID': '27', 'value': '€60.00m'}, {'date': 'Jun 22, 2023', 'age': '24', 'clubName': 'Bayern Munich', 'clubID': '27', 'value': '€60.00m'}, {'date': 'Dec 14, 2023', 'age': '25', 'clubName': 'Bayern Munich', 'clubID': '27', 'value': '€60.00m'}, {'date': 'Mar 27, 2024', 'age': '25', 'clubName': 'Bayern Munich', 'clubID': '27', 'value': '€50.00m'}, {'date': 'May 29, 2024', 'age': '25', 'clubName': 'Bayern Munich', 'clubID': '27', 'value': '€45.00m'}, {'date': 'Dec 20, 2024', 'age': '26', 'clubName': 'Bayern Munich', 'clubID': '27', 'value': '€50.00m'}, {'date': 'Jun 5, 2025', 'age': '26', 'clubName': 'Bayern Munich', 'clubID': '27', 'value': '€50.00m'}, {'date': 'Oct 14, 2025', 'age': '26', 'clubName': 'Bayern Munich', 'clubID': '27', 'value': '€60.00m'}, {'date': 'Dec 19, 2025', 'age': '27', 'clubName': 'Bayern Munich', 'clubID': '27', 'value': '€70.00m'}]}</t>
        </is>
      </c>
      <c r="L78" t="inlineStr">
        <is>
          <t>France</t>
        </is>
      </c>
      <c r="M78" t="inlineStr">
        <is>
          <t>1998-10-27</t>
        </is>
      </c>
      <c r="N78" t="inlineStr">
        <is>
          <t>France</t>
        </is>
      </c>
      <c r="O78">
        <f>(45+40+50+60)/4</f>
        <v/>
      </c>
      <c r="P78">
        <f>(60+60+55)/3</f>
        <v/>
      </c>
    </row>
    <row r="79">
      <c r="A79" t="inlineStr">
        <is>
          <t>Foden</t>
        </is>
      </c>
      <c r="B79" t="inlineStr">
        <is>
          <t>Man City</t>
        </is>
      </c>
      <c r="C79" t="inlineStr">
        <is>
          <t>Midfielder</t>
        </is>
      </c>
      <c r="D79" t="n">
        <v>658</v>
      </c>
      <c r="E79" t="n">
        <v>11</v>
      </c>
      <c r="F79" t="n">
        <v>3</v>
      </c>
      <c r="G79" t="n">
        <v>2</v>
      </c>
      <c r="H79" t="n">
        <v>89.2</v>
      </c>
      <c r="I79" t="n">
        <v>32.8</v>
      </c>
      <c r="J79" t="n">
        <v>406635</v>
      </c>
      <c r="K79" t="inlineStr">
        <is>
          <t>{'marketValueHistory': [{'date': 'Jan 2, 2018', 'age': '17', 'clubName': 'Manchester City', 'clubID': '281', 'value': '€5.00m'}, {'date': 'May 28, 2018', 'age': '18', 'clubName': 'Manchester City', 'clubID': '281', 'value': '€7.00m'}, {'date': 'Oct 17, 2018', 'age': '18', 'clubName': 'Manchester City', 'clubID': '281', 'value': '€15.00m'}, {'date': 'Dec 19, 2018', 'age': '18', 'clubName': 'Manchester City', 'clubID': '281', 'value': '€20.00m'}, {'date': 'Mar 5, 2019', 'age': '18', 'clubName': 'Manchester City', 'clubID': '281', 'value': '€25.00m'}, {'date': 'Jun 13, 2019', 'age': '19', 'clubName': 'Manchester City', 'clubID': '281', 'value': '€25.00m'}, {'date': 'Sep 12, 2019', 'age': '19', 'clubName': 'Manchester City', 'clubID': '281', 'value': '€30.00m'}, {'date': 'Dec 10, 2019', 'age': '19', 'clubName': 'Manchester City', 'clubID': '281', 'value': '€30.00m'}, {'date': 'Apr 8, 2020', 'age': '19', 'clubName': 'Manchester City', 'clubID': '281', 'value': '€27.00m'}, {'date': 'Jul 30, 2020', 'age': '20', 'clubName': 'Manchester City', 'clubID': '281', 'value': '€40.00m'}, {'date': 'Oct 13, 2020', 'age': '20', 'clubName': 'Manchester City', 'clubID': '281', 'value': '€60.00m'}, {'date': 'Mar 18, 2021', 'age': '20', 'clubName': 'Manchester City', 'clubID': '281', 'value': '€70.00m'}, {'date': 'May 28, 2021', 'age': '21', 'clubName': 'Manchester City', 'clubID': '281', 'value': '€80.00m'}, {'date': 'Dec 23, 2021', 'age': '21', 'clubName': 'Manchester City', 'clubID': '281', 'value': '€85.00m'}, {'date': 'Mar 29, 2022', 'age': '21', 'clubName': 'Manchester City', 'clubID': '281', 'value': '€90.00m'}, {'date': 'Jun 15, 2022', 'age': '22', 'clubName': 'Manchester City', 'clubID': '281', 'value': '€90.00m'}, {'date': 'Nov 3, 2022', 'age': '22', 'clubName': 'Manchester City', 'clubID': '281', 'value': '€110.00m'}, {'date': 'Jun 20, 2023', 'age': '23', 'clubName': 'Manchester City', 'clubID': '281', 'value': '€110.00m'}, {'date': 'Dec 19, 2023', 'age': '23', 'clubName': 'Manchester City', 'clubID': '281', 'value': '€110.00m'}, {'date': 'Mar 14, 2024', 'age': '23', 'clubName': 'Manchester City', 'clubID': '281', 'value': '€130.00m'}, {'date': 'May 27, 2024', 'age': '23', 'clubName': 'Manchester City', 'clubID': '281', 'value': '€150.00m'}, {'date': 'Dec 16, 2024', 'age': '24', 'clubName': 'Manchester City', 'clubID': '281', 'value': '€140.00m'}, {'date': 'Mar 18, 2025', 'age': '24', 'clubName': 'Manchester City', 'clubID': '281', 'value': '€130.00m'}, {'date': 'May 30, 2025', 'age': '25', 'clubName': 'Manchester City', 'clubID': '281', 'value': '€100.00m'}, {'date': 'Oct 17, 2025', 'age': '25', 'clubName': 'Manchester City', 'clubID': '281', 'value': '€80.00m'}, {'date': 'Dec 9, 2025', 'age': '25', 'clubName': 'Manchester City', 'clubID': '281', 'value': '€80.00m'}]}</t>
        </is>
      </c>
      <c r="L79" t="inlineStr">
        <is>
          <t>United Kingdom</t>
        </is>
      </c>
      <c r="M79" t="inlineStr">
        <is>
          <t>2000-05-28</t>
        </is>
      </c>
      <c r="N79" t="inlineStr">
        <is>
          <t>49</t>
        </is>
      </c>
      <c r="O79">
        <f>(90+90+110)/3</f>
        <v/>
      </c>
      <c r="P79">
        <f>(70+80+85)/3</f>
        <v/>
      </c>
    </row>
    <row r="80">
      <c r="A80" t="inlineStr">
        <is>
          <t>Seiwald</t>
        </is>
      </c>
      <c r="B80" t="inlineStr">
        <is>
          <t>Salzburg</t>
        </is>
      </c>
      <c r="C80" t="inlineStr">
        <is>
          <t>Midfielder</t>
        </is>
      </c>
      <c r="D80" t="n">
        <v>649</v>
      </c>
      <c r="E80" t="n">
        <v>8</v>
      </c>
      <c r="F80" t="n">
        <v>0</v>
      </c>
      <c r="G80" t="n">
        <v>1</v>
      </c>
      <c r="H80" t="n">
        <v>85.3</v>
      </c>
      <c r="I80" t="n">
        <v>32.8</v>
      </c>
      <c r="J80" t="n">
        <v>404950</v>
      </c>
      <c r="K80" t="inlineStr">
        <is>
          <t>{'marketValueHistory': [{'date': '01/02/2019', 'age': '17', 'clubName': 'FC Liefering', 'clubID': '37024', 'value': '€75k'}, {'date': '01/06/2019', 'age': '18', 'clubName': 'FC Liefering', 'clubID': '37024', 'value': '€75k'}, {'date': '03/12/2019', 'age': '18', 'clubName': 'FC Liefering', 'clubID': '37024', 'value': '€300k'}, {'date': '31/07/2020', 'age': '19', 'clubName': 'FC Liefering', 'clubID': '37024', 'value': '€700k'}, {'date': '21/12/2020', 'age': '19', 'clubName': 'Red Bull Salzburg', 'clubID': '409', 'value': '€1.00m'}, {'date': '02/06/2021', 'age': '20', 'clubName': 'Red Bull Salzburg', 'clubID': '409', 'value': '€3.00m'}, {'date': '06/09/2021', 'age': '20', 'clubName': 'Red Bull Salzburg', 'clubID': '409', 'value': '€7.00m'}, {'date': '16/12/2021', 'age': '20', 'clubName': 'Red Bull Salzburg', 'clubID': '409', 'value': '€15.00m'}, {'date': '27/05/2022', 'age': '21', 'clubName': 'Red Bull Salzburg', 'clubID': '409', 'value': '€20.00m'}, {'date': '10/11/2022', 'age': '21', 'clubName': 'Red Bull Salzburg', 'clubID': '409', 'value': '€20.00m'}, {'date': '12/06/2023', 'age': '22', 'clubName': 'Red Bull Salzburg', 'clubID': '409', 'value': '€20.00m'}, {'date': '14/12/2023', 'age': '22', 'clubName': 'RB Leipzig', 'clubID': '23826', 'value': '€20.00m'}, {'date': '27/03/2024', 'age': '22', 'clubName': 'RB Leipzig', 'clubID': '23826', 'value': '€16.00m'}, {'date': '29/05/2024', 'age': '23', 'clubName': 'RB Leipzig', 'clubID': '23826', 'value': '€16.00m'}, {'date': '20/12/2024', 'age': '23', 'clubName': 'RB Leipzig', 'clubID': '23826', 'value': '€16.00m'}, {'date': '05/06/2025', 'age': '24', 'clubName': 'RB Leipzig', 'clubID': '23826', 'value': '€18.00m'}, {'date': '19/12/2025', 'age': '24', 'clubName': 'RB Leipzig', 'clubID': '23826', 'value': '€18.00m'}, {'date': '20/03/2026', 'age': '24', 'clubName': 'RB Leipzig', 'clubID': '23826', 'value': '€22.00m'}]}</t>
        </is>
      </c>
      <c r="L80" t="inlineStr">
        <is>
          <t>Austria</t>
        </is>
      </c>
      <c r="M80" t="inlineStr">
        <is>
          <t>2001-05-04</t>
        </is>
      </c>
      <c r="N80" t="inlineStr">
        <is>
          <t>Austria</t>
        </is>
      </c>
      <c r="O80">
        <f>(20+20)/2</f>
        <v/>
      </c>
      <c r="P80">
        <f>(3+7+15)/3</f>
        <v/>
      </c>
    </row>
    <row r="81">
      <c r="A81" t="inlineStr">
        <is>
          <t>Estupinan</t>
        </is>
      </c>
      <c r="B81" t="inlineStr">
        <is>
          <t>Villarreal</t>
        </is>
      </c>
      <c r="C81" t="inlineStr">
        <is>
          <t>Defender</t>
        </is>
      </c>
      <c r="D81" t="n">
        <v>645</v>
      </c>
      <c r="E81" t="n">
        <v>10</v>
      </c>
      <c r="F81" t="n">
        <v>0</v>
      </c>
      <c r="G81" t="n">
        <v>0</v>
      </c>
      <c r="H81" t="n">
        <v>76.40000000000001</v>
      </c>
      <c r="I81" t="n">
        <v>32.9</v>
      </c>
      <c r="J81" t="n">
        <v>349599</v>
      </c>
      <c r="K81" t="inlineStr">
        <is>
          <t>{'marketValueHistory': [{'date': 'Jan 1, 2015', 'age': '16', 'clubName': 'LDU Quito', 'clubID': '9855', 'value': '€50k'}, {'date': 'Jun 30, 2015', 'age': '17', 'clubName': 'LDU Quito', 'clubID': '9855', 'value': '€400k'}, {'date': 'Dec 30, 2015', 'age': '17', 'clubName': 'LDU Quito', 'clubID': '9855', 'value': '€600k'}, {'date': 'Jul 15, 2016', 'age': '18', 'clubName': 'Udinese Calcio', 'clubID': '410', 'value': '€600k'}, {'date': 'Oct 27, 2016', 'age': '18', 'clubName': 'Granada CF B', 'clubID': '21550', 'value': '€400k'}, {'date': 'Feb 2, 2017', 'age': '19', 'clubName': 'Granada CF B', 'clubID': '21550', 'value': '€400k'}, {'date': 'Jun 30, 2017', 'age': '19', 'clubName': 'Udinese Calcio', 'clubID': '410', 'value': '€400k'}, {'date': 'Aug 17, 2017', 'age': '19', 'clubName': 'UD Almería', 'clubID': '3302', 'value': '€500k'}, {'date': 'Jan 1, 2018', 'age': '19', 'clubName': 'UD Almería', 'clubID': '3302', 'value': '€500k'}, {'date': 'May 30, 2018', 'age': '20', 'clubName': 'UD Almería', 'clubID': '3302', 'value': '€800k'}, {'date': 'Feb 19, 2019', 'age': '21', 'clubName': 'RCD Mallorca', 'clubID': '237', 'value': '€800k'}, {'date': 'Jun 29, 2019', 'age': '21', 'clubName': 'RCD Mallorca', 'clubID': '237', 'value': '€2.00m'}, {'date': 'Dec 20, 2019', 'age': '21', 'clubName': 'CA Osasuna', 'clubID': '331', 'value': '€7.50m'}, {'date': 'Apr 8, 2020', 'age': '22', 'clubName': 'CA Osasuna', 'clubID': '331', 'value': '€6.70m'}, {'date': 'Jul 23, 2020', 'age': '22', 'clubName': 'CA Osasuna', 'clubID': '331', 'value': '€15.00m'}, {'date': 'Oct 8, 2020', 'age': '22', 'clubName': 'Villarreal CF', 'clubID': '1050', 'value': '€15.00m'}, {'date': 'Jan 5, 2021', 'age': '22', 'clubName': 'Villarreal CF', 'clubID': '1050', 'value': '€14.00m'}, {'date': 'Mar 19, 2021', 'age': '23', 'clubName': 'Villarreal CF', 'clubID': '1050', 'value': '€12.00m'}, {'date': 'Jun 10, 2021', 'age': '23', 'clubName': 'Villarreal CF', 'clubID': '1050', 'value': '€12.00m'}, {'date': 'Jul 16, 2021', 'age': '23', 'clubName': 'Villarreal CF', 'clubID': '1050', 'value': '€15.00m'}, {'date': 'Dec 30, 2021', 'age': '23', 'clubName': 'Villarreal CF', 'clubID': '1050', 'value': '€15.00m'}, {'date': 'Jun 3, 2022', 'age': '24', 'clubName': 'Villarreal CF', 'clubID': '1050', 'value': '€20.00m'}, {'date': 'Nov 3, 2022', 'age': '24', 'clubName': 'Brighton &amp; Hove Albion', 'clubID': '1237', 'value': '€20.00m'}, {'date': 'Jun 20, 2023', 'age': '25', 'clubName': 'Brighton &amp; Hove Albion', 'clubID': '1237', 'value': '€32.00m'}, {'date': 'Oct 9, 2023', 'age': '25', 'clubName': 'Brighton &amp; Hove Albion', 'clubID': '1237', 'value': '€35.00m'}, {'date': 'Dec 19, 2023', 'age': '25', 'clubName': 'Brighton &amp; Hove Albion', 'clubID': '1237', 'value': '€35.00m'}, {'date': 'May 27, 2024', 'age': '26', 'clubName': 'Brighton &amp; Hove Albion', 'clubID': '1237', 'value': '€30.00m'}, {'date': 'Dec 16, 2024', 'age': '26', 'clubName': 'Brighton &amp; Hove Albion', 'clubID': '1237', 'value': '€30.00m'}, {'date': 'May 30, 2025', 'age': '27', 'clubName': 'Brighton &amp; Hove Albion', 'clubID': '1237', 'value': '€30.00m'}, {'date': 'Oct 7, 2025', 'age': '27', 'clubName': 'AC Milan', 'clubID': '5', 'value': '€22.00m'}, {'date': 'Dec 23, 2025', 'age': '27', 'clubName': 'AC Milan', 'clubID': '5', 'value': '€14.00m'}]}</t>
        </is>
      </c>
      <c r="L81" t="inlineStr">
        <is>
          <t>Ecuador</t>
        </is>
      </c>
      <c r="M81" t="inlineStr">
        <is>
          <t>1998-01-21</t>
        </is>
      </c>
      <c r="N81" t="inlineStr">
        <is>
          <t>Ecuador</t>
        </is>
      </c>
      <c r="O81">
        <f>(20+20)/2</f>
        <v/>
      </c>
      <c r="P81">
        <f>(14+12+12+15+15)/5</f>
        <v/>
      </c>
    </row>
    <row r="82">
      <c r="A82" t="inlineStr">
        <is>
          <t>Stones</t>
        </is>
      </c>
      <c r="B82" t="inlineStr">
        <is>
          <t>Man City</t>
        </is>
      </c>
      <c r="C82" t="inlineStr">
        <is>
          <t>Defender</t>
        </is>
      </c>
      <c r="D82" t="n">
        <v>637</v>
      </c>
      <c r="E82" t="n">
        <v>8</v>
      </c>
      <c r="F82" t="n">
        <v>0</v>
      </c>
      <c r="G82" t="n">
        <v>0</v>
      </c>
      <c r="H82" t="n">
        <v>73.2</v>
      </c>
      <c r="I82" t="n">
        <v>32.5</v>
      </c>
      <c r="J82" t="n">
        <v>186590</v>
      </c>
      <c r="K82" t="inlineStr">
        <is>
          <t>{'marketValueHistory': [{'date': 'Aug 15, 2011', 'age': '17', 'clubName': 'Barnsley FC U18', 'clubID': '14465', 'value': '€50k'}, {'date': 'Dec 10, 2012', 'age': '18', 'clubName': 'Barnsley FC', 'clubID': '349', 'value': '€100k'}, {'date': 'Feb 3, 2013', 'age': '18', 'clubName': 'Everton FC', 'clubID': '29', 'value': '€3.50m'}, {'date': 'Jul 2, 2013', 'age': '19', 'clubName': 'Everton FC', 'clubID': '29', 'value': '€3.50m'}, {'date': 'Jan 15, 2014', 'age': '19', 'clubName': 'Everton FC', 'clubID': '29', 'value': '€4.00m'}, {'date': 'Aug 12, 2014', 'age': '20', 'clubName': 'Everton FC', 'clubID': '29', 'value': '€7.00m'}, {'date': 'Feb 12, 2015', 'age': '20', 'clubName': 'Everton FC', 'clubID': '29', 'value': '€10.00m'}, {'date': 'Jul 1, 2015', 'age': '21', 'clubName': 'Everton FC', 'clubID': '29', 'value': '€13.00m'}, {'date': 'Oct 14, 2015', 'age': '21', 'clubName': 'Everton FC', 'clubID': '29', 'value': '€25.00m'}, {'date': 'Feb 9, 2016', 'age': '21', 'clubName': 'Everton FC', 'clubID': '29', 'value': '€30.00m'}, {'date': 'Jun 1, 2016', 'age': '22', 'clubName': 'Everton FC', 'clubID': '29', 'value': '€28.00m'}, {'date': 'Aug 1, 2016', 'age': '22', 'clubName': 'Everton FC', 'clubID': '29', 'value': '€28.00m'}, {'date': 'Oct 24, 2016', 'age': '22', 'clubName': 'Manchester City', 'clubID': '281', 'value': '€35.00m'}, {'date': 'Feb 20, 2017', 'age': '22', 'clubName': 'Manchester City', 'clubID': '281', 'value': '€35.00m'}, {'date': 'Jun 28, 2017', 'age': '23', 'clubName': 'Manchester City', 'clubID': '281', 'value': '€35.00m'}, {'date': 'Jan 2, 2018', 'age': '23', 'clubName': 'Manchester City', 'clubID': '281', 'value': '€40.00m'}, {'date': 'Mar 23, 2018', 'age': '23', 'clubName': 'Manchester City', 'clubID': '281', 'value': '€50.00m'}, {'date': 'May 28, 2018', 'age': '24', 'clubName': 'Manchester City', 'clubID': '281', 'value': '€50.00m'}, {'date': 'Jul 16, 2018', 'age': '24', 'clubName': 'Manchester City', 'clubID': '281', 'value': '€55.00m'}, {'date': 'Dec 19, 2018', 'age': '24', 'clubName': 'Manchester City', 'clubID': '281', 'value': '€60.00m'}, {'date': 'Jun 13, 2019', 'age': '25', 'clubName': 'Manchester City', 'clubID': '281', 'value': '€60.00m'}, {'date': 'Dec 10, 2019', 'age': '25', 'clubName': 'Manchester City', 'clubID': '281', 'value': '€60.00m'}, {'date': 'Mar 9, 2020', 'age': '25', 'clubName': 'Manchester City', 'clubID': '281', 'value': '€45.00m'}, {'date': 'Apr 8, 2020', 'age': '25', 'clubName': 'Manchester City', 'clubID': '281', 'value': '€36.00m'}, {'date': 'Jul 30, 2020', 'age': '26', 'clubName': 'Manchester City', 'clubID': '281', 'value': '€30.00m'}, {'date': 'Oct 13, 2020', 'age': '26', 'clubName': 'Manchester City', 'clubID': '281', 'value': '€25.00m'}, {'date': 'Mar 18, 2021', 'age': '26', 'clubName': 'Manchester City', 'clubID': '281', 'value': '€30.00m'}, {'date': 'May 28, 2021', 'age': '27', 'clubName': 'Manchester City', 'clubID': '281', 'value': '€30.00m'}, {'date': 'Dec 23, 2021', 'age': '27', 'clubName': 'Manchester City', 'clubID': '281', 'value': '€28.00m'}, {'date': 'Jun 15, 2022', 'age': '28', 'clubName': 'Manchester City', 'clubID': '281', 'value': '€28.00m'}, {'date': 'Sep 15, 2022', 'age': '28', 'clubName': 'Manchester City', 'clubID': '281', 'value': '€30.00m'}, {'date': 'Nov 3, 2022', 'age': '28', 'clubName': 'Manchester City', 'clubID': '281', 'value': '€30.00m'}, {'date': 'Jun 20, 2023', 'age': '29', 'clubName': 'Manchester City', 'clubID': '281', 'value': '€40.00m'}, {'date': 'Dec 19, 2023', 'age': '29', 'clubName': 'Manchester City', 'clubID': '281', 'value': '€38.00m'}, {'date': 'May 27, 2024', 'age': '29', 'clubName': 'Manchester City', 'clubID': '281', 'value': '€38.00m'}, {'date': 'Dec 16, 2024', 'age': '30', 'clubName': 'Manchester City', 'clubID': '281', 'value': '€32.00m'}, {'date': 'Mar 18, 2025', 'age': '30', 'clubName': 'Manchester City', 'clubID': '281', 'value': '€30.00m'}, {'date': 'May 30, 2025', 'age': '31', 'clubName': 'Manchester City', 'clubID': '281', 'value': '€25.00m'}, {'date': 'Oct 17, 2025', 'age': '31', 'clubName': 'Manchester City', 'clubID': '281', 'value': '€22.00m'}, {'date': 'Dec 9, 2025', 'age': '31', 'clubName': 'Manchester City', 'clubID': '281', 'value': '€18.00m'}, {'date': 'Mar 9, 2026', 'age': '31', 'clubName': 'Manchester City', 'clubID': '281', 'value': '€15.00m'}]}</t>
        </is>
      </c>
      <c r="L82" t="inlineStr">
        <is>
          <t>United Kingdom</t>
        </is>
      </c>
      <c r="M82" t="inlineStr">
        <is>
          <t>1994-05-28</t>
        </is>
      </c>
      <c r="N82" t="inlineStr">
        <is>
          <t>England</t>
        </is>
      </c>
      <c r="O82">
        <f>(28+30+30)/3</f>
        <v/>
      </c>
      <c r="P82">
        <f>(30+30+28)/3</f>
        <v/>
      </c>
    </row>
    <row r="83">
      <c r="A83" t="inlineStr">
        <is>
          <t>Brozovic</t>
        </is>
      </c>
      <c r="B83" t="inlineStr">
        <is>
          <t>Inter</t>
        </is>
      </c>
      <c r="C83" t="inlineStr">
        <is>
          <t>Midfielder</t>
        </is>
      </c>
      <c r="D83" t="n">
        <v>635</v>
      </c>
      <c r="E83" t="n">
        <v>8</v>
      </c>
      <c r="F83" t="n">
        <v>1</v>
      </c>
      <c r="G83" t="n">
        <v>0</v>
      </c>
      <c r="H83" t="n">
        <v>89.3</v>
      </c>
      <c r="I83" t="n">
        <v>32.9</v>
      </c>
      <c r="J83" t="n">
        <v>156617</v>
      </c>
      <c r="K83" t="inlineStr">
        <is>
          <t>{'id': '156617', 'marketValue': '€18.00m', 'marketValueHistory': [{'age': '17', 'date': 'Oct 18, 2010', 'clubName': 'NK Hrvatski Dragovoljac', 'value': '€150k', 'clubID': '485'}, {'age': '18', 'date': 'Feb 21, 2011', 'clubName': 'NK Hrvatski Dragovoljac', 'value': '€350k', 'clubID': '485'}, {'age': '18', 'date': 'Aug 29, 2011', 'clubName': 'NK Lokomotiva Zagreb', 'value': '€500k', 'clubID': '11194'}, {'age': '19', 'date': 'Feb 29, 2012', 'clubName': 'NK Lokomotiva Zagreb', 'value': '€600k', 'clubID': '11194'}, {'age': '19', 'date': 'Sep 30, 2012', 'clubName': 'GNK Dinamo Zagreb', 'value': '€1.00m', 'clubID': '419'}, {'age': '20', 'date': 'Mar 3, 2013', 'clubName': 'GNK Dinamo Zagreb', 'value': '€750k', 'clubID': '419'}, {'age': '20', 'date': 'Oct 8, 2013', 'clubName': 'GNK Dinamo Zagreb', 'value': '€1.50m', 'clubID': '419'}, {'age': '21', 'date': 'Mar 11, 2014', 'clubName': 'GNK Dinamo Zagreb', 'value': '€3.00m', 'clubID': '419'}, {'age': '21', 'date': 'Oct 1, 2014', 'clubName': 'GNK Dinamo Zagreb', 'value': '€5.50m', 'clubID': '419'}, {'age': '22', 'date': 'Feb 12, 2015', 'clubName': 'Inter Milan', 'value': '€8.00m', 'clubID': '46'}, {'age': '22', 'date': 'Jul 1, 2015', 'clubName': 'Inter Milan', 'value': '€8.00m', 'clubID': '46'}, {'age': '23', 'date': 'Jan 4, 2016', 'clubName': 'Inter Milan', 'value': '€11.50m', 'clubID': '46'}, {'age': '23', 'date': 'Apr 1, 2016', 'clubName': 'Inter Milan', 'value': '€15.00m', 'clubID': '46'}, {'age': '23', 'date': 'Jun 1, 2016', 'clubName': 'Inter Milan', 'value': '€18.00m', 'clubID': '46'}, {'age': '23', 'date': 'Jul 15, 2016', 'clubName': 'Inter Milan', 'value': '€20.00m', 'clubID': '46'}, {'age': '24', 'date': 'Jan 2, 2017', 'clubName': 'Inter Milan', 'value': '€22.00m', 'clubID': '46'}, {'age': '24', 'date': 'Jun 8, 2017', 'clubName': 'Inter Milan', 'value': '€20.00m', 'clubID': '46'}, {'age': '25', 'date': 'Dec 29, 2017', 'clubName': 'Inter Milan', 'value': '€19.00m', 'clubID': '46'}, {'age': '25', 'date': 'Jun 7, 2018', 'clubName': 'Inter Milan', 'value': '€27.00m', 'clubID': '46'}, {'age': '25', 'date': 'Jul 16, 2018', 'clubName': 'Inter Milan', 'value': '€35.00m', 'clubID': '46'}, {'age': '25', 'date': 'Oct 12, 2018', 'clubName': 'Inter Milan', 'value': '€40.00m', 'clubID': '46'}, {'age': '26', 'date': 'Dec 20, 2018', 'clubName': 'Inter Milan', 'value': '€45.00m', 'clubID': '46'}, {'age': '26', 'date': 'Jun 6, 2019', 'clubName': 'Inter Milan', 'value': '€50.00m', 'clubID': '46'}, {'age': '27', 'date': 'Dec 12, 2019', 'clubName': 'Inter Milan', 'value': '€60.00m', 'clubID': '46'}, {'age': '27', 'date': 'Apr 8, 2020', 'clubName': 'Inter Milan', 'value': '€48.00m', 'clubID': '46'}, {'age': '27', 'date': 'Aug 25, 2020', 'clubName': 'Inter Milan', 'value': '€50.00m', 'clubID': '46'}, {'age': '27', 'date': 'Oct 29, 2020', 'clubName': 'Inter Milan', 'value': '€40.00m', 'clubID': '46'}, {'age': '28', 'date': 'Dec 29, 2020', 'clubName': 'Inter Milan', 'value': '€36.00m', 'clubID': '46'}, {'age': '28', 'date': 'Mar 23, 2021', 'clubName': 'Inter Milan', 'value': '€40.00m', 'clubID': '46'}, {'age': '28', 'date': 'May 28, 2021', 'clubName': 'Inter Milan', 'value': '€40.00m', 'clubID': '46'}, {'age': '29', 'date': 'Dec 28, 2021', 'clubName': 'Inter Milan', 'value': '€40.00m', 'clubID': '46'}, {'age': '29', 'date': 'Jun 7, 2022', 'clubName': 'Inter Milan', 'value': '€40.00m', 'clubID': '46'}, {'age': '29', 'date': 'Nov 11, 2022', 'clubName': 'Inter Milan', 'value': '€35.00m', 'clubID': '46'}, {'age': '30', 'date': 'Mar 21, 2023', 'clubName': 'Inter Milan', 'value': '€28.00m', 'clubID': '46'}, {'age': '30', 'date': 'Jun 15, 2023', 'clubName': 'Inter Milan', 'value': '€25.00m', 'clubID': '46'}, {'age': '30', 'date': 'Oct 24, 2023', 'clubName': 'Al-Nassr FC', 'value': '€20.00m', 'clubID': '18544'}, {'age': '31', 'date': 'Dec 15, 2023', 'clubName': 'Al-Nassr FC', 'value': '€18.00m', 'clubID': '18544'}], 'ranking': {'Worldwide': '529', 'Saudi Pro League': '16', 'Al-Nassr': '4', 'Croatia': '4', 'Defensive Midfield': '52', 'Year 1992': '14'}, 'updatedAt': datetime.datetime(2024, 5, 23, 22, 18, 52, 767411)}</t>
        </is>
      </c>
      <c r="L83" t="inlineStr">
        <is>
          <t>Croatia</t>
        </is>
      </c>
      <c r="M83" t="inlineStr">
        <is>
          <t>1992-11-16</t>
        </is>
      </c>
      <c r="N83" t="inlineStr">
        <is>
          <t>Croatia</t>
        </is>
      </c>
      <c r="O83">
        <f>(40+35)/2</f>
        <v/>
      </c>
      <c r="P83">
        <f>(40+40+40)/3</f>
        <v/>
      </c>
    </row>
    <row r="84">
      <c r="A84" t="inlineStr">
        <is>
          <t>Coman</t>
        </is>
      </c>
      <c r="B84" t="inlineStr">
        <is>
          <t>Bayern</t>
        </is>
      </c>
      <c r="C84" t="inlineStr">
        <is>
          <t>Forward</t>
        </is>
      </c>
      <c r="D84" t="n">
        <v>632</v>
      </c>
      <c r="E84" t="n">
        <v>9</v>
      </c>
      <c r="F84" t="n">
        <v>2</v>
      </c>
      <c r="G84" t="n">
        <v>3</v>
      </c>
      <c r="H84" t="n">
        <v>76.3</v>
      </c>
      <c r="I84" t="n">
        <v>35.7</v>
      </c>
      <c r="J84" t="n">
        <v>243714</v>
      </c>
      <c r="K84" t="inlineStr">
        <is>
          <t>{'marketValueHistory': [{'date': '24/09/2013', 'age': '17', 'clubName': 'Paris Saint-Germain', 'clubID': '583', 'value': '€500k'}, {'date': '14/01/2014', 'age': '17', 'clubName': 'Paris Saint-Germain', 'clubID': '583', 'value': '€750k'}, {'date': '11/09/2014', 'age': '18', 'clubName': 'Juventus FC', 'clubID': '506', 'value': '€1.00m'}, {'date': '07/01/2015', 'age': '18', 'clubName': 'Juventus FC', 'clubID': '506', 'value': '€2.50m'}, {'date': '01/07/2015', 'age': '19', 'clubName': 'Juventus FC', 'clubID': '506', 'value': '€3.50m'}, {'date': '16/10/2015', 'age': '19', 'clubName': 'Bayern Munich', 'clubID': '27', 'value': '€10.00m'}, {'date': '15/02/2016', 'age': '19', 'clubName': 'Bayern Munich', 'clubID': '27', 'value': '€15.00m'}, {'date': '01/06/2016', 'age': '19', 'clubName': 'Bayern Munich', 'clubID': '27', 'value': '€17.00m'}, {'date': '22/07/2016', 'age': '20', 'clubName': 'Bayern Munich', 'clubID': '27', 'value': '€20.00m'}, {'date': '07/02/2017', 'age': '20', 'clubName': 'Bayern Munich', 'clubID': '27', 'value': '€20.00m'}, {'date': '19/06/2017', 'age': '21', 'clubName': 'Bayern Munich', 'clubID': '27', 'value': '€20.00m'}, {'date': '28/12/2017', 'age': '21', 'clubName': 'Bayern Munich', 'clubID': '27', 'value': '€35.00m'}, {'date': '04/04/2018', 'age': '21', 'clubName': 'Bayern Munich', 'clubID': '27', 'value': '€50.00m'}, {'date': '05/06/2018', 'age': '21', 'clubName': 'Bayern Munich', 'clubID': '27', 'value': '€50.00m'}, {'date': '18/12/2018', 'age': '22', 'clubName': 'Bayern Munich', 'clubID': '27', 'value': '€50.00m'}, {'date': '05/06/2019', 'age': '22', 'clubName': 'Bayern Munich', 'clubID': '27', 'value': '€50.00m'}, {'date': '02/10/2019', 'age': '23', 'clubName': 'Bayern Munich', 'clubID': '27', 'value': '€60.00m'}, {'date': '17/12/2019', 'age': '23', 'clubName': 'Bayern Munich', 'clubID': '27', 'value': '€60.00m'}, {'date': '11/03/2020', 'age': '23', 'clubName': 'Bayern Munich', 'clubID': '27', 'value': '€50.00m'}, {'date': '08/04/2020', 'age': '23', 'clubName': 'Bayern Munich', 'clubID': '27', 'value': '€40.00m'}, {'date': '10/02/2021', 'age': '24', 'clubName': 'Bayern Munich', 'clubID': '27', 'value': '€55.00m'}, {'date': '31/03/2021', 'age': '24', 'clubName': 'Bayern Munich', 'clubID': '27', 'value': '€65.00m'}, {'date': '01/06/2021', 'age': '24', 'clubName': 'Bayern Munich', 'clubID': '27', 'value': '€65.00m'}, {'date': '07/10/2021', 'age': '25', 'clubName': 'Bayern Munich', 'clubID': '27', 'value': '€55.00m'}, {'date': '22/12/2021', 'age': '25', 'clubName': 'Bayern Munich', 'clubID': '27', 'value': '€55.00m'}, {'date': '24/03/2022', 'age': '25', 'clubName': 'Bayern Munich', 'clubID': '27', 'value': '€60.00m'}, {'date': '09/06/2022', 'age': '25', 'clubName': 'Bayern Munich', 'clubID': '27', 'value': '€60.00m'}, {'date': '09/11/2022', 'age': '26', 'clubName': 'Bayern Munich', 'clubID': '27', 'value': '€60.00m'}, {'date': '29/03/2023', 'age': '26', 'clubName': 'Bayern Munich', 'clubID': '27', 'value': '€65.00m'}, {'date': '22/06/2023', 'age': '27', 'clubName': 'Bayern Munich', 'clubID': '27', 'value': '€65.00m'}, {'date': '14/12/2023', 'age': '27', 'clubName': 'Bayern Munich', 'clubID': '27', 'value': '€65.00m'}, {'date': '29/05/2024', 'age': '27', 'clubName': 'Bayern Munich', 'clubID': '27', 'value': '€50.00m'}, {'date': '09/10/2024', 'age': '28', 'clubName': 'Bayern Munich', 'clubID': '27', 'value': '€40.00m'}, {'date': '20/12/2024', 'age': '28', 'clubName': 'Bayern Munich', 'clubID': '27', 'value': '€35.00m'}, {'date': '05/06/2025', 'age': '28', 'clubName': 'Bayern Munich', 'clubID': '27', 'value': '€30.00m'}, {'date': '18/12/2025', 'age': '29', 'clubName': 'Al-Nassr FC', 'clubID': '18544', 'value': '€22.00m'}]}</t>
        </is>
      </c>
      <c r="L84" t="inlineStr">
        <is>
          <t>France</t>
        </is>
      </c>
      <c r="M84" t="inlineStr">
        <is>
          <t>1996-06-13</t>
        </is>
      </c>
      <c r="N84" t="inlineStr">
        <is>
          <t>61</t>
        </is>
      </c>
      <c r="O84">
        <f>(60+60+60)/3</f>
        <v/>
      </c>
      <c r="P84">
        <f>(55+65+65+55+55)/5</f>
        <v/>
      </c>
    </row>
    <row r="85">
      <c r="A85" t="inlineStr">
        <is>
          <t>Messi</t>
        </is>
      </c>
      <c r="B85" t="inlineStr">
        <is>
          <t>Paris</t>
        </is>
      </c>
      <c r="C85" t="inlineStr">
        <is>
          <t>Forward</t>
        </is>
      </c>
      <c r="D85" t="n">
        <v>630</v>
      </c>
      <c r="E85" t="n">
        <v>7</v>
      </c>
      <c r="F85" t="n">
        <v>5</v>
      </c>
      <c r="G85" t="n">
        <v>0</v>
      </c>
      <c r="H85" t="n">
        <v>58.7</v>
      </c>
      <c r="I85" t="n">
        <v>30.6</v>
      </c>
      <c r="J85" t="n">
        <v>28003</v>
      </c>
      <c r="K85" t="inlineStr">
        <is>
          <t>{'id': '28003', 'marketValue': '€30.00m', 'marketValueHistory': [{'age': '17', 'date': 'Dec 20, 2004', 'clubName': 'FC Barcelona B', 'value': '€3.00m', 'clubID': '2464'}, {'age': '18', 'date': 'Dec 28, 2005', 'clubName': 'FC Barcelona', 'value': '€5.00m', 'clubID': '131'}, {'age': '18', 'date': 'Jan 20, 2006', 'clubName': 'FC Barcelona', 'value': '€15.00m', 'clubID': '131'}, {'age': '20', 'date': 'Jul 26, 2007', 'clubName': 'FC Barcelona', 'value': '€40.00m', 'clubID': '131'}, {'age': '20', 'date': 'Sep 12, 2007', 'clubName': 'FC Barcelona', 'value': '€60.00m', 'clubID': '131'}, {'age': '20', 'date': 'Feb 4, 2008', 'clubName': 'FC Barcelona', 'value': '€55.00m', 'clubID': '131'}, {'age': '21', 'date': 'Jul 10, 2008', 'clubName': 'FC Barcelona', 'value': '€55.00m', 'clubID': '131'}, {'age': '21', 'date': 'Jan 26, 2009', 'clubName': 'FC Barcelona', 'value': '€55.00m', 'clubID': '131'}, {'age': '21', 'date': 'Apr 28, 2009', 'clubName': 'FC Barcelona', 'value': '€60.00m', 'clubID': '131'}, {'age': '22', 'date': 'Jul 22, 2009', 'clubName': 'FC Barcelona', 'value': '€70.00m', 'clubID': '131'}, {'age': '22', 'date': 'Dec 3, 2009', 'clubName': 'FC Barcelona', 'value': '€70.00m', 'clubID': '131'}, {'age': '22', 'date': 'Jan 7, 2010', 'clubName': 'FC Barcelona', 'value': '€80.00m', 'clubID': '131'}, {'age': '22', 'date': 'Apr 12, 2010', 'clubName': 'FC Barcelona', 'value': '€80.00m', 'clubID': '131'}, {'age': '23', 'date': 'Aug 27, 2010', 'clubName': 'FC Barcelona', 'value': '€100.00m', 'clubID': '131'}, {'age': '23', 'date': 'Feb 4, 2011', 'clubName': 'FC Barcelona', 'value': '€100.00m', 'clubID': '131'}, {'age': '24', 'date': 'Jul 29, 2011', 'clubName': 'FC Barcelona', 'value': '€100.00m', 'clubID': '131'}, {'age': '24', 'date': 'Feb 3, 2012', 'clubName': 'FC Barcelona', 'value': '€100.00m', 'clubID': '131'}, {'age': '25', 'date': 'Aug 7, 2012', 'clubName': 'FC Barcelona', 'value': '€120.00m', 'clubID': '131'}, {'age': '25', 'date': 'Jan 10, 2013', 'clubName': 'FC Barcelona', 'value': '€120.00m', 'clubID': '131'}, {'age': '25', 'date': 'Jun 12, 2013', 'clubName': 'FC Barcelona', 'value': '€120.00m', 'clubID': '131'}, {'age': '26', 'date': 'Jan 23, 2014', 'clubName': 'FC Barcelona', 'value': '€120.00m', 'clubID': '131'}, {'age': '27', 'date': 'Jul 20, 2014', 'clubName': 'FC Barcelona', 'value': '€120.00m', 'clubID': '131'}, {'age': '27', 'date': 'Jan 23, 2015', 'clubName': 'FC Barcelona', 'value': '€120.00m', 'clubID': '131'}, {'age': '28', 'date': 'Jul 1, 2015', 'clubName': 'FC Barcelona', 'value': '€120.00m', 'clubID': '131'}, {'age': '28', 'date': 'Feb 22, 2016', 'clubName': 'FC Barcelona', 'value': '€120.00m', 'clubID': '131'}, {'age': '29', 'date': 'Jul 15, 2016', 'clubName': 'FC Barcelona', 'value': '€120.00m', 'clubID': '131'}, {'age': '29', 'date': 'Jan 24, 2017', 'clubName': 'FC Barcelona', 'value': '€120.00m', 'clubID': '131'}, {'age': '29', 'date': 'Jun 5, 2017', 'clubName': 'FC Barcelona', 'value': '€120.00m', 'clubID': '131'}, {'age': '30', 'date': 'Jan 1, 2018', 'clubName': 'FC Barcelona', 'value': '€180.00m', 'clubID': '131'}, {'age': '30', 'date': 'May 30, 2018', 'clubName': 'FC Barcelona', 'value': '€180.00m', 'clubID': '131'}, {'age': '31', 'date': 'Dec 21, 2018', 'clubName': 'FC Barcelona', 'value': '€160.00m', 'clubID': '131'}, {'age': '31', 'date': 'Jun 11, 2019', 'clubName': 'FC Barcelona', 'value': '€150.00m', 'clubID': '131'}, {'age': '32', 'date': 'Dec 20, 2019', 'clubName': 'FC Barcelona', 'value': '€140.00m', 'clubID': '131'}, {'age': '32', 'date': 'Apr 8, 2020', 'clubName': 'FC Barcelona', 'value': '€112.00m', 'clubID': '131'}, {'age': '33', 'date': 'Oct 8, 2020', 'clubName': 'FC Barcelona', 'value': '€100.00m', 'clubID': '131'}, {'age': '33', 'date': 'Jan 5, 2021', 'clubName': 'FC Barcelona', 'value': '€80.00m', 'clubID': '131'}, {'age': '33', 'date': 'Jun 10, 2021', 'clubName': 'FC Barcelona', 'value': '€80.00m', 'clubID': '131'}, {'age': '34', 'date': 'Dec 16, 2021', 'clubName': 'Paris Saint-Germain', 'value': '€60.00m', 'clubID': '583'}, {'age': '34', 'date': 'May 30, 2022', 'clubName': 'Paris Saint-Germain', 'value': '€50.00m', 'clubID': '583'}, {'age': '35', 'date': 'Nov 2, 2022', 'clubName': 'Paris Saint-Germain', 'value': '€50.00m', 'clubID': '583'}, {'age': '35', 'date': 'Mar 27, 2023', 'clubName': 'Paris Saint-Germain', 'value': '€45.00m', 'clubID': '583'}, {'age': '36', 'date': 'Jun 27, 2023', 'clubName': 'Paris Saint-Germain', 'value': '€35.00m', 'clubID': '583'}, {'age': '36', 'date': 'Aug 22, 2023', 'clubName': 'Inter Miami CF', 'value': '€35.00m', 'clubID': '69261'}, {'age': '36', 'date': 'Dec 18, 2023', 'clubName': 'Inter Miami CF', 'value': '€35.00m', 'clubID': '69261'}, {'age': '36', 'date': 'Mar 25, 2024', 'clubName': 'Inter Miami CF', 'value': '€30.00m', 'clubID': '69261'}], 'ranking': {'Worldwide': '248', 'MLS': '1', 'Miami': '1', 'Argentina': '11', 'Right Winger': '22', 'Year 1987': '1'}, 'updatedAt': datetime.datetime(2024, 5, 23, 22, 18, 1, 779744)}</t>
        </is>
      </c>
      <c r="L85" t="inlineStr">
        <is>
          <t>Spain</t>
        </is>
      </c>
      <c r="M85" t="inlineStr">
        <is>
          <t>1987-06-24</t>
        </is>
      </c>
      <c r="N85" t="inlineStr">
        <is>
          <t>Argentina</t>
        </is>
      </c>
      <c r="O85">
        <f>(50+50)/2</f>
        <v/>
      </c>
      <c r="P85">
        <f>(80+80+60)/3</f>
        <v/>
      </c>
    </row>
    <row r="86">
      <c r="A86" t="inlineStr">
        <is>
          <t>Tadic</t>
        </is>
      </c>
      <c r="B86" t="inlineStr">
        <is>
          <t>Ajax</t>
        </is>
      </c>
      <c r="C86" t="inlineStr">
        <is>
          <t>Forward</t>
        </is>
      </c>
      <c r="D86" t="n">
        <v>630</v>
      </c>
      <c r="E86" t="n">
        <v>7</v>
      </c>
      <c r="F86" t="n">
        <v>2</v>
      </c>
      <c r="G86" t="n">
        <v>2</v>
      </c>
      <c r="H86" t="n">
        <v>78.90000000000001</v>
      </c>
      <c r="I86" t="n">
        <v>29.9</v>
      </c>
      <c r="J86" t="n">
        <v>36139</v>
      </c>
      <c r="K86" t="inlineStr">
        <is>
          <t>{'id': '36139', 'marketValue': '€4.00m', 'marketValueHistory': [{'age': '18', 'date': 'Mar 15, 2007', 'clubName': 'FK Vojvodina Novi Sad', 'value': '€150k', 'clubID': '448'}, {'age': '18', 'date': 'Oct 8, 2007', 'clubName': 'FK Vojvodina Novi Sad', 'value': '€600k', 'clubID': '448'}, {'age': '19', 'date': 'Jul 6, 2008', 'clubName': 'FK Vojvodina Novi Sad', 'value': '€1.20m', 'clubID': '448'}, {'age': '19', 'date': 'Sep 28, 2008', 'clubName': 'FK Vojvodina Novi Sad', 'value': '€1.75m', 'clubID': '448'}, {'age': '20', 'date': 'Dec 18, 2008', 'clubName': 'FK Vojvodina Novi Sad', 'value': '€2.00m', 'clubID': '448'}, {'age': '20', 'date': 'May 1, 2009', 'clubName': 'FK Vojvodina Novi Sad', 'value': '€2.50m', 'clubID': '448'}, {'age': '20', 'date': 'Oct 22, 2009', 'clubName': 'FK Vojvodina Novi Sad', 'value': '€2.75m', 'clubID': '448'}, {'age': '22', 'date': 'Jan 17, 2011', 'clubName': 'FC Groningen', 'value': '€3.25m', 'clubID': '202'}, {'age': '22', 'date': 'Jun 17, 2011', 'clubName': 'FC Groningen', 'value': '€5.00m', 'clubID': '202'}, {'age': '23', 'date': 'Jan 10, 2012', 'clubName': 'FC Groningen', 'value': '€7.50m', 'clubID': '202'}, {'age': '24', 'date': 'Jan 12, 2013', 'clubName': 'Twente Enschede FC', 'value': '€10.00m', 'clubID': '317'}, {'age': '24', 'date': 'Jun 2, 2013', 'clubName': 'Twente Enschede FC', 'value': '€10.00m', 'clubID': '317'}, {'age': '25', 'date': 'Feb 11, 2014', 'clubName': 'Twente Enschede FC', 'value': '€10.00m', 'clubID': '317'}, {'age': '25', 'date': 'Aug 12, 2014', 'clubName': 'Southampton FC', 'value': '€12.00m', 'clubID': '180'}, {'age': '26', 'date': 'Feb 12, 2015', 'clubName': 'Southampton FC', 'value': '€15.00m', 'clubID': '180'}, {'age': '26', 'date': 'Jul 1, 2015', 'clubName': 'Southampton FC', 'value': '€15.00m', 'clubID': '180'}, {'age': '27', 'date': 'Feb 9, 2016', 'clubName': 'Southampton FC', 'value': '€15.00m', 'clubID': '180'}, {'age': '27', 'date': 'Aug 1, 2016', 'clubName': 'Southampton FC', 'value': '€17.00m', 'clubID': '180'}, {'age': '28', 'date': 'Feb 20, 2017', 'clubName': 'Southampton FC', 'value': '€17.00m', 'clubID': '180'}, {'age': '28', 'date': 'Jun 28, 2017', 'clubName': 'Southampton FC', 'value': '€17.00m', 'clubID': '180'}, {'age': '29', 'date': 'Jan 2, 2018', 'clubName': 'Southampton FC', 'value': '€15.00m', 'clubID': '180'}, {'age': '29', 'date': 'May 28, 2018', 'clubName': 'Southampton FC', 'value': '€15.00m', 'clubID': '180'}, {'age': '30', 'date': 'Dec 28, 2018', 'clubName': 'Ajax Amsterdam', 'value': '€18.00m', 'clubID': '610'}, {'age': '30', 'date': 'Mar 13, 2019', 'clubName': 'Ajax Amsterdam', 'value': '€20.00m', 'clubID': '610'}, {'age': '30', 'date': 'Jun 12, 2019', 'clubName': 'Ajax Amsterdam', 'value': '€25.00m', 'clubID': '610'}, {'age': '31', 'date': 'Dec 18, 2019', 'clubName': 'Ajax Amsterdam', 'value': '€25.00m', 'clubID': '610'}, {'age': '31', 'date': 'Apr 8, 2020', 'clubName': 'Ajax Amsterdam', 'value': '€20.00m', 'clubID': '610'}, {'age': '31', 'date': 'Oct 14, 2020', 'clubName': 'Ajax Amsterdam', 'value': '€20.00m', 'clubID': '610'}, {'age': '32', 'date': 'May 19, 2021', 'clubName': 'Ajax Amsterdam', 'value': '€18.00m', 'clubID': '610'}, {'age': '32', 'date': 'Oct 4, 2021', 'clubName': 'Ajax Amsterdam', 'value': '€16.00m', 'clubID': '610'}, {'age': '33', 'date': 'Jan 5, 2022', 'clubName': 'Ajax Amsterdam', 'value': '€15.00m', 'clubID': '610'}, {'age': '33', 'date': 'Mar 17, 2022', 'clubName': 'Ajax Amsterdam', 'value': '€13.00m', 'clubID': '610'}, {'age': '33', 'date': 'Jun 8, 2022', 'clubName': 'Ajax Amsterdam', 'value': '€12.00m', 'clubID': '610'}, {'age': '33', 'date': 'Sep 14, 2022', 'clubName': 'Ajax Amsterdam', 'value': '€8.50m', 'clubID': '610'}, {'age': '33', 'date': 'Nov 11, 2022', 'clubName': 'Ajax Amsterdam', 'value': '€7.00m', 'clubID': '610'}, {'age': '34', 'date': 'Jun 23, 2023', 'clubName': 'Ajax Amsterdam', 'value': '€6.00m', 'clubID': '610'}, {'age': '34', 'date': 'Sep 27, 2023', 'clubName': 'Fenerbahce', 'value': '€5.50m', 'clubID': '36'}, {'age': '35', 'date': 'Dec 21, 2023', 'clubName': 'Fenerbahce', 'value': '€5.00m', 'clubID': '36'}, {'age': '35', 'date': 'Mar 15, 2024', 'clubName': 'Fenerbahce', 'value': '€4.00m', 'clubID': '36'}], 'ranking': {'Worldwide': '2.272', 'Süper Lig': '61', 'Fenerbahce': '17', 'Serbia': '27', 'Left Winger': '209', 'Year 1988': '4'}, 'updatedAt': datetime.datetime(2024, 5, 23, 22, 22, 24, 702707)}</t>
        </is>
      </c>
      <c r="L86" t="inlineStr">
        <is>
          <t>Serbia</t>
        </is>
      </c>
      <c r="M86" t="inlineStr">
        <is>
          <t>1988-11-20</t>
        </is>
      </c>
      <c r="N86" t="inlineStr">
        <is>
          <t>Serbia</t>
        </is>
      </c>
      <c r="O86">
        <f>(15+13+12+8.5+7)/5</f>
        <v/>
      </c>
      <c r="P86">
        <f>(18+16)/2</f>
        <v/>
      </c>
    </row>
    <row r="87">
      <c r="A87" t="inlineStr">
        <is>
          <t>Andre</t>
        </is>
      </c>
      <c r="B87" t="inlineStr">
        <is>
          <t>Lille</t>
        </is>
      </c>
      <c r="C87" t="inlineStr">
        <is>
          <t>Midfielder</t>
        </is>
      </c>
      <c r="D87" t="n">
        <v>630</v>
      </c>
      <c r="E87" t="n">
        <v>7</v>
      </c>
      <c r="F87" t="n">
        <v>0</v>
      </c>
      <c r="G87" t="n">
        <v>0</v>
      </c>
      <c r="H87" t="n">
        <v>80</v>
      </c>
      <c r="I87" t="n">
        <v>31.5</v>
      </c>
      <c r="J87" t="n">
        <v>7600</v>
      </c>
      <c r="K87" t="inlineStr">
        <is>
          <t>{'marketValueHistory': [{'date': 'Oct 4, 2004', 'age': '20', 'clubName': 'FC Barcelona', 'clubID': '131', 'value': '€6.00m'}, {'date': 'Dec 20, 2004', 'age': '20', 'clubName': 'FC Barcelona', 'clubID': '131', 'value': '€12.00m'}, {'date': 'Jun 25, 2007', 'age': '23', 'clubName': 'FC Barcelona', 'clubID': '131', 'value': '€22.00m'}, {'date': 'Feb 4, 2008', 'age': '23', 'clubName': 'FC Barcelona', 'clubID': '131', 'value': '€30.00m'}, {'date': 'Jul 10, 2008', 'age': '24', 'clubName': 'FC Barcelona', 'clubID': '131', 'value': '€34.00m'}, {'date': 'Jan 26, 2009', 'age': '24', 'clubName': 'FC Barcelona', 'clubID': '131', 'value': '€34.00m'}, {'date': 'Apr 28, 2009', 'age': '24', 'clubName': 'FC Barcelona', 'clubID': '131', 'value': '€42.00m'}, {'date': 'Jul 22, 2009', 'age': '25', 'clubName': 'FC Barcelona', 'clubID': '131', 'value': '€50.00m'}, {'date': 'Jan 7, 2010', 'age': '25', 'clubName': 'FC Barcelona', 'clubID': '131', 'value': '€60.00m'}, {'date': 'Aug 27, 2010', 'age': '26', 'clubName': 'FC Barcelona', 'clubID': '131', 'value': '€60.00m'}, {'date': 'Feb 4, 2011', 'age': '26', 'clubName': 'FC Barcelona', 'clubID': '131', 'value': '€60.00m'}, {'date': 'Jul 29, 2011', 'age': '27', 'clubName': 'FC Barcelona', 'clubID': '131', 'value': '€65.00m'}, {'date': 'Feb 3, 2012', 'age': '27', 'clubName': 'FC Barcelona', 'clubID': '131', 'value': '€65.00m'}, {'date': 'Aug 7, 2012', 'age': '28', 'clubName': 'FC Barcelona', 'clubID': '131', 'value': '€70.00m'}, {'date': 'Jan 10, 2013', 'age': '28', 'clubName': 'FC Barcelona', 'clubID': '131', 'value': '€70.00m'}, {'date': 'Jun 22, 2013', 'age': '29', 'clubName': 'FC Barcelona', 'clubID': '131', 'value': '€65.00m'}, {'date': 'Jan 23, 2014', 'age': '29', 'clubName': 'FC Barcelona', 'clubID': '131', 'value': '€55.00m'}, {'date': 'Jul 20, 2014', 'age': '30', 'clubName': 'FC Barcelona', 'clubID': '131', 'value': '€45.00m'}, {'date': 'Jan 23, 2015', 'age': '30', 'clubName': 'FC Barcelona', 'clubID': '131', 'value': '€35.00m'}, {'date': 'Jul 1, 2015', 'age': '31', 'clubName': 'FC Barcelona', 'clubID': '131', 'value': '€35.00m'}, {'date': 'Feb 22, 2016', 'age': '31', 'clubName': 'FC Barcelona', 'clubID': '131', 'value': '€35.00m'}, {'date': 'Jul 15, 2016', 'age': '32', 'clubName': 'FC Barcelona', 'clubID': '131', 'value': '€30.00m'}, {'date': 'Jan 24, 2017', 'age': '32', 'clubName': 'FC Barcelona', 'clubID': '131', 'value': '€30.00m'}, {'date': 'Jun 5, 2017', 'age': '33', 'clubName': 'FC Barcelona', 'clubID': '131', 'value': '€20.00m'}, {'date': 'Jan 1, 2018', 'age': '33', 'clubName': 'FC Barcelona', 'clubID': '131', 'value': '€20.00m'}, {'date': 'May 30, 2018', 'age': '34', 'clubName': 'FC Barcelona', 'clubID': '131', 'value': '€10.00m'}, {'date': 'Jul 16, 2018', 'age': '34', 'clubName': 'Vissel Kobe', 'clubID': '3958', 'value': '€8.00m'}, {'date': 'Jan 5, 2019', 'age': '34', 'clubName': 'Vissel Kobe', 'clubID': '3958', 'value': '€6.75m'}, {'date': 'Jun 27, 2019', 'age': '35', 'clubName': 'Vissel Kobe', 'clubID': '3958', 'value': '€5.50m'}, {'date': 'Dec 28, 2019', 'age': '35', 'clubName': 'Vissel Kobe', 'clubID': '3958', 'value': '€4.00m'}, {'date': 'Apr 8, 2020', 'age': '35', 'clubName': 'Vissel Kobe', 'clubID': '3958', 'value': '€3.20m'}, {'date': 'Jan 29, 2021', 'age': '36', 'clubName': 'Vissel Kobe', 'clubID': '3958', 'value': '€2.50m'}, {'date': 'Jun 29, 2021', 'age': '37', 'clubName': 'Vissel Kobe', 'clubID': '3958', 'value': '€2.30m'}, {'date': 'Jan 14, 2022', 'age': '37', 'clubName': 'Vissel Kobe', 'clubID': '3958', 'value': '€2.00m'}, {'date': 'Jun 28, 2022', 'age': '38', 'clubName': 'Vissel Kobe', 'clubID': '3958', 'value': '€1.50m'}, {'date': 'Jan 6, 2023', 'age': '38', 'clubName': 'Vissel Kobe', 'clubID': '3958', 'value': '€1.20m'}, {'date': 'Jun 28, 2023', 'age': '39', 'clubName': 'Vissel Kobe', 'clubID': '3958', 'value': '€1.00m'}, {'date': 'Oct 12, 2023', 'age': '39', 'clubName': 'Emirates Club', 'clubID': '15542', 'value': '€800k'}, {'date': 'Mar 8, 2024', 'age': '39', 'clubName': 'Emirates Club', 'clubID': '15542', 'value': '€500k'}, {'date': 'Jun 3, 2024', 'age': '40', 'clubName': 'Emirates Club', 'clubID': '15542', 'value': '€300k'}, {'date': 'Oct 7, 2024', 'age': '40', 'clubName': 'Retired', 'clubID': '123', 'value': '-'}]}</t>
        </is>
      </c>
      <c r="L87" t="inlineStr">
        <is>
          <t>Spain</t>
        </is>
      </c>
      <c r="M87" t="inlineStr">
        <is>
          <t>1984-05-11</t>
        </is>
      </c>
      <c r="N87" t="inlineStr">
        <is>
          <t>Spain</t>
        </is>
      </c>
      <c r="O87">
        <f>(2+1.5)/2</f>
        <v/>
      </c>
      <c r="P87">
        <f>(2.5+2.3)/2</f>
        <v/>
      </c>
    </row>
    <row r="88">
      <c r="A88" t="inlineStr">
        <is>
          <t>Matip</t>
        </is>
      </c>
      <c r="B88" t="inlineStr">
        <is>
          <t>Liverpool</t>
        </is>
      </c>
      <c r="C88" t="inlineStr">
        <is>
          <t>Defender</t>
        </is>
      </c>
      <c r="D88" t="n">
        <v>630</v>
      </c>
      <c r="E88" t="n">
        <v>7</v>
      </c>
      <c r="F88" t="n">
        <v>0</v>
      </c>
      <c r="G88" t="n">
        <v>0</v>
      </c>
      <c r="H88" t="n">
        <v>66.2</v>
      </c>
      <c r="I88" t="n">
        <v>31.7</v>
      </c>
      <c r="J88" t="n">
        <v>82105</v>
      </c>
      <c r="K88" t="inlineStr">
        <is>
          <t>{'id': '82105', 'marketValue': '€8.00m', 'marketValueHistory': [{'age': '18', 'date': 'Nov 9, 2009', 'clubName': 'FC Schalke 04', 'value': '€150k', 'clubID': '33'}, {'age': '18', 'date': 'Dec 16, 2009', 'clubName': 'FC Schalke 04', 'value': '€600k', 'clubID': '33'}, {'age': '18', 'date': 'Jan 17, 2010', 'clubName': 'FC Schalke 04', 'value': '€1.00m', 'clubID': '33'}, {'age': '18', 'date': 'Feb 20, 2010', 'clubName': 'FC Schalke 04', 'value': '€1.50m', 'clubID': '33'}, {'age': '18', 'date': 'Mar 12, 2010', 'clubName': 'FC Schalke 04', 'value': '€2.00m', 'clubID': '33'}, {'age': '18', 'date': 'May 8, 2010', 'clubName': 'FC Schalke 04', 'value': '€3.00m', 'clubID': '33'}, {'age': '19', 'date': 'Aug 30, 2010', 'clubName': 'FC Schalke 04', 'value': '€4.00m', 'clubID': '33'}, {'age': '19', 'date': 'Jan 12, 2011', 'clubName': 'FC Schalke 04', 'value': '€4.00m', 'clubID': '33'}, {'age': '19', 'date': 'Jun 29, 2011', 'clubName': 'FC Schalke 04', 'value': '€3.00m', 'clubID': '33'}, {'age': '20', 'date': 'Jan 23, 2012', 'clubName': 'FC Schalke 04', 'value': '€6.00m', 'clubID': '33'}, {'age': '20', 'date': 'Jun 29, 2012', 'clubName': 'FC Schalke 04', 'value': '€10.00m', 'clubID': '33'}, {'age': '21', 'date': 'Jan 13, 2013', 'clubName': 'FC Schalke 04', 'value': '€9.00m', 'clubID': '33'}, {'age': '21', 'date': 'Jun 30, 2013', 'clubName': 'FC Schalke 04', 'value': '€11.00m', 'clubID': '33'}, {'age': '22', 'date': 'Feb 12, 2014', 'clubName': 'FC Schalke 04', 'value': '€13.00m', 'clubID': '33'}, {'age': '22', 'date': 'Jul 10, 2014', 'clubName': 'FC Schalke 04', 'value': '€16.00m', 'clubID': '33'}, {'age': '23', 'date': 'Feb 4, 2015', 'clubName': 'FC Schalke 04', 'value': '€16.00m', 'clubID': '33'}, {'age': '23', 'date': 'Jul 1, 2015', 'clubName': 'FC Schalke 04', 'value': '€14.00m', 'clubID': '33'}, {'age': '24', 'date': 'Feb 15, 2016', 'clubName': 'FC Schalke 04', 'value': '€18.00m', 'clubID': '33'}, {'age': '24', 'date': 'Aug 1, 2016', 'clubName': 'Liverpool FC', 'value': '€18.00m', 'clubID': '31'}, {'age': '25', 'date': 'Feb 20, 2017', 'clubName': 'Liverpool FC', 'value': '€20.00m', 'clubID': '31'}, {'age': '25', 'date': 'Jun 28, 2017', 'clubName': 'Liverpool FC', 'value': '€25.00m', 'clubID': '31'}, {'age': '26', 'date': 'Jan 2, 2018', 'clubName': 'Liverpool FC', 'value': '€25.00m', 'clubID': '31'}, {'age': '26', 'date': 'May 28, 2018', 'clubName': 'Liverpool FC', 'value': '€25.00m', 'clubID': '31'}, {'age': '27', 'date': 'Oct 17, 2018', 'clubName': 'Liverpool FC', 'value': '€22.00m', 'clubID': '31'}, {'age': '27', 'date': 'Dec 19, 2018', 'clubName': 'Liverpool FC', 'value': '€20.00m', 'clubID': '31'}, {'age': '27', 'date': 'Jun 13, 2019', 'clubName': 'Liverpool FC', 'value': '€30.00m', 'clubID': '31'}, {'age': '28', 'date': 'Sep 12, 2019', 'clubName': 'Liverpool FC', 'value': '€35.00m', 'clubID': '31'}, {'age': '28', 'date': 'Dec 10, 2019', 'clubName': 'Liverpool FC', 'value': '€40.00m', 'clubID': '31'}, {'age': '28', 'date': 'Apr 8, 2020', 'clubName': 'Liverpool FC', 'value': '€32.00m', 'clubID': '31'}, {'age': '29', 'date': 'Oct 13, 2020', 'clubName': 'Liverpool FC', 'value': '€32.00m', 'clubID': '31'}, {'age': '29', 'date': 'Mar 18, 2021', 'clubName': 'Liverpool FC', 'value': '€25.00m', 'clubID': '31'}, {'age': '29', 'date': 'Jun 8, 2021', 'clubName': 'Liverpool FC', 'value': '€18.00m', 'clubID': '31'}, {'age': '30', 'date': 'Dec 23, 2021', 'clubName': 'Liverpool FC', 'value': '€18.00m', 'clubID': '31'}, {'age': '30', 'date': 'Jun 15, 2022', 'clubName': 'Liverpool FC', 'value': '€18.00m', 'clubID': '31'}, {'age': '31', 'date': 'Nov 3, 2022', 'clubName': 'Liverpool FC', 'value': '€16.00m', 'clubID': '31'}, {'age': '31', 'date': 'Jun 20, 2023', 'clubName': 'Liverpool FC', 'value': '€12.00m', 'clubID': '31'}, {'age': '32', 'date': 'Dec 19, 2023', 'clubName': 'Liverpool FC', 'value': '€8.00m', 'clubID': '31'}], 'ranking': {'Worldwide': '1.233', 'Premier League': '353', 'Liverpool': '25', 'Cameroon': '5', 'Centre-Back': '211', 'Year 1991': '18'}, 'updatedAt': datetime.datetime(2024, 5, 23, 22, 27, 43, 375809)}</t>
        </is>
      </c>
      <c r="L88" t="inlineStr">
        <is>
          <t>Germany</t>
        </is>
      </c>
      <c r="M88" t="inlineStr">
        <is>
          <t>1991-08-08</t>
        </is>
      </c>
      <c r="N88" t="inlineStr">
        <is>
          <t>Cameroon</t>
        </is>
      </c>
      <c r="O88">
        <f>(18+16)/2</f>
        <v/>
      </c>
      <c r="P88">
        <f>(25+18+18)/3</f>
        <v/>
      </c>
    </row>
    <row r="89">
      <c r="A89" t="inlineStr">
        <is>
          <t>Kimpembe</t>
        </is>
      </c>
      <c r="B89" t="inlineStr">
        <is>
          <t>Paris</t>
        </is>
      </c>
      <c r="C89" t="inlineStr">
        <is>
          <t>Defender</t>
        </is>
      </c>
      <c r="D89" t="n">
        <v>630</v>
      </c>
      <c r="E89" t="n">
        <v>7</v>
      </c>
      <c r="F89" t="n">
        <v>0</v>
      </c>
      <c r="G89" t="n">
        <v>0</v>
      </c>
      <c r="H89" t="n">
        <v>64.40000000000001</v>
      </c>
      <c r="I89" t="n">
        <v>32.3</v>
      </c>
      <c r="J89" t="n">
        <v>282041</v>
      </c>
      <c r="K89" t="inlineStr">
        <is>
          <t>{'marketValueHistory': [{'date': '02/07/2015', 'age': '19', 'clubName': 'Paris Saint-Germain', 'clubID': '583', 'value': '€150k'}, {'date': '06/09/2015', 'age': '20', 'clubName': 'Paris Saint-Germain', 'clubID': '583', 'value': '€250k'}, {'date': '04/02/2016', 'age': '20', 'clubName': 'Paris Saint-Germain', 'clubID': '583', 'value': '€1.50m'}, {'date': '13/07/2016', 'age': '20', 'clubName': 'Paris Saint-Germain', 'clubID': '583', 'value': '€2.00m'}, {'date': '01/11/2016', 'age': '21', 'clubName': 'Paris Saint-Germain', 'clubID': '583', 'value': '€8.00m'}, {'date': '16/01/2017', 'age': '21', 'clubName': 'Paris Saint-Germain', 'clubID': '583', 'value': '€8.00m'}, {'date': '01/06/2017', 'age': '21', 'clubName': 'Paris Saint-Germain', 'clubID': '583', 'value': '€8.00m'}, {'date': '24/01/2018', 'age': '22', 'clubName': 'Paris Saint-Germain', 'clubID': '583', 'value': '€18.00m'}, {'date': '04/06/2018', 'age': '22', 'clubName': 'Paris Saint-Germain', 'clubID': '583', 'value': '€30.00m'}, {'date': '17/12/2018', 'age': '23', 'clubName': 'Paris Saint-Germain', 'clubID': '583', 'value': '€30.00m'}, {'date': '03/06/2019', 'age': '23', 'clubName': 'Paris Saint-Germain', 'clubID': '583', 'value': '€30.00m'}, {'date': '19/12/2019', 'age': '24', 'clubName': 'Paris Saint-Germain', 'clubID': '583', 'value': '€35.00m'}, {'date': '08/04/2020', 'age': '24', 'clubName': 'Paris Saint-Germain', 'clubID': '583', 'value': '€28.00m'}, {'date': '15/10/2020', 'age': '25', 'clubName': 'Paris Saint-Germain', 'clubID': '583', 'value': '€35.00m'}, {'date': '07/01/2021', 'age': '25', 'clubName': 'Paris Saint-Germain', 'clubID': '583', 'value': '€40.00m'}, {'date': '01/06/2021', 'age': '25', 'clubName': 'Paris Saint-Germain', 'clubID': '583', 'value': '€40.00m'}, {'date': '16/12/2021', 'age': '26', 'clubName': 'Paris Saint-Germain', 'clubID': '583', 'value': '€40.00m'}, {'date': '30/05/2022', 'age': '26', 'clubName': 'Paris Saint-Germain', 'clubID': '583', 'value': '€40.00m'}, {'date': '02/11/2022', 'age': '27', 'clubName': 'Paris Saint-Germain', 'clubID': '583', 'value': '€40.00m'}, {'date': '27/03/2023', 'age': '27', 'clubName': 'Paris Saint-Germain', 'clubID': '583', 'value': '€35.00m'}, {'date': '27/06/2023', 'age': '27', 'clubName': 'Paris Saint-Germain', 'clubID': '583', 'value': '€28.00m'}, {'date': '16/10/2023', 'age': '28', 'clubName': 'Paris Saint-Germain', 'clubID': '583', 'value': '€22.00m'}, {'date': '18/12/2023', 'age': '28', 'clubName': 'Paris Saint-Germain', 'clubID': '583', 'value': '€20.00m'}, {'date': '19/03/2024', 'age': '28', 'clubName': 'Paris Saint-Germain', 'clubID': '583', 'value': '€15.00m'}, {'date': '03/06/2024', 'age': '28', 'clubName': 'Paris Saint-Germain', 'clubID': '583', 'value': '€12.00m'}, {'date': '07/10/2024', 'age': '29', 'clubName': 'Paris Saint-Germain', 'clubID': '583', 'value': '€9.00m'}, {'date': '10/12/2024', 'age': '29', 'clubName': 'Paris Saint-Germain', 'clubID': '583', 'value': '€8.00m'}, {'date': '03/06/2025', 'age': '29', 'clubName': 'Paris Saint-Germain', 'clubID': '583', 'value': '€5.00m'}, {'date': '30/12/2025', 'age': '30', 'clubName': 'Qatar SC', 'clubID': '965', 'value': '€4.00m'}]}</t>
        </is>
      </c>
      <c r="L89" t="inlineStr">
        <is>
          <t>France</t>
        </is>
      </c>
      <c r="M89" t="inlineStr">
        <is>
          <t>1995-08-13</t>
        </is>
      </c>
      <c r="N89" t="inlineStr">
        <is>
          <t>28</t>
        </is>
      </c>
      <c r="O89">
        <f>(40+40)/2</f>
        <v/>
      </c>
      <c r="P89">
        <f>(40+40+40)/3</f>
        <v/>
      </c>
    </row>
    <row r="90">
      <c r="A90" t="inlineStr">
        <is>
          <t>Adan</t>
        </is>
      </c>
      <c r="B90" t="inlineStr">
        <is>
          <t>Sporting CP</t>
        </is>
      </c>
      <c r="C90" t="inlineStr">
        <is>
          <t>Goalkeeper</t>
        </is>
      </c>
      <c r="D90" t="n">
        <v>630</v>
      </c>
      <c r="E90" t="n">
        <v>7</v>
      </c>
      <c r="F90" t="n">
        <v>0</v>
      </c>
      <c r="G90" t="n">
        <v>0</v>
      </c>
      <c r="H90" t="n">
        <v>36.3</v>
      </c>
      <c r="I90" t="n">
        <v>26.2</v>
      </c>
      <c r="J90" t="n">
        <v>171753</v>
      </c>
      <c r="K90" t="inlineStr">
        <is>
          <t>{'id': '171753', 'updatedAt': datetime.datetime(2024, 5, 23, 22, 23, 38, 847029)}</t>
        </is>
      </c>
      <c r="L90" t="inlineStr">
        <is>
          <t>Yugoslavia</t>
        </is>
      </c>
      <c r="M90" t="inlineStr">
        <is>
          <t>1970-01-16</t>
        </is>
      </c>
      <c r="N90" t="inlineStr">
        <is>
          <t>6</t>
        </is>
      </c>
    </row>
    <row r="91">
      <c r="A91" t="inlineStr">
        <is>
          <t>Szczesny</t>
        </is>
      </c>
      <c r="B91" t="inlineStr">
        <is>
          <t>Juventus</t>
        </is>
      </c>
      <c r="C91" t="inlineStr">
        <is>
          <t>Goalkeeper</t>
        </is>
      </c>
      <c r="D91" t="n">
        <v>630</v>
      </c>
      <c r="E91" t="n">
        <v>7</v>
      </c>
      <c r="F91" t="n">
        <v>0</v>
      </c>
      <c r="G91" t="n">
        <v>0</v>
      </c>
      <c r="H91" t="n">
        <v>31.4</v>
      </c>
      <c r="I91" t="n">
        <v>28.6</v>
      </c>
      <c r="J91" t="n">
        <v>44058</v>
      </c>
      <c r="K91" t="inlineStr">
        <is>
          <t>{'marketValueHistory': [{'date': '09/03/2007', 'age': '16', 'clubName': 'Arsenal FC U18', 'clubID': '5679', 'value': '€100k'}, {'date': '19/03/2008', 'age': '17', 'clubName': 'Arsenal FC U18', 'clubID': '5679', 'value': '€100k'}, {'date': '06/08/2009', 'age': '19', 'clubName': 'Arsenal FC', 'clubID': '11', 'value': '€50k'}, {'date': '23/11/2009', 'age': '19', 'clubName': 'Brentford FC', 'clubID': '1148', 'value': '€400k'}, {'date': '21/04/2010', 'age': '20', 'clubName': 'Brentford FC', 'clubID': '1148', 'value': '€475k'}, {'date': '25/09/2010', 'age': '20', 'clubName': 'Arsenal FC', 'clubID': '11', 'value': '€525k'}, {'date': '01/02/2011', 'age': '20', 'clubName': 'Arsenal FC', 'clubID': '11', 'value': '€2.00m'}, {'date': '08/08/2011', 'age': '21', 'clubName': 'Arsenal FC', 'clubID': '11', 'value': '€5.50m'}, {'date': '06/02/2012', 'age': '21', 'clubName': 'Arsenal FC', 'clubID': '11', 'value': '€12.00m'}, {'date': '24/06/2012', 'age': '22', 'clubName': 'Arsenal FC', 'clubID': '11', 'value': '€14.00m'}, {'date': '28/01/2013', 'age': '22', 'clubName': 'Arsenal FC', 'clubID': '11', 'value': '€15.00m'}, {'date': '02/07/2013', 'age': '23', 'clubName': 'Arsenal FC', 'clubID': '11', 'value': '€14.00m'}, {'date': '15/01/2014', 'age': '23', 'clubName': 'Arsenal FC', 'clubID': '11', 'value': '€15.00m'}, {'date': '12/08/2014', 'age': '24', 'clubName': 'Arsenal FC', 'clubID': '11', 'value': '€16.00m'}, {'date': '12/02/2015', 'age': '24', 'clubName': 'Arsenal FC', 'clubID': '11', 'value': '€14.00m'}, {'date': '01/07/2015', 'age': '25', 'clubName': 'Arsenal FC', 'clubID': '11', 'value': '€10.00m'}, {'date': '04/01/2016', 'age': '25', 'clubName': 'AS Roma', 'clubID': '12', 'value': '€10.00m'}, {'date': '01/06/2016', 'age': '26', 'clubName': 'AS Roma', 'clubID': '12', 'value': '€12.00m'}, {'date': '01/08/2016', 'age': '26', 'clubName': 'AS Roma', 'clubID': '12', 'value': '€12.00m'}, {'date': '02/01/2017', 'age': '26', 'clubName': 'AS Roma', 'clubID': '12', 'value': '€14.00m'}, {'date': '08/06/2017', 'age': '27', 'clubName': 'AS Roma', 'clubID': '12', 'value': '€17.00m'}, {'date': '29/12/2017', 'age': '27', 'clubName': 'Juventus FC', 'clubID': '506', 'value': '€18.00m'}, {'date': '24/03/2018', 'age': '27', 'clubName': 'Juventus FC', 'clubID': '506', 'value': '€20.00m'}, {'date': '07/06/2018', 'age': '28', 'clubName': 'Juventus FC', 'clubID': '506', 'value': '€20.00m'}, {'date': '20/12/2018', 'age': '28', 'clubName': 'Juventus FC', 'clubID': '506', 'value': '€30.00m'}, {'date': '06/06/2019', 'age': '29', 'clubName': 'Juventus FC', 'clubID': '506', 'value': '€35.00m'}, {'date': '12/12/2019', 'age': '29', 'clubName': 'Juventus FC', 'clubID': '506', 'value': '€40.00m'}, {'date': '08/04/2020', 'age': '29', 'clubName': 'Juventus FC', 'clubID': '506', 'value': '€32.00m'}, {'date': '25/08/2020', 'age': '30', 'clubName': 'Juventus FC', 'clubID': '506', 'value': '€35.00m'}, {'date': '29/12/2020', 'age': '30', 'clubName': 'Juventus FC', 'clubID': '506', 'value': '€35.00m'}, {'date': '31/05/2021', 'age': '31', 'clubName': 'Juventus FC', 'clubID': '506', 'value': '€25.00m'}, {'date': '14/10/2021', 'age': '31', 'clubName': 'Juventus FC', 'clubID': '506', 'value': '€15.00m'}, {'date': '28/12/2021', 'age': '31', 'clubName': 'Juventus FC', 'clubID': '506', 'value': '€15.00m'}, {'date': '07/06/2022', 'age': '32', 'clubName': 'Juventus FC', 'clubID': '506', 'value': '€15.00m'}, {'date': '11/11/2022', 'age': '32', 'clubName': 'Juventus FC', 'clubID': '506', 'value': '€13.00m'}, {'date': '15/06/2023', 'age': '33', 'clubName': 'Juventus FC', 'clubID': '506', 'value': '€10.00m'}, {'date': '20/12/2023', 'age': '33', 'clubName': 'Juventus FC', 'clubID': '506', 'value': '€8.00m'}, {'date': '05/06/2024', 'age': '34', 'clubName': 'Juventus FC', 'clubID': '506', 'value': '€6.00m'}, {'date': '11/10/2024', 'age': '34', 'clubName': 'FC Barcelona', 'clubID': '131', 'value': '€3.00m'}, {'date': '27/12/2024', 'age': '34', 'clubName': 'FC Barcelona', 'clubID': '131', 'value': '€1.00m'}, {'date': '09/06/2025', 'age': '35', 'clubName': 'FC Barcelona', 'clubID': '131', 'value': '€1.00m'}, {'date': '12/12/2025', 'age': '35', 'clubName': 'FC Barcelona', 'clubID': '131', 'value': '€900k'}]}</t>
        </is>
      </c>
      <c r="L91" t="inlineStr">
        <is>
          <t>Poland</t>
        </is>
      </c>
      <c r="M91" t="inlineStr">
        <is>
          <t>1990-04-18</t>
        </is>
      </c>
      <c r="N91" t="inlineStr">
        <is>
          <t>84</t>
        </is>
      </c>
      <c r="O91">
        <f>(15+13)/2</f>
        <v/>
      </c>
      <c r="P91">
        <f>(25+15+15)/3</f>
        <v/>
      </c>
    </row>
    <row r="92">
      <c r="A92" t="inlineStr">
        <is>
          <t>De Gea</t>
        </is>
      </c>
      <c r="B92" t="inlineStr">
        <is>
          <t>Man United</t>
        </is>
      </c>
      <c r="C92" t="inlineStr">
        <is>
          <t>Goalkeeper</t>
        </is>
      </c>
      <c r="D92" t="n">
        <v>630</v>
      </c>
      <c r="E92" t="n">
        <v>7</v>
      </c>
      <c r="F92" t="n">
        <v>0</v>
      </c>
      <c r="G92" t="n">
        <v>0</v>
      </c>
      <c r="H92" t="n">
        <v>26.4</v>
      </c>
      <c r="I92" t="n">
        <v>23.5</v>
      </c>
      <c r="J92" t="n">
        <v>59377</v>
      </c>
      <c r="K92" t="inlineStr">
        <is>
          <t>{'marketValueHistory': [{'date': '23/11/2007', 'age': '17', 'clubName': 'Atlético Madrid U19', 'clubID': '13', 'value': '€100k'}, {'date': '06/08/2009', 'age': '18', 'clubName': 'Atlético de Madrid', 'clubID': '13', 'value': '€500k'}, {'date': '03/12/2009', 'age': '19', 'clubName': 'Atlético de Madrid', 'clubID': '13', 'value': '€800k'}, {'date': '29/01/2010', 'age': '19', 'clubName': 'Atlético de Madrid', 'clubID': '13', 'value': '€3.00m'}, {'date': '12/04/2010', 'age': '19', 'clubName': 'Atlético de Madrid', 'clubID': '13', 'value': '€7.00m'}, {'date': '27/08/2010', 'age': '19', 'clubName': 'Atlético de Madrid', 'clubID': '13', 'value': '€12.00m'}, {'date': '04/02/2011', 'age': '20', 'clubName': 'Atlético de Madrid', 'clubID': '13', 'value': '€12.00m'}, {'date': '08/08/2011', 'age': '20', 'clubName': 'Manchester United', 'clubID': '985', 'value': '€18.00m'}, {'date': '06/02/2012', 'age': '21', 'clubName': 'Manchester United', 'clubID': '985', 'value': '€16.00m'}, {'date': '24/06/2012', 'age': '21', 'clubName': 'Manchester United', 'clubID': '985', 'value': '€17.50m'}, {'date': '28/01/2013', 'age': '22', 'clubName': 'Manchester United', 'clubID': '985', 'value': '€17.00m'}, {'date': '02/07/2013', 'age': '22', 'clubName': 'Manchester United', 'clubID': '985', 'value': '€17.00m'}, {'date': '15/01/2014', 'age': '23', 'clubName': 'Manchester United', 'clubID': '985', 'value': '€17.00m'}, {'date': '12/08/2014', 'age': '23', 'clubName': 'Manchester United', 'clubID': '985', 'value': '€18.00m'}, {'date': '12/02/2015', 'age': '24', 'clubName': 'Manchester United', 'clubID': '985', 'value': '€25.00m'}, {'date': '01/07/2015', 'age': '24', 'clubName': 'Manchester United', 'clubID': '985', 'value': '€30.00m'}, {'date': '09/02/2016', 'age': '25', 'clubName': 'Manchester United', 'clubID': '985', 'value': '€35.00m'}, {'date': '01/06/2016', 'age': '25', 'clubName': 'Manchester United', 'clubID': '985', 'value': '€40.00m'}, {'date': '01/08/2016', 'age': '25', 'clubName': 'Manchester United', 'clubID': '985', 'value': '€40.00m'}, {'date': '20/02/2017', 'age': '26', 'clubName': 'Manchester United', 'clubID': '985', 'value': '€40.00m'}, {'date': '28/06/2017', 'age': '26', 'clubName': 'Manchester United', 'clubID': '985', 'value': '€40.00m'}, {'date': '02/01/2018', 'age': '27', 'clubName': 'Manchester United', 'clubID': '985', 'value': '€50.00m'}, {'date': '23/03/2018', 'age': '27', 'clubName': 'Manchester United', 'clubID': '985', 'value': '€60.00m'}, {'date': '28/05/2018', 'age': '27', 'clubName': 'Manchester United', 'clubID': '985', 'value': '€70.00m'}, {'date': '19/12/2018', 'age': '28', 'clubName': 'Manchester United', 'clubID': '985', 'value': '€70.00m'}, {'date': '13/06/2019', 'age': '28', 'clubName': 'Manchester United', 'clubID': '985', 'value': '€65.00m'}, {'date': '10/12/2019', 'age': '29', 'clubName': 'Manchester United', 'clubID': '985', 'value': '€60.00m'}, {'date': '09/03/2020', 'age': '29', 'clubName': 'Manchester United', 'clubID': '985', 'value': '€50.00m'}, {'date': '08/04/2020', 'age': '29', 'clubName': 'Manchester United', 'clubID': '985', 'value': '€40.00m'}, {'date': '13/10/2020', 'age': '29', 'clubName': 'Manchester United', 'clubID': '985', 'value': '€35.00m'}, {'date': '17/12/2020', 'age': '30', 'clubName': 'Manchester United', 'clubID': '985', 'value': '€25.00m'}, {'date': '18/03/2021', 'age': '30', 'clubName': 'Manchester United', 'clubID': '985', 'value': '€22.00m'}, {'date': '31/05/2021', 'age': '30', 'clubName': 'Manchester United', 'clubID': '985', 'value': '€18.00m'}, {'date': '23/12/2021', 'age': '31', 'clubName': 'Manchester United', 'clubID': '985', 'value': '€18.00m'}, {'date': '29/03/2022', 'age': '31', 'clubName': 'Manchester United', 'clubID': '985', 'value': '€15.00m'}, {'date': '15/06/2022', 'age': '31', 'clubName': 'Manchester United', 'clubID': '985', 'value': '€15.00m'}, {'date': '03/11/2022', 'age': '31', 'clubName': 'Manchester United', 'clubID': '985', 'value': '€15.00m'}, {'date': '20/06/2023', 'age': '32', 'clubName': 'Manchester United', 'clubID': '985', 'value': '€13.00m'}, {'date': '25/10/2023', 'age': '32', 'clubName': 'Without Club', 'clubID': '515', 'value': '€8.00m'}, {'date': '29/03/2024', 'age': '33', 'clubName': 'Without Club', 'clubID': '515', 'value': '€5.00m'}, {'date': '18/10/2024', 'age': '33', 'clubName': 'ACF Fiorentina', 'clubID': '430', 'value': '€5.00m'}, {'date': '18/12/2024', 'age': '34', 'clubName': 'ACF Fiorentina', 'clubID': '430', 'value': '€5.00m'}, {'date': '17/06/2025', 'age': '34', 'clubName': 'ACF Fiorentina', 'clubID': '430', 'value': '€5.00m'}, {'date': '23/12/2025', 'age': '35', 'clubName': 'ACF Fiorentina', 'clubID': '430', 'value': '€3.50m'}]}</t>
        </is>
      </c>
      <c r="L92" t="inlineStr">
        <is>
          <t>Spain</t>
        </is>
      </c>
      <c r="M92" t="inlineStr">
        <is>
          <t>1990-11-07</t>
        </is>
      </c>
      <c r="N92" t="inlineStr">
        <is>
          <t>Spain</t>
        </is>
      </c>
      <c r="O92">
        <f>(15+15+15)/3</f>
        <v/>
      </c>
      <c r="P92">
        <f>(22+18+18)/3</f>
        <v/>
      </c>
    </row>
    <row r="93">
      <c r="A93" t="inlineStr">
        <is>
          <t>Berghuis</t>
        </is>
      </c>
      <c r="B93" t="inlineStr">
        <is>
          <t>Ajax</t>
        </is>
      </c>
      <c r="C93" t="inlineStr">
        <is>
          <t>Forward</t>
        </is>
      </c>
      <c r="D93" t="n">
        <v>628</v>
      </c>
      <c r="E93" t="n">
        <v>8</v>
      </c>
      <c r="F93" t="n">
        <v>3</v>
      </c>
      <c r="G93" t="n">
        <v>1</v>
      </c>
      <c r="H93" t="n">
        <v>79.8</v>
      </c>
      <c r="I93" t="n">
        <v>32.2</v>
      </c>
      <c r="J93" t="n">
        <v>129554</v>
      </c>
      <c r="K93" t="inlineStr">
        <is>
          <t>{'id': '129554', 'marketValue': '€8.00m', 'marketValueHistory': [{'age': '19', 'date': 'Jan 17, 2011', 'clubName': 'FC Twente Enschede U21', 'value': '€50k', 'clubID': '18026'}, {'age': '19', 'date': 'Jun 15, 2011', 'clubName': 'FC Twente Enschede U21', 'value': '€150k', 'clubID': '18026'}, {'age': '19', 'date': 'Sep 7, 2011', 'clubName': 'Twente Enschede FC', 'value': '€600k', 'clubID': '317'}, {'age': '20', 'date': 'Jul 6, 2012', 'clubName': 'AZ Alkmaar', 'value': '€800k', 'clubID': '1090'}, {'age': '21', 'date': 'Jun 12, 2013', 'clubName': 'AZ Alkmaar', 'value': '€800k', 'clubID': '1090'}, {'age': '22', 'date': 'Feb 11, 2014', 'clubName': 'AZ Alkmaar', 'value': '€1.00m', 'clubID': '1090'}, {'age': '22', 'date': 'Aug 11, 2014', 'clubName': 'AZ Alkmaar', 'value': '€1.50m', 'clubID': '1090'}, {'age': '23', 'date': 'Feb 16, 2015', 'clubName': 'AZ Alkmaar', 'value': '€1.75m', 'clubID': '1090'}, {'age': '23', 'date': 'Jul 1, 2015', 'clubName': 'AZ Alkmaar', 'value': '€3.50m', 'clubID': '1090'}, {'age': '23', 'date': 'Oct 14, 2015', 'clubName': 'Watford FC', 'value': '€5.00m', 'clubID': '1010'}, {'age': '24', 'date': 'Feb 9, 2016', 'clubName': 'Watford FC', 'value': '€4.00m', 'clubID': '1010'}, {'age': '25', 'date': 'Jan 18, 2017', 'clubName': 'Feyenoord Rotterdam', 'value': '€4.00m', 'clubID': '234'}, {'age': '25', 'date': 'Jun 7, 2017', 'clubName': 'Feyenoord Rotterdam', 'value': '€5.50m', 'clubID': '234'}, {'age': '25', 'date': 'Oct 26, 2017', 'clubName': 'Feyenoord Rotterdam', 'value': '€6.50m', 'clubID': '234'}, {'age': '26', 'date': 'Jan 17, 2018', 'clubName': 'Feyenoord Rotterdam', 'value': '€9.00m', 'clubID': '234'}, {'age': '26', 'date': 'Jun 12, 2018', 'clubName': 'Feyenoord Rotterdam', 'value': '€12.00m', 'clubID': '234'}, {'age': '27', 'date': 'Dec 28, 2018', 'clubName': 'Feyenoord Rotterdam', 'value': '€12.00m', 'clubID': '234'}, {'age': '27', 'date': 'Jun 12, 2019', 'clubName': 'Feyenoord Rotterdam', 'value': '€12.00m', 'clubID': '234'}, {'age': '27', 'date': 'Sep 19, 2019', 'clubName': 'Feyenoord Rotterdam', 'value': '€13.00m', 'clubID': '234'}, {'age': '27', 'date': 'Dec 18, 2019', 'clubName': 'Feyenoord Rotterdam', 'value': '€13.00m', 'clubID': '234'}, {'age': '28', 'date': 'Mar 12, 2020', 'clubName': 'Feyenoord Rotterdam', 'value': '€14.00m', 'clubID': '234'}, {'age': '28', 'date': 'Apr 8, 2020', 'clubName': 'Feyenoord Rotterdam', 'value': '€11.00m', 'clubID': '234'}, {'age': '28', 'date': 'Oct 14, 2020', 'clubName': 'Feyenoord Rotterdam', 'value': '€14.00m', 'clubID': '234'}, {'age': '29', 'date': 'Mar 9, 2021', 'clubName': 'Feyenoord Rotterdam', 'value': '€12.00m', 'clubID': '234'}, {'age': '29', 'date': 'May 27, 2021', 'clubName': 'Feyenoord Rotterdam', 'value': '€12.00m', 'clubID': '234'}, {'age': '29', 'date': 'Oct 4, 2021', 'clubName': 'Ajax Amsterdam', 'value': '€14.00m', 'clubID': '610'}, {'age': '30', 'date': 'Jan 5, 2022', 'clubName': 'Ajax Amsterdam', 'value': '€15.00m', 'clubID': '610'}, {'age': '30', 'date': 'Jun 8, 2022', 'clubName': 'Ajax Amsterdam', 'value': '€14.00m', 'clubID': '610'}, {'age': '30', 'date': 'Nov 11, 2022', 'clubName': 'Ajax Amsterdam', 'value': '€14.00m', 'clubID': '610'}, {'age': '31', 'date': 'Jun 23, 2023', 'clubName': 'Ajax Amsterdam', 'value': '€12.00m', 'clubID': '610'}, {'age': '31', 'date': 'Oct 17, 2023', 'clubName': 'Ajax Amsterdam', 'value': '€9.00m', 'clubID': '610'}, {'age': '31', 'date': 'Dec 15, 2023', 'clubName': 'Ajax Amsterdam', 'value': '€8.00m', 'clubID': '610'}], 'ranking': {'Worldwide': '1.233', 'Eredivisie': '37', 'Ajax': '9', 'Netherlands': '54', 'Right Winger': '109', 'Year 1991': '18'}, 'updatedAt': datetime.datetime(2024, 5, 23, 22, 21, 26, 355574)}</t>
        </is>
      </c>
      <c r="L93" t="inlineStr">
        <is>
          <t>Netherlands</t>
        </is>
      </c>
      <c r="M93" t="inlineStr">
        <is>
          <t>1991-12-19</t>
        </is>
      </c>
      <c r="N93" t="inlineStr">
        <is>
          <t>Netherlands</t>
        </is>
      </c>
      <c r="O93">
        <f>(15+14+14)/3</f>
        <v/>
      </c>
      <c r="P93">
        <f>(12+12+14)/3</f>
        <v/>
      </c>
    </row>
    <row r="94">
      <c r="A94" t="inlineStr">
        <is>
          <t>De Ligt</t>
        </is>
      </c>
      <c r="B94" t="inlineStr">
        <is>
          <t>Juventus</t>
        </is>
      </c>
      <c r="C94" t="inlineStr">
        <is>
          <t>Defender</t>
        </is>
      </c>
      <c r="D94" t="n">
        <v>627</v>
      </c>
      <c r="E94" t="n">
        <v>7</v>
      </c>
      <c r="F94" t="n">
        <v>0</v>
      </c>
      <c r="G94" t="n">
        <v>0</v>
      </c>
      <c r="H94" t="n">
        <v>71.5</v>
      </c>
      <c r="I94" t="n">
        <v>31.6</v>
      </c>
      <c r="J94" t="n">
        <v>326031</v>
      </c>
      <c r="K94" t="inlineStr">
        <is>
          <t>{'marketValueHistory': [{'date': 'Jul 1, 2016', 'age': '16', 'clubName': 'Ajax Amsterdam U21', 'clubID': '610', 'value': '€100k'}, {'date': 'Jan 18, 2017', 'age': '17', 'clubName': 'Ajax Amsterdam', 'clubID': '610', 'value': '€1.00m'}, {'date': 'Jun 7, 2017', 'age': '17', 'clubName': 'Ajax Amsterdam', 'clubID': '610', 'value': '€5.00m'}, {'date': 'Jan 17, 2018', 'age': '18', 'clubName': 'Ajax Amsterdam', 'clubID': '610', 'value': '€16.00m'}, {'date': 'Mar 27, 2018', 'age': '18', 'clubName': 'Ajax Amsterdam', 'clubID': '610', 'value': '€25.00m'}, {'date': 'Jun 12, 2018', 'age': '18', 'clubName': 'Ajax Amsterdam', 'clubID': '610', 'value': '€40.00m'}, {'date': 'Oct 4, 2018', 'age': '19', 'clubName': 'Ajax Amsterdam', 'clubID': '610', 'value': '€50.00m'}, {'date': 'Dec 28, 2018', 'age': '19', 'clubName': 'Ajax Amsterdam', 'clubID': '610', 'value': '€65.00m'}, {'date': 'Mar 13, 2019', 'age': '19', 'clubName': 'Ajax Amsterdam', 'clubID': '610', 'value': '€70.00m'}, {'date': 'Jun 12, 2019', 'age': '19', 'clubName': 'Ajax Amsterdam', 'clubID': '610', 'value': '€75.00m'}, {'date': 'Dec 12, 2019', 'age': '20', 'clubName': 'Juventus FC', 'clubID': '506', 'value': '€75.00m'}, {'date': 'Apr 8, 2020', 'age': '20', 'clubName': 'Juventus FC', 'clubID': '506', 'value': '€67.50m'}, {'date': 'Aug 25, 2020', 'age': '21', 'clubName': 'Juventus FC', 'clubID': '506', 'value': '€70.00m'}, {'date': 'Dec 29, 2020', 'age': '21', 'clubName': 'Juventus FC', 'clubID': '506', 'value': '€75.00m'}, {'date': 'May 27, 2021', 'age': '21', 'clubName': 'Juventus FC', 'clubID': '506', 'value': '€75.00m'}, {'date': 'Oct 14, 2021', 'age': '22', 'clubName': 'Juventus FC', 'clubID': '506', 'value': '€70.00m'}, {'date': 'Dec 28, 2021', 'age': '22', 'clubName': 'Juventus FC', 'clubID': '506', 'value': '€65.00m'}, {'date': 'Mar 15, 2022', 'age': '22', 'clubName': 'Juventus FC', 'clubID': '506', 'value': '€70.00m'}, {'date': 'Jun 7, 2022', 'age': '22', 'clubName': 'Juventus FC', 'clubID': '506', 'value': '€70.00m'}, {'date': 'Nov 9, 2022', 'age': '23', 'clubName': 'Bayern Munich', 'clubID': '27', 'value': '€70.00m'}, {'date': 'Mar 29, 2023', 'age': '23', 'clubName': 'Bayern Munich', 'clubID': '27', 'value': '€75.00m'}, {'date': 'Jun 22, 2023', 'age': '23', 'clubName': 'Bayern Munich', 'clubID': '27', 'value': '€75.00m'}, {'date': 'Oct 18, 2023', 'age': '24', 'clubName': 'Bayern Munich', 'clubID': '27', 'value': '€70.00m'}, {'date': 'Dec 14, 2023', 'age': '24', 'clubName': 'Bayern Munich', 'clubID': '27', 'value': '€65.00m'}, {'date': 'May 29, 2024', 'age': '24', 'clubName': 'Bayern Munich', 'clubID': '27', 'value': '€65.00m'}, {'date': 'Oct 1, 2024', 'age': '25', 'clubName': 'Manchester United', 'clubID': '985', 'value': '€55.00m'}, {'date': 'Dec 16, 2024', 'age': '25', 'clubName': 'Manchester United', 'clubID': '985', 'value': '€45.00m'}, {'date': 'Mar 18, 2025', 'age': '25', 'clubName': 'Manchester United', 'clubID': '985', 'value': '€40.00m'}, {'date': 'May 30, 2025', 'age': '25', 'clubName': 'Manchester United', 'clubID': '985', 'value': '€38.00m'}, {'date': 'Dec 9, 2025', 'age': '26', 'clubName': 'Manchester United', 'clubID': '985', 'value': '€40.00m'}]}</t>
        </is>
      </c>
      <c r="L94" t="inlineStr">
        <is>
          <t>Netherlands</t>
        </is>
      </c>
      <c r="M94" t="inlineStr">
        <is>
          <t>1999-08-12</t>
        </is>
      </c>
      <c r="N94" t="inlineStr">
        <is>
          <t>52</t>
        </is>
      </c>
      <c r="O94">
        <f>(70+70+70)/3</f>
        <v/>
      </c>
      <c r="P94">
        <f>(75+70+65)/3</f>
        <v/>
      </c>
    </row>
    <row r="95">
      <c r="A95" t="inlineStr">
        <is>
          <t>Nunez</t>
        </is>
      </c>
      <c r="B95" t="inlineStr">
        <is>
          <t>Benfica</t>
        </is>
      </c>
      <c r="C95" t="inlineStr">
        <is>
          <t>Forward</t>
        </is>
      </c>
      <c r="D95" t="n">
        <v>613</v>
      </c>
      <c r="E95" t="n">
        <v>10</v>
      </c>
      <c r="F95" t="n">
        <v>6</v>
      </c>
      <c r="G95" t="n">
        <v>0</v>
      </c>
      <c r="H95" t="n">
        <v>72.40000000000001</v>
      </c>
      <c r="I95" t="n">
        <v>36.5</v>
      </c>
      <c r="J95" t="n">
        <v>546543</v>
      </c>
      <c r="K95" t="inlineStr">
        <is>
          <t>{'marketValueHistory': [{'date': '03/03/2019', 'age': '19', 'clubName': 'CA Peñarol', 'clubID': '861', 'value': '€200k'}, {'date': '16/06/2019', 'age': '19', 'clubName': 'CA Peñarol', 'clubID': '861', 'value': '€750k'}, {'date': '10/09/2019', 'age': '20', 'clubName': 'UD Almería', 'clubID': '3302', 'value': '€2.00m'}, {'date': '20/12/2019', 'age': '20', 'clubName': 'UD Almería', 'clubID': '3302', 'value': '€2.00m'}, {'date': '08/04/2020', 'age': '20', 'clubName': 'UD Almería', 'clubID': '3302', 'value': '€1.80m'}, {'date': '23/07/2020', 'age': '21', 'clubName': 'UD Almería', 'clubID': '3302', 'value': '€10.00m'}, {'date': '22/10/2020', 'age': '21', 'clubName': 'SL Benfica', 'clubID': '294', 'value': '€18.00m'}, {'date': '28/01/2021', 'age': '21', 'clubName': 'SL Benfica', 'clubID': '294', 'value': '€25.00m'}, {'date': '25/03/2021', 'age': '21', 'clubName': 'SL Benfica', 'clubID': '294', 'value': '€20.00m'}, {'date': '21/05/2021', 'age': '21', 'clubName': 'SL Benfica', 'clubID': '294', 'value': '€20.00m'}, {'date': '27/12/2021', 'age': '22', 'clubName': 'SL Benfica', 'clubID': '294', 'value': '€32.00m'}, {'date': '10/03/2022', 'age': '22', 'clubName': 'SL Benfica', 'clubID': '294', 'value': '€40.00m'}, {'date': '31/05/2022', 'age': '22', 'clubName': 'SL Benfica', 'clubID': '294', 'value': '€55.00m'}, {'date': '15/09/2022', 'age': '23', 'clubName': 'Liverpool FC', 'clubID': '31', 'value': '€70.00m'}, {'date': '03/11/2022', 'age': '23', 'clubName': 'Liverpool FC', 'clubID': '31', 'value': '€70.00m'}, {'date': '20/06/2023', 'age': '23', 'clubName': 'Liverpool FC', 'clubID': '31', 'value': '€65.00m'}, {'date': '19/12/2023', 'age': '24', 'clubName': 'Liverpool FC', 'clubID': '31', 'value': '€65.00m'}, {'date': '14/03/2024', 'age': '24', 'clubName': 'Liverpool FC', 'clubID': '31', 'value': '€70.00m'}, {'date': '27/05/2024', 'age': '24', 'clubName': 'Liverpool FC', 'clubID': '31', 'value': '€70.00m'}, {'date': '01/10/2024', 'age': '25', 'clubName': 'Liverpool FC', 'clubID': '31', 'value': '€65.00m'}, {'date': '16/12/2024', 'age': '25', 'clubName': 'Liverpool FC', 'clubID': '31', 'value': '€65.00m'}, {'date': '18/03/2025', 'age': '25', 'clubName': 'Liverpool FC', 'clubID': '31', 'value': '€50.00m'}, {'date': '30/05/2025', 'age': '25', 'clubName': 'Liverpool FC', 'clubID': '31', 'value': '€45.00m'}, {'date': '18/12/2025', 'age': '26', 'clubName': 'Al-Hilal SFC', 'clubID': '1114', 'value': '€35.00m'}, {'date': '30/03/2026', 'age': '26', 'clubName': 'Al-Hilal SFC', 'clubID': '1114', 'value': '€25.00m'}]}</t>
        </is>
      </c>
      <c r="L95" t="inlineStr">
        <is>
          <t>Uruguay</t>
        </is>
      </c>
      <c r="M95" t="inlineStr">
        <is>
          <t>1999-06-24</t>
        </is>
      </c>
      <c r="N95" t="inlineStr">
        <is>
          <t>38</t>
        </is>
      </c>
      <c r="O95">
        <f>(40+55+70+70)/4</f>
        <v/>
      </c>
      <c r="P95">
        <f>(25+20+20+32)/4</f>
        <v/>
      </c>
    </row>
    <row r="96">
      <c r="A96" t="inlineStr">
        <is>
          <t>Matheus Reis</t>
        </is>
      </c>
      <c r="B96" t="inlineStr">
        <is>
          <t>Sporting CP</t>
        </is>
      </c>
      <c r="C96" t="inlineStr">
        <is>
          <t>Defender</t>
        </is>
      </c>
      <c r="D96" t="n">
        <v>611</v>
      </c>
      <c r="E96" t="n">
        <v>8</v>
      </c>
      <c r="F96" t="n">
        <v>0</v>
      </c>
      <c r="G96" t="n">
        <v>0</v>
      </c>
      <c r="H96" t="n">
        <v>75.3</v>
      </c>
      <c r="I96" t="n">
        <v>32.8</v>
      </c>
      <c r="J96" t="n">
        <v>379249</v>
      </c>
      <c r="K96" t="inlineStr">
        <is>
          <t>{'marketValueHistory': [{'date': '11/09/2015', 'age': '20', 'clubName': 'São Paulo Futebol Clube', 'clubID': '585', 'value': '€250k'}, {'date': '15/12/2015', 'age': '20', 'clubName': 'São Paulo Futebol Clube', 'clubID': '585', 'value': '€500k'}, {'date': '27/05/2016', 'age': '21', 'clubName': 'São Paulo Futebol Clube', 'clubID': '585', 'value': '€500k'}, {'date': '28/11/2016', 'age': '21', 'clubName': 'São Paulo Futebol Clube', 'clubID': '585', 'value': '€750k'}, {'date': '07/12/2017', 'age': '22', 'clubName': 'Esporte Clube Bahia', 'clubID': '10010', 'value': '€800k'}, {'date': '13/06/2018', 'age': '23', 'clubName': 'Moreirense FC', 'clubID': '979', 'value': '€700k'}, {'date': '11/01/2019', 'age': '23', 'clubName': 'Rio Ave FC', 'clubID': '2425', 'value': '€800k'}, {'date': '07/06/2019', 'age': '24', 'clubName': 'Rio Ave FC', 'clubID': '2425', 'value': '€600k'}, {'date': '30/12/2019', 'age': '24', 'clubName': 'Rio Ave FC', 'clubID': '2425', 'value': '€800k'}, {'date': '08/04/2020', 'age': '25', 'clubName': 'Rio Ave FC', 'clubID': '2425', 'value': '€650k'}, {'date': '17/08/2020', 'age': '25', 'clubName': 'Rio Ave FC', 'clubID': '2425', 'value': '€1.50m'}, {'date': '28/01/2021', 'age': '25', 'clubName': 'Rio Ave FC', 'clubID': '2425', 'value': '€2.50m'}, {'date': '21/05/2021', 'age': '26', 'clubName': 'Sporting CP', 'clubID': '336', 'value': '€2.50m'}, {'date': '27/12/2021', 'age': '26', 'clubName': 'Sporting CP', 'clubID': '336', 'value': '€4.00m'}, {'date': '10/03/2022', 'age': '27', 'clubName': 'Sporting CP', 'clubID': '336', 'value': '€5.00m'}, {'date': '31/05/2022', 'age': '27', 'clubName': 'Sporting CP', 'clubID': '336', 'value': '€8.00m'}, {'date': '01/11/2022', 'age': '27', 'clubName': 'Sporting CP', 'clubID': '336', 'value': '€8.00m'}, {'date': '16/06/2023', 'age': '28', 'clubName': 'Sporting CP', 'clubID': '336', 'value': '€8.00m'}, {'date': '27/12/2023', 'age': '28', 'clubName': 'Sporting CP', 'clubID': '336', 'value': '€8.00m'}, {'date': '06/06/2024', 'age': '29', 'clubName': 'Sporting CP', 'clubID': '336', 'value': '€8.00m'}, {'date': '19/12/2024', 'age': '29', 'clubName': 'Sporting CP', 'clubID': '336', 'value': '€7.00m'}, {'date': '30/05/2025', 'age': '30', 'clubName': 'Sporting CP', 'clubID': '336', 'value': '€6.00m'}, {'date': '18/12/2025', 'age': '30', 'clubName': 'Sporting CP', 'clubID': '336', 'value': '€4.00m'}, {'date': '25/03/2026', 'age': '31', 'clubName': 'CSKA Moscow', 'clubID': '2410', 'value': '€3.00m'}]}</t>
        </is>
      </c>
      <c r="L96" t="inlineStr">
        <is>
          <t>Brazil</t>
        </is>
      </c>
      <c r="M96" t="inlineStr">
        <is>
          <t>1995-02-18</t>
        </is>
      </c>
      <c r="N96" t="inlineStr">
        <is>
          <t>Brazil</t>
        </is>
      </c>
      <c r="O96">
        <f>(5+8+8)/3</f>
        <v/>
      </c>
      <c r="P96">
        <f>(2.5+2.5+4)/3</f>
        <v/>
      </c>
    </row>
    <row r="97">
      <c r="A97" t="inlineStr">
        <is>
          <t>Ronaldo</t>
        </is>
      </c>
      <c r="B97" t="inlineStr">
        <is>
          <t>Man United</t>
        </is>
      </c>
      <c r="C97" t="inlineStr">
        <is>
          <t>Forward</t>
        </is>
      </c>
      <c r="D97" t="n">
        <v>611</v>
      </c>
      <c r="E97" t="n">
        <v>7</v>
      </c>
      <c r="F97" t="n">
        <v>6</v>
      </c>
      <c r="G97" t="n">
        <v>0</v>
      </c>
      <c r="H97" t="n">
        <v>59.2</v>
      </c>
      <c r="I97" t="n">
        <v>33.3</v>
      </c>
      <c r="J97" t="n">
        <v>8198</v>
      </c>
      <c r="K97" t="inlineStr">
        <is>
          <t>{'marketValueHistory': [{'date': 'Oct 4, 2004', 'age': '19', 'clubName': 'Manchester United', 'clubID': '985', 'value': '€18.00m'}, {'date': 'Feb 11, 2005', 'age': '20', 'clubName': 'Manchester United', 'clubID': '985', 'value': '€22.80m'}, {'date': 'Oct 18, 2005', 'age': '20', 'clubName': 'Manchester United', 'clubID': '985', 'value': '€26.50m'}, {'date': 'Jun 14, 2006', 'age': '21', 'clubName': 'Manchester United', 'clubID': '985', 'value': '€25.00m'}, {'date': 'Apr 25, 2007', 'age': '22', 'clubName': 'Manchester United', 'clubID': '985', 'value': '€34.00m'}, {'date': 'Feb 4, 2008', 'age': '22', 'clubName': 'Manchester United', 'clubID': '985', 'value': '€50.00m'}, {'date': 'Apr 8, 2008', 'age': '23', 'clubName': 'Manchester United', 'clubID': '985', 'value': '€55.00m'}, {'date': 'Jul 4, 2008', 'age': '23', 'clubName': 'Manchester United', 'clubID': '985', 'value': '€60.00m'}, {'date': 'Jul 22, 2009', 'age': '24', 'clubName': 'Real Madrid', 'clubID': '418', 'value': '€70.00m'}, {'date': 'Dec 3, 2009', 'age': '24', 'clubName': 'Real Madrid', 'clubID': '418', 'value': '€70.00m'}, {'date': 'Jan 7, 2010', 'age': '24', 'clubName': 'Real Madrid', 'clubID': '418', 'value': '€75.00m'}, {'date': 'Apr 12, 2010', 'age': '25', 'clubName': 'Real Madrid', 'clubID': '418', 'value': '€75.00m'}, {'date': 'Aug 27, 2010', 'age': '25', 'clubName': 'Real Madrid', 'clubID': '418', 'value': '€90.00m'}, {'date': 'Feb 4, 2011', 'age': '25', 'clubName': 'Real Madrid', 'clubID': '418', 'value': '€90.00m'}, {'date': 'Jul 29, 2011', 'age': '26', 'clubName': 'Real Madrid', 'clubID': '418', 'value': '€90.00m'}, {'date': 'Feb 3, 2012', 'age': '26', 'clubName': 'Real Madrid', 'clubID': '418', 'value': '€90.00m'}, {'date': 'Aug 7, 2012', 'age': '27', 'clubName': 'Real Madrid', 'clubID': '418', 'value': '€100.00m'}, {'date': 'Jan 10, 2013', 'age': '27', 'clubName': 'Real Madrid', 'clubID': '418', 'value': '€100.00m'}, {'date': 'Jun 12, 2013', 'age': '28', 'clubName': 'Real Madrid', 'clubID': '418', 'value': '€100.00m'}, {'date': 'Jan 23, 2014', 'age': '28', 'clubName': 'Real Madrid', 'clubID': '418', 'value': '€100.00m'}, {'date': 'Jul 20, 2014', 'age': '29', 'clubName': 'Real Madrid', 'clubID': '418', 'value': '€100.00m'}, {'date': 'Oct 22, 2014', 'age': '29', 'clubName': 'Real Madrid', 'clubID': '418', 'value': '€120.00m'}, {'date': 'Jan 23, 2015', 'age': '29', 'clubName': 'Real Madrid', 'clubID': '418', 'value': '€120.00m'}, {'date': 'Jul 1, 2015', 'age': '30', 'clubName': 'Real Madrid', 'clubID': '418', 'value': '€120.00m'}, {'date': 'Nov 22, 2015', 'age': '30', 'clubName': 'Real Madrid', 'clubID': '418', 'value': '€110.00m'}, {'date': 'Feb 22, 2016', 'age': '31', 'clubName': 'Real Madrid', 'clubID': '418', 'value': '€110.00m'}, {'date': 'Jun 1, 2016', 'age': '31', 'clubName': 'Real Madrid', 'clubID': '418', 'value': '€110.00m'}, {'date': 'Jul 15, 2016', 'age': '31', 'clubName': 'Real Madrid', 'clubID': '418', 'value': '€110.00m'}, {'date': 'Jan 24, 2017', 'age': '31', 'clubName': 'Real Madrid', 'clubID': '418', 'value': '€100.00m'}, {'date': 'Jun 5, 2017', 'age': '32', 'clubName': 'Real Madrid', 'clubID': '418', 'value': '€100.00m'}, {'date': 'Jan 1, 2018', 'age': '32', 'clubName': 'Real Madrid', 'clubID': '418', 'value': '€120.00m'}, {'date': 'May 30, 2018', 'age': '33', 'clubName': 'Real Madrid', 'clubID': '418', 'value': '€100.00m'}, {'date': 'Dec 20, 2018', 'age': '33', 'clubName': 'Juventus FC', 'clubID': '506', 'value': '€100.00m'}, {'date': 'Jun 6, 2019', 'age': '34', 'clubName': 'Juventus FC', 'clubID': '506', 'value': '€90.00m'}, {'date': 'Dec 12, 2019', 'age': '34', 'clubName': 'Juventus FC', 'clubID': '506', 'value': '€75.00m'}, {'date': 'Apr 8, 2020', 'age': '35', 'clubName': 'Juventus FC', 'clubID': '506', 'value': '€60.00m'}, {'date': 'Aug 25, 2020', 'age': '35', 'clubName': 'Juventus FC', 'clubID': '506', 'value': '€60.00m'}, {'date': 'Dec 29, 2020', 'age': '35', 'clubName': 'Juventus FC', 'clubID': '506', 'value': '€60.00m'}, {'date': 'Mar 23, 2021', 'age': '36', 'clubName': 'Juventus FC', 'clubID': '506', 'value': '€50.00m'}, {'date': 'Jun 1, 2021', 'age': '36', 'clubName': 'Juventus FC', 'clubID': '506', 'value': '€45.00m'}, {'date': 'Dec 23, 2021', 'age': '36', 'clubName': 'Manchester United', 'clubID': '985', 'value': '€35.00m'}, {'date': 'Jun 15, 2022', 'age': '37', 'clubName': 'Manchester United', 'clubID': '985', 'value': '€30.00m'}, {'date': 'Sep 15, 2022', 'age': '37', 'clubName': 'Manchester United', 'clubID': '985', 'value': '€20.00m'}, {'date': 'Nov 3, 2022', 'age': '37', 'clubName': 'Manchester United', 'clubID': '985', 'value': '€20.00m'}, {'date': 'Jun 12, 2023', 'age': '38', 'clubName': 'Al-Nassr FC', 'clubID': '18544', 'value': '€15.00m'}, {'date': 'Dec 15, 2023', 'age': '38', 'clubName': 'Al-Nassr FC', 'clubID': '18544', 'value': '€15.00m'}, {'date': 'Jun 4, 2024', 'age': '39', 'clubName': 'Al-Nassr FC', 'clubID': '18544', 'value': '€15.00m'}, {'date': 'Dec 13, 2024', 'age': '39', 'clubName': 'Al-Nassr FC', 'clubID': '18544', 'value': '€12.00m'}, {'date': 'May 27, 2025', 'age': '40', 'clubName': 'Al-Nassr FC', 'clubID': '18544', 'value': '€12.00m'}, {'date': 'Dec 18, 2025', 'age': '40', 'clubName': 'Al-Nassr FC', 'clubID': '18544', 'value': '€12.00m'}]}</t>
        </is>
      </c>
      <c r="L97" t="inlineStr">
        <is>
          <t>Portugal</t>
        </is>
      </c>
      <c r="M97" t="inlineStr">
        <is>
          <t>1985-02-05</t>
        </is>
      </c>
      <c r="N97" t="inlineStr">
        <is>
          <t>Portugal</t>
        </is>
      </c>
      <c r="O97">
        <f>(30+20+20)/3</f>
        <v/>
      </c>
      <c r="P97">
        <f>(50+45+35)/3</f>
        <v/>
      </c>
    </row>
    <row r="98">
      <c r="A98" t="inlineStr">
        <is>
          <t>Adeyemi</t>
        </is>
      </c>
      <c r="B98" t="inlineStr">
        <is>
          <t>Salzburg</t>
        </is>
      </c>
      <c r="C98" t="inlineStr">
        <is>
          <t>Forward</t>
        </is>
      </c>
      <c r="D98" t="n">
        <v>607</v>
      </c>
      <c r="E98" t="n">
        <v>8</v>
      </c>
      <c r="F98" t="n">
        <v>3</v>
      </c>
      <c r="G98" t="n">
        <v>1</v>
      </c>
      <c r="H98" t="n">
        <v>69.2</v>
      </c>
      <c r="I98" t="n">
        <v>34.4</v>
      </c>
      <c r="J98" t="n">
        <v>496094</v>
      </c>
      <c r="K98" t="inlineStr">
        <is>
          <t>{'marketValueHistory': [{'date': 'Jul 2, 2018', 'age': '16', 'clubName': 'FC Liefering', 'clubID': '37024', 'value': '€1.50m'}, {'date': 'Dec 1, 2018', 'age': '16', 'clubName': 'FC Liefering', 'clubID': '37024', 'value': '€1.50m'}, {'date': 'Jun 1, 2019', 'age': '17', 'clubName': 'FC Liefering', 'clubID': '37024', 'value': '€1.50m'}, {'date': 'Dec 3, 2019', 'age': '17', 'clubName': 'FC Liefering', 'clubID': '37024', 'value': '€7.50m'}, {'date': 'Apr 8, 2020', 'age': '18', 'clubName': 'Red Bull Salzburg', 'clubID': '409', 'value': '€6.70m'}, {'date': 'Jul 22, 2020', 'age': '18', 'clubName': 'Red Bull Salzburg', 'clubID': '409', 'value': '€9.00m'}, {'date': 'Dec 21, 2020', 'age': '18', 'clubName': 'Red Bull Salzburg', 'clubID': '409', 'value': '€9.00m'}, {'date': 'Jun 2, 2021', 'age': '19', 'clubName': 'Red Bull Salzburg', 'clubID': '409', 'value': '€10.00m'}, {'date': 'Sep 6, 2021', 'age': '19', 'clubName': 'Red Bull Salzburg', 'clubID': '409', 'value': '€20.00m'}, {'date': 'Dec 16, 2021', 'age': '19', 'clubName': 'Red Bull Salzburg', 'clubID': '409', 'value': '€35.00m'}, {'date': 'May 27, 2022', 'age': '20', 'clubName': 'Red Bull Salzburg', 'clubID': '409', 'value': '€35.00m'}, {'date': 'Nov 9, 2022', 'age': '20', 'clubName': 'Borussia Dortmund', 'clubID': '16', 'value': '€35.00m'}, {'date': 'Jun 22, 2023', 'age': '21', 'clubName': 'Borussia Dortmund', 'clubID': '16', 'value': '€40.00m'}, {'date': 'Oct 18, 2023', 'age': '21', 'clubName': 'Borussia Dortmund', 'clubID': '16', 'value': '€35.00m'}, {'date': 'Dec 14, 2023', 'age': '21', 'clubName': 'Borussia Dortmund', 'clubID': '16', 'value': '€28.00m'}, {'date': 'May 29, 2024', 'age': '22', 'clubName': 'Borussia Dortmund', 'clubID': '16', 'value': '€28.00m'}, {'date': 'Oct 9, 2024', 'age': '22', 'clubName': 'Borussia Dortmund', 'clubID': '16', 'value': '€35.00m'}, {'date': 'Dec 20, 2024', 'age': '22', 'clubName': 'Borussia Dortmund', 'clubID': '16', 'value': '€35.00m'}, {'date': 'Mar 27, 2025', 'age': '23', 'clubName': 'Borussia Dortmund', 'clubID': '16', 'value': '€40.00m'}, {'date': 'Jun 5, 2025', 'age': '23', 'clubName': 'Borussia Dortmund', 'clubID': '16', 'value': '€45.00m'}, {'date': 'Oct 14, 2025', 'age': '23', 'clubName': 'Borussia Dortmund', 'clubID': '16', 'value': '€60.00m'}, {'date': 'Dec 19, 2025', 'age': '23', 'clubName': 'Borussia Dortmund', 'clubID': '16', 'value': '€60.00m'}, {'date': 'Mar 20, 2026', 'age': '24', 'clubName': 'Borussia Dortmund', 'clubID': '16', 'value': '€50.00m'}]}</t>
        </is>
      </c>
      <c r="L98" t="inlineStr">
        <is>
          <t>Germany</t>
        </is>
      </c>
      <c r="M98" t="inlineStr">
        <is>
          <t>2002-01-18</t>
        </is>
      </c>
      <c r="N98" t="inlineStr">
        <is>
          <t>11</t>
        </is>
      </c>
      <c r="O98">
        <f>(35+35)/2</f>
        <v/>
      </c>
      <c r="P98">
        <f>(10+20+35)/3</f>
        <v/>
      </c>
    </row>
    <row r="99">
      <c r="A99" t="inlineStr">
        <is>
          <t>Thiago Alcantara</t>
        </is>
      </c>
      <c r="B99" t="inlineStr">
        <is>
          <t>Liverpool</t>
        </is>
      </c>
      <c r="C99" t="inlineStr">
        <is>
          <t>Midfielder</t>
        </is>
      </c>
      <c r="D99" t="n">
        <v>604</v>
      </c>
      <c r="E99" t="n">
        <v>10</v>
      </c>
      <c r="F99" t="n">
        <v>1</v>
      </c>
      <c r="G99" t="n">
        <v>0</v>
      </c>
      <c r="H99" t="n">
        <v>78</v>
      </c>
      <c r="I99" t="n">
        <v>29.1</v>
      </c>
      <c r="J99" t="n">
        <v>60444</v>
      </c>
      <c r="K99" t="inlineStr">
        <is>
          <t>{'marketValueHistory': [{'date': '23/11/2007', 'age': '16', 'clubName': 'FC Barcelona U19', 'clubID': '2470', 'value': '€100k'}, {'date': '20/08/2010', 'age': '19', 'clubName': 'FC Barcelona B', 'clubID': '2464', 'value': '€2.50m'}, {'date': '18/10/2010', 'age': '19', 'clubName': 'FC Barcelona B', 'clubID': '2464', 'value': '€3.00m'}, {'date': '09/12/2010', 'age': '19', 'clubName': 'FC Barcelona B', 'clubID': '2464', 'value': '€5.00m'}, {'date': '04/02/2011', 'age': '19', 'clubName': 'FC Barcelona B', 'clubID': '2464', 'value': '€5.00m'}, {'date': '20/07/2011', 'age': '20', 'clubName': 'FC Barcelona', 'clubID': '131', 'value': '€6.00m'}, {'date': '29/07/2011', 'age': '20', 'clubName': 'FC Barcelona', 'clubID': '131', 'value': '€10.00m'}, {'date': '03/09/2011', 'age': '20', 'clubName': 'FC Barcelona', 'clubID': '131', 'value': '€15.00m'}, {'date': '03/02/2012', 'age': '20', 'clubName': 'FC Barcelona', 'clubID': '131', 'value': '€20.00m'}, {'date': '07/08/2012', 'age': '21', 'clubName': 'FC Barcelona', 'clubID': '131', 'value': '€22.00m'}, {'date': '10/01/2013', 'age': '21', 'clubName': 'FC Barcelona', 'clubID': '131', 'value': '€22.00m'}, {'date': '12/06/2013', 'age': '22', 'clubName': 'FC Barcelona', 'clubID': '131', 'value': '€22.00m'}, {'date': '27/08/2013', 'age': '22', 'clubName': 'Bayern Munich', 'clubID': '27', 'value': '€25.00m'}, {'date': '12/02/2014', 'age': '22', 'clubName': 'Bayern Munich', 'clubID': '27', 'value': '€30.00m'}, {'date': '10/07/2014', 'age': '23', 'clubName': 'Bayern Munich', 'clubID': '27', 'value': '€30.00m'}, {'date': '03/11/2014', 'age': '23', 'clubName': 'Bayern Munich', 'clubID': '27', 'value': '€25.00m'}, {'date': '04/02/2015', 'age': '23', 'clubName': 'Bayern Munich', 'clubID': '27', 'value': '€25.00m'}, {'date': '01/07/2015', 'age': '24', 'clubName': 'Bayern Munich', 'clubID': '27', 'value': '€25.00m'}, {'date': '15/02/2016', 'age': '24', 'clubName': 'Bayern Munich', 'clubID': '27', 'value': '€25.00m'}, {'date': '01/06/2016', 'age': '25', 'clubName': 'Bayern Munich', 'clubID': '27', 'value': '€25.00m'}, {'date': '22/07/2016', 'age': '25', 'clubName': 'Bayern Munich', 'clubID': '27', 'value': '€22.00m'}, {'date': '07/02/2017', 'age': '25', 'clubName': 'Bayern Munich', 'clubID': '27', 'value': '€30.00m'}, {'date': '22/03/2017', 'age': '25', 'clubName': 'Bayern Munich', 'clubID': '27', 'value': '€40.00m'}, {'date': '19/06/2017', 'age': '26', 'clubName': 'Bayern Munich', 'clubID': '27', 'value': '€40.00m'}, {'date': '28/12/2017', 'age': '26', 'clubName': 'Bayern Munich', 'clubID': '27', 'value': '€50.00m'}, {'date': '04/04/2018', 'age': '26', 'clubName': 'Bayern Munich', 'clubID': '27', 'value': '€60.00m'}, {'date': '05/06/2018', 'age': '27', 'clubName': 'Bayern Munich', 'clubID': '27', 'value': '€60.00m'}, {'date': '18/12/2018', 'age': '27', 'clubName': 'Bayern Munich', 'clubID': '27', 'value': '€60.00m'}, {'date': '06/03/2019', 'age': '27', 'clubName': 'Bayern Munich', 'clubID': '27', 'value': '€70.00m'}, {'date': '05/06/2019', 'age': '28', 'clubName': 'Bayern Munich', 'clubID': '27', 'value': '€70.00m'}, {'date': '17/12/2019', 'age': '28', 'clubName': 'Bayern Munich', 'clubID': '27', 'value': '€60.00m'}, {'date': '08/04/2020', 'age': '28', 'clubName': 'Bayern Munich', 'clubID': '27', 'value': '€48.00m'}, {'date': '13/10/2020', 'age': '29', 'clubName': 'Liverpool FC', 'clubID': '31', 'value': '€48.00m'}, {'date': '18/03/2021', 'age': '29', 'clubName': 'Liverpool FC', 'clubID': '31', 'value': '€35.00m'}, {'date': '31/05/2021', 'age': '30', 'clubName': 'Liverpool FC', 'clubID': '31', 'value': '€30.00m'}, {'date': '05/10/2021', 'age': '30', 'clubName': 'Liverpool FC', 'clubID': '31', 'value': '€25.00m'}, {'date': '23/12/2021', 'age': '30', 'clubName': 'Liverpool FC', 'clubID': '31', 'value': '€22.00m'}, {'date': '15/06/2022', 'age': '31', 'clubName': 'Liverpool FC', 'clubID': '31', 'value': '€20.00m'}, {'date': '03/11/2022', 'age': '31', 'clubName': 'Liverpool FC', 'clubID': '31', 'value': '€18.00m'}, {'date': '20/06/2023', 'age': '32', 'clubName': 'Liverpool FC', 'clubID': '31', 'value': '€15.00m'}, {'date': '09/10/2023', 'age': '32', 'clubName': 'Liverpool FC', 'clubID': '31', 'value': '€12.00m'}, {'date': '19/12/2023', 'age': '32', 'clubName': 'Liverpool FC', 'clubID': '31', 'value': '€10.00m'}, {'date': '27/05/2024', 'age': '33', 'clubName': 'Liverpool FC', 'clubID': '31', 'value': '€10.00m'}, {'date': '08/07/2024', 'age': '33', 'clubName': 'Retired', 'clubID': '123', 'value': '-'}]}</t>
        </is>
      </c>
      <c r="L99" t="inlineStr">
        <is>
          <t>Spain</t>
        </is>
      </c>
      <c r="M99" t="inlineStr">
        <is>
          <t>1991-04-11</t>
        </is>
      </c>
      <c r="N99" t="inlineStr">
        <is>
          <t>46</t>
        </is>
      </c>
      <c r="O99">
        <f>(20+18)/2</f>
        <v/>
      </c>
      <c r="P99">
        <f>(35+30+25+22)/4</f>
        <v/>
      </c>
    </row>
    <row r="100">
      <c r="A100" t="inlineStr">
        <is>
          <t>Christensen</t>
        </is>
      </c>
      <c r="B100" t="inlineStr">
        <is>
          <t>Chelsea</t>
        </is>
      </c>
      <c r="C100" t="inlineStr">
        <is>
          <t>Defender</t>
        </is>
      </c>
      <c r="D100" t="n">
        <v>603</v>
      </c>
      <c r="E100" t="n">
        <v>8</v>
      </c>
      <c r="F100" t="n">
        <v>1</v>
      </c>
      <c r="G100" t="n">
        <v>1</v>
      </c>
      <c r="H100" t="n">
        <v>62.6</v>
      </c>
      <c r="I100" t="n">
        <v>34.1</v>
      </c>
      <c r="J100" t="n">
        <v>196948</v>
      </c>
      <c r="K100" t="inlineStr">
        <is>
          <t>{'marketValueHistory': [{'date': 'Oct 5, 2014', 'age': '18', 'clubName': 'Chelsea FC U21', 'clubID': '9250', 'value': '€500k'}, {'date': 'Feb 12, 2015', 'age': '18', 'clubName': 'Chelsea FC U21', 'clubID': '9250', 'value': '€750k'}, {'date': 'Jul 1, 2015', 'age': '19', 'clubName': 'Chelsea FC', 'clubID': '631', 'value': '€1.50m'}, {'date': 'Feb 15, 2016', 'age': '19', 'clubName': 'Borussia Mönchengladbach', 'clubID': '18', 'value': '€6.50m'}, {'date': 'Apr 13, 2016', 'age': '20', 'clubName': 'Borussia Mönchengladbach', 'clubID': '18', 'value': '€8.00m'}, {'date': 'Jul 22, 2016', 'age': '20', 'clubName': 'Borussia Mönchengladbach', 'clubID': '18', 'value': '€14.00m'}, {'date': 'Feb 7, 2017', 'age': '20', 'clubName': 'Borussia Mönchengladbach', 'clubID': '18', 'value': '€16.00m'}, {'date': 'Jun 19, 2017', 'age': '21', 'clubName': 'Borussia Mönchengladbach', 'clubID': '18', 'value': '€18.00m'}, {'date': 'Jan 2, 2018', 'age': '21', 'clubName': 'Chelsea FC', 'clubID': '631', 'value': '€30.00m'}, {'date': 'Mar 23, 2018', 'age': '21', 'clubName': 'Chelsea FC', 'clubID': '631', 'value': '€40.00m'}, {'date': 'May 28, 2018', 'age': '22', 'clubName': 'Chelsea FC', 'clubID': '631', 'value': '€40.00m'}, {'date': 'Dec 19, 2018', 'age': '22', 'clubName': 'Chelsea FC', 'clubID': '631', 'value': '€35.00m'}, {'date': 'Jun 13, 2019', 'age': '23', 'clubName': 'Chelsea FC', 'clubID': '631', 'value': '€30.00m'}, {'date': 'Sep 12, 2019', 'age': '23', 'clubName': 'Chelsea FC', 'clubID': '631', 'value': '€35.00m'}, {'date': 'Dec 10, 2019', 'age': '23', 'clubName': 'Chelsea FC', 'clubID': '631', 'value': '€30.00m'}, {'date': 'Apr 8, 2020', 'age': '23', 'clubName': 'Chelsea FC', 'clubID': '631', 'value': '€24.00m'}, {'date': 'Oct 13, 2020', 'age': '24', 'clubName': 'Chelsea FC', 'clubID': '631', 'value': '€24.00m'}, {'date': 'Mar 18, 2021', 'age': '24', 'clubName': 'Chelsea FC', 'clubID': '631', 'value': '€28.00m'}, {'date': 'May 26, 2021', 'age': '25', 'clubName': 'Chelsea FC', 'clubID': '631', 'value': '€30.00m'}, {'date': 'Oct 5, 2021', 'age': '25', 'clubName': 'Chelsea FC', 'clubID': '631', 'value': '€35.00m'}, {'date': 'Dec 23, 2021', 'age': '25', 'clubName': 'Chelsea FC', 'clubID': '631', 'value': '€35.00m'}, {'date': 'Jun 15, 2022', 'age': '26', 'clubName': 'Chelsea FC', 'clubID': '631', 'value': '€35.00m'}, {'date': 'Nov 7, 2022', 'age': '26', 'clubName': 'FC Barcelona', 'clubID': '131', 'value': '€30.00m'}, {'date': 'Jun 13, 2023', 'age': '27', 'clubName': 'FC Barcelona', 'clubID': '131', 'value': '€40.00m'}, {'date': 'Dec 22, 2023', 'age': '27', 'clubName': 'FC Barcelona', 'clubID': '131', 'value': '€40.00m'}, {'date': 'Jun 7, 2024', 'age': '28', 'clubName': 'FC Barcelona', 'clubID': '131', 'value': '€40.00m'}, {'date': 'Oct 11, 2024', 'age': '28', 'clubName': 'FC Barcelona', 'clubID': '131', 'value': '€30.00m'}, {'date': 'Dec 27, 2024', 'age': '28', 'clubName': 'FC Barcelona', 'clubID': '131', 'value': '€20.00m'}, {'date': 'Mar 21, 2025', 'age': '28', 'clubName': 'FC Barcelona', 'clubID': '131', 'value': '€15.00m'}, {'date': 'Jun 9, 2025', 'age': '29', 'clubName': 'FC Barcelona', 'clubID': '131', 'value': '€12.00m'}, {'date': 'Dec 12, 2025', 'age': '29', 'clubName': 'FC Barcelona', 'clubID': '131', 'value': '€10.00m'}, {'date': 'Mar 16, 2026', 'age': '29', 'clubName': 'FC Barcelona', 'clubID': '131', 'value': '€9.00m'}]}</t>
        </is>
      </c>
      <c r="L100" t="inlineStr">
        <is>
          <t>Kingdom of Denmark</t>
        </is>
      </c>
      <c r="M100" t="inlineStr">
        <is>
          <t>1996-04-10</t>
        </is>
      </c>
      <c r="N100" t="inlineStr">
        <is>
          <t>80</t>
        </is>
      </c>
      <c r="O100">
        <f>(35+30)/2</f>
        <v/>
      </c>
      <c r="P100">
        <f>(28+30+35+35)/4</f>
        <v/>
      </c>
    </row>
    <row r="101">
      <c r="A101" t="inlineStr">
        <is>
          <t>Zeki Celik</t>
        </is>
      </c>
      <c r="B101" t="inlineStr">
        <is>
          <t>Lille</t>
        </is>
      </c>
      <c r="C101" t="inlineStr">
        <is>
          <t>Defender</t>
        </is>
      </c>
      <c r="D101" t="n">
        <v>591</v>
      </c>
      <c r="E101" t="n">
        <v>7</v>
      </c>
      <c r="F101" t="n">
        <v>0</v>
      </c>
      <c r="G101" t="n">
        <v>1</v>
      </c>
      <c r="H101" t="n">
        <v>71.3</v>
      </c>
      <c r="I101" t="n">
        <v>32.6</v>
      </c>
      <c r="J101" t="n">
        <v>251075</v>
      </c>
      <c r="K101" t="inlineStr">
        <is>
          <t>{'marketValueHistory': [{'date': '20/07/2014', 'age': '17', 'clubName': 'Bursaspor U19', 'clubID': '44811', 'value': '€100k'}, {'date': '01/09/2016', 'age': '19', 'clubName': 'Istanbulspor', 'clubID': '924', 'value': '€200k'}, {'date': '30/06/2017', 'age': '20', 'clubName': 'Istanbulspor', 'clubID': '924', 'value': '€250k'}, {'date': '05/02/2018', 'age': '20', 'clubName': 'Istanbulspor', 'clubID': '924', 'value': '€350k'}, {'date': '09/04/2018', 'age': '21', 'clubName': 'Istanbulspor', 'clubID': '924', 'value': '€700k'}, {'date': '30/05/2018', 'age': '21', 'clubName': 'Istanbulspor', 'clubID': '924', 'value': '€800k'}, {'date': '06/09/2018', 'age': '21', 'clubName': 'LOSC Lille', 'clubID': '1082', 'value': '€2.00m'}, {'date': '24/10/2018', 'age': '21', 'clubName': 'LOSC Lille', 'clubID': '1082', 'value': '€4.00m'}, {'date': '17/12/2018', 'age': '21', 'clubName': 'LOSC Lille', 'clubID': '1082', 'value': '€6.00m'}, {'date': '07/03/2019', 'age': '22', 'clubName': 'LOSC Lille', 'clubID': '1082', 'value': '€10.00m'}, {'date': '03/06/2019', 'age': '22', 'clubName': 'LOSC Lille', 'clubID': '1082', 'value': '€17.00m'}, {'date': '19/12/2019', 'age': '22', 'clubName': 'LOSC Lille', 'clubID': '1082', 'value': '€20.00m'}, {'date': '08/04/2020', 'age': '23', 'clubName': 'LOSC Lille', 'clubID': '1082', 'value': '€16.00m'}, {'date': '15/10/2020', 'age': '23', 'clubName': 'LOSC Lille', 'clubID': '1082', 'value': '€20.00m'}, {'date': '25/05/2021', 'age': '24', 'clubName': 'LOSC Lille', 'clubID': '1082', 'value': '€20.00m'}, {'date': '16/12/2021', 'age': '24', 'clubName': 'LOSC Lille', 'clubID': '1082', 'value': '€17.00m'}, {'date': '23/03/2022', 'age': '25', 'clubName': 'LOSC Lille', 'clubID': '1082', 'value': '€18.00m'}, {'date': '30/05/2022', 'age': '25', 'clubName': 'LOSC Lille', 'clubID': '1082', 'value': '€18.00m'}, {'date': '27/09/2022', 'age': '25', 'clubName': 'AS Roma', 'clubID': '12', 'value': '€15.00m'}, {'date': '11/11/2022', 'age': '25', 'clubName': 'AS Roma', 'clubID': '12', 'value': '€15.00m'}, {'date': '21/03/2023', 'age': '26', 'clubName': 'AS Roma', 'clubID': '12', 'value': '€10.00m'}, {'date': '15/06/2023', 'age': '26', 'clubName': 'AS Roma', 'clubID': '12', 'value': '€10.00m'}, {'date': '11/10/2023', 'age': '26', 'clubName': 'AS Roma', 'clubID': '12', 'value': '€8.00m'}, {'date': '20/12/2023', 'age': '26', 'clubName': 'AS Roma', 'clubID': '12', 'value': '€6.00m'}, {'date': '05/06/2024', 'age': '27', 'clubName': 'AS Roma', 'clubID': '12', 'value': '€6.00m'}, {'date': '18/12/2024', 'age': '27', 'clubName': 'AS Roma', 'clubID': '12', 'value': '€5.00m'}, {'date': '17/06/2025', 'age': '28', 'clubName': 'AS Roma', 'clubID': '12', 'value': '€6.00m'}, {'date': '23/12/2025', 'age': '28', 'clubName': 'AS Roma', 'clubID': '12', 'value': '€12.00m'}]}</t>
        </is>
      </c>
      <c r="L101" t="inlineStr">
        <is>
          <t>Turkey</t>
        </is>
      </c>
      <c r="M101" t="inlineStr">
        <is>
          <t>1997-02-17</t>
        </is>
      </c>
      <c r="N101" t="inlineStr">
        <is>
          <t>Turkey</t>
        </is>
      </c>
      <c r="O101">
        <f>(18+18+15+15)/4</f>
        <v/>
      </c>
      <c r="P101">
        <f>(20+17)/2</f>
        <v/>
      </c>
    </row>
    <row r="102">
      <c r="A102" t="inlineStr">
        <is>
          <t>La. Martinez</t>
        </is>
      </c>
      <c r="B102" t="inlineStr">
        <is>
          <t>Inter</t>
        </is>
      </c>
      <c r="C102" t="inlineStr">
        <is>
          <t>Forward</t>
        </is>
      </c>
      <c r="D102" t="n">
        <v>587</v>
      </c>
      <c r="E102" t="n">
        <v>8</v>
      </c>
      <c r="F102" t="n">
        <v>1</v>
      </c>
      <c r="G102" t="n">
        <v>0</v>
      </c>
      <c r="H102" t="n">
        <v>67.40000000000001</v>
      </c>
      <c r="I102" t="n">
        <v>32.2</v>
      </c>
      <c r="J102" t="n">
        <v>406625</v>
      </c>
      <c r="K102" t="inlineStr">
        <is>
          <t>{'marketValueHistory': [{'date': 'Feb 6, 2016', 'age': '18', 'clubName': 'Racing Club', 'clubID': '1444', 'value': '€100k'}, {'date': 'Aug 8, 2016', 'age': '18', 'clubName': 'Racing Club', 'clubID': '1444', 'value': '€500k'}, {'date': 'Feb 13, 2017', 'age': '19', 'clubName': 'Racing Club', 'clubID': '1444', 'value': '€2.50m'}, {'date': 'Oct 9, 2017', 'age': '20', 'clubName': 'Racing Club', 'clubID': '1444', 'value': '€10.00m'}, {'date': 'May 8, 2018', 'age': '20', 'clubName': 'Racing Club', 'clubID': '1444', 'value': '€25.00m'}, {'date': 'Dec 20, 2018', 'age': '21', 'clubName': 'Inter Milan', 'clubID': '46', 'value': '€25.00m'}, {'date': 'Jun 6, 2019', 'age': '21', 'clubName': 'Inter Milan', 'clubID': '46', 'value': '€30.00m'}, {'date': 'Oct 8, 2019', 'age': '22', 'clubName': 'Inter Milan', 'clubID': '46', 'value': '€40.00m'}, {'date': 'Dec 12, 2019', 'age': '22', 'clubName': 'Inter Milan', 'clubID': '46', 'value': '€80.00m'}, {'date': 'Apr 8, 2020', 'age': '22', 'clubName': 'Inter Milan', 'clubID': '46', 'value': '€64.00m'}, {'date': 'Aug 25, 2020', 'age': '23', 'clubName': 'Inter Milan', 'clubID': '46', 'value': '€70.00m'}, {'date': 'Dec 29, 2020', 'age': '23', 'clubName': 'Inter Milan', 'clubID': '46', 'value': '€70.00m'}, {'date': 'Jun 3, 2021', 'age': '23', 'clubName': 'Inter Milan', 'clubID': '46', 'value': '€80.00m'}, {'date': 'Dec 28, 2021', 'age': '24', 'clubName': 'Inter Milan', 'clubID': '46', 'value': '€80.00m'}, {'date': 'Mar 15, 2022', 'age': '24', 'clubName': 'Inter Milan', 'clubID': '46', 'value': '€70.00m'}, {'date': 'Jun 7, 2022', 'age': '24', 'clubName': 'Inter Milan', 'clubID': '46', 'value': '€75.00m'}, {'date': 'Nov 11, 2022', 'age': '25', 'clubName': 'Inter Milan', 'clubID': '46', 'value': '€75.00m'}, {'date': 'Mar 21, 2023', 'age': '25', 'clubName': 'Inter Milan', 'clubID': '46', 'value': '€80.00m'}, {'date': 'Jun 15, 2023', 'age': '25', 'clubName': 'Inter Milan', 'clubID': '46', 'value': '€85.00m'}, {'date': 'Oct 11, 2023', 'age': '26', 'clubName': 'Inter Milan', 'clubID': '46', 'value': '€100.00m'}, {'date': 'Dec 20, 2023', 'age': '26', 'clubName': 'Inter Milan', 'clubID': '46', 'value': '€110.00m'}, {'date': 'Jun 5, 2024', 'age': '26', 'clubName': 'Inter Milan', 'clubID': '46', 'value': '€110.00m'}, {'date': 'Dec 18, 2024', 'age': '27', 'clubName': 'Inter Milan', 'clubID': '46', 'value': '€100.00m'}, {'date': 'Mar 25, 2025', 'age': '27', 'clubName': 'Inter Milan', 'clubID': '46', 'value': '€95.00m'}, {'date': 'Jun 17, 2025', 'age': '27', 'clubName': 'Inter Milan', 'clubID': '46', 'value': '€95.00m'}, {'date': 'Oct 7, 2025', 'age': '28', 'clubName': 'Inter Milan', 'clubID': '46', 'value': '€85.00m'}, {'date': 'Dec 23, 2025', 'age': '28', 'clubName': 'Inter Milan', 'clubID': '46', 'value': '€85.00m'}]}</t>
        </is>
      </c>
      <c r="L102" t="inlineStr">
        <is>
          <t>Argentina</t>
        </is>
      </c>
      <c r="M102" t="inlineStr">
        <is>
          <t>1997-08-22</t>
        </is>
      </c>
      <c r="N102" t="inlineStr">
        <is>
          <t>Argentina</t>
        </is>
      </c>
      <c r="O102">
        <f>(70+75+75)/3</f>
        <v/>
      </c>
      <c r="P102">
        <f>(80+80)/2</f>
        <v/>
      </c>
    </row>
    <row r="103">
      <c r="A103" t="inlineStr">
        <is>
          <t>Gimenez</t>
        </is>
      </c>
      <c r="B103" t="inlineStr">
        <is>
          <t>Atletico de Madrid</t>
        </is>
      </c>
      <c r="C103" t="inlineStr">
        <is>
          <t>Defender</t>
        </is>
      </c>
      <c r="D103" t="n">
        <v>585</v>
      </c>
      <c r="E103" t="n">
        <v>7</v>
      </c>
      <c r="F103" t="n">
        <v>0</v>
      </c>
      <c r="G103" t="n">
        <v>0</v>
      </c>
      <c r="H103" t="n">
        <v>63.3</v>
      </c>
      <c r="I103" t="n">
        <v>33.9</v>
      </c>
      <c r="J103" t="n">
        <v>250845</v>
      </c>
      <c r="K103" t="inlineStr">
        <is>
          <t>{'marketValueHistory': [{'date': 'Mar 11, 2013', 'age': '18', 'clubName': 'Danubio FC', 'clubID': '1306', 'value': '€100k'}, {'date': 'Jul 25, 2013', 'age': '18', 'clubName': 'Atlético de Madrid', 'clubID': '13', 'value': '€1.00m'}, {'date': 'Jan 23, 2014', 'age': '19', 'clubName': 'Atlético de Madrid', 'clubID': '13', 'value': '€2.00m'}, {'date': 'Jul 20, 2014', 'age': '19', 'clubName': 'Atlético de Madrid', 'clubID': '13', 'value': '€5.00m'}, {'date': 'Jan 23, 2015', 'age': '20', 'clubName': 'Atlético de Madrid', 'clubID': '13', 'value': '€15.00m'}, {'date': 'Jul 1, 2015', 'age': '20', 'clubName': 'Atlético de Madrid', 'clubID': '13', 'value': '€15.00m'}, {'date': 'Nov 22, 2015', 'age': '20', 'clubName': 'Atlético de Madrid', 'clubID': '13', 'value': '€18.00m'}, {'date': 'Feb 22, 2016', 'age': '21', 'clubName': 'Atlético de Madrid', 'clubID': '13', 'value': '€25.00m'}, {'date': 'Jul 15, 2016', 'age': '21', 'clubName': 'Atlético de Madrid', 'clubID': '13', 'value': '€30.00m'}, {'date': 'Jan 24, 2017', 'age': '22', 'clubName': 'Atlético de Madrid', 'clubID': '13', 'value': '€28.00m'}, {'date': 'Jun 5, 2017', 'age': '22', 'clubName': 'Atlético de Madrid', 'clubID': '13', 'value': '€28.00m'}, {'date': 'Jan 1, 2018', 'age': '22', 'clubName': 'Atlético de Madrid', 'clubID': '13', 'value': '€35.00m'}, {'date': 'May 30, 2018', 'age': '23', 'clubName': 'Atlético de Madrid', 'clubID': '13', 'value': '€45.00m'}, {'date': 'Jul 16, 2018', 'age': '23', 'clubName': 'Atlético de Madrid', 'clubID': '13', 'value': '€50.00m'}, {'date': 'Dec 21, 2018', 'age': '23', 'clubName': 'Atlético de Madrid', 'clubID': '13', 'value': '€50.00m'}, {'date': 'Feb 28, 2019', 'age': '24', 'clubName': 'Atlético de Madrid', 'clubID': '13', 'value': '€70.00m'}, {'date': 'Jun 11, 2019', 'age': '24', 'clubName': 'Atlético de Madrid', 'clubID': '13', 'value': '€70.00m'}, {'date': 'Dec 20, 2019', 'age': '24', 'clubName': 'Atlético de Madrid', 'clubID': '13', 'value': '€70.00m'}, {'date': 'Apr 8, 2020', 'age': '25', 'clubName': 'Atlético de Madrid', 'clubID': '13', 'value': '€56.00m'}, {'date': 'Oct 8, 2020', 'age': '25', 'clubName': 'Atlético de Madrid', 'clubID': '13', 'value': '€70.00m'}, {'date': 'Jan 5, 2021', 'age': '25', 'clubName': 'Atlético de Madrid', 'clubID': '13', 'value': '€65.00m'}, {'date': 'Mar 19, 2021', 'age': '26', 'clubName': 'Atlético de Madrid', 'clubID': '13', 'value': '€60.00m'}, {'date': 'Jun 10, 2021', 'age': '26', 'clubName': 'Atlético de Madrid', 'clubID': '13', 'value': '€60.00m'}, {'date': 'Dec 30, 2021', 'age': '26', 'clubName': 'Atlético de Madrid', 'clubID': '13', 'value': '€50.00m'}, {'date': 'Jun 3, 2022', 'age': '27', 'clubName': 'Atlético de Madrid', 'clubID': '13', 'value': '€50.00m'}, {'date': 'Sep 23, 2022', 'age': '27', 'clubName': 'Atlético de Madrid', 'clubID': '13', 'value': '€45.00m'}, {'date': 'Nov 7, 2022', 'age': '27', 'clubName': 'Atlético de Madrid', 'clubID': '13', 'value': '€40.00m'}, {'date': 'Mar 23, 2023', 'age': '28', 'clubName': 'Atlético de Madrid', 'clubID': '13', 'value': '€35.00m'}, {'date': 'Jun 13, 2023', 'age': '28', 'clubName': 'Atlético de Madrid', 'clubID': '13', 'value': '€35.00m'}, {'date': 'Dec 22, 2023', 'age': '28', 'clubName': 'Atlético de Madrid', 'clubID': '13', 'value': '€30.00m'}, {'date': 'Mar 21, 2024', 'age': '29', 'clubName': 'Atlético de Madrid', 'clubID': '13', 'value': '€25.00m'}, {'date': 'Jun 7, 2024', 'age': '29', 'clubName': 'Atlético de Madrid', 'clubID': '13', 'value': '€22.00m'}, {'date': 'Dec 27, 2024', 'age': '29', 'clubName': 'Atlético de Madrid', 'clubID': '13', 'value': '€20.00m'}, {'date': 'Jun 9, 2025', 'age': '30', 'clubName': 'Atlético de Madrid', 'clubID': '13', 'value': '€20.00m'}, {'date': 'Oct 2, 2025', 'age': '30', 'clubName': 'Atlético de Madrid', 'clubID': '13', 'value': '€15.00m'}, {'date': 'Dec 12, 2025', 'age': '30', 'clubName': 'Atlético de Madrid', 'clubID': '13', 'value': '€14.00m'}, {'date': 'Mar 16, 2026', 'age': '31', 'clubName': 'Atlético de Madrid', 'clubID': '13', 'value': '€12.00m'}]}</t>
        </is>
      </c>
      <c r="L103" t="inlineStr">
        <is>
          <t>Uruguay</t>
        </is>
      </c>
      <c r="M103" t="inlineStr">
        <is>
          <t>1995-01-20</t>
        </is>
      </c>
      <c r="N103" t="inlineStr">
        <is>
          <t>99</t>
        </is>
      </c>
      <c r="O103">
        <f>(50+45+40)/3</f>
        <v/>
      </c>
      <c r="P103">
        <f>(65+60+60+50)/4</f>
        <v/>
      </c>
    </row>
    <row r="104">
      <c r="A104" t="inlineStr">
        <is>
          <t>Paulinho</t>
        </is>
      </c>
      <c r="B104" t="inlineStr">
        <is>
          <t>Sporting CP</t>
        </is>
      </c>
      <c r="C104" t="inlineStr">
        <is>
          <t>Forward</t>
        </is>
      </c>
      <c r="D104" t="n">
        <v>582</v>
      </c>
      <c r="E104" t="n">
        <v>8</v>
      </c>
      <c r="F104" t="n">
        <v>3</v>
      </c>
      <c r="G104" t="n">
        <v>1</v>
      </c>
      <c r="H104" t="n">
        <v>68.2</v>
      </c>
      <c r="I104" t="n">
        <v>32</v>
      </c>
      <c r="J104" t="n">
        <v>57229</v>
      </c>
      <c r="K104" t="inlineStr">
        <is>
          <t>{'id': '57229', 'marketValue': '€400k', 'marketValueHistory': [{'age': '19', 'date': 'Nov 1, 2007', 'clubName': 'LKS Lodz', 'value': '€150k', 'clubID': '256'}, {'age': '19', 'date': 'Jun 11, 2008', 'clubName': 'LKS Lodz', 'value': '€175k', 'clubID': '256'}, {'age': '21', 'date': 'Sep 6, 2009', 'clubName': 'Clube Atlético Bragantino (SP)', 'value': '€400k', 'clubID': '8793'}, {'age': '21', 'date': 'Jun 6, 2010', 'clubName': 'Sport Club Corinthians Paulista', 'value': '€850k', 'clubID': '199'}, {'age': '22', 'date': 'Sep 6, 2010', 'clubName': 'Sport Club Corinthians Paulista', 'value': '€1.00m', 'clubID': '199'}, {'age': '22', 'date': 'May 30, 2011', 'clubName': 'Sport Club Corinthians Paulista', 'value': '€1.00m', 'clubID': '199'}, {'age': '22', 'date': 'Jul 15, 2011', 'clubName': 'Sport Club Corinthians Paulista', 'value': '€2.00m', 'clubID': '199'}, {'age': '23', 'date': 'Aug 29, 2011', 'clubName': 'Sport Club Corinthians Paulista', 'value': '€2.50m', 'clubID': '199'}, {'age': '23', 'date': 'Dec 8, 2011', 'clubName': 'Sport Club Corinthians Paulista', 'value': '€6.00m', 'clubID': '199'}, {'age': '23', 'date': 'May 24, 2012', 'clubName': 'Sport Club Corinthians Paulista', 'value': '€7.50m', 'clubID': '199'}, {'age': '24', 'date': 'Dec 5, 2012', 'clubName': 'Sport Club Corinthians Paulista', 'value': '€12.00m', 'clubID': '199'}, {'age': '25', 'date': 'Sep 18, 2013', 'clubName': 'Tottenham Hotspur', 'value': '€20.00m', 'clubID': '148'}, {'age': '25', 'date': 'Jan 15, 2014', 'clubName': 'Tottenham Hotspur', 'value': '€16.00m', 'clubID': '148'}, {'age': '26', 'date': 'Aug 12, 2014', 'clubName': 'Tottenham Hotspur', 'value': '€16.00m', 'clubID': '148'}, {'age': '26', 'date': 'Feb 12, 2015', 'clubName': 'Tottenham Hotspur', 'value': '€12.00m', 'clubID': '148'}, {'age': '26', 'date': 'Jun 29, 2015', 'clubName': 'Tottenham Hotspur', 'value': '€9.00m', 'clubID': '148'}, {'age': '27', 'date': 'Nov 1, 2015', 'clubName': 'Guangzhou Evergrande Taobao', 'value': '€10.00m', 'clubID': '10948'}, {'age': '27', 'date': 'Jun 20, 2016', 'clubName': 'Guangzhou Evergrande Taobao', 'value': '€9.00m', 'clubID': '10948'}, {'age': '28', 'date': 'Nov 20, 2016', 'clubName': 'Guangzhou Evergrande Taobao', 'value': '€10.00m', 'clubID': '10948'}, {'age': '28', 'date': 'Mar 5, 2017', 'clubName': 'Guangzhou Evergrande Taobao', 'value': '€10.00m', 'clubID': '10948'}, {'age': '28', 'date': 'Jun 19, 2017', 'clubName': 'Guangzhou Evergrande Taobao', 'value': '€15.00m', 'clubID': '10948'}, {'age': '29', 'date': 'Aug 17, 2017', 'clubName': 'FC Barcelona', 'value': '€20.00m', 'clubID': '131'}, {'age': '29', 'date': 'Jan 1, 2018', 'clubName': 'FC Barcelona', 'value': '€40.00m', 'clubID': '131'}, {'age': '29', 'date': 'May 30, 2018', 'clubName': 'FC Barcelona', 'value': '€40.00m', 'clubID': '131'}, {'age': '30', 'date': 'Dec 9, 2018', 'clubName': 'Guangzhou Evergrande Taobao', 'value': '€38.00m', 'clubID': '10948'}, {'age': '31', 'date': 'Sep 5, 2019', 'clubName': 'Guangzhou Evergrande Taobao', 'value': '€35.00m', 'clubID': '10948'}, {'age': '31', 'date': 'Dec 27, 2019', 'clubName': 'Guangzhou Evergrande Taobao', 'value': '€23.00m', 'clubID': '10948'}, {'age': '31', 'date': 'Apr 8, 2020', 'clubName': 'Guangzhou Evergrande Taobao', 'value': '€18.50m', 'clubID': '10948'}, {'age': '32', 'date': 'Dec 26, 2020', 'clubName': 'Guangzhou FC', 'value': '€11.00m', 'clubID': '10948'}, {'age': '32', 'date': 'Apr 26, 2021', 'clubName': 'Guangzhou FC', 'value': '€9.50m', 'clubID': '10948'}, {'age': '33', 'date': 'Oct 28, 2021', 'clubName': 'Without Club', 'value': '€5.00m', 'clubID': '515'}, {'age': '33', 'date': 'Apr 6, 2022', 'clubName': 'Sport Club Corinthians Paulista', 'value': '€4.50m', 'clubID': '199'}, {'age': '34', 'date': 'Aug 19, 2022', 'clubName': 'Sport Club Corinthians Paulista', 'value': '€2.00m', 'clubID': '199'}, {'age': '34', 'date': 'Nov 14, 2022', 'clubName': 'Sport Club Corinthians Paulista', 'value': '€1.50m', 'clubID': '199'}, {'age': '34', 'date': 'Apr 7, 2023', 'clubName': 'Sport Club Corinthians Paulista', 'value': '€1.20m', 'clubID': '199'}, {'age': '35', 'date': 'Jul 25, 2023', 'clubName': 'Sport Club Corinthians Paulista', 'value': '€800k', 'clubID': '199'}, {'age': '35', 'date': 'Dec 11, 2023', 'clubName': 'Sport Club Corinthians Paulista', 'value': '€500k', 'clubID': '199'}, {'age': '35', 'date': 'Mar 28, 2024', 'clubName': 'Sport Club Corinthians Paulista', 'value': '€400k', 'clubID': '199'}], 'updatedAt': datetime.datetime(2024, 5, 23, 22, 27, 58, 753753)}</t>
        </is>
      </c>
      <c r="L104" t="inlineStr">
        <is>
          <t>Brazil</t>
        </is>
      </c>
      <c r="M104" t="inlineStr">
        <is>
          <t>1988-07-25</t>
        </is>
      </c>
      <c r="N104" t="inlineStr">
        <is>
          <t>Brazil</t>
        </is>
      </c>
      <c r="O104">
        <f>(4.5+2+1.5)/3</f>
        <v/>
      </c>
      <c r="P104">
        <f>(9.5+5)/2</f>
        <v/>
      </c>
    </row>
    <row r="105">
      <c r="A105" t="inlineStr">
        <is>
          <t>Sterling</t>
        </is>
      </c>
      <c r="B105" t="inlineStr">
        <is>
          <t>Man City</t>
        </is>
      </c>
      <c r="C105" t="inlineStr">
        <is>
          <t>Midfielder</t>
        </is>
      </c>
      <c r="D105" t="n">
        <v>581</v>
      </c>
      <c r="E105" t="n">
        <v>12</v>
      </c>
      <c r="F105" t="n">
        <v>3</v>
      </c>
      <c r="G105" t="n">
        <v>2</v>
      </c>
      <c r="H105" t="n">
        <v>71.2</v>
      </c>
      <c r="I105" t="n">
        <v>34.3</v>
      </c>
      <c r="J105" t="n">
        <v>134425</v>
      </c>
      <c r="K105" t="inlineStr">
        <is>
          <t>{'marketValueHistory': [{'date': 'Sep 11, 2012', 'age': '17', 'clubName': 'Liverpool FC', 'clubID': '31', 'value': '€2.50m'}, {'date': 'Jan 28, 2013', 'age': '18', 'clubName': 'Liverpool FC', 'clubID': '31', 'value': '€11.50m'}, {'date': 'Jul 2, 2013', 'age': '18', 'clubName': 'Liverpool FC', 'clubID': '31', 'value': '€12.50m'}, {'date': 'Jan 15, 2014', 'age': '19', 'clubName': 'Liverpool FC', 'clubID': '31', 'value': '€13.00m'}, {'date': 'Aug 12, 2014', 'age': '19', 'clubName': 'Liverpool FC', 'clubID': '31', 'value': '€20.00m'}, {'date': 'Feb 12, 2015', 'age': '20', 'clubName': 'Liverpool FC', 'clubID': '31', 'value': '€30.00m'}, {'date': 'Jul 1, 2015', 'age': '20', 'clubName': 'Liverpool FC', 'clubID': '31', 'value': '€40.00m'}, {'date': 'Oct 14, 2015', 'age': '20', 'clubName': 'Manchester City', 'clubID': '281', 'value': '€50.00m'}, {'date': 'Feb 9, 2016', 'age': '21', 'clubName': 'Manchester City', 'clubID': '281', 'value': '€50.00m'}, {'date': 'Jun 1, 2016', 'age': '21', 'clubName': 'Manchester City', 'clubID': '281', 'value': '€45.00m'}, {'date': 'Aug 1, 2016', 'age': '21', 'clubName': 'Manchester City', 'clubID': '281', 'value': '€45.00m'}, {'date': 'Feb 20, 2017', 'age': '22', 'clubName': 'Manchester City', 'clubID': '281', 'value': '€45.00m'}, {'date': 'Jun 28, 2017', 'age': '22', 'clubName': 'Manchester City', 'clubID': '281', 'value': '€45.00m'}, {'date': 'Oct 23, 2017', 'age': '22', 'clubName': 'Manchester City', 'clubID': '281', 'value': '€50.00m'}, {'date': 'Jan 2, 2018', 'age': '23', 'clubName': 'Manchester City', 'clubID': '281', 'value': '€80.00m'}, {'date': 'May 28, 2018', 'age': '23', 'clubName': 'Manchester City', 'clubID': '281', 'value': '€90.00m'}, {'date': 'Dec 19, 2018', 'age': '24', 'clubName': 'Manchester City', 'clubID': '281', 'value': '€120.00m'}, {'date': 'Jun 13, 2019', 'age': '24', 'clubName': 'Manchester City', 'clubID': '281', 'value': '€140.00m'}, {'date': 'Dec 10, 2019', 'age': '25', 'clubName': 'Manchester City', 'clubID': '281', 'value': '€160.00m'}, {'date': 'Apr 8, 2020', 'age': '25', 'clubName': 'Manchester City', 'clubID': '281', 'value': '€128.00m'}, {'date': 'Oct 13, 2020', 'age': '25', 'clubName': 'Manchester City', 'clubID': '281', 'value': '€128.00m'}, {'date': 'Dec 17, 2020', 'age': '26', 'clubName': 'Manchester City', 'clubID': '281', 'value': '€110.00m'}, {'date': 'Mar 18, 2021', 'age': '26', 'clubName': 'Manchester City', 'clubID': '281', 'value': '€100.00m'}, {'date': 'May 28, 2021', 'age': '26', 'clubName': 'Manchester City', 'clubID': '281', 'value': '€90.00m'}, {'date': 'Dec 23, 2021', 'age': '27', 'clubName': 'Manchester City', 'clubID': '281', 'value': '€85.00m'}, {'date': 'Jun 15, 2022', 'age': '27', 'clubName': 'Manchester City', 'clubID': '281', 'value': '€70.00m'}, {'date': 'Nov 3, 2022', 'age': '27', 'clubName': 'Chelsea FC', 'clubID': '631', 'value': '€70.00m'}, {'date': 'Mar 16, 2023', 'age': '28', 'clubName': 'Chelsea FC', 'clubID': '631', 'value': '€60.00m'}, {'date': 'Jun 20, 2023', 'age': '28', 'clubName': 'Chelsea FC', 'clubID': '631', 'value': '€55.00m'}, {'date': 'Oct 9, 2023', 'age': '28', 'clubName': 'Chelsea FC', 'clubID': '631', 'value': '€50.00m'}, {'date': 'Dec 19, 2023', 'age': '29', 'clubName': 'Chelsea FC', 'clubID': '631', 'value': '€45.00m'}, {'date': 'May 27, 2024', 'age': '29', 'clubName': 'Chelsea FC', 'clubID': '631', 'value': '€35.00m'}, {'date': 'Dec 16, 2024', 'age': '30', 'clubName': 'Arsenal FC', 'clubID': '11', 'value': '€22.00m'}, {'date': 'Mar 18, 2025', 'age': '30', 'clubName': 'Arsenal FC', 'clubID': '11', 'value': '€15.00m'}, {'date': 'May 30, 2025', 'age': '30', 'clubName': 'Arsenal FC', 'clubID': '11', 'value': '€10.00m'}, {'date': 'Oct 17, 2025', 'age': '30', 'clubName': 'Chelsea FC', 'clubID': '631', 'value': '€7.00m'}, {'date': 'Dec 9, 2025', 'age': '31', 'clubName': 'Chelsea FC', 'clubID': '631', 'value': '€5.00m'}]}</t>
        </is>
      </c>
      <c r="L105" t="inlineStr">
        <is>
          <t>United Kingdom</t>
        </is>
      </c>
      <c r="M105" t="inlineStr">
        <is>
          <t>1994-12-08</t>
        </is>
      </c>
      <c r="N105" t="inlineStr">
        <is>
          <t>82</t>
        </is>
      </c>
      <c r="O105">
        <f>(70+70)/2</f>
        <v/>
      </c>
      <c r="P105">
        <f>(100+90+85)/3</f>
        <v/>
      </c>
    </row>
    <row r="106">
      <c r="A106" t="inlineStr">
        <is>
          <t>Nuno Mendes</t>
        </is>
      </c>
      <c r="B106" t="inlineStr">
        <is>
          <t>Paris</t>
        </is>
      </c>
      <c r="C106" t="inlineStr">
        <is>
          <t>Defender</t>
        </is>
      </c>
      <c r="D106" t="n">
        <v>581</v>
      </c>
      <c r="E106" t="n">
        <v>8</v>
      </c>
      <c r="F106" t="n">
        <v>0</v>
      </c>
      <c r="G106" t="n">
        <v>0</v>
      </c>
      <c r="H106" t="n">
        <v>62.2</v>
      </c>
      <c r="I106" t="n">
        <v>34.7</v>
      </c>
      <c r="J106" t="n">
        <v>616341</v>
      </c>
      <c r="K106" t="inlineStr">
        <is>
          <t>{'marketValueHistory': [{'date': 'Aug 17, 2020', 'age': '18', 'clubName': 'Sporting CP', 'clubID': '336', 'value': '€7.00m'}, {'date': 'Oct 22, 2020', 'age': '18', 'clubName': 'Sporting CP', 'clubID': '336', 'value': '€12.00m'}, {'date': 'Jan 28, 2021', 'age': '18', 'clubName': 'Sporting CP', 'clubID': '336', 'value': '€17.00m'}, {'date': 'Mar 25, 2021', 'age': '18', 'clubName': 'Sporting CP', 'clubID': '336', 'value': '€25.00m'}, {'date': 'Jun 1, 2021', 'age': '18', 'clubName': 'Sporting CP', 'clubID': '336', 'value': '€40.00m'}, {'date': 'Dec 16, 2021', 'age': '19', 'clubName': 'Paris Saint-Germain', 'clubID': '583', 'value': '€40.00m'}, {'date': 'May 30, 2022', 'age': '19', 'clubName': 'Paris Saint-Germain', 'clubID': '583', 'value': '€40.00m'}, {'date': 'Sep 19, 2022', 'age': '20', 'clubName': 'Paris Saint-Germain', 'clubID': '583', 'value': '€50.00m'}, {'date': 'Nov 2, 2022', 'age': '20', 'clubName': 'Paris Saint-Germain', 'clubID': '583', 'value': '€60.00m'}, {'date': 'Mar 27, 2023', 'age': '20', 'clubName': 'Paris Saint-Germain', 'clubID': '583', 'value': '€65.00m'}, {'date': 'Jun 27, 2023', 'age': '21', 'clubName': 'Paris Saint-Germain', 'clubID': '583', 'value': '€65.00m'}, {'date': 'Dec 18, 2023', 'age': '21', 'clubName': 'Paris Saint-Germain', 'clubID': '583', 'value': '€60.00m'}, {'date': 'Jun 3, 2024', 'age': '21', 'clubName': 'Paris Saint-Germain', 'clubID': '583', 'value': '€55.00m'}, {'date': 'Dec 10, 2024', 'age': '22', 'clubName': 'Paris Saint-Germain', 'clubID': '583', 'value': '€55.00m'}, {'date': 'Jun 3, 2025', 'age': '22', 'clubName': 'Paris Saint-Germain', 'clubID': '583', 'value': '€70.00m'}, {'date': 'Oct 10, 2025', 'age': '23', 'clubName': 'Paris Saint-Germain', 'clubID': '583', 'value': '€75.00m'}, {'date': 'Dec 15, 2025', 'age': '23', 'clubName': 'Paris Saint-Germain', 'clubID': '583', 'value': '€75.00m'}]}</t>
        </is>
      </c>
      <c r="L106" t="inlineStr">
        <is>
          <t>Portugal</t>
        </is>
      </c>
      <c r="M106" t="inlineStr">
        <is>
          <t>2002-06-19</t>
        </is>
      </c>
      <c r="N106" t="inlineStr">
        <is>
          <t>43</t>
        </is>
      </c>
      <c r="O106">
        <f>(40+50+60)/3</f>
        <v/>
      </c>
      <c r="P106">
        <f>(17+25+40+40)/4</f>
        <v/>
      </c>
    </row>
    <row r="107">
      <c r="A107" t="inlineStr">
        <is>
          <t>Bonucci</t>
        </is>
      </c>
      <c r="B107" t="inlineStr">
        <is>
          <t>Juventus</t>
        </is>
      </c>
      <c r="C107" t="inlineStr">
        <is>
          <t>Defender</t>
        </is>
      </c>
      <c r="D107" t="n">
        <v>580</v>
      </c>
      <c r="E107" t="n">
        <v>7</v>
      </c>
      <c r="F107" t="n">
        <v>0</v>
      </c>
      <c r="G107" t="n">
        <v>0</v>
      </c>
      <c r="H107" t="n">
        <v>60.6</v>
      </c>
      <c r="I107" t="n">
        <v>30.3</v>
      </c>
      <c r="J107" t="n">
        <v>39983</v>
      </c>
      <c r="K107" t="inlineStr">
        <is>
          <t>{'marketValueHistory': [{'date': '01/06/2006', 'age': '19', 'clubName': 'Inter Milan Primavera', 'clubID': '46', 'value': '€50k'}, {'date': '05/05/2007', 'age': '20', 'clubName': 'Inter Milan', 'clubID': '46', 'value': '€50k'}, {'date': '15/07/2008', 'age': '21', 'clubName': 'Treviso FBC 1993', 'clubID': '2251', 'value': '€300k'}, {'date': '17/06/2009', 'age': '22', 'clubName': 'AC Pisa 1909', 'clubID': '4172', 'value': '€400k'}, {'date': '22/09/2009', 'age': '22', 'clubName': 'AS Bari', 'clubID': '332', 'value': '€2.50m'}, {'date': '27/01/2010', 'age': '22', 'clubName': 'AS Bari', 'clubID': '332', 'value': '€5.00m'}, {'date': '05/03/2010', 'age': '22', 'clubName': 'AS Bari', 'clubID': '332', 'value': '€6.00m'}, {'date': '09/05/2010', 'age': '23', 'clubName': 'AS Bari', 'clubID': '332', 'value': '€8.00m'}, {'date': '02/08/2010', 'age': '23', 'clubName': 'Juventus FC', 'clubID': '506', 'value': '€13.00m'}, {'date': '20/01/2011', 'age': '23', 'clubName': 'Juventus FC', 'clubID': '506', 'value': '€15.00m'}, {'date': '21/06/2011', 'age': '24', 'clubName': 'Juventus FC', 'clubID': '506', 'value': '€13.50m'}, {'date': '11/01/2012', 'age': '24', 'clubName': 'Juventus FC', 'clubID': '506', 'value': '€13.50m'}, {'date': '03/07/2012', 'age': '25', 'clubName': 'Juventus FC', 'clubID': '506', 'value': '€15.00m'}, {'date': '15/01/2013', 'age': '25', 'clubName': 'Juventus FC', 'clubID': '506', 'value': '€18.00m'}, {'date': '19/06/2013', 'age': '26', 'clubName': 'Juventus FC', 'clubID': '506', 'value': '€20.00m'}, {'date': '07/01/2014', 'age': '26', 'clubName': 'Juventus FC', 'clubID': '506', 'value': '€20.00m'}, {'date': '11/07/2014', 'age': '27', 'clubName': 'Juventus FC', 'clubID': '506', 'value': '€18.00m'}, {'date': '07/01/2015', 'age': '27', 'clubName': 'Juventus FC', 'clubID': '506', 'value': '€20.00m'}, {'date': '01/07/2015', 'age': '28', 'clubName': 'Juventus FC', 'clubID': '506', 'value': '€26.00m'}, {'date': '04/01/2016', 'age': '28', 'clubName': 'Juventus FC', 'clubID': '506', 'value': '€30.00m'}, {'date': '01/06/2016', 'age': '29', 'clubName': 'Juventus FC', 'clubID': '506', 'value': '€30.00m'}, {'date': '15/07/2016', 'age': '29', 'clubName': 'Juventus FC', 'clubID': '506', 'value': '€35.00m'}, {'date': '14/10/2016', 'age': '29', 'clubName': 'Juventus FC', 'clubID': '506', 'value': '€40.00m'}, {'date': '02/01/2017', 'age': '29', 'clubName': 'Juventus FC', 'clubID': '506', 'value': '€40.00m'}, {'date': '08/06/2017', 'age': '30', 'clubName': 'Juventus FC', 'clubID': '506', 'value': '€45.00m'}, {'date': '13/10/2017', 'age': '30', 'clubName': 'AC Milan', 'clubID': '5', 'value': '€40.00m'}, {'date': '29/12/2017', 'age': '30', 'clubName': 'AC Milan', 'clubID': '5', 'value': '€35.00m'}, {'date': '07/06/2018', 'age': '31', 'clubName': 'AC Milan', 'clubID': '5', 'value': '€35.00m'}, {'date': '20/12/2018', 'age': '31', 'clubName': 'Juventus FC', 'clubID': '506', 'value': '€35.00m'}, {'date': '06/06/2019', 'age': '32', 'clubName': 'Juventus FC', 'clubID': '506', 'value': '€28.00m'}, {'date': '12/12/2019', 'age': '32', 'clubName': 'Juventus FC', 'clubID': '506', 'value': '€25.00m'}, {'date': '08/04/2020', 'age': '32', 'clubName': 'Juventus FC', 'clubID': '506', 'value': '€20.00m'}, {'date': '25/08/2020', 'age': '33', 'clubName': 'Juventus FC', 'clubID': '506', 'value': '€18.00m'}, {'date': '29/12/2020', 'age': '33', 'clubName': 'Juventus FC', 'clubID': '506', 'value': '€13.00m'}, {'date': '23/03/2021', 'age': '33', 'clubName': 'Juventus FC', 'clubID': '506', 'value': '€10.00m'}, {'date': '25/05/2021', 'age': '34', 'clubName': 'Juventus FC', 'clubID': '506', 'value': '€8.00m'}, {'date': '28/12/2021', 'age': '34', 'clubName': 'Juventus FC', 'clubID': '506', 'value': '€8.00m'}, {'date': '07/06/2022', 'age': '35', 'clubName': 'Juventus FC', 'clubID': '506', 'value': '€6.00m'}, {'date': '11/11/2022', 'age': '35', 'clubName': 'Juventus FC', 'clubID': '506', 'value': '€4.00m'}, {'date': '21/03/2023', 'age': '35', 'clubName': 'Juventus FC', 'clubID': '506', 'value': '€2.50m'}, {'date': '15/06/2023', 'age': '36', 'clubName': 'Juventus FC', 'clubID': '506', 'value': '€1.50m'}, {'date': '14/12/2023', 'age': '36', 'clubName': '1.FC Union Berlin', 'clubID': '89', 'value': '€1.50m'}, {'date': '15/03/2024', 'age': '36', 'clubName': 'Fenerbahce', 'clubID': '36', 'value': '€1.30m'}, {'date': '31/05/2024', 'age': '37', 'clubName': 'Fenerbahce', 'clubID': '36', 'value': '€1.00m'}, {'date': '01/07/2024', 'age': '37', 'clubName': 'Retired', 'clubID': '123', 'value': '-'}]}</t>
        </is>
      </c>
      <c r="L107" t="inlineStr">
        <is>
          <t>Italy</t>
        </is>
      </c>
      <c r="M107" t="inlineStr">
        <is>
          <t>1987-05-01</t>
        </is>
      </c>
      <c r="N107" t="inlineStr">
        <is>
          <t>121</t>
        </is>
      </c>
      <c r="O107">
        <f>(6+4)/2</f>
        <v/>
      </c>
      <c r="P107">
        <f>(10+8+8)/3</f>
        <v/>
      </c>
    </row>
    <row r="108">
      <c r="A108" t="inlineStr">
        <is>
          <t>Diogo Jota</t>
        </is>
      </c>
      <c r="B108" t="inlineStr">
        <is>
          <t>Liverpool</t>
        </is>
      </c>
      <c r="C108" t="inlineStr">
        <is>
          <t>Forward</t>
        </is>
      </c>
      <c r="D108" t="n">
        <v>578</v>
      </c>
      <c r="E108" t="n">
        <v>11</v>
      </c>
      <c r="F108" t="n">
        <v>1</v>
      </c>
      <c r="G108" t="n">
        <v>1</v>
      </c>
      <c r="H108" t="n">
        <v>73.90000000000001</v>
      </c>
      <c r="I108" t="n">
        <v>32.9</v>
      </c>
      <c r="J108" t="n">
        <v>340950</v>
      </c>
      <c r="K108" t="inlineStr">
        <is>
          <t>{'marketValueHistory': [{'date': '30/09/2014', 'age': '17', 'clubName': 'FC Paços de Ferreira U19', 'clubID': '15565', 'value': '€100k'}, {'date': '17/02/2015', 'age': '18', 'clubName': 'FC Paços de Ferreira', 'clubID': '2995', 'value': '€250k'}, {'date': '01/07/2015', 'age': '18', 'clubName': 'FC Paços de Ferreira', 'clubID': '2995', 'value': '€700k'}, {'date': '24/02/2016', 'age': '19', 'clubName': 'FC Paços de Ferreira', 'clubID': '2995', 'value': '€3.00m'}, {'date': '15/07/2016', 'age': '19', 'clubName': 'Atlético de Madrid', 'clubID': '13', 'value': '€7.00m'}, {'date': '22/02/2017', 'age': '20', 'clubName': 'FC Porto', 'clubID': '720', 'value': '€8.00m'}, {'date': '26/06/2017', 'age': '20', 'clubName': 'FC Porto', 'clubID': '720', 'value': '€8.00m'}, {'date': '27/02/2018', 'age': '21', 'clubName': 'Wolverhampton Wanderers', 'clubID': '543', 'value': '€12.00m'}, {'date': '13/08/2018', 'age': '21', 'clubName': 'Wolverhampton Wanderers', 'clubID': '543', 'value': '€18.00m'}, {'date': '19/12/2018', 'age': '22', 'clubName': 'Wolverhampton Wanderers', 'clubID': '543', 'value': '€18.00m'}, {'date': '13/06/2019', 'age': '22', 'clubName': 'Wolverhampton Wanderers', 'clubID': '543', 'value': '€35.00m'}, {'date': '10/12/2019', 'age': '23', 'clubName': 'Wolverhampton Wanderers', 'clubID': '543', 'value': '€35.00m'}, {'date': '08/04/2020', 'age': '23', 'clubName': 'Wolverhampton Wanderers', 'clubID': '543', 'value': '€28.00m'}, {'date': '13/10/2020', 'age': '23', 'clubName': 'Liverpool FC', 'clubID': '31', 'value': '€40.00m'}, {'date': '18/03/2021', 'age': '24', 'clubName': 'Liverpool FC', 'clubID': '31', 'value': '€40.00m'}, {'date': '01/06/2021', 'age': '24', 'clubName': 'Liverpool FC', 'clubID': '31', 'value': '€45.00m'}, {'date': '23/12/2021', 'age': '25', 'clubName': 'Liverpool FC', 'clubID': '31', 'value': '€60.00m'}, {'date': '15/06/2022', 'age': '25', 'clubName': 'Liverpool FC', 'clubID': '31', 'value': '€60.00m'}, {'date': '03/11/2022', 'age': '25', 'clubName': 'Liverpool FC', 'clubID': '31', 'value': '€55.00m'}, {'date': '20/06/2023', 'age': '26', 'clubName': 'Liverpool FC', 'clubID': '31', 'value': '€50.00m'}, {'date': '19/12/2023', 'age': '27', 'clubName': 'Liverpool FC', 'clubID': '31', 'value': '€50.00m'}, {'date': '27/05/2024', 'age': '27', 'clubName': 'Liverpool FC', 'clubID': '31', 'value': '€50.00m'}, {'date': '16/12/2024', 'age': '28', 'clubName': 'Liverpool FC', 'clubID': '31', 'value': '€50.00m'}, {'date': '18/03/2025', 'age': '28', 'clubName': 'Liverpool FC', 'clubID': '31', 'value': '€45.00m'}, {'date': '30/05/2025', 'age': '28', 'clubName': 'Liverpool FC', 'clubID': '31', 'value': '€40.00m'}]}</t>
        </is>
      </c>
      <c r="L108" t="inlineStr">
        <is>
          <t>Portugal</t>
        </is>
      </c>
      <c r="M108" t="inlineStr">
        <is>
          <t>1996-12-04</t>
        </is>
      </c>
      <c r="N108" t="inlineStr">
        <is>
          <t>49</t>
        </is>
      </c>
      <c r="O108">
        <f>(60+55)/2</f>
        <v/>
      </c>
      <c r="P108">
        <f>(40+45+60)/3</f>
        <v/>
      </c>
    </row>
    <row r="109">
      <c r="A109" t="inlineStr">
        <is>
          <t>Kondogbia</t>
        </is>
      </c>
      <c r="B109" t="inlineStr">
        <is>
          <t>Atletico de Madrid</t>
        </is>
      </c>
      <c r="C109" t="inlineStr">
        <is>
          <t>Midfielder</t>
        </is>
      </c>
      <c r="D109" t="n">
        <v>578</v>
      </c>
      <c r="E109" t="n">
        <v>9</v>
      </c>
      <c r="F109" t="n">
        <v>0</v>
      </c>
      <c r="G109" t="n">
        <v>0</v>
      </c>
      <c r="H109" t="n">
        <v>71.3</v>
      </c>
      <c r="I109" t="n">
        <v>32.3</v>
      </c>
      <c r="J109" t="n">
        <v>127189</v>
      </c>
      <c r="K109" t="inlineStr">
        <is>
          <t>{'id': '127189', 'marketValue': '€15.00m', 'marketValueHistory': [{'age': '18', 'date': 'Jul 22, 2011', 'clubName': 'RC Lens', 'value': '€250k', 'clubID': '826'}, {'age': '18', 'date': 'Sep 3, 2011', 'clubName': 'RC Lens', 'value': '€750k', 'clubID': '826'}, {'age': '18', 'date': 'Dec 24, 2011', 'clubName': 'RC Lens', 'value': '€1.50m', 'clubID': '826'}, {'age': '19', 'date': 'Jun 1, 2012', 'clubName': 'RC Lens', 'value': '€3.00m', 'clubID': '826'}, {'age': '19', 'date': 'Aug 7, 2012', 'clubName': 'Sevilla FC', 'value': '€4.00m', 'clubID': '368'}, {'age': '19', 'date': 'Jan 11, 2013', 'clubName': 'Sevilla FC', 'value': '€5.00m', 'clubID': '368'}, {'age': '20', 'date': 'Jun 12, 2013', 'clubName': 'Sevilla FC', 'value': '€10.00m', 'clubID': '368'}, {'age': '20', 'date': 'Aug 7, 2013', 'clubName': 'Sevilla FC', 'value': '€15.00m', 'clubID': '368'}, {'age': '20', 'date': 'Sep 13, 2013', 'clubName': 'AS Monaco', 'value': '€18.00m', 'clubID': '162'}, {'age': '20', 'date': 'Jan 14, 2014', 'clubName': 'AS Monaco', 'value': '€16.00m', 'clubID': '162'}, {'age': '21', 'date': 'Aug 7, 2014', 'clubName': 'AS Monaco', 'value': '€15.50m', 'clubID': '162'}, {'age': '21', 'date': 'Jan 14, 2015', 'clubName': 'AS Monaco', 'value': '€14.00m', 'clubID': '162'}, {'age': '22', 'date': 'Jun 6, 2015', 'clubName': 'AS Monaco', 'value': '€16.00m', 'clubID': '162'}, {'age': '22', 'date': 'Sep 23, 2015', 'clubName': 'Inter Milan', 'value': '€24.00m', 'clubID': '46'}, {'age': '22', 'date': 'Jan 4, 2016', 'clubName': 'Inter Milan', 'value': '€24.00m', 'clubID': '46'}, {'age': '23', 'date': 'Jul 15, 2016', 'clubName': 'Inter Milan', 'value': '€24.00m', 'clubID': '46'}, {'age': '23', 'date': 'Oct 14, 2016', 'clubName': 'Inter Milan', 'value': '€20.00m', 'clubID': '46'}, {'age': '23', 'date': 'Jan 2, 2017', 'clubName': 'Inter Milan', 'value': '€19.00m', 'clubID': '46'}, {'age': '24', 'date': 'Jun 8, 2017', 'clubName': 'Inter Milan', 'value': '€18.00m', 'clubID': '46'}, {'age': '24', 'date': 'Jan 1, 2018', 'clubName': 'Valencia CF', 'value': '€25.00m', 'clubID': '1049'}, {'age': '25', 'date': 'May 30, 2018', 'clubName': 'Valencia CF', 'value': '€30.00m', 'clubID': '1049'}, {'age': '25', 'date': 'Dec 21, 2018', 'clubName': 'Valencia CF', 'value': '€25.00m', 'clubID': '1049'}, {'age': '26', 'date': 'Jun 11, 2019', 'clubName': 'Valencia CF', 'value': '€30.00m', 'clubID': '1049'}, {'age': '26', 'date': 'Dec 20, 2019', 'clubName': 'Valencia CF', 'value': '€28.00m', 'clubID': '1049'}, {'age': '27', 'date': 'Apr 8, 2020', 'clubName': 'Valencia CF', 'value': '€22.50m', 'clubID': '1049'}, {'age': '27', 'date': 'Oct 8, 2020', 'clubName': 'Valencia CF', 'value': '€17.50m', 'clubID': '1049'}, {'age': '27', 'date': 'Jan 5, 2021', 'clubName': 'Atlético de Madrid', 'value': '€15.00m', 'clubID': '13'}, {'age': '28', 'date': 'Jun 10, 2021', 'clubName': 'Atlético de Madrid', 'value': '€15.00m', 'clubID': '13'}, {'age': '28', 'date': 'Dec 30, 2021', 'clubName': 'Atlético de Madrid', 'value': '€15.00m', 'clubID': '13'}, {'age': '29', 'date': 'Jun 3, 2022', 'clubName': 'Atlético de Madrid', 'value': '€20.00m', 'clubID': '13'}, {'age': '29', 'date': 'Nov 7, 2022', 'clubName': 'Atlético de Madrid', 'value': '€20.00m', 'clubID': '13'}, {'age': '30', 'date': 'Mar 23, 2023', 'clubName': 'Atlético de Madrid', 'value': '€18.00m', 'clubID': '13'}, {'age': '30', 'date': 'Jun 13, 2023', 'clubName': 'Atlético de Madrid', 'value': '€14.00m', 'clubID': '13'}, {'age': '30', 'date': 'Dec 18, 2023', 'clubName': 'Olympique Marseille', 'value': '€15.00m', 'clubID': '244'}], 'ranking': {'Worldwide': '644', 'Ligue 1': '57', 'Marseille': '3', 'Central African Republic': '1', 'Defensive Midfield': '64', 'Year 1993': '19'}, 'updatedAt': datetime.datetime(2024, 5, 23, 22, 28, 10, 340803)}</t>
        </is>
      </c>
      <c r="L109" t="inlineStr">
        <is>
          <t>France</t>
        </is>
      </c>
      <c r="M109" t="inlineStr">
        <is>
          <t>1993-02-15</t>
        </is>
      </c>
      <c r="N109" t="inlineStr">
        <is>
          <t>21</t>
        </is>
      </c>
      <c r="O109">
        <f>(20+20)/2</f>
        <v/>
      </c>
      <c r="P109">
        <f>(15+15+15)/3</f>
        <v/>
      </c>
    </row>
    <row r="110">
      <c r="A110" t="inlineStr">
        <is>
          <t>De Paul</t>
        </is>
      </c>
      <c r="B110" t="inlineStr">
        <is>
          <t>Atletico de Madrid</t>
        </is>
      </c>
      <c r="C110" t="inlineStr">
        <is>
          <t>Midfielder</t>
        </is>
      </c>
      <c r="D110" t="n">
        <v>577</v>
      </c>
      <c r="E110" t="n">
        <v>9</v>
      </c>
      <c r="F110" t="n">
        <v>1</v>
      </c>
      <c r="G110" t="n">
        <v>0</v>
      </c>
      <c r="H110" t="n">
        <v>74.5</v>
      </c>
      <c r="I110" t="n">
        <v>32.8</v>
      </c>
      <c r="J110" t="n">
        <v>255901</v>
      </c>
      <c r="K110" t="inlineStr">
        <is>
          <t>{'marketValueHistory': [{'date': 'Apr 29, 2013', 'age': '18', 'clubName': 'Racing Club', 'clubID': '1444', 'value': '€2.00m'}, {'date': 'Jun 30, 2013', 'age': '19', 'clubName': 'Racing Club', 'clubID': '1444', 'value': '€3.50m'}, {'date': 'Jul 20, 2014', 'age': '20', 'clubName': 'Valencia CF', 'clubID': '1049', 'value': '€4.50m'}, {'date': 'Jan 23, 2015', 'age': '20', 'clubName': 'Valencia CF', 'clubID': '1049', 'value': '€4.00m'}, {'date': 'Jul 1, 2015', 'age': '21', 'clubName': 'Valencia CF', 'clubID': '1049', 'value': '€5.00m'}, {'date': 'Feb 6, 2016', 'age': '21', 'clubName': 'Racing Club', 'clubID': '1444', 'value': '€4.50m'}, {'date': 'Jul 15, 2016', 'age': '22', 'clubName': 'Valencia CF', 'clubID': '1049', 'value': '€2.50m'}, {'date': 'Oct 14, 2016', 'age': '22', 'clubName': 'Udinese Calcio', 'clubID': '410', 'value': '€3.00m'}, {'date': 'Jan 2, 2017', 'age': '22', 'clubName': 'Udinese Calcio', 'clubID': '410', 'value': '€3.00m'}, {'date': 'Jun 8, 2017', 'age': '23', 'clubName': 'Udinese Calcio', 'clubID': '410', 'value': '€4.00m'}, {'date': 'Dec 29, 2017', 'age': '23', 'clubName': 'Udinese Calcio', 'clubID': '410', 'value': '€6.00m'}, {'date': 'Jun 7, 2018', 'age': '24', 'clubName': 'Udinese Calcio', 'clubID': '410', 'value': '€6.00m'}, {'date': 'Oct 12, 2018', 'age': '24', 'clubName': 'Udinese Calcio', 'clubID': '410', 'value': '€12.00m'}, {'date': 'Dec 20, 2018', 'age': '24', 'clubName': 'Udinese Calcio', 'clubID': '410', 'value': '€18.00m'}, {'date': 'Jun 6, 2019', 'age': '25', 'clubName': 'Udinese Calcio', 'clubID': '410', 'value': '€25.00m'}, {'date': 'Dec 12, 2019', 'age': '25', 'clubName': 'Udinese Calcio', 'clubID': '410', 'value': '€25.00m'}, {'date': 'Apr 8, 2020', 'age': '25', 'clubName': 'Udinese Calcio', 'clubID': '410', 'value': '€20.00m'}, {'date': 'Aug 25, 2020', 'age': '26', 'clubName': 'Udinese Calcio', 'clubID': '410', 'value': '€30.00m'}, {'date': 'Dec 29, 2020', 'age': '26', 'clubName': 'Udinese Calcio', 'clubID': '410', 'value': '€35.00m'}, {'date': 'Mar 23, 2021', 'age': '26', 'clubName': 'Udinese Calcio', 'clubID': '410', 'value': '€38.00m'}, {'date': 'Jun 3, 2021', 'age': '27', 'clubName': 'Udinese Calcio', 'clubID': '410', 'value': '€38.00m'}, {'date': 'Jul 16, 2021', 'age': '27', 'clubName': 'Atlético de Madrid', 'clubID': '13', 'value': '€40.00m'}, {'date': 'Dec 30, 2021', 'age': '27', 'clubName': 'Atlético de Madrid', 'clubID': '13', 'value': '€40.00m'}, {'date': 'Jun 3, 2022', 'age': '28', 'clubName': 'Atlético de Madrid', 'clubID': '13', 'value': '€40.00m'}, {'date': 'Sep 23, 2022', 'age': '28', 'clubName': 'Atlético de Madrid', 'clubID': '13', 'value': '€35.00m'}, {'date': 'Nov 7, 2022', 'age': '28', 'clubName': 'Atlético de Madrid', 'clubID': '13', 'value': '€35.00m'}, {'date': 'Dec 23, 2022', 'age': '28', 'clubName': 'Atlético de Madrid', 'clubID': '13', 'value': '€40.00m'}, {'date': 'Jun 13, 2023', 'age': '29', 'clubName': 'Atlético de Madrid', 'clubID': '13', 'value': '€40.00m'}, {'date': 'Dec 22, 2023', 'age': '29', 'clubName': 'Atlético de Madrid', 'clubID': '13', 'value': '€30.00m'}, {'date': 'Jun 7, 2024', 'age': '30', 'clubName': 'Atlético de Madrid', 'clubID': '13', 'value': '€30.00m'}, {'date': 'Dec 27, 2024', 'age': '30', 'clubName': 'Atlético de Madrid', 'clubID': '13', 'value': '€25.00m'}, {'date': 'Jun 9, 2025', 'age': '31', 'clubName': 'Atlético de Madrid', 'clubID': '13', 'value': '€25.00m'}, {'date': 'Sep 12, 2025', 'age': '31', 'clubName': 'Inter Miami CF', 'clubID': '69261', 'value': '€20.00m'}, {'date': 'Dec 11, 2025', 'age': '31', 'clubName': 'Inter Miami CF', 'clubID': '69261', 'value': '€15.00m'}]}</t>
        </is>
      </c>
      <c r="L110" t="inlineStr">
        <is>
          <t>Italy</t>
        </is>
      </c>
      <c r="M110" t="inlineStr">
        <is>
          <t>1994-05-24</t>
        </is>
      </c>
      <c r="N110" t="inlineStr">
        <is>
          <t>85</t>
        </is>
      </c>
      <c r="O110">
        <f>(40+35+35+40)/4</f>
        <v/>
      </c>
      <c r="P110">
        <f>(38+38+40+40)/4</f>
        <v/>
      </c>
    </row>
    <row r="111">
      <c r="A111" t="inlineStr">
        <is>
          <t>Antony</t>
        </is>
      </c>
      <c r="B111" t="inlineStr">
        <is>
          <t>Ajax</t>
        </is>
      </c>
      <c r="C111" t="inlineStr">
        <is>
          <t>Forward</t>
        </is>
      </c>
      <c r="D111" t="n">
        <v>577</v>
      </c>
      <c r="E111" t="n">
        <v>7</v>
      </c>
      <c r="F111" t="n">
        <v>2</v>
      </c>
      <c r="G111" t="n">
        <v>5</v>
      </c>
      <c r="H111" t="n">
        <v>65.09999999999999</v>
      </c>
      <c r="I111" t="n">
        <v>35.7</v>
      </c>
      <c r="J111" t="n">
        <v>602105</v>
      </c>
      <c r="K111" t="inlineStr">
        <is>
          <t>{'marketValueHistory': [{'date': 'Feb 18, 2019', 'age': '18', 'clubName': 'São Paulo Futebol Clube', 'clubID': '585', 'value': '€5.00m'}, {'date': 'May 28, 2019', 'age': '19', 'clubName': 'São Paulo Futebol Clube', 'clubID': '585', 'value': '€9.00m'}, {'date': 'Aug 15, 2019', 'age': '19', 'clubName': 'São Paulo Futebol Clube', 'clubID': '585', 'value': '€12.00m'}, {'date': 'Nov 27, 2019', 'age': '19', 'clubName': 'São Paulo Futebol Clube', 'clubID': '585', 'value': '€20.00m'}, {'date': 'Apr 8, 2020', 'age': '20', 'clubName': 'São Paulo Futebol Clube', 'clubID': '585', 'value': '€18.00m'}, {'date': 'Oct 14, 2020', 'age': '20', 'clubName': 'Ajax Amsterdam', 'clubID': '610', 'value': '€18.00m'}, {'date': 'Jan 6, 2021', 'age': '20', 'clubName': 'Ajax Amsterdam', 'clubID': '610', 'value': '€25.00m'}, {'date': 'May 19, 2021', 'age': '21', 'clubName': 'Ajax Amsterdam', 'clubID': '610', 'value': '€25.00m'}, {'date': 'Jan 5, 2022', 'age': '21', 'clubName': 'Ajax Amsterdam', 'clubID': '610', 'value': '€35.00m'}, {'date': 'Jun 8, 2022', 'age': '22', 'clubName': 'Ajax Amsterdam', 'clubID': '610', 'value': '€35.00m'}, {'date': 'Sep 15, 2022', 'age': '22', 'clubName': 'Manchester United', 'clubID': '985', 'value': '€75.00m'}, {'date': 'Nov 3, 2022', 'age': '22', 'clubName': 'Manchester United', 'clubID': '985', 'value': '€75.00m'}, {'date': 'Mar 16, 2023', 'age': '23', 'clubName': 'Manchester United', 'clubID': '985', 'value': '€70.00m'}, {'date': 'Jun 20, 2023', 'age': '23', 'clubName': 'Manchester United', 'clubID': '985', 'value': '€60.00m'}, {'date': 'Oct 9, 2023', 'age': '23', 'clubName': 'Manchester United', 'clubID': '985', 'value': '€50.00m'}, {'date': 'Dec 19, 2023', 'age': '23', 'clubName': 'Manchester United', 'clubID': '985', 'value': '€35.00m'}, {'date': 'Mar 14, 2024', 'age': '24', 'clubName': 'Manchester United', 'clubID': '985', 'value': '€28.00m'}, {'date': 'May 27, 2024', 'age': '24', 'clubName': 'Manchester United', 'clubID': '985', 'value': '€25.00m'}, {'date': 'Oct 1, 2024', 'age': '24', 'clubName': 'Manchester United', 'clubID': '985', 'value': '€20.00m'}, {'date': 'Dec 16, 2024', 'age': '24', 'clubName': 'Manchester United', 'clubID': '985', 'value': '€20.00m'}, {'date': 'Jun 9, 2025', 'age': '25', 'clubName': 'Real Betis Balompié', 'clubID': '150', 'value': '€35.00m'}, {'date': 'Oct 2, 2025', 'age': '25', 'clubName': 'Real Betis Balompié', 'clubID': '150', 'value': '€30.00m'}, {'date': 'Dec 12, 2025', 'age': '25', 'clubName': 'Real Betis Balompié', 'clubID': '150', 'value': '€30.00m'}, {'date': 'Mar 16, 2026', 'age': '26', 'clubName': 'Real Betis Balompié', 'clubID': '150', 'value': '€40.00m'}]}</t>
        </is>
      </c>
      <c r="L111" t="inlineStr">
        <is>
          <t>Brazil</t>
        </is>
      </c>
      <c r="M111" t="inlineStr">
        <is>
          <t>2000-02-24</t>
        </is>
      </c>
      <c r="N111" t="inlineStr">
        <is>
          <t>Brazil</t>
        </is>
      </c>
      <c r="O111">
        <f>(35+35+75+75)/4</f>
        <v/>
      </c>
      <c r="P111">
        <f>(25+25)/2</f>
        <v/>
      </c>
    </row>
    <row r="112">
      <c r="A112" t="inlineStr">
        <is>
          <t>Walker</t>
        </is>
      </c>
      <c r="B112" t="inlineStr">
        <is>
          <t>Man City</t>
        </is>
      </c>
      <c r="C112" t="inlineStr">
        <is>
          <t>Defender</t>
        </is>
      </c>
      <c r="D112" t="n">
        <v>577</v>
      </c>
      <c r="E112" t="n">
        <v>7</v>
      </c>
      <c r="F112" t="n">
        <v>1</v>
      </c>
      <c r="G112" t="n">
        <v>0</v>
      </c>
      <c r="H112" t="n">
        <v>64.09999999999999</v>
      </c>
      <c r="I112" t="n">
        <v>35.2</v>
      </c>
      <c r="J112" t="n">
        <v>95424</v>
      </c>
      <c r="K112" t="inlineStr">
        <is>
          <t>{'marketValueHistory': [{'date': '02/07/2009', 'age': '19', 'clubName': 'Sheffield United', 'clubID': '350', 'value': '€50k'}, {'date': '21/09/2009', 'age': '19', 'clubName': 'Sheffield United', 'clubID': '350', 'value': '€3.00m'}, {'date': '13/08/2010', 'age': '20', 'clubName': 'Tottenham Hotspur', 'clubID': '148', 'value': '€2.00m'}, {'date': '08/08/2011', 'age': '21', 'clubName': 'Tottenham Hotspur', 'clubID': '148', 'value': '€5.50m'}, {'date': '06/02/2012', 'age': '21', 'clubName': 'Tottenham Hotspur', 'clubID': '148', 'value': '€13.00m'}, {'date': '24/06/2012', 'age': '22', 'clubName': 'Tottenham Hotspur', 'clubID': '148', 'value': '€16.00m'}, {'date': '28/01/2013', 'age': '22', 'clubName': 'Tottenham Hotspur', 'clubID': '148', 'value': '€16.00m'}, {'date': '02/07/2013', 'age': '23', 'clubName': 'Tottenham Hotspur', 'clubID': '148', 'value': '€17.00m'}, {'date': '15/01/2014', 'age': '23', 'clubName': 'Tottenham Hotspur', 'clubID': '148', 'value': '€19.00m'}, {'date': '12/08/2014', 'age': '24', 'clubName': 'Tottenham Hotspur', 'clubID': '148', 'value': '€17.00m'}, {'date': '12/02/2015', 'age': '24', 'clubName': 'Tottenham Hotspur', 'clubID': '148', 'value': '€17.00m'}, {'date': '01/07/2015', 'age': '25', 'clubName': 'Tottenham Hotspur', 'clubID': '148', 'value': '€13.00m'}, {'date': '09/02/2016', 'age': '25', 'clubName': 'Tottenham Hotspur', 'clubID': '148', 'value': '€13.00m'}, {'date': '01/06/2016', 'age': '26', 'clubName': 'Tottenham Hotspur', 'clubID': '148', 'value': '€15.00m'}, {'date': '01/08/2016', 'age': '26', 'clubName': 'Tottenham Hotspur', 'clubID': '148', 'value': '€15.00m'}, {'date': '20/02/2017', 'age': '26', 'clubName': 'Tottenham Hotspur', 'clubID': '148', 'value': '€20.00m'}, {'date': '28/06/2017', 'age': '27', 'clubName': 'Tottenham Hotspur', 'clubID': '148', 'value': '€30.00m'}, {'date': '23/10/2017', 'age': '27', 'clubName': 'Manchester City', 'clubID': '281', 'value': '€35.00m'}, {'date': '02/01/2018', 'age': '27', 'clubName': 'Manchester City', 'clubID': '281', 'value': '€40.00m'}, {'date': '23/03/2018', 'age': '27', 'clubName': 'Manchester City', 'clubID': '281', 'value': '€50.00m'}, {'date': '28/05/2018', 'age': '28', 'clubName': 'Manchester City', 'clubID': '281', 'value': '€50.00m'}, {'date': '19/12/2018', 'age': '28', 'clubName': 'Manchester City', 'clubID': '281', 'value': '€50.00m'}, {'date': '13/06/2019', 'age': '29', 'clubName': 'Manchester City', 'clubID': '281', 'value': '€50.00m'}, {'date': '10/12/2019', 'age': '29', 'clubName': 'Manchester City', 'clubID': '281', 'value': '€50.00m'}, {'date': '08/04/2020', 'age': '29', 'clubName': 'Manchester City', 'clubID': '281', 'value': '€40.00m'}, {'date': '13/10/2020', 'age': '30', 'clubName': 'Manchester City', 'clubID': '281', 'value': '€40.00m'}, {'date': '18/03/2021', 'age': '30', 'clubName': 'Manchester City', 'clubID': '281', 'value': '€35.00m'}, {'date': '28/05/2021', 'age': '31', 'clubName': 'Manchester City', 'clubID': '281', 'value': '€28.00m'}, {'date': '23/12/2021', 'age': '31', 'clubName': 'Manchester City', 'clubID': '281', 'value': '€25.00m'}, {'date': '15/06/2022', 'age': '32', 'clubName': 'Manchester City', 'clubID': '281', 'value': '€18.00m'}, {'date': '03/11/2022', 'age': '32', 'clubName': 'Manchester City', 'clubID': '281', 'value': '€15.00m'}, {'date': '20/06/2023', 'age': '33', 'clubName': 'Manchester City', 'clubID': '281', 'value': '€13.00m'}, {'date': '19/12/2023', 'age': '33', 'clubName': 'Manchester City', 'clubID': '281', 'value': '€13.00m'}, {'date': '27/05/2024', 'age': '33', 'clubName': 'Manchester City', 'clubID': '281', 'value': '€13.00m'}, {'date': '16/12/2024', 'age': '34', 'clubName': 'Manchester City', 'clubID': '281', 'value': '€10.00m'}, {'date': '25/03/2025', 'age': '34', 'clubName': 'AC Milan', 'clubID': '5', 'value': '€6.00m'}, {'date': '17/06/2025', 'age': '35', 'clubName': 'AC Milan', 'clubID': '5', 'value': '€4.00m'}, {'date': '17/10/2025', 'age': '35', 'clubName': 'Burnley FC', 'clubID': '1132', 'value': '€3.00m'}, {'date': '09/12/2025', 'age': '35', 'clubName': 'Burnley FC', 'clubID': '1132', 'value': '€2.50m'}]}</t>
        </is>
      </c>
      <c r="L112" t="inlineStr">
        <is>
          <t>United Kingdom</t>
        </is>
      </c>
      <c r="M112" t="inlineStr">
        <is>
          <t>1990-05-28</t>
        </is>
      </c>
      <c r="N112" t="inlineStr">
        <is>
          <t>England</t>
        </is>
      </c>
      <c r="O112">
        <f>(18+15)/2</f>
        <v/>
      </c>
      <c r="P112">
        <f>(35+28+25)/3</f>
        <v/>
      </c>
    </row>
    <row r="113">
      <c r="A113" t="inlineStr">
        <is>
          <t>Nacho</t>
        </is>
      </c>
      <c r="B113" t="inlineStr">
        <is>
          <t>Real Madrid</t>
        </is>
      </c>
      <c r="C113" t="inlineStr">
        <is>
          <t>Defender</t>
        </is>
      </c>
      <c r="D113" t="n">
        <v>574</v>
      </c>
      <c r="E113" t="n">
        <v>9</v>
      </c>
      <c r="F113" t="n">
        <v>0</v>
      </c>
      <c r="G113" t="n">
        <v>0</v>
      </c>
      <c r="H113" t="n">
        <v>62</v>
      </c>
      <c r="I113" t="n">
        <v>33.2</v>
      </c>
      <c r="J113" t="n">
        <v>58884</v>
      </c>
      <c r="K113" t="inlineStr">
        <is>
          <t>{'marketValueHistory': [{'date': 'Aug 19, 2012', 'age': '22', 'clubName': 'Real Madrid Castilla', 'clubID': '6767', 'value': '€1.50m'}, {'date': 'Jan 10, 2013', 'age': '22', 'clubName': 'Real Madrid', 'clubID': '418', 'value': '€2.50m'}, {'date': 'May 9, 2013', 'age': '23', 'clubName': 'Real Madrid', 'clubID': '418', 'value': '€3.50m'}, {'date': 'Jun 12, 2013', 'age': '23', 'clubName': 'Real Madrid', 'clubID': '418', 'value': '€3.50m'}, {'date': 'Sep 17, 2013', 'age': '23', 'clubName': 'Real Madrid', 'clubID': '418', 'value': '€5.00m'}, {'date': 'Jan 23, 2014', 'age': '24', 'clubName': 'Real Madrid', 'clubID': '418', 'value': '€5.00m'}, {'date': 'Jul 20, 2014', 'age': '24', 'clubName': 'Real Madrid', 'clubID': '418', 'value': '€6.00m'}, {'date': 'Jan 23, 2015', 'age': '25', 'clubName': 'Real Madrid', 'clubID': '418', 'value': '€6.00m'}, {'date': 'Jul 1, 2015', 'age': '25', 'clubName': 'Real Madrid', 'clubID': '418', 'value': '€5.00m'}, {'date': 'Feb 22, 2016', 'age': '26', 'clubName': 'Real Madrid', 'clubID': '418', 'value': '€5.00m'}, {'date': 'Jul 15, 2016', 'age': '26', 'clubName': 'Real Madrid', 'clubID': '418', 'value': '€5.00m'}, {'date': 'Jan 24, 2017', 'age': '27', 'clubName': 'Real Madrid', 'clubID': '418', 'value': '€10.00m'}, {'date': 'Jun 5, 2017', 'age': '27', 'clubName': 'Real Madrid', 'clubID': '418', 'value': '€15.00m'}, {'date': 'Jan 1, 2018', 'age': '27', 'clubName': 'Real Madrid', 'clubID': '418', 'value': '€20.00m'}, {'date': 'May 30, 2018', 'age': '28', 'clubName': 'Real Madrid', 'clubID': '418', 'value': '€30.00m'}, {'date': 'Jul 15, 2018', 'age': '28', 'clubName': 'Real Madrid', 'clubID': '418', 'value': '€35.00m'}, {'date': 'Dec 21, 2018', 'age': '28', 'clubName': 'Real Madrid', 'clubID': '418', 'value': '€30.00m'}, {'date': 'Jun 11, 2019', 'age': '29', 'clubName': 'Real Madrid', 'clubID': '418', 'value': '€25.00m'}, {'date': 'Sep 10, 2019', 'age': '29', 'clubName': 'Real Madrid', 'clubID': '418', 'value': '€20.00m'}, {'date': 'Dec 20, 2019', 'age': '29', 'clubName': 'Real Madrid', 'clubID': '418', 'value': '€15.00m'}, {'date': 'Apr 8, 2020', 'age': '30', 'clubName': 'Real Madrid', 'clubID': '418', 'value': '€12.00m'}, {'date': 'Oct 8, 2020', 'age': '30', 'clubName': 'Real Madrid', 'clubID': '418', 'value': '€10.00m'}, {'date': 'Jan 5, 2021', 'age': '30', 'clubName': 'Real Madrid', 'clubID': '418', 'value': '€10.00m'}, {'date': 'Jun 10, 2021', 'age': '31', 'clubName': 'Real Madrid', 'clubID': '418', 'value': '€10.00m'}, {'date': 'Oct 13, 2021', 'age': '31', 'clubName': 'Real Madrid', 'clubID': '418', 'value': '€8.00m'}, {'date': 'Dec 30, 2021', 'age': '31', 'clubName': 'Real Madrid', 'clubID': '418', 'value': '€7.00m'}, {'date': 'Jun 3, 2022', 'age': '32', 'clubName': 'Real Madrid', 'clubID': '418', 'value': '€7.00m'}, {'date': 'Nov 7, 2022', 'age': '32', 'clubName': 'Real Madrid', 'clubID': '418', 'value': '€5.00m'}, {'date': 'Mar 23, 2023', 'age': '33', 'clubName': 'Real Madrid', 'clubID': '418', 'value': '€6.00m'}, {'date': 'Jun 13, 2023', 'age': '33', 'clubName': 'Real Madrid', 'clubID': '418', 'value': '€6.00m'}, {'date': 'Oct 13, 2023', 'age': '33', 'clubName': 'Real Madrid', 'clubID': '418', 'value': '€5.00m'}, {'date': 'Mar 21, 2024', 'age': '34', 'clubName': 'Real Madrid', 'clubID': '418', 'value': '€4.00m'}, {'date': 'Jun 7, 2024', 'age': '34', 'clubName': 'Real Madrid', 'clubID': '418', 'value': '€3.00m'}, {'date': 'Dec 13, 2024', 'age': '34', 'clubName': 'Al-Qadsiah FC', 'clubID': '26069', 'value': '€2.50m'}, {'date': 'May 27, 2025', 'age': '35', 'clubName': 'Al-Qadsiah FC', 'clubID': '26069', 'value': '€2.00m'}, {'date': 'Dec 18, 2025', 'age': '35', 'clubName': 'Al-Qadsiah FC', 'clubID': '26069', 'value': '€1.80m'}]}</t>
        </is>
      </c>
      <c r="L113" t="inlineStr">
        <is>
          <t>Spain</t>
        </is>
      </c>
      <c r="M113" t="inlineStr">
        <is>
          <t>1990-01-18</t>
        </is>
      </c>
      <c r="N113" t="inlineStr">
        <is>
          <t>29</t>
        </is>
      </c>
      <c r="O113">
        <f>(7+5)/2</f>
        <v/>
      </c>
      <c r="P113">
        <f>(10+10+8+7)/4</f>
        <v/>
      </c>
    </row>
    <row r="114">
      <c r="A114" t="inlineStr">
        <is>
          <t>Joao Felix</t>
        </is>
      </c>
      <c r="B114" t="inlineStr">
        <is>
          <t>Atletico de Madrid</t>
        </is>
      </c>
      <c r="C114" t="inlineStr">
        <is>
          <t>Forward</t>
        </is>
      </c>
      <c r="D114" t="n">
        <v>573</v>
      </c>
      <c r="E114" t="n">
        <v>8</v>
      </c>
      <c r="F114" t="n">
        <v>1</v>
      </c>
      <c r="G114" t="n">
        <v>1</v>
      </c>
      <c r="H114" t="n">
        <v>68.5</v>
      </c>
      <c r="I114" t="n">
        <v>32.9</v>
      </c>
      <c r="J114" t="n">
        <v>462250</v>
      </c>
      <c r="K114" t="inlineStr">
        <is>
          <t>{'marketValueHistory': [{'date': 'Sep 30, 2016', 'age': '16', 'clubName': 'SL Benfica U19', 'clubID': '8889', 'value': '€25k'}, {'date': 'Jun 30, 2017', 'age': '17', 'clubName': 'SL Benfica U19', 'clubID': '8889', 'value': '€500k'}, {'date': 'Sep 8, 2017', 'age': '17', 'clubName': 'SL Benfica U19', 'clubID': '8889', 'value': '€500k'}, {'date': 'Feb 23, 2018', 'age': '18', 'clubName': 'SL Benfica B', 'clubID': '10330', 'value': '€1.00m'}, {'date': 'Jun 29, 2018', 'age': '18', 'clubName': 'SL Benfica B', 'clubID': '10330', 'value': '€2.00m'}, {'date': 'Nov 1, 2018', 'age': '18', 'clubName': 'SL Benfica', 'clubID': '294', 'value': '€12.00m'}, {'date': 'Jan 11, 2019', 'age': '19', 'clubName': 'SL Benfica', 'clubID': '294', 'value': '€15.00m'}, {'date': 'Mar 18, 2019', 'age': '19', 'clubName': 'SL Benfica', 'clubID': '294', 'value': '€35.00m'}, {'date': 'Jun 7, 2019', 'age': '19', 'clubName': 'SL Benfica', 'clubID': '294', 'value': '€70.00m'}, {'date': 'Sep 10, 2019', 'age': '19', 'clubName': 'Atlético de Madrid', 'clubID': '13', 'value': '€100.00m'}, {'date': 'Dec 20, 2019', 'age': '20', 'clubName': 'Atlético de Madrid', 'clubID': '13', 'value': '€100.00m'}, {'date': 'Mar 5, 2020', 'age': '20', 'clubName': 'Atlético de Madrid', 'clubID': '13', 'value': '€90.00m'}, {'date': 'Apr 8, 2020', 'age': '20', 'clubName': 'Atlético de Madrid', 'clubID': '13', 'value': '€81.00m'}, {'date': 'Oct 8, 2020', 'age': '20', 'clubName': 'Atlético de Madrid', 'clubID': '13', 'value': '€80.00m'}, {'date': 'Nov 23, 2020', 'age': '21', 'clubName': 'Atlético de Madrid', 'clubID': '13', 'value': '€100.00m'}, {'date': 'Jan 5, 2021', 'age': '21', 'clubName': 'Atlético de Madrid', 'clubID': '13', 'value': '€100.00m'}, {'date': 'Mar 19, 2021', 'age': '21', 'clubName': 'Atlético de Madrid', 'clubID': '13', 'value': '€80.00m'}, {'date': 'Jun 1, 2021', 'age': '21', 'clubName': 'Atlético de Madrid', 'clubID': '13', 'value': '€80.00m'}, {'date': 'Oct 13, 2021', 'age': '21', 'clubName': 'Atlético de Madrid', 'clubID': '13', 'value': '€70.00m'}, {'date': 'Dec 30, 2021', 'age': '22', 'clubName': 'Atlético de Madrid', 'clubID': '13', 'value': '€60.00m'}, {'date': 'Mar 21, 2022', 'age': '22', 'clubName': 'Atlético de Madrid', 'clubID': '13', 'value': '€70.00m'}, {'date': 'Jun 3, 2022', 'age': '22', 'clubName': 'Atlético de Madrid', 'clubID': '13', 'value': '€70.00m'}, {'date': 'Nov 7, 2022', 'age': '22', 'clubName': 'Atlético de Madrid', 'clubID': '13', 'value': '€50.00m'}, {'date': 'Jun 20, 2023', 'age': '23', 'clubName': 'Chelsea FC', 'clubID': '631', 'value': '€50.00m'}, {'date': 'Dec 22, 2023', 'age': '24', 'clubName': 'FC Barcelona', 'clubID': '131', 'value': '€40.00m'}, {'date': 'Mar 21, 2024', 'age': '24', 'clubName': 'FC Barcelona', 'clubID': '131', 'value': '€30.00m'}, {'date': 'Jun 7, 2024', 'age': '24', 'clubName': 'FC Barcelona', 'clubID': '131', 'value': '€30.00m'}, {'date': 'Dec 16, 2024', 'age': '25', 'clubName': 'Chelsea FC', 'clubID': '631', 'value': '€30.00m'}, {'date': 'Mar 25, 2025', 'age': '25', 'clubName': 'AC Milan', 'clubID': '5', 'value': '€25.00m'}, {'date': 'Jun 17, 2025', 'age': '25', 'clubName': 'AC Milan', 'clubID': '5', 'value': '€20.00m'}, {'date': 'Dec 18, 2025', 'age': '26', 'clubName': 'Al-Nassr FC', 'clubID': '18544', 'value': '€25.00m'}]}</t>
        </is>
      </c>
      <c r="L114" t="inlineStr">
        <is>
          <t>Portugal</t>
        </is>
      </c>
      <c r="M114" t="inlineStr">
        <is>
          <t>1999-11-10</t>
        </is>
      </c>
      <c r="N114" t="inlineStr">
        <is>
          <t>Portugal</t>
        </is>
      </c>
      <c r="O114">
        <f>(70+70+50)/3</f>
        <v/>
      </c>
      <c r="P114">
        <f>(100+80+80+70+60)/5</f>
        <v/>
      </c>
    </row>
    <row r="115">
      <c r="A115" t="inlineStr">
        <is>
          <t>Wober</t>
        </is>
      </c>
      <c r="B115" t="inlineStr">
        <is>
          <t>Salzburg</t>
        </is>
      </c>
      <c r="C115" t="inlineStr">
        <is>
          <t>Defender</t>
        </is>
      </c>
      <c r="D115" t="n">
        <v>573</v>
      </c>
      <c r="E115" t="n">
        <v>7</v>
      </c>
      <c r="F115" t="n">
        <v>1</v>
      </c>
      <c r="G115" t="n">
        <v>0</v>
      </c>
      <c r="H115" t="n">
        <v>66.5</v>
      </c>
      <c r="I115" t="n">
        <v>31.9</v>
      </c>
      <c r="J115" t="n">
        <v>263361</v>
      </c>
      <c r="K115" t="inlineStr">
        <is>
          <t>{'id': '263361', 'marketValue': '€14.00m', 'marketValueHistory': [{'age': '17', 'date': 'Feb 2, 2016', 'clubName': 'Rapid Vienna', 'value': '€200k', 'clubID': '170'}, {'age': '18', 'date': 'Jun 1, 2016', 'clubName': 'Rapid Vienna', 'value': '€200k', 'clubID': '170'}, {'age': '18', 'date': 'Dec 22, 2016', 'clubName': 'Rapid Vienna', 'value': '€400k', 'clubID': '170'}, {'age': '19', 'date': 'Jun 2, 2017', 'clubName': 'Rapid Vienna', 'value': '€700k', 'clubID': '170'}, {'age': '19', 'date': 'Oct 26, 2017', 'clubName': 'Ajax Amsterdam', 'value': '€4.00m', 'clubID': '610'}, {'age': '19', 'date': 'Jan 17, 2018', 'clubName': 'Ajax Amsterdam', 'value': '€7.00m', 'clubID': '610'}, {'age': '20', 'date': 'Jun 12, 2018', 'clubName': 'Ajax Amsterdam', 'value': '€8.00m', 'clubID': '610'}, {'age': '20', 'date': 'Dec 28, 2018', 'clubName': 'Ajax Amsterdam', 'value': '€8.00m', 'clubID': '610'}, {'age': '21', 'date': 'Feb 28, 2019', 'clubName': 'Sevilla FC', 'value': '€10.00m', 'clubID': '368'}, {'age': '21', 'date': 'Jun 11, 2019', 'clubName': 'Sevilla FC', 'value': '€10.00m', 'clubID': '368'}, {'age': '21', 'date': 'Dec 16, 2019', 'clubName': 'Red Bull Salzburg', 'value': '€10.00m', 'clubID': '409'}, {'age': '22', 'date': 'Apr 8, 2020', 'clubName': 'Red Bull Salzburg', 'value': '€9.00m', 'clubID': '409'}, {'age': '22', 'date': 'Jul 22, 2020', 'clubName': 'Red Bull Salzburg', 'value': '€9.00m', 'clubID': '409'}, {'age': '22', 'date': 'Dec 21, 2020', 'clubName': 'Red Bull Salzburg', 'value': '€9.00m', 'clubID': '409'}, {'age': '23', 'date': 'Jun 2, 2021', 'clubName': 'Red Bull Salzburg', 'value': '€8.00m', 'clubID': '409'}, {'age': '23', 'date': 'Dec 16, 2021', 'clubName': 'Red Bull Salzburg', 'value': '€8.00m', 'clubID': '409'}, {'age': '24', 'date': 'May 27, 2022', 'clubName': 'Red Bull Salzburg', 'value': '€12.00m', 'clubID': '409'}, {'age': '24', 'date': 'Nov 10, 2022', 'clubName': 'Red Bull Salzburg', 'value': '€12.00m', 'clubID': '409'}, {'age': '25', 'date': 'Jun 20, 2023', 'clubName': 'Leeds United', 'value': '€14.00m', 'clubID': '399'}, {'age': '25', 'date': 'Dec 14, 2023', 'clubName': 'Borussia Mönchengladbach', 'value': '€14.00m', 'clubID': '18'}], 'ranking': {'Worldwide': '778', 'Bundesliga': '90', "Bor. M'gladbach": '3', 'Austria': '10', 'Centre-Back': '141', 'Year 1998': '76'}, 'updatedAt': datetime.datetime(2024, 5, 23, 22, 29, 38, 903794)}</t>
        </is>
      </c>
      <c r="L115" t="inlineStr">
        <is>
          <t>Austria</t>
        </is>
      </c>
      <c r="M115" t="inlineStr">
        <is>
          <t>1998-02-04</t>
        </is>
      </c>
      <c r="N115" t="inlineStr">
        <is>
          <t>Austria</t>
        </is>
      </c>
      <c r="O115">
        <f>(12+12)/2</f>
        <v/>
      </c>
      <c r="P115">
        <f>(8+8)/2</f>
        <v/>
      </c>
    </row>
    <row r="116">
      <c r="A116" t="inlineStr">
        <is>
          <t>Blind</t>
        </is>
      </c>
      <c r="B116" t="inlineStr">
        <is>
          <t>Ajax</t>
        </is>
      </c>
      <c r="C116" t="inlineStr">
        <is>
          <t>Defender</t>
        </is>
      </c>
      <c r="D116" t="n">
        <v>572</v>
      </c>
      <c r="E116" t="n">
        <v>8</v>
      </c>
      <c r="F116" t="n">
        <v>1</v>
      </c>
      <c r="G116" t="n">
        <v>1</v>
      </c>
      <c r="H116" t="n">
        <v>70.90000000000001</v>
      </c>
      <c r="I116" t="n">
        <v>37</v>
      </c>
      <c r="J116" t="n">
        <v>12282</v>
      </c>
      <c r="K116" t="inlineStr">
        <is>
          <t>{'marketValueHistory': [{'date': 'Dec 8, 2008', 'age': '18', 'clubName': 'Ajax Amsterdam U21', 'clubID': '41580', 'value': '€100k'}, {'date': 'Jan 8, 2009', 'age': '18', 'clubName': 'Ajax Amsterdam', 'clubID': '610', 'value': '€750k'}, {'date': 'Aug 1, 2010', 'age': '20', 'clubName': 'Ajax Amsterdam', 'clubID': '610', 'value': '€1.00m'}, {'date': 'Jun 15, 2011', 'age': '21', 'clubName': 'Ajax Amsterdam', 'clubID': '610', 'value': '€1.25m'}, {'date': 'Jan 5, 2012', 'age': '21', 'clubName': 'Ajax Amsterdam', 'clubID': '610', 'value': '€1.00m'}, {'date': 'Jun 30, 2012', 'age': '22', 'clubName': 'Ajax Amsterdam', 'clubID': '610', 'value': '€1.25m'}, {'date': 'Jan 9, 2013', 'age': '22', 'clubName': 'Ajax Amsterdam', 'clubID': '610', 'value': '€2.00m'}, {'date': 'May 28, 2013', 'age': '23', 'clubName': 'Ajax Amsterdam', 'clubID': '610', 'value': '€4.50m'}, {'date': 'Feb 11, 2014', 'age': '23', 'clubName': 'Ajax Amsterdam', 'clubID': '610', 'value': '€6.00m'}, {'date': 'Aug 11, 2014', 'age': '24', 'clubName': 'Ajax Amsterdam', 'clubID': '610', 'value': '€12.00m'}, {'date': 'Oct 5, 2014', 'age': '24', 'clubName': 'Manchester United', 'clubID': '985', 'value': '€15.00m'}, {'date': 'Feb 12, 2015', 'age': '24', 'clubName': 'Manchester United', 'clubID': '985', 'value': '€15.00m'}, {'date': 'Jul 1, 2015', 'age': '25', 'clubName': 'Manchester United', 'clubID': '985', 'value': '€17.00m'}, {'date': 'Feb 9, 2016', 'age': '25', 'clubName': 'Manchester United', 'clubID': '985', 'value': '€19.00m'}, {'date': 'Aug 1, 2016', 'age': '26', 'clubName': 'Manchester United', 'clubID': '985', 'value': '€22.00m'}, {'date': 'Feb 20, 2017', 'age': '26', 'clubName': 'Manchester United', 'clubID': '985', 'value': '€22.00m'}, {'date': 'Jun 28, 2017', 'age': '27', 'clubName': 'Manchester United', 'clubID': '985', 'value': '€22.00m'}, {'date': 'Jan 2, 2018', 'age': '27', 'clubName': 'Manchester United', 'clubID': '985', 'value': '€20.00m'}, {'date': 'May 28, 2018', 'age': '28', 'clubName': 'Manchester United', 'clubID': '985', 'value': '€18.00m'}, {'date': 'Dec 28, 2018', 'age': '28', 'clubName': 'Ajax Amsterdam', 'clubID': '610', 'value': '€18.00m'}, {'date': 'Jun 12, 2019', 'age': '29', 'clubName': 'Ajax Amsterdam', 'clubID': '610', 'value': '€24.00m'}, {'date': 'Dec 18, 2019', 'age': '29', 'clubName': 'Ajax Amsterdam', 'clubID': '610', 'value': '€25.00m'}, {'date': 'Apr 8, 2020', 'age': '30', 'clubName': 'Ajax Amsterdam', 'clubID': '610', 'value': '€20.00m'}, {'date': 'Oct 14, 2020', 'age': '30', 'clubName': 'Ajax Amsterdam', 'clubID': '610', 'value': '€20.00m'}, {'date': 'Jan 6, 2021', 'age': '30', 'clubName': 'Ajax Amsterdam', 'clubID': '610', 'value': '€15.00m'}, {'date': 'May 27, 2021', 'age': '31', 'clubName': 'Ajax Amsterdam', 'clubID': '610', 'value': '€15.00m'}, {'date': 'Oct 4, 2021', 'age': '31', 'clubName': 'Ajax Amsterdam', 'clubID': '610', 'value': '€13.50m'}, {'date': 'Jan 5, 2022', 'age': '31', 'clubName': 'Ajax Amsterdam', 'clubID': '610', 'value': '€13.50m'}, {'date': 'Mar 17, 2022', 'age': '32', 'clubName': 'Ajax Amsterdam', 'clubID': '610', 'value': '€10.00m'}, {'date': 'Jun 8, 2022', 'age': '32', 'clubName': 'Ajax Amsterdam', 'clubID': '610', 'value': '€9.00m'}, {'date': 'Sep 14, 2022', 'age': '32', 'clubName': 'Ajax Amsterdam', 'clubID': '610', 'value': '€7.00m'}, {'date': 'Nov 11, 2022', 'age': '32', 'clubName': 'Ajax Amsterdam', 'clubID': '610', 'value': '€6.00m'}, {'date': 'Jun 22, 2023', 'age': '33', 'clubName': 'Bayern Munich', 'clubID': '27', 'value': '€3.00m'}, {'date': 'Dec 22, 2023', 'age': '33', 'clubName': 'Girona FC', 'clubID': '12321', 'value': '€3.00m'}, {'date': 'Jun 7, 2024', 'age': '34', 'clubName': 'Girona FC', 'clubID': '12321', 'value': '€3.00m'}, {'date': 'Dec 27, 2024', 'age': '34', 'clubName': 'Girona FC', 'clubID': '12321', 'value': '€2.00m'}, {'date': 'Jun 9, 2025', 'age': '35', 'clubName': 'Girona FC', 'clubID': '12321', 'value': '€1.50m'}, {'date': 'Dec 12, 2025', 'age': '35', 'clubName': 'Girona FC', 'clubID': '12321', 'value': '€1.40m'}]}</t>
        </is>
      </c>
      <c r="L116" t="inlineStr">
        <is>
          <t>Netherlands</t>
        </is>
      </c>
      <c r="M116" t="inlineStr">
        <is>
          <t>1990-03-09</t>
        </is>
      </c>
      <c r="N116" t="inlineStr">
        <is>
          <t>108</t>
        </is>
      </c>
      <c r="O116">
        <f>(13.5+10+9+7+6)/5</f>
        <v/>
      </c>
      <c r="P116">
        <f>(15+15+13.5)/3</f>
        <v/>
      </c>
    </row>
    <row r="117">
      <c r="A117" t="inlineStr">
        <is>
          <t>L. Hernandez</t>
        </is>
      </c>
      <c r="B117" t="inlineStr">
        <is>
          <t>Bayern</t>
        </is>
      </c>
      <c r="C117" t="inlineStr">
        <is>
          <t>Defender</t>
        </is>
      </c>
      <c r="D117" t="n">
        <v>572</v>
      </c>
      <c r="E117" t="n">
        <v>8</v>
      </c>
      <c r="F117" t="n">
        <v>0</v>
      </c>
      <c r="G117" t="n">
        <v>0</v>
      </c>
      <c r="H117" t="n">
        <v>69.40000000000001</v>
      </c>
      <c r="I117" t="n">
        <v>33.7</v>
      </c>
      <c r="J117" t="n">
        <v>281963</v>
      </c>
      <c r="K117" t="inlineStr">
        <is>
          <t>{'marketValueHistory': [{'date': '25/08/2015', 'age': '19', 'clubName': 'Atlético de Madrid', 'clubID': '13', 'value': '€1.00m'}, {'date': '22/02/2016', 'age': '20', 'clubName': 'Atlético de Madrid', 'clubID': '13', 'value': '€2.00m'}, {'date': '07/04/2016', 'age': '20', 'clubName': 'Atlético de Madrid', 'clubID': '13', 'value': '€5.00m'}, {'date': '15/07/2016', 'age': '20', 'clubName': 'Atlético de Madrid', 'clubID': '13', 'value': '€10.00m'}, {'date': '24/01/2017', 'age': '20', 'clubName': 'Atlético de Madrid', 'clubID': '13', 'value': '€10.00m'}, {'date': '05/06/2017', 'age': '21', 'clubName': 'Atlético de Madrid', 'clubID': '13', 'value': '€15.00m'}, {'date': '01/01/2018', 'age': '21', 'clubName': 'Atlético de Madrid', 'clubID': '13', 'value': '€20.00m'}, {'date': '22/03/2018', 'age': '22', 'clubName': 'Atlético de Madrid', 'clubID': '13', 'value': '€30.00m'}, {'date': '30/05/2018', 'age': '22', 'clubName': 'Atlético de Madrid', 'clubID': '13', 'value': '€35.00m'}, {'date': '16/07/2018', 'age': '22', 'clubName': 'Atlético de Madrid', 'clubID': '13', 'value': '€40.00m'}, {'date': '31/10/2018', 'age': '22', 'clubName': 'Atlético de Madrid', 'clubID': '13', 'value': '€50.00m'}, {'date': '21/12/2018', 'age': '22', 'clubName': 'Atlético de Madrid', 'clubID': '13', 'value': '€60.00m'}, {'date': '28/02/2019', 'age': '23', 'clubName': 'Atlético de Madrid', 'clubID': '13', 'value': '€70.00m'}, {'date': '11/06/2019', 'age': '23', 'clubName': 'Atlético de Madrid', 'clubID': '13', 'value': '€70.00m'}, {'date': '17/12/2019', 'age': '23', 'clubName': 'Bayern Munich', 'clubID': '27', 'value': '€70.00m'}, {'date': '08/04/2020', 'age': '24', 'clubName': 'Bayern Munich', 'clubID': '27', 'value': '€56.00m'}, {'date': '16/09/2020', 'age': '24', 'clubName': 'Bayern Munich', 'clubID': '27', 'value': '€45.00m'}, {'date': '26/11/2020', 'age': '24', 'clubName': 'Bayern Munich', 'clubID': '27', 'value': '€50.00m'}, {'date': '10/02/2021', 'age': '24', 'clubName': 'Bayern Munich', 'clubID': '27', 'value': '€45.00m'}, {'date': '01/06/2021', 'age': '25', 'clubName': 'Bayern Munich', 'clubID': '27', 'value': '€45.00m'}, {'date': '22/12/2021', 'age': '25', 'clubName': 'Bayern Munich', 'clubID': '27', 'value': '€50.00m'}, {'date': '09/06/2022', 'age': '26', 'clubName': 'Bayern Munich', 'clubID': '27', 'value': '€50.00m'}, {'date': '09/11/2022', 'age': '26', 'clubName': 'Bayern Munich', 'clubID': '27', 'value': '€50.00m'}, {'date': '22/06/2023', 'age': '27', 'clubName': 'Bayern Munich', 'clubID': '27', 'value': '€45.00m'}, {'date': '18/12/2023', 'age': '27', 'clubName': 'Paris Saint-Germain', 'clubID': '583', 'value': '€45.00m'}, {'date': '03/06/2024', 'age': '28', 'clubName': 'Paris Saint-Germain', 'clubID': '583', 'value': '€40.00m'}, {'date': '10/12/2024', 'age': '28', 'clubName': 'Paris Saint-Germain', 'clubID': '583', 'value': '€32.00m'}, {'date': '24/03/2025', 'age': '29', 'clubName': 'Paris Saint-Germain', 'clubID': '583', 'value': '€30.00m'}, {'date': '03/06/2025', 'age': '29', 'clubName': 'Paris Saint-Germain', 'clubID': '583', 'value': '€25.00m'}, {'date': '15/12/2025', 'age': '29', 'clubName': 'Paris Saint-Germain', 'clubID': '583', 'value': '€20.00m'}]}</t>
        </is>
      </c>
      <c r="L117" t="inlineStr">
        <is>
          <t>Spain</t>
        </is>
      </c>
      <c r="M117" t="inlineStr">
        <is>
          <t>1996-02-14</t>
        </is>
      </c>
      <c r="N117" t="inlineStr">
        <is>
          <t>41</t>
        </is>
      </c>
      <c r="O117">
        <f>(50+50)/2</f>
        <v/>
      </c>
      <c r="P117">
        <f>(45+45+50)/3</f>
        <v/>
      </c>
    </row>
    <row r="118">
      <c r="A118" t="inlineStr">
        <is>
          <t>Timber</t>
        </is>
      </c>
      <c r="B118" t="inlineStr">
        <is>
          <t>Ajax</t>
        </is>
      </c>
      <c r="C118" t="inlineStr">
        <is>
          <t>Defender</t>
        </is>
      </c>
      <c r="D118" t="n">
        <v>570</v>
      </c>
      <c r="E118" t="n">
        <v>8</v>
      </c>
      <c r="F118" t="n">
        <v>0</v>
      </c>
      <c r="G118" t="n">
        <v>0</v>
      </c>
      <c r="H118" t="n">
        <v>64.90000000000001</v>
      </c>
      <c r="I118" t="n">
        <v>33.2</v>
      </c>
      <c r="J118" t="n">
        <v>420243</v>
      </c>
      <c r="K118" t="inlineStr">
        <is>
          <t>{'marketValueHistory': [{'date': 'Jan 21, 2019', 'age': '17', 'clubName': 'Ajax Amsterdam U21', 'clubID': '610', 'value': '€50k'}, {'date': 'Jul 3, 2019', 'age': '18', 'clubName': 'Ajax Amsterdam U21', 'clubID': '610', 'value': '€300k'}, {'date': 'Jan 17, 2020', 'age': '18', 'clubName': 'Ajax Amsterdam U21', 'clubID': '610', 'value': '€900k'}, {'date': 'Apr 8, 2020', 'age': '18', 'clubName': 'Ajax Amsterdam U21', 'clubID': '610', 'value': '€800k'}, {'date': 'Jun 29, 2020', 'age': '19', 'clubName': 'Ajax Amsterdam U21', 'clubID': '610', 'value': '€2.00m'}, {'date': 'Oct 14, 2020', 'age': '19', 'clubName': 'Ajax Amsterdam', 'clubID': '610', 'value': '€4.00m'}, {'date': 'Dec 31, 2020', 'age': '19', 'clubName': 'Ajax Amsterdam', 'clubID': '610', 'value': '€4.00m'}, {'date': 'Mar 9, 2021', 'age': '19', 'clubName': 'Ajax Amsterdam', 'clubID': '610', 'value': '€9.00m'}, {'date': 'May 27, 2021', 'age': '19', 'clubName': 'Ajax Amsterdam', 'clubID': '610', 'value': '€11.00m'}, {'date': 'Oct 4, 2021', 'age': '20', 'clubName': 'Ajax Amsterdam', 'clubID': '610', 'value': '€17.00m'}, {'date': 'Jan 5, 2022', 'age': '20', 'clubName': 'Ajax Amsterdam', 'clubID': '610', 'value': '€30.00m'}, {'date': 'Jun 8, 2022', 'age': '20', 'clubName': 'Ajax Amsterdam', 'clubID': '610', 'value': '€35.00m'}, {'date': 'Sep 14, 2022', 'age': '21', 'clubName': 'Ajax Amsterdam', 'clubID': '610', 'value': '€45.00m'}, {'date': 'Nov 11, 2022', 'age': '21', 'clubName': 'Ajax Amsterdam', 'clubID': '610', 'value': '€45.00m'}, {'date': 'Mar 17, 2023', 'age': '21', 'clubName': 'Ajax Amsterdam', 'clubID': '610', 'value': '€42.00m'}, {'date': 'Jun 23, 2023', 'age': '22', 'clubName': 'Ajax Amsterdam', 'clubID': '610', 'value': '€42.00m'}, {'date': 'Dec 19, 2023', 'age': '22', 'clubName': 'Arsenal FC', 'clubID': '11', 'value': '€40.00m'}, {'date': 'May 27, 2024', 'age': '22', 'clubName': 'Arsenal FC', 'clubID': '11', 'value': '€38.00m'}, {'date': 'Dec 16, 2024', 'age': '23', 'clubName': 'Arsenal FC', 'clubID': '11', 'value': '€45.00m'}, {'date': 'Mar 18, 2025', 'age': '23', 'clubName': 'Arsenal FC', 'clubID': '11', 'value': '€50.00m'}, {'date': 'May 30, 2025', 'age': '23', 'clubName': 'Arsenal FC', 'clubID': '11', 'value': '€55.00m'}, {'date': 'Oct 17, 2025', 'age': '24', 'clubName': 'Arsenal FC', 'clubID': '11', 'value': '€60.00m'}, {'date': 'Dec 9, 2025', 'age': '24', 'clubName': 'Arsenal FC', 'clubID': '11', 'value': '€70.00m'}]}</t>
        </is>
      </c>
      <c r="L118" t="inlineStr">
        <is>
          <t>England</t>
        </is>
      </c>
      <c r="M118" t="inlineStr">
        <is>
          <t>2001-06-17</t>
        </is>
      </c>
      <c r="N118" t="inlineStr">
        <is>
          <t>23</t>
        </is>
      </c>
      <c r="O118">
        <f>(30+35+45+45)/4</f>
        <v/>
      </c>
      <c r="P118">
        <f>(9+11+17)/3</f>
        <v/>
      </c>
    </row>
    <row r="119">
      <c r="A119" t="inlineStr">
        <is>
          <t>Jorginho</t>
        </is>
      </c>
      <c r="B119" t="inlineStr">
        <is>
          <t>Chelsea</t>
        </is>
      </c>
      <c r="C119" t="inlineStr">
        <is>
          <t>Midfielder</t>
        </is>
      </c>
      <c r="D119" t="n">
        <v>561</v>
      </c>
      <c r="E119" t="n">
        <v>8</v>
      </c>
      <c r="F119" t="n">
        <v>2</v>
      </c>
      <c r="G119" t="n">
        <v>2</v>
      </c>
      <c r="H119" t="n">
        <v>68.7</v>
      </c>
      <c r="I119" t="n">
        <v>30</v>
      </c>
      <c r="J119" t="n">
        <v>102017</v>
      </c>
      <c r="K119" t="inlineStr">
        <is>
          <t>{'marketValueHistory': [{'date': '11/07/2011', 'age': '19', 'clubName': 'Hellas Verona', 'clubID': '276', 'value': '€100k'}, {'date': '01/01/2012', 'age': '20', 'clubName': 'Hellas Verona', 'clubID': '276', 'value': '€175k'}, {'date': '14/06/2012', 'age': '20', 'clubName': 'Hellas Verona', 'clubID': '276', 'value': '€1.40m'}, {'date': '25/12/2012', 'age': '21', 'clubName': 'Hellas Verona', 'clubID': '276', 'value': '€2.60m'}, {'date': '25/06/2013', 'age': '21', 'clubName': 'Hellas Verona', 'clubID': '276', 'value': '€5.50m'}, {'date': '11/11/2013', 'age': '21', 'clubName': 'Hellas Verona', 'clubID': '276', 'value': '€8.00m'}, {'date': '07/01/2014', 'age': '22', 'clubName': 'Hellas Verona', 'clubID': '276', 'value': '€10.00m'}, {'date': '01/07/2014', 'age': '22', 'clubName': 'SSC Napoli', 'clubID': '6195', 'value': '€12.00m'}, {'date': '07/01/2015', 'age': '23', 'clubName': 'SSC Napoli', 'clubID': '6195', 'value': '€11.00m'}, {'date': '01/07/2015', 'age': '23', 'clubName': 'SSC Napoli', 'clubID': '6195', 'value': '€9.00m'}, {'date': '05/11/2015', 'age': '23', 'clubName': 'SSC Napoli', 'clubID': '6195', 'value': '€12.00m'}, {'date': '04/01/2016', 'age': '24', 'clubName': 'SSC Napoli', 'clubID': '6195', 'value': '€15.00m'}, {'date': '01/04/2016', 'age': '24', 'clubName': 'SSC Napoli', 'clubID': '6195', 'value': '€18.00m'}, {'date': '15/07/2016', 'age': '24', 'clubName': 'SSC Napoli', 'clubID': '6195', 'value': '€20.00m'}, {'date': '02/01/2017', 'age': '25', 'clubName': 'SSC Napoli', 'clubID': '6195', 'value': '€19.00m'}, {'date': '08/06/2017', 'age': '25', 'clubName': 'SSC Napoli', 'clubID': '6195', 'value': '€22.00m'}, {'date': '29/12/2017', 'age': '26', 'clubName': 'SSC Napoli', 'clubID': '6195', 'value': '€28.00m'}, {'date': '24/03/2018', 'age': '26', 'clubName': 'SSC Napoli', 'clubID': '6195', 'value': '€40.00m'}, {'date': '07/06/2018', 'age': '26', 'clubName': 'SSC Napoli', 'clubID': '6195', 'value': '€50.00m'}, {'date': '17/10/2018', 'age': '26', 'clubName': 'Chelsea FC', 'clubID': '631', 'value': '€60.00m'}, {'date': '19/12/2018', 'age': '26', 'clubName': 'Chelsea FC', 'clubID': '631', 'value': '€65.00m'}, {'date': '13/06/2019', 'age': '27', 'clubName': 'Chelsea FC', 'clubID': '631', 'value': '€65.00m'}, {'date': '10/12/2019', 'age': '27', 'clubName': 'Chelsea FC', 'clubID': '631', 'value': '€65.00m'}, {'date': '08/04/2020', 'age': '28', 'clubName': 'Chelsea FC', 'clubID': '631', 'value': '€52.00m'}, {'date': '13/10/2020', 'age': '28', 'clubName': 'Chelsea FC', 'clubID': '631', 'value': '€50.00m'}, {'date': '18/03/2021', 'age': '29', 'clubName': 'Chelsea FC', 'clubID': '631', 'value': '€45.00m'}, {'date': '25/05/2021', 'age': '29', 'clubName': 'Chelsea FC', 'clubID': '631', 'value': '€40.00m'}, {'date': '15/07/2021', 'age': '29', 'clubName': 'Chelsea FC', 'clubID': '631', 'value': '€45.00m'}, {'date': '23/12/2021', 'age': '30', 'clubName': 'Chelsea FC', 'clubID': '631', 'value': '€45.00m'}, {'date': '15/06/2022', 'age': '30', 'clubName': 'Chelsea FC', 'clubID': '631', 'value': '€40.00m'}, {'date': '03/11/2022', 'age': '30', 'clubName': 'Chelsea FC', 'clubID': '631', 'value': '€35.00m'}, {'date': '20/06/2023', 'age': '31', 'clubName': 'Arsenal FC', 'clubID': '11', 'value': '€25.00m'}, {'date': '09/10/2023', 'age': '31', 'clubName': 'Arsenal FC', 'clubID': '11', 'value': '€15.00m'}, {'date': '19/12/2023', 'age': '31', 'clubName': 'Arsenal FC', 'clubID': '11', 'value': '€15.00m'}, {'date': '27/05/2024', 'age': '32', 'clubName': 'Arsenal FC', 'clubID': '11', 'value': '€12.00m'}, {'date': '16/12/2024', 'age': '32', 'clubName': 'Arsenal FC', 'clubID': '11', 'value': '€10.00m'}, {'date': '18/03/2025', 'age': '33', 'clubName': 'Arsenal FC', 'clubID': '11', 'value': '€8.00m'}, {'date': '30/05/2025', 'age': '33', 'clubName': 'Arsenal FC', 'clubID': '11', 'value': '€6.00m'}, {'date': '10/12/2025', 'age': '33', 'clubName': 'CR Flamengo', 'clubID': '614', 'value': '€5.00m'}]}</t>
        </is>
      </c>
      <c r="L119" t="inlineStr">
        <is>
          <t>Italy</t>
        </is>
      </c>
      <c r="M119" t="inlineStr">
        <is>
          <t>1991-12-20</t>
        </is>
      </c>
      <c r="N119" t="inlineStr">
        <is>
          <t>57</t>
        </is>
      </c>
      <c r="O119">
        <f>(40+35)/2</f>
        <v/>
      </c>
      <c r="P119">
        <f>(45+40+45+45)/4</f>
        <v/>
      </c>
    </row>
    <row r="120">
      <c r="A120" t="inlineStr">
        <is>
          <t>Goncalo Inacio</t>
        </is>
      </c>
      <c r="B120" t="inlineStr">
        <is>
          <t>Sporting CP</t>
        </is>
      </c>
      <c r="C120" t="inlineStr">
        <is>
          <t>Defender</t>
        </is>
      </c>
      <c r="D120" t="n">
        <v>561</v>
      </c>
      <c r="E120" t="n">
        <v>7</v>
      </c>
      <c r="F120" t="n">
        <v>0</v>
      </c>
      <c r="G120" t="n">
        <v>1</v>
      </c>
      <c r="H120" t="n">
        <v>60.7</v>
      </c>
      <c r="I120" t="n">
        <v>32.3</v>
      </c>
      <c r="J120" t="n">
        <v>549006</v>
      </c>
      <c r="K120" t="inlineStr">
        <is>
          <t>{'marketValueHistory': [{'date': '22/10/2020', 'age': '19', 'clubName': 'Sporting CP', 'clubID': '336', 'value': '€1.00m'}, {'date': '28/01/2021', 'age': '19', 'clubName': 'Sporting CP', 'clubID': '336', 'value': '€3.00m'}, {'date': '25/03/2021', 'age': '19', 'clubName': 'Sporting CP', 'clubID': '336', 'value': '€6.00m'}, {'date': '21/05/2021', 'age': '19', 'clubName': 'Sporting CP', 'clubID': '336', 'value': '€9.00m'}, {'date': '27/12/2021', 'age': '20', 'clubName': 'Sporting CP', 'clubID': '336', 'value': '€16.00m'}, {'date': '10/03/2022', 'age': '20', 'clubName': 'Sporting CP', 'clubID': '336', 'value': '€18.00m'}, {'date': '31/05/2022', 'age': '20', 'clubName': 'Sporting CP', 'clubID': '336', 'value': '€23.00m'}, {'date': '01/11/2022', 'age': '21', 'clubName': 'Sporting CP', 'clubID': '336', 'value': '€23.00m'}, {'date': '02/03/2023', 'age': '21', 'clubName': 'Sporting CP', 'clubID': '336', 'value': '€25.00m'}, {'date': '16/06/2023', 'age': '21', 'clubName': 'Sporting CP', 'clubID': '336', 'value': '€30.00m'}, {'date': '27/12/2023', 'age': '22', 'clubName': 'Sporting CP', 'clubID': '336', 'value': '€40.00m'}, {'date': '06/06/2024', 'age': '22', 'clubName': 'Sporting CP', 'clubID': '336', 'value': '€45.00m'}, {'date': '19/12/2024', 'age': '23', 'clubName': 'Sporting CP', 'clubID': '336', 'value': '€45.00m'}, {'date': '30/05/2025', 'age': '23', 'clubName': 'Sporting CP', 'clubID': '336', 'value': '€45.00m'}, {'date': '18/12/2025', 'age': '24', 'clubName': 'Sporting CP', 'clubID': '336', 'value': '€45.00m'}, {'date': '19/03/2026', 'age': '24', 'clubName': 'Sporting CP', 'clubID': '336', 'value': '€40.00m'}]}</t>
        </is>
      </c>
      <c r="L120" t="inlineStr">
        <is>
          <t>Portugal</t>
        </is>
      </c>
      <c r="M120" t="inlineStr">
        <is>
          <t>2001-08-25</t>
        </is>
      </c>
      <c r="N120" t="inlineStr">
        <is>
          <t>20</t>
        </is>
      </c>
      <c r="O120">
        <f>(18+23+23)/3</f>
        <v/>
      </c>
      <c r="P120">
        <f>(3+6+9+16)/4</f>
        <v/>
      </c>
    </row>
    <row r="121">
      <c r="A121" t="inlineStr">
        <is>
          <t>Alvarez</t>
        </is>
      </c>
      <c r="B121" t="inlineStr">
        <is>
          <t>Ajax</t>
        </is>
      </c>
      <c r="C121" t="inlineStr">
        <is>
          <t>Midfielder</t>
        </is>
      </c>
      <c r="D121" t="n">
        <v>558</v>
      </c>
      <c r="E121" t="n">
        <v>7</v>
      </c>
      <c r="F121" t="n">
        <v>0</v>
      </c>
      <c r="G121" t="n">
        <v>0</v>
      </c>
      <c r="H121" t="n">
        <v>73</v>
      </c>
      <c r="I121" t="n">
        <v>30.9</v>
      </c>
      <c r="J121" t="n">
        <v>576024</v>
      </c>
      <c r="K121" t="inlineStr">
        <is>
          <t>{'marketValueHistory': [{'date': 'Dec 18, 2018', 'age': '18', 'clubName': 'CA River Plate II', 'clubID': '15108', 'value': '€1.00m'}, {'date': 'May 23, 2019', 'age': '19', 'clubName': 'CA River Plate', 'clubID': '15108', 'value': '€10.00m'}, {'date': 'Aug 6, 2019', 'age': '19', 'clubName': 'CA River Plate', 'clubID': '15108', 'value': '€10.00m'}, {'date': 'Dec 5, 2019', 'age': '19', 'clubName': 'CA River Plate', 'clubID': '15108', 'value': '€10.00m'}, {'date': 'Apr 8, 2020', 'age': '20', 'clubName': 'CA River Plate', 'clubID': '15108', 'value': '€9.00m'}, {'date': 'Feb 8, 2021', 'age': '21', 'clubName': 'CA River Plate', 'clubID': '15108', 'value': '€12.00m'}, {'date': 'Jun 11, 2021', 'age': '21', 'clubName': 'CA River Plate', 'clubID': '15108', 'value': '€15.00m'}, {'date': 'Oct 20, 2021', 'age': '21', 'clubName': 'CA River Plate', 'clubID': '15108', 'value': '€20.00m'}, {'date': 'Feb 8, 2022', 'age': '22', 'clubName': 'CA River Plate', 'clubID': '15108', 'value': '€23.00m'}, {'date': 'May 24, 2022', 'age': '22', 'clubName': 'CA River Plate', 'clubID': '15108', 'value': '€23.00m'}, {'date': 'Sep 15, 2022', 'age': '22', 'clubName': 'Manchester City', 'clubID': '281', 'value': '€28.00m'}, {'date': 'Nov 3, 2022', 'age': '22', 'clubName': 'Manchester City', 'clubID': '281', 'value': '€32.00m'}, {'date': 'Dec 23, 2022', 'age': '22', 'clubName': 'Manchester City', 'clubID': '281', 'value': '€50.00m'}, {'date': 'Jun 20, 2023', 'age': '23', 'clubName': 'Manchester City', 'clubID': '281', 'value': '€60.00m'}, {'date': 'Oct 9, 2023', 'age': '23', 'clubName': 'Manchester City', 'clubID': '281', 'value': '€80.00m'}, {'date': 'Dec 19, 2023', 'age': '23', 'clubName': 'Manchester City', 'clubID': '281', 'value': '€90.00m'}, {'date': 'May 27, 2024', 'age': '24', 'clubName': 'Manchester City', 'clubID': '281', 'value': '€90.00m'}, {'date': 'Oct 11, 2024', 'age': '24', 'clubName': 'Atlético de Madrid', 'clubID': '13', 'value': '€75.00m'}, {'date': 'Dec 27, 2024', 'age': '24', 'clubName': 'Atlético de Madrid', 'clubID': '13', 'value': '€80.00m'}, {'date': 'Mar 21, 2025', 'age': '25', 'clubName': 'Atlético de Madrid', 'clubID': '13', 'value': '€90.00m'}, {'date': 'Jun 9, 2025', 'age': '25', 'clubName': 'Atlético de Madrid', 'clubID': '13', 'value': '€100.00m'}, {'date': 'Dec 12, 2025', 'age': '25', 'clubName': 'Atlético de Madrid', 'clubID': '13', 'value': '€100.00m'}, {'date': 'Mar 16, 2026', 'age': '26', 'clubName': 'Atlético de Madrid', 'clubID': '13', 'value': '€90.00m'}]}</t>
        </is>
      </c>
      <c r="L121" t="inlineStr">
        <is>
          <t>Argentina</t>
        </is>
      </c>
      <c r="M121" t="inlineStr">
        <is>
          <t>2000-01-31</t>
        </is>
      </c>
      <c r="N121" t="inlineStr">
        <is>
          <t>51</t>
        </is>
      </c>
      <c r="O121">
        <f>(23+23+28+32+50)/5</f>
        <v/>
      </c>
      <c r="P121">
        <f>(12+15+20)/3</f>
        <v/>
      </c>
    </row>
    <row r="122">
      <c r="A122" t="inlineStr">
        <is>
          <t>Alex Sandro</t>
        </is>
      </c>
      <c r="B122" t="inlineStr">
        <is>
          <t>Juventus</t>
        </is>
      </c>
      <c r="C122" t="inlineStr">
        <is>
          <t>Defender</t>
        </is>
      </c>
      <c r="D122" t="n">
        <v>553</v>
      </c>
      <c r="E122" t="n">
        <v>7</v>
      </c>
      <c r="F122" t="n">
        <v>1</v>
      </c>
      <c r="G122" t="n">
        <v>0</v>
      </c>
      <c r="H122" t="n">
        <v>69</v>
      </c>
      <c r="I122" t="n">
        <v>30.8</v>
      </c>
      <c r="J122" t="n">
        <v>79960</v>
      </c>
      <c r="K122" t="inlineStr">
        <is>
          <t>{'id': '79960', 'marketValue': '€2.00m', 'marketValueHistory': [{'age': '17', 'date': 'Jul 20, 2008', 'clubName': 'Atlético Paranaense', 'value': '€50k', 'clubID': '679'}, {'age': '18', 'date': 'Sep 6, 2009', 'clubName': 'Atlético Paranaense', 'value': '€200k', 'clubID': '679'}, {'age': '18', 'date': 'Dec 8, 2009', 'clubName': 'Atlético Paranaense', 'value': '€500k', 'clubID': '679'}, {'age': '19', 'date': 'Apr 15, 2010', 'clubName': 'Santos FC', 'value': '€400k', 'clubID': '221'}, {'age': '19', 'date': 'Jun 6, 2010', 'clubName': 'Santos FC', 'value': '€1.20m', 'clubID': '221'}, {'age': '20', 'date': 'Feb 21, 2011', 'clubName': 'Santos FC', 'value': '€1.80m', 'clubID': '221'}, {'age': '20', 'date': 'May 30, 2011', 'clubName': 'Santos FC', 'value': '€1.80m', 'clubID': '221'}, {'age': '20', 'date': 'Sep 21, 2011', 'clubName': 'FC Porto', 'value': '€6.80m', 'clubID': '720'}, {'age': '21', 'date': 'Feb 2, 2012', 'clubName': 'FC Porto', 'value': '€6.00m', 'clubID': '720'}, {'age': '21', 'date': 'Jul 7, 2012', 'clubName': 'FC Porto', 'value': '€8.50m', 'clubID': '720'}, {'age': '22', 'date': 'Mar 27, 2013', 'clubName': 'FC Porto', 'value': '€12.00m', 'clubID': '720'}, {'age': '22', 'date': 'Jul 2, 2013', 'clubName': 'FC Porto', 'value': '€16.00m', 'clubID': '720'}, {'age': '23', 'date': 'Jul 25, 2014', 'clubName': 'FC Porto', 'value': '€16.00m', 'clubID': '720'}, {'age': '24', 'date': 'Feb 17, 2015', 'clubName': 'FC Porto', 'value': '€18.00m', 'clubID': '720'}, {'age': '24', 'date': 'Jul 1, 2015', 'clubName': 'FC Porto', 'value': '€20.00m', 'clubID': '720'}, {'age': '24', 'date': 'Sep 23, 2015', 'clubName': 'Juventus FC', 'value': '€24.00m', 'clubID': '506'}, {'age': '24', 'date': 'Jan 4, 2016', 'clubName': 'Juventus FC', 'value': '€24.00m', 'clubID': '506'}, {'age': '25', 'date': 'Apr 1, 2016', 'clubName': 'Juventus FC', 'value': '€26.00m', 'clubID': '506'}, {'age': '25', 'date': 'Jul 15, 2016', 'clubName': 'Juventus FC', 'value': '€26.00m', 'clubID': '506'}, {'age': '25', 'date': 'Oct 14, 2016', 'clubName': 'Juventus FC', 'value': '€28.00m', 'clubID': '506'}, {'age': '25', 'date': 'Jan 2, 2017', 'clubName': 'Juventus FC', 'value': '€30.00m', 'clubID': '506'}, {'age': '26', 'date': 'Jun 8, 2017', 'clubName': 'Juventus FC', 'value': '€35.00m', 'clubID': '506'}, {'age': '26', 'date': 'Dec 29, 2017', 'clubName': 'Juventus FC', 'value': '€40.00m', 'clubID': '506'}, {'age': '27', 'date': 'Mar 24, 2018', 'clubName': 'Juventus FC', 'value': '€50.00m', 'clubID': '506'}, {'age': '27', 'date': 'Jun 7, 2018', 'clubName': 'Juventus FC', 'value': '€45.00m', 'clubID': '506'}, {'age': '27', 'date': 'Dec 20, 2018', 'clubName': 'Juventus FC', 'value': '€50.00m', 'clubID': '506'}, {'age': '28', 'date': 'Jun 6, 2019', 'clubName': 'Juventus FC', 'value': '€45.00m', 'clubID': '506'}, {'age': '28', 'date': 'Dec 12, 2019', 'clubName': 'Juventus FC', 'value': '€50.00m', 'clubID': '506'}, {'age': '29', 'date': 'Apr 8, 2020', 'clubName': 'Juventus FC', 'value': '€40.00m', 'clubID': '506'}, {'age': '29', 'date': 'Aug 25, 2020', 'clubName': 'Juventus FC', 'value': '€35.00m', 'clubID': '506'}, {'age': '29', 'date': 'Dec 29, 2020', 'clubName': 'Juventus FC', 'value': '€28.00m', 'clubID': '506'}, {'age': '30', 'date': 'Jun 3, 2021', 'clubName': 'Juventus FC', 'value': '€20.00m', 'clubID': '506'}, {'age': '30', 'date': 'Dec 28, 2021', 'clubName': 'Juventus FC', 'value': '€12.00m', 'clubID': '506'}, {'age': '31', 'date': 'Mar 15, 2022', 'clubName': 'Juventus FC', 'value': '€9.00m', 'clubID': '506'}, {'age': '31', 'date': 'Jun 7, 2022', 'clubName': 'Juventus FC', 'value': '€6.00m', 'clubID': '506'}, {'age': '31', 'date': 'Nov 11, 2022', 'clubName': 'Juventus FC', 'value': '€4.50m', 'clubID': '506'}, {'age': '32', 'date': 'Jun 15, 2023', 'clubName': 'Juventus FC', 'value': '€3.00m', 'clubID': '506'}, {'age': '32', 'date': 'Dec 20, 2023', 'clubName': 'Juventus FC', 'value': '€2.00m', 'clubID': '506'}], 'ranking': {'Worldwide': '4.041', 'Serie A': '379', 'Juventus': '24', 'Brazil': '341', 'Left-Back': '258', 'Year 1991': '87'}, 'updatedAt': datetime.datetime(2024, 5, 23, 22, 27, 50, 339548)}</t>
        </is>
      </c>
      <c r="L122" t="inlineStr">
        <is>
          <t>Brazil</t>
        </is>
      </c>
      <c r="M122" t="inlineStr">
        <is>
          <t>1991-01-26</t>
        </is>
      </c>
      <c r="N122" t="inlineStr">
        <is>
          <t>Brazil</t>
        </is>
      </c>
      <c r="O122">
        <f>(9+6+4.5)/3</f>
        <v/>
      </c>
      <c r="P122">
        <f>(20+12)/2</f>
        <v/>
      </c>
    </row>
    <row r="123">
      <c r="A123" t="inlineStr">
        <is>
          <t>Alonso</t>
        </is>
      </c>
      <c r="B123" t="inlineStr">
        <is>
          <t>Chelsea</t>
        </is>
      </c>
      <c r="C123" t="inlineStr">
        <is>
          <t>Defender</t>
        </is>
      </c>
      <c r="D123" t="n">
        <v>548</v>
      </c>
      <c r="E123" t="n">
        <v>8</v>
      </c>
      <c r="F123" t="n">
        <v>0</v>
      </c>
      <c r="G123" t="n">
        <v>0</v>
      </c>
      <c r="H123" t="n">
        <v>68.90000000000001</v>
      </c>
      <c r="I123" t="n">
        <v>30.6</v>
      </c>
      <c r="J123" t="n">
        <v>7476</v>
      </c>
      <c r="K123" t="inlineStr">
        <is>
          <t>{'marketValueHistory': [{'date': 'Oct 4, 2004', 'age': '22', 'clubName': 'Liverpool FC', 'clubID': '31', 'value': '€16.00m'}, {'date': 'Mar 21, 2005', 'age': '23', 'clubName': 'Liverpool FC', 'clubID': '31', 'value': '€15.00m'}, {'date': 'Oct 29, 2005', 'age': '23', 'clubName': 'Liverpool FC', 'clubID': '31', 'value': '€19.00m'}, {'date': 'Jun 14, 2006', 'age': '24', 'clubName': 'Liverpool FC', 'clubID': '31', 'value': '€21.50m'}, {'date': 'Apr 25, 2007', 'age': '25', 'clubName': 'Liverpool FC', 'clubID': '31', 'value': '€22.30m'}, {'date': 'Sep 1, 2007', 'age': '25', 'clubName': 'Liverpool FC', 'clubID': '31', 'value': '€22.50m'}, {'date': 'Feb 4, 2008', 'age': '26', 'clubName': 'Liverpool FC', 'clubID': '31', 'value': '€22.00m'}, {'date': 'Jul 4, 2008', 'age': '26', 'clubName': 'Liverpool FC', 'clubID': '31', 'value': '€20.00m'}, {'date': 'Feb 23, 2009', 'age': '27', 'clubName': 'Liverpool FC', 'clubID': '31', 'value': '€23.00m'}, {'date': 'Jun 29, 2009', 'age': '27', 'clubName': 'Liverpool FC', 'clubID': '31', 'value': '€27.00m'}, {'date': 'Aug 6, 2009', 'age': '27', 'clubName': 'Real Madrid', 'clubID': '418', 'value': '€30.00m'}, {'date': 'Dec 3, 2009', 'age': '28', 'clubName': 'Real Madrid', 'clubID': '418', 'value': '€30.00m'}, {'date': 'Apr 12, 2010', 'age': '28', 'clubName': 'Real Madrid', 'clubID': '418', 'value': '€30.00m'}, {'date': 'Aug 27, 2010', 'age': '28', 'clubName': 'Real Madrid', 'clubID': '418', 'value': '€35.00m'}, {'date': 'Feb 4, 2011', 'age': '29', 'clubName': 'Real Madrid', 'clubID': '418', 'value': '€35.00m'}, {'date': 'Jul 29, 2011', 'age': '29', 'clubName': 'Real Madrid', 'clubID': '418', 'value': '€35.00m'}, {'date': 'Feb 3, 2012', 'age': '30', 'clubName': 'Real Madrid', 'clubID': '418', 'value': '€35.00m'}, {'date': 'Aug 17, 2012', 'age': '30', 'clubName': 'Real Madrid', 'clubID': '418', 'value': '€30.00m'}, {'date': 'Jan 10, 2013', 'age': '31', 'clubName': 'Real Madrid', 'clubID': '418', 'value': '€25.00m'}, {'date': 'Jun 12, 2013', 'age': '31', 'clubName': 'Real Madrid', 'clubID': '418', 'value': '€18.00m'}, {'date': 'Jan 23, 2014', 'age': '32', 'clubName': 'Real Madrid', 'clubID': '418', 'value': '€12.00m'}, {'date': 'Jul 20, 2014', 'age': '32', 'clubName': 'Real Madrid', 'clubID': '418', 'value': '€8.00m'}, {'date': 'Feb 4, 2015', 'age': '33', 'clubName': 'Bayern Munich', 'clubID': '27', 'value': '€8.00m'}, {'date': 'Jul 1, 2015', 'age': '33', 'clubName': 'Bayern Munich', 'clubID': '27', 'value': '€6.00m'}, {'date': 'Feb 15, 2016', 'age': '34', 'clubName': 'Bayern Munich', 'clubID': '27', 'value': '€5.00m'}, {'date': 'Jul 22, 2016', 'age': '34', 'clubName': 'Bayern Munich', 'clubID': '27', 'value': '€4.00m'}, {'date': 'Feb 7, 2017', 'age': '35', 'clubName': 'Bayern Munich', 'clubID': '27', 'value': '€3.50m'}, {'date': 'Jul 1, 2017', 'age': '35', 'clubName': 'Retired', 'clubID': '123', 'value': '-'}]}</t>
        </is>
      </c>
      <c r="L123" t="inlineStr">
        <is>
          <t>Spain</t>
        </is>
      </c>
      <c r="M123" t="inlineStr">
        <is>
          <t>1981-11-25</t>
        </is>
      </c>
      <c r="N123" t="inlineStr">
        <is>
          <t>Spain</t>
        </is>
      </c>
    </row>
    <row r="124">
      <c r="A124" t="inlineStr">
        <is>
          <t>Everton</t>
        </is>
      </c>
      <c r="B124" t="inlineStr">
        <is>
          <t>Benfica</t>
        </is>
      </c>
      <c r="C124" t="inlineStr">
        <is>
          <t>Forward</t>
        </is>
      </c>
      <c r="D124" t="n">
        <v>543</v>
      </c>
      <c r="E124" t="n">
        <v>9</v>
      </c>
      <c r="F124" t="n">
        <v>0</v>
      </c>
      <c r="G124" t="n">
        <v>0</v>
      </c>
      <c r="H124" t="n">
        <v>67.09999999999999</v>
      </c>
      <c r="I124" t="n">
        <v>32.5</v>
      </c>
      <c r="J124" t="n">
        <v>321239</v>
      </c>
      <c r="K124" t="inlineStr">
        <is>
          <t>{'marketValueHistory': [{'date': 'Aug 7, 2014', 'age': '18', 'clubName': 'Grêmio Foot-Ball Porto Alegrense', 'clubID': '210', 'value': '€300k'}, {'date': 'Feb 1, 2015', 'age': '18', 'clubName': 'Grêmio Foot-Ball Porto Alegrense', 'clubID': '210', 'value': '€250k'}, {'date': 'May 31, 2015', 'age': '19', 'clubName': 'Grêmio Foot-Ball Porto Alegrense', 'clubID': '210', 'value': '€500k'}, {'date': 'Dec 15, 2015', 'age': '19', 'clubName': 'Grêmio Foot-Ball Porto Alegrense', 'clubID': '210', 'value': '€750k'}, {'date': 'May 27, 2016', 'age': '20', 'clubName': 'Grêmio Foot-Ball Porto Alegrense', 'clubID': '210', 'value': '€1.50m'}, {'date': 'Nov 28, 2016', 'age': '20', 'clubName': 'Grêmio Foot-Ball Porto Alegrense', 'clubID': '210', 'value': '€2.50m'}, {'date': 'Dec 7, 2017', 'age': '21', 'clubName': 'Grêmio Foot-Ball Porto Alegrense', 'clubID': '210', 'value': '€3.50m'}, {'date': 'May 23, 2018', 'age': '22', 'clubName': 'Grêmio Foot-Ball Porto Alegrense', 'clubID': '210', 'value': '€7.00m'}, {'date': 'Feb 18, 2019', 'age': '22', 'clubName': 'Grêmio Foot-Ball Porto Alegrense', 'clubID': '210', 'value': '€15.00m'}, {'date': 'May 28, 2019', 'age': '23', 'clubName': 'Grêmio Foot-Ball Porto Alegrense', 'clubID': '210', 'value': '€20.00m'}, {'date': 'Aug 15, 2019', 'age': '23', 'clubName': 'Grêmio Foot-Ball Porto Alegrense', 'clubID': '210', 'value': '€40.00m'}, {'date': 'Nov 27, 2019', 'age': '23', 'clubName': 'Grêmio Foot-Ball Porto Alegrense', 'clubID': '210', 'value': '€35.00m'}, {'date': 'Apr 8, 2020', 'age': '24', 'clubName': 'Grêmio Foot-Ball Porto Alegrense', 'clubID': '210', 'value': '€28.00m'}, {'date': 'Oct 22, 2020', 'age': '24', 'clubName': 'SL Benfica', 'clubID': '294', 'value': '€25.00m'}, {'date': 'Jan 28, 2021', 'age': '24', 'clubName': 'SL Benfica', 'clubID': '294', 'value': '€25.00m'}, {'date': 'Mar 25, 2021', 'age': '25', 'clubName': 'SL Benfica', 'clubID': '294', 'value': '€20.00m'}, {'date': 'May 21, 2021', 'age': '25', 'clubName': 'SL Benfica', 'clubID': '294', 'value': '€20.00m'}, {'date': 'Sep 21, 2021', 'age': '25', 'clubName': 'SL Benfica', 'clubID': '294', 'value': '€18.00m'}, {'date': 'Dec 27, 2021', 'age': '25', 'clubName': 'SL Benfica', 'clubID': '294', 'value': '€18.00m'}, {'date': 'May 31, 2022', 'age': '26', 'clubName': 'SL Benfica', 'clubID': '294', 'value': '€15.00m'}, {'date': 'Aug 19, 2022', 'age': '26', 'clubName': 'CR Flamengo', 'clubID': '614', 'value': '€14.00m'}, {'date': 'Nov 14, 2022', 'age': '26', 'clubName': 'CR Flamengo', 'clubID': '614', 'value': '€12.00m'}, {'date': 'Apr 7, 2023', 'age': '27', 'clubName': 'CR Flamengo', 'clubID': '614', 'value': '€11.00m'}, {'date': 'Jul 25, 2023', 'age': '27', 'clubName': 'CR Flamengo', 'clubID': '614', 'value': '€9.00m'}, {'date': 'Dec 11, 2023', 'age': '27', 'clubName': 'CR Flamengo', 'clubID': '614', 'value': '€10.00m'}, {'date': 'Mar 28, 2024', 'age': '28', 'clubName': 'CR Flamengo', 'clubID': '614', 'value': '€10.00m'}, {'date': 'Jun 17, 2024', 'age': '28', 'clubName': 'CR Flamengo', 'clubID': '614', 'value': '€10.00m'}, {'date': 'Dec 9, 2024', 'age': '28', 'clubName': 'CR Flamengo', 'clubID': '614', 'value': '€9.00m'}, {'date': 'Jun 6, 2025', 'age': '29', 'clubName': 'CR Flamengo', 'clubID': '614', 'value': '€8.00m'}, {'date': 'Sep 5, 2025', 'age': '29', 'clubName': 'CR Flamengo', 'clubID': '614', 'value': '€7.00m'}, {'date': 'Dec 10, 2025', 'age': '29', 'clubName': 'CR Flamengo', 'clubID': '614', 'value': '€7.00m'}]}</t>
        </is>
      </c>
      <c r="L124" t="inlineStr">
        <is>
          <t>Brazil</t>
        </is>
      </c>
      <c r="M124" t="inlineStr">
        <is>
          <t>1996-03-22</t>
        </is>
      </c>
      <c r="N124" t="inlineStr">
        <is>
          <t>Brazil</t>
        </is>
      </c>
      <c r="O124">
        <f>(15+14+12)/3</f>
        <v/>
      </c>
      <c r="P124">
        <f>(25+20+20+18+18)/5</f>
        <v/>
      </c>
    </row>
    <row r="125">
      <c r="A125" t="inlineStr">
        <is>
          <t>Dzeko</t>
        </is>
      </c>
      <c r="B125" t="inlineStr">
        <is>
          <t>Inter</t>
        </is>
      </c>
      <c r="C125" t="inlineStr">
        <is>
          <t>Forward</t>
        </is>
      </c>
      <c r="D125" t="n">
        <v>541</v>
      </c>
      <c r="E125" t="n">
        <v>7</v>
      </c>
      <c r="F125" t="n">
        <v>3</v>
      </c>
      <c r="G125" t="n">
        <v>1</v>
      </c>
      <c r="H125" t="n">
        <v>64.59999999999999</v>
      </c>
      <c r="I125" t="n">
        <v>31.8</v>
      </c>
      <c r="J125" t="n">
        <v>28396</v>
      </c>
      <c r="K125" t="inlineStr">
        <is>
          <t>{'id': '28396', 'marketValue': '€3.30m', 'marketValueHistory': [{'age': '19', 'date': 'Jan 31, 2006', 'clubName': 'FK Teplice', 'value': '€200k', 'clubID': '814'}, {'age': '21', 'date': 'Jun 26, 2007', 'clubName': 'FK Teplice', 'value': '€4.00m', 'clubID': '814'}, {'age': '21', 'date': 'Jan 1, 2008', 'clubName': 'VfL Wolfsburg', 'value': '€4.50m', 'clubID': '82'}, {'age': '22', 'date': 'Jun 4, 2008', 'clubName': 'VfL Wolfsburg', 'value': '€5.00m', 'clubID': '82'}, {'age': '22', 'date': 'Jan 21, 2009', 'clubName': 'VfL Wolfsburg', 'value': '€7.50m', 'clubID': '82'}, {'age': '23', 'date': 'Mar 21, 2009', 'clubName': 'VfL Wolfsburg', 'value': '€10.00m', 'clubID': '82'}, {'age': '23', 'date': 'Apr 21, 2009', 'clubName': 'VfL Wolfsburg', 'value': '€12.50m', 'clubID': '82'}, {'age': '23', 'date': 'Jun 10, 2009', 'clubName': 'VfL Wolfsburg', 'value': '€18.00m', 'clubID': '82'}, {'age': '23', 'date': 'Nov 18, 2009', 'clubName': 'VfL Wolfsburg', 'value': '€25.00m', 'clubID': '82'}, {'age': '24', 'date': 'Jun 15, 2010', 'clubName': 'VfL Wolfsburg', 'value': '€30.00m', 'clubID': '82'}, {'age': '24', 'date': 'Jan 12, 2011', 'clubName': 'Manchester City', 'value': '€30.00m', 'clubID': '281'}, {'age': '25', 'date': 'Aug 8, 2011', 'clubName': 'Manchester City', 'value': '€28.00m', 'clubID': '281'}, {'age': '25', 'date': 'Feb 6, 2012', 'clubName': 'Manchester City', 'value': '€32.00m', 'clubID': '281'}, {'age': '26', 'date': 'Jun 24, 2012', 'clubName': 'Manchester City', 'value': '€29.00m', 'clubID': '281'}, {'age': '26', 'date': 'Jan 28, 2013', 'clubName': 'Manchester City', 'value': '€27.00m', 'clubID': '281'}, {'age': '27', 'date': 'Jul 2, 2013', 'clubName': 'Manchester City', 'value': '€27.00m', 'clubID': '281'}, {'age': '27', 'date': 'Jan 15, 2014', 'clubName': 'Manchester City', 'value': '€24.00m', 'clubID': '281'}, {'age': '28', 'date': 'Aug 12, 2014', 'clubName': 'Manchester City', 'value': '€27.00m', 'clubID': '281'}, {'age': '28', 'date': 'Feb 12, 2015', 'clubName': 'Manchester City', 'value': '€24.00m', 'clubID': '281'}, {'age': '29', 'date': 'Jul 1, 2015', 'clubName': 'Manchester City', 'value': '€20.00m', 'clubID': '281'}, {'age': '29', 'date': 'Nov 5, 2015', 'clubName': 'AS Roma', 'value': '€18.00m', 'clubID': '12'}, {'age': '29', 'date': 'Jan 4, 2016', 'clubName': 'AS Roma', 'value': '€15.00m', 'clubID': '12'}, {'age': '30', 'date': 'Jul 15, 2016', 'clubName': 'AS Roma', 'value': '€12.00m', 'clubID': '12'}, {'age': '30', 'date': 'Oct 14, 2016', 'clubName': 'AS Roma', 'value': '€13.00m', 'clubID': '12'}, {'age': '30', 'date': 'Jan 2, 2017', 'clubName': 'AS Roma', 'value': '€15.00m', 'clubID': '12'}, {'age': '31', 'date': 'Mar 28, 2017', 'clubName': 'AS Roma', 'value': '€18.00m', 'clubID': '12'}, {'age': '31', 'date': 'Jun 8, 2017', 'clubName': 'AS Roma', 'value': '€22.00m', 'clubID': '12'}, {'age': '31', 'date': 'Dec 29, 2017', 'clubName': 'AS Roma', 'value': '€22.00m', 'clubID': '12'}, {'age': '32', 'date': 'Jun 7, 2018', 'clubName': 'AS Roma', 'value': '€25.00m', 'clubID': '12'}, {'age': '32', 'date': 'Dec 20, 2018', 'clubName': 'AS Roma', 'value': '€23.00m', 'clubID': '12'}, {'age': '33', 'date': 'Jun 6, 2019', 'clubName': 'AS Roma', 'value': '€14.00m', 'clubID': '12'}, {'age': '33', 'date': 'Dec 12, 2019', 'clubName': 'AS Roma', 'value': '€14.00m', 'clubID': '12'}, {'age': '34', 'date': 'Apr 8, 2020', 'clubName': 'AS Roma', 'value': '€11.00m', 'clubID': '12'}, {'age': '34', 'date': 'Aug 25, 2020', 'clubName': 'AS Roma', 'value': '€10.00m', 'clubID': '12'}, {'age': '34', 'date': 'Dec 29, 2020', 'clubName': 'AS Roma', 'value': '€8.00m', 'clubID': '12'}, {'age': '35', 'date': 'Mar 23, 2021', 'clubName': 'AS Roma', 'value': '€5.00m', 'clubID': '12'}, {'age': '35', 'date': 'Jun 3, 2021', 'clubName': 'AS Roma', 'value': '€4.00m', 'clubID': '12'}, {'age': '35', 'date': 'Dec 28, 2021', 'clubName': 'Inter Milan', 'value': '€4.00m', 'clubID': '46'}, {'age': '36', 'date': 'Jun 7, 2022', 'clubName': 'Inter Milan', 'value': '€4.00m', 'clubID': '46'}, {'age': '36', 'date': 'Nov 11, 2022', 'clubName': 'Inter Milan', 'value': '€4.00m', 'clubID': '46'}, {'age': '37', 'date': 'Jun 15, 2023', 'clubName': 'Inter Milan', 'value': '€4.00m', 'clubID': '46'}, {'age': '37', 'date': 'Sep 27, 2023', 'clubName': 'Fenerbahce', 'value': '€4.00m', 'clubID': '36'}, {'age': '37', 'date': 'Dec 21, 2023', 'clubName': 'Fenerbahce', 'value': '€3.60m', 'clubID': '36'}, {'age': '37', 'date': 'Mar 15, 2024', 'clubName': 'Fenerbahce', 'value': '€3.30m', 'clubID': '36'}], 'ranking': {'Worldwide': '2.823', 'Süper Lig': '73', 'Fenerbahce': '18', 'Bosnia-Herzegovina': '12', 'Centre-Forward': '417', 'Year 1986': '3'}, 'updatedAt': datetime.datetime(2024, 5, 23, 22, 16, 19, 296669)}</t>
        </is>
      </c>
      <c r="L125" t="inlineStr">
        <is>
          <t>Bosnia-Herzegovina</t>
        </is>
      </c>
      <c r="M125" t="inlineStr">
        <is>
          <t>1986-03-17</t>
        </is>
      </c>
      <c r="N125" t="inlineStr">
        <is>
          <t>148</t>
        </is>
      </c>
      <c r="O125">
        <f>(4+4)/2</f>
        <v/>
      </c>
      <c r="P125">
        <f>(5+4+4)/3</f>
        <v/>
      </c>
    </row>
    <row r="126">
      <c r="A126" t="inlineStr">
        <is>
          <t>Vanaken</t>
        </is>
      </c>
      <c r="B126" t="inlineStr">
        <is>
          <t>Club Brugge</t>
        </is>
      </c>
      <c r="C126" t="inlineStr">
        <is>
          <t>Midfielder</t>
        </is>
      </c>
      <c r="D126" t="n">
        <v>540</v>
      </c>
      <c r="E126" t="n">
        <v>6</v>
      </c>
      <c r="F126" t="n">
        <v>3</v>
      </c>
      <c r="G126" t="n">
        <v>1</v>
      </c>
      <c r="H126" t="n">
        <v>69.40000000000001</v>
      </c>
      <c r="I126" t="n">
        <v>29.8</v>
      </c>
      <c r="J126" t="n">
        <v>137576</v>
      </c>
      <c r="K126" t="inlineStr">
        <is>
          <t>{'marketValueHistory': [{'date': '04/07/2010', 'age': '17', 'clubName': 'Lommel United', 'clubID': '5026', 'value': '€50k'}, {'date': '30/11/2010', 'age': '18', 'clubName': 'Lommel United', 'clubID': '5026', 'value': '€100k'}, {'date': '17/06/2011', 'age': '18', 'clubName': 'Lommel United', 'clubID': '5026', 'value': '€150k'}, {'date': '02/12/2011', 'age': '19', 'clubName': 'Lommel United', 'clubID': '5026', 'value': '€250k'}, {'date': '05/02/2012', 'age': '19', 'clubName': 'Lommel United', 'clubID': '5026', 'value': '€350k'}, {'date': '01/01/2013', 'age': '20', 'clubName': 'Lommel United', 'clubID': '5026', 'value': '€400k'}, {'date': '12/08/2013', 'age': '20', 'clubName': 'KSC Lokeren (-2020)', 'clubID': '498', 'value': '€700k'}, {'date': '08/10/2013', 'age': '21', 'clubName': 'KSC Lokeren (-2020)', 'clubID': '498', 'value': '€1.20m'}, {'date': '10/02/2014', 'age': '21', 'clubName': 'KSC Lokeren (-2020)', 'clubID': '498', 'value': '€3.00m'}, {'date': '28/06/2014', 'age': '21', 'clubName': 'KSC Lokeren (-2020)', 'clubID': '498', 'value': '€5.00m'}, {'date': '07/01/2015', 'age': '22', 'clubName': 'KSC Lokeren (-2020)', 'clubID': '498', 'value': '€6.00m'}, {'date': '22/10/2015', 'age': '23', 'clubName': 'Club Brugge KV', 'clubID': '2282', 'value': '€5.00m'}, {'date': '07/02/2016', 'age': '23', 'clubName': 'Club Brugge KV', 'clubID': '2282', 'value': '€5.00m'}, {'date': '15/07/2016', 'age': '23', 'clubName': 'Club Brugge KV', 'clubID': '2282', 'value': '€5.50m'}, {'date': '21/01/2017', 'age': '24', 'clubName': 'Club Brugge KV', 'clubID': '2282', 'value': '€5.00m'}, {'date': '06/06/2017', 'age': '24', 'clubName': 'Club Brugge KV', 'clubID': '2282', 'value': '€5.00m'}, {'date': '09/01/2018', 'age': '25', 'clubName': 'Club Brugge KV', 'clubID': '2282', 'value': '€6.00m'}, {'date': '30/03/2018', 'age': '25', 'clubName': 'Club Brugge KV', 'clubID': '2282', 'value': '€7.00m'}, {'date': '03/06/2018', 'age': '25', 'clubName': 'Club Brugge KV', 'clubID': '2282', 'value': '€7.50m'}, {'date': '11/09/2018', 'age': '26', 'clubName': 'Club Brugge KV', 'clubID': '2282', 'value': '€8.50m'}, {'date': '27/12/2018', 'age': '26', 'clubName': 'Club Brugge KV', 'clubID': '2282', 'value': '€10.00m'}, {'date': '10/06/2019', 'age': '26', 'clubName': 'Club Brugge KV', 'clubID': '2282', 'value': '€11.50m'}, {'date': '13/09/2019', 'age': '27', 'clubName': 'Club Brugge KV', 'clubID': '2282', 'value': '€14.00m'}, {'date': '13/12/2019', 'age': '27', 'clubName': 'Club Brugge KV', 'clubID': '2282', 'value': '€15.00m'}, {'date': '08/04/2020', 'age': '27', 'clubName': 'Club Brugge KV', 'clubID': '2282', 'value': '€12.00m'}, {'date': '16/10/2020', 'age': '28', 'clubName': 'Club Brugge KV', 'clubID': '2282', 'value': '€15.00m'}, {'date': '26/05/2021', 'age': '28', 'clubName': 'Club Brugge KV', 'clubID': '2282', 'value': '€13.00m'}, {'date': '06/10/2021', 'age': '29', 'clubName': 'Club Brugge KV', 'clubID': '2282', 'value': '€16.00m'}, {'date': '06/01/2022', 'age': '29', 'clubName': 'Club Brugge KV', 'clubID': '2282', 'value': '€16.00m'}, {'date': '12/04/2022', 'age': '29', 'clubName': 'Club Brugge KV', 'clubID': '2282', 'value': '€16.00m'}, {'date': '04/11/2022', 'age': '30', 'clubName': 'Club Brugge KV', 'clubID': '2282', 'value': '€15.00m'}, {'date': '22/03/2023', 'age': '30', 'clubName': 'Club Brugge KV', 'clubID': '2282', 'value': '€12.00m'}, {'date': '09/06/2023', 'age': '30', 'clubName': 'Club Brugge KV', 'clubID': '2282', 'value': '€10.00m'}, {'date': '19/12/2023', 'age': '31', 'clubName': 'Club Brugge KV', 'clubID': '2282', 'value': '€8.50m'}, {'date': '22/03/2024', 'age': '31', 'clubName': 'Club Brugge KV', 'clubID': '2282', 'value': '€7.50m'}, {'date': '04/06/2024', 'age': '31', 'clubName': 'Club Brugge KV', 'clubID': '2282', 'value': '€7.00m'}, {'date': '11/12/2024', 'age': '32', 'clubName': 'Club Brugge KV', 'clubID': '2282', 'value': '€6.00m'}, {'date': '26/03/2025', 'age': '32', 'clubName': 'Club Brugge KV', 'clubID': '2282', 'value': '€7.00m'}, {'date': '12/06/2025', 'age': '32', 'clubName': 'Club Brugge KV', 'clubID': '2282', 'value': '€7.00m'}, {'date': '10/12/2025', 'age': '33', 'clubName': 'Club Brugge KV', 'clubID': '2282', 'value': '€6.00m'}]}</t>
        </is>
      </c>
      <c r="L126" t="inlineStr">
        <is>
          <t>Belgium</t>
        </is>
      </c>
      <c r="M126" t="inlineStr">
        <is>
          <t>1992-08-24</t>
        </is>
      </c>
      <c r="N126" t="inlineStr">
        <is>
          <t>Belgium</t>
        </is>
      </c>
      <c r="O126">
        <f>(16+16+15)/3</f>
        <v/>
      </c>
      <c r="P126">
        <f>(13+16)/2</f>
        <v/>
      </c>
    </row>
    <row r="127">
      <c r="A127" t="inlineStr">
        <is>
          <t>S. Thill</t>
        </is>
      </c>
      <c r="B127" t="inlineStr">
        <is>
          <t>Sheriff</t>
        </is>
      </c>
      <c r="C127" t="inlineStr">
        <is>
          <t>Midfielder</t>
        </is>
      </c>
      <c r="D127" t="n">
        <v>540</v>
      </c>
      <c r="E127" t="n">
        <v>6</v>
      </c>
      <c r="F127" t="n">
        <v>2</v>
      </c>
      <c r="G127" t="n">
        <v>1</v>
      </c>
      <c r="H127" t="n">
        <v>76.8</v>
      </c>
      <c r="I127" t="n">
        <v>30.3</v>
      </c>
      <c r="J127" t="n">
        <v>158594</v>
      </c>
      <c r="K127" t="inlineStr">
        <is>
          <t>{'marketValueHistory': [{'date': '01/08/2014', 'age': '20', 'clubName': 'FC Progrès Niederkorn', 'clubID': '12346', 'value': '€125k'}, {'date': '01/12/2014', 'age': '20', 'clubName': 'FC Progrès Niederkorn', 'clubID': '12346', 'value': '€100k'}, {'date': '13/04/2015', 'age': '21', 'clubName': 'FC Progrès Niederkorn', 'clubID': '12346', 'value': '€100k'}, {'date': '10/07/2015', 'age': '21', 'clubName': 'FC Progrès Niederkorn', 'clubID': '12346', 'value': '€125k'}, {'date': '11/12/2015', 'age': '21', 'clubName': 'FC Progrès Niederkorn', 'clubID': '12346', 'value': '€150k'}, {'date': '21/07/2016', 'age': '22', 'clubName': 'FC Progrès Niederkorn', 'clubID': '12346', 'value': '€150k'}, {'date': '23/12/2016', 'age': '22', 'clubName': 'FC Progrès Niederkorn', 'clubID': '12346', 'value': '€125k'}, {'date': '15/07/2017', 'age': '23', 'clubName': 'FC Progrès Niederkorn', 'clubID': '12346', 'value': '€150k'}, {'date': '08/02/2018', 'age': '24', 'clubName': 'FC Progrès Niederkorn', 'clubID': '12346', 'value': '€150k'}, {'date': '02/08/2018', 'age': '24', 'clubName': 'FC Progrès Niederkorn', 'clubID': '12346', 'value': '€150k'}, {'date': '08/01/2019', 'age': '25', 'clubName': 'FC Progrès Niederkorn', 'clubID': '12346', 'value': '€175k'}, {'date': '15/07/2019', 'age': '25', 'clubName': 'FC Progrès Niederkorn', 'clubID': '12346', 'value': '€175k'}, {'date': '15/01/2020', 'age': '26', 'clubName': 'FC Progrès Niederkorn', 'clubID': '12346', 'value': '€175k'}, {'date': '21/07/2020', 'age': '26', 'clubName': 'FC Progrès Niederkorn', 'clubID': '12346', 'value': '€175k'}, {'date': '19/10/2020', 'age': '26', 'clubName': 'PFK Tambov', 'clubID': '41201', 'value': '€300k'}, {'date': '29/12/2020', 'age': '27', 'clubName': 'PFK Tambov', 'clubID': '41201', 'value': '€300k'}, {'date': '24/05/2021', 'age': '27', 'clubName': 'FC Sheriff Tiraspol', 'clubID': '2481', 'value': '€400k'}, {'date': '18/10/2021', 'age': '27', 'clubName': 'FC Sheriff Tiraspol', 'clubID': '2481', 'value': '€1.00m'}, {'date': '25/12/2021', 'age': '27', 'clubName': 'FC Sheriff Tiraspol', 'clubID': '2481', 'value': '€2.00m'}, {'date': '23/05/2022', 'age': '28', 'clubName': 'FC Sheriff Tiraspol', 'clubID': '2481', 'value': '€2.00m'}, {'date': '28/09/2022', 'age': '28', 'clubName': 'FC Hansa Rostock', 'clubID': '30', 'value': '€1.00m'}, {'date': '30/11/2022', 'age': '28', 'clubName': 'FC Hansa Rostock', 'clubID': '30', 'value': '€600k'}, {'date': '31/03/2023', 'age': '29', 'clubName': 'FC Hansa Rostock', 'clubID': '30', 'value': '€500k'}, {'date': '28/06/2023', 'age': '29', 'clubName': 'FC Hansa Rostock', 'clubID': '30', 'value': '€400k'}, {'date': '05/12/2023', 'age': '29', 'clubName': 'Stal Rzeszow', 'clubID': '9510', 'value': '€250k'}, {'date': '21/06/2024', 'age': '30', 'clubName': 'Stal Rzeszow', 'clubID': '9510', 'value': '€250k'}, {'date': '05/12/2024', 'age': '30', 'clubName': 'Stal Rzeszow', 'clubID': '9510', 'value': '€250k'}, {'date': '06/06/2025', 'age': '31', 'clubName': 'Stal Rzeszow', 'clubID': '9510', 'value': '€200k'}, {'date': '08/12/2025', 'age': '31', 'clubName': 'Stal Rzeszow', 'clubID': '9510', 'value': '€150k'}]}</t>
        </is>
      </c>
      <c r="L127" t="inlineStr">
        <is>
          <t>Luxembourg</t>
        </is>
      </c>
      <c r="M127" t="inlineStr">
        <is>
          <t>1993-12-29</t>
        </is>
      </c>
      <c r="N127" t="inlineStr">
        <is>
          <t>Luxembourg</t>
        </is>
      </c>
      <c r="O127">
        <f>(2+1+0.6)/3</f>
        <v/>
      </c>
      <c r="P127">
        <f>(0.4+1+2)/3</f>
        <v/>
      </c>
    </row>
    <row r="128">
      <c r="A128" t="inlineStr">
        <is>
          <t>Coates</t>
        </is>
      </c>
      <c r="B128" t="inlineStr">
        <is>
          <t>Sporting CP</t>
        </is>
      </c>
      <c r="C128" t="inlineStr">
        <is>
          <t>Defender</t>
        </is>
      </c>
      <c r="D128" t="n">
        <v>540</v>
      </c>
      <c r="E128" t="n">
        <v>6</v>
      </c>
      <c r="F128" t="n">
        <v>2</v>
      </c>
      <c r="G128" t="n">
        <v>0</v>
      </c>
      <c r="H128" t="n">
        <v>50.9</v>
      </c>
      <c r="I128" t="n">
        <v>31.4</v>
      </c>
      <c r="J128" t="n">
        <v>102427</v>
      </c>
      <c r="K128" t="inlineStr">
        <is>
          <t>{'id': '102427', 'marketValue': '€4.00m', 'marketValueHistory': [{'age': '18', 'date': 'Sep 21, 2009', 'clubName': 'Club Nacional', 'value': '€400k', 'clubID': '866'}, {'age': '19', 'date': 'Jan 22, 2010', 'clubName': 'Club Nacional', 'value': '€450k', 'clubID': '866'}, {'age': '19', 'date': 'Aug 15, 2010', 'clubName': 'Club Nacional', 'value': '€600k', 'clubID': '866'}, {'age': '20', 'date': 'Jan 17, 2011', 'clubName': 'Club Nacional', 'value': '€1.00m', 'clubID': '866'}, {'age': '20', 'date': 'Jun 17, 2011', 'clubName': 'Club Nacional', 'value': '€2.50m', 'clubID': '866'}, {'age': '20', 'date': 'Aug 24, 2011', 'clubName': 'Club Nacional', 'value': '€2.50m', 'clubID': '866'}, {'age': '21', 'date': 'Feb 6, 2012', 'clubName': 'Liverpool FC', 'value': '€5.00m', 'clubID': '31'}, {'age': '21', 'date': 'Jun 24, 2012', 'clubName': 'Liverpool FC', 'value': '€5.00m', 'clubID': '31'}, {'age': '22', 'date': 'Jan 28, 2013', 'clubName': 'Liverpool FC', 'value': '€4.50m', 'clubID': '31'}, {'age': '22', 'date': 'Jul 2, 2013', 'clubName': 'Liverpool FC', 'value': '€3.50m', 'clubID': '31'}, {'age': '23', 'date': 'Jan 15, 2014', 'clubName': 'Liverpool FC', 'value': '€2.50m', 'clubID': '31'}, {'age': '23', 'date': 'Feb 5, 2014', 'clubName': 'Club Nacional', 'value': '€2.50m', 'clubID': '866'}, {'age': '23', 'date': 'Aug 12, 2014', 'clubName': 'Liverpool FC', 'value': '€2.50m', 'clubID': '31'}, {'age': '24', 'date': 'Feb 12, 2015', 'clubName': 'Sunderland AFC', 'value': '€1.50m', 'clubID': '289'}, {'age': '24', 'date': 'Jul 1, 2015', 'clubName': 'Sunderland AFC', 'value': '€2.50m', 'clubID': '289'}, {'age': '25', 'date': 'Feb 9, 2016', 'clubName': 'Sporting CP', 'value': '€2.00m', 'clubID': '336'}, {'age': '25', 'date': 'Jul 29, 2016', 'clubName': 'Sporting CP', 'value': '€5.00m', 'clubID': '336'}, {'age': '26', 'date': 'Oct 31, 2016', 'clubName': 'Sporting CP', 'value': '€6.00m', 'clubID': '336'}, {'age': '26', 'date': 'Feb 22, 2017', 'clubName': 'Sporting CP', 'value': '€7.00m', 'clubID': '336'}, {'age': '26', 'date': 'Jun 26, 2017', 'clubName': 'Sporting CP', 'value': '€7.00m', 'clubID': '336'}, {'age': '27', 'date': 'Feb 7, 2018', 'clubName': 'Sporting CP', 'value': '€9.00m', 'clubID': '336'}, {'age': '27', 'date': 'Jun 13, 2018', 'clubName': 'Sporting CP', 'value': '€10.00m', 'clubID': '336'}, {'age': '28', 'date': 'Jan 11, 2019', 'clubName': 'Sporting CP', 'value': '€14.00m', 'clubID': '336'}, {'age': '28', 'date': 'Jun 7, 2019', 'clubName': 'Sporting CP', 'value': '€15.00m', 'clubID': '336'}, {'age': '29', 'date': 'Oct 11, 2019', 'clubName': 'Sporting CP', 'value': '€10.00m', 'clubID': '336'}, {'age': '29', 'date': 'Dec 30, 2019', 'clubName': 'Sporting CP', 'value': '€10.00m', 'clubID': '336'}, {'age': '29', 'date': 'Apr 8, 2020', 'clubName': 'Sporting CP', 'value': '€8.00m', 'clubID': '336'}, {'age': '29', 'date': 'Aug 17, 2020', 'clubName': 'Sporting CP', 'value': '€8.00m', 'clubID': '336'}, {'age': '30', 'date': 'Jan 28, 2021', 'clubName': 'Sporting CP', 'value': '€10.00m', 'clubID': '336'}, {'age': '30', 'date': 'May 21, 2021', 'clubName': 'Sporting CP', 'value': '€14.00m', 'clubID': '336'}, {'age': '31', 'date': 'Dec 27, 2021', 'clubName': 'Sporting CP', 'value': '€14.00m', 'clubID': '336'}, {'age': '31', 'date': 'Mar 10, 2022', 'clubName': 'Sporting CP', 'value': '€13.00m', 'clubID': '336'}, {'age': '31', 'date': 'May 31, 2022', 'clubName': 'Sporting CP', 'value': '€8.00m', 'clubID': '336'}, {'age': '32', 'date': 'Nov 1, 2022', 'clubName': 'Sporting CP', 'value': '€6.00m', 'clubID': '336'}, {'age': '32', 'date': 'Jun 16, 2023', 'clubName': 'Sporting CP', 'value': '€5.00m', 'clubID': '336'}, {'age': '33', 'date': 'Dec 27, 2023', 'clubName': 'Sporting CP', 'value': '€4.00m', 'clubID': '336'}], 'ranking': {'Worldwide': '2.272', 'Liga Portugal': '69', 'Sporting CP': '17', 'Uruguay': '39', 'Centre-Back': '373', 'Year 1990': '18'}, 'updatedAt': datetime.datetime(2024, 5, 23, 22, 23, 26, 869083)}</t>
        </is>
      </c>
      <c r="L128" t="inlineStr">
        <is>
          <t>Uruguay</t>
        </is>
      </c>
      <c r="M128" t="inlineStr">
        <is>
          <t>1991-02-07</t>
        </is>
      </c>
      <c r="N128" t="inlineStr">
        <is>
          <t>Uruguay</t>
        </is>
      </c>
      <c r="O128">
        <f>(13+8+6)/3</f>
        <v/>
      </c>
      <c r="P128">
        <f>(10+14+14)/3</f>
        <v/>
      </c>
    </row>
    <row r="129">
      <c r="A129" t="inlineStr">
        <is>
          <t>Arnold</t>
        </is>
      </c>
      <c r="B129" t="inlineStr">
        <is>
          <t>Wolfsburg</t>
        </is>
      </c>
      <c r="C129" t="inlineStr">
        <is>
          <t>Midfielder</t>
        </is>
      </c>
      <c r="D129" t="n">
        <v>540</v>
      </c>
      <c r="E129" t="n">
        <v>6</v>
      </c>
      <c r="F129" t="n">
        <v>0</v>
      </c>
      <c r="G129" t="n">
        <v>3</v>
      </c>
      <c r="H129" t="n">
        <v>67.3</v>
      </c>
      <c r="I129" t="n">
        <v>30.3</v>
      </c>
      <c r="J129" t="n">
        <v>314353</v>
      </c>
      <c r="K129" t="inlineStr">
        <is>
          <t>{'marketValueHistory': [{'date': 'Feb 20, 2017', 'age': '18', 'clubName': 'Liverpool FC', 'clubID': '31', 'value': '€500k'}, {'date': 'Jun 28, 2017', 'age': '18', 'clubName': 'Liverpool FC', 'clubID': '31', 'value': '€1.50m'}, {'date': 'Oct 23, 2017', 'age': '19', 'clubName': 'Liverpool FC', 'clubID': '31', 'value': '€5.00m'}, {'date': 'Jan 2, 2018', 'age': '19', 'clubName': 'Liverpool FC', 'clubID': '31', 'value': '€8.00m'}, {'date': 'May 28, 2018', 'age': '19', 'clubName': 'Liverpool FC', 'clubID': '31', 'value': '€25.00m'}, {'date': 'Oct 17, 2018', 'age': '20', 'clubName': 'Liverpool FC', 'clubID': '31', 'value': '€35.00m'}, {'date': 'Dec 19, 2018', 'age': '20', 'clubName': 'Liverpool FC', 'clubID': '31', 'value': '€45.00m'}, {'date': 'Mar 5, 2019', 'age': '20', 'clubName': 'Liverpool FC', 'clubID': '31', 'value': '€50.00m'}, {'date': 'Jun 13, 2019', 'age': '20', 'clubName': 'Liverpool FC', 'clubID': '31', 'value': '€80.00m'}, {'date': 'Dec 10, 2019', 'age': '21', 'clubName': 'Liverpool FC', 'clubID': '31', 'value': '€110.00m'}, {'date': 'Apr 8, 2020', 'age': '21', 'clubName': 'Liverpool FC', 'clubID': '31', 'value': '€99.00m'}, {'date': 'Jul 30, 2020', 'age': '21', 'clubName': 'Liverpool FC', 'clubID': '31', 'value': '€110.00m'}, {'date': 'Oct 13, 2020', 'age': '22', 'clubName': 'Liverpool FC', 'clubID': '31', 'value': '€110.00m'}, {'date': 'Mar 18, 2021', 'age': '22', 'clubName': 'Liverpool FC', 'clubID': '31', 'value': '€100.00m'}, {'date': 'May 28, 2021', 'age': '22', 'clubName': 'Liverpool FC', 'clubID': '31', 'value': '€75.00m'}, {'date': 'Dec 23, 2021', 'age': '23', 'clubName': 'Liverpool FC', 'clubID': '31', 'value': '€80.00m'}, {'date': 'Jun 15, 2022', 'age': '23', 'clubName': 'Liverpool FC', 'clubID': '31', 'value': '€80.00m'}, {'date': 'Nov 3, 2022', 'age': '24', 'clubName': 'Liverpool FC', 'clubID': '31', 'value': '€70.00m'}, {'date': 'Mar 16, 2023', 'age': '24', 'clubName': 'Liverpool FC', 'clubID': '31', 'value': '€65.00m'}, {'date': 'Jun 20, 2023', 'age': '24', 'clubName': 'Liverpool FC', 'clubID': '31', 'value': '€65.00m'}, {'date': 'Dec 19, 2023', 'age': '25', 'clubName': 'Liverpool FC', 'clubID': '31', 'value': '€70.00m'}, {'date': 'May 27, 2024', 'age': '25', 'clubName': 'Liverpool FC', 'clubID': '31', 'value': '€70.00m'}, {'date': 'Dec 16, 2024', 'age': '26', 'clubName': 'Liverpool FC', 'clubID': '31', 'value': '€75.00m'}, {'date': 'May 30, 2025', 'age': '26', 'clubName': 'Liverpool FC', 'clubID': '31', 'value': '€75.00m'}, {'date': 'Dec 12, 2025', 'age': '27', 'clubName': 'Real Madrid', 'clubID': '418', 'value': '€70.00m'}, {'date': 'Mar 16, 2026', 'age': '27', 'clubName': 'Real Madrid', 'clubID': '418', 'value': '€65.00m'}]}</t>
        </is>
      </c>
      <c r="L129" t="inlineStr">
        <is>
          <t>United Kingdom</t>
        </is>
      </c>
      <c r="M129" t="inlineStr">
        <is>
          <t>1998-10-07</t>
        </is>
      </c>
      <c r="N129" t="inlineStr">
        <is>
          <t>34</t>
        </is>
      </c>
      <c r="O129">
        <f>(80+70)/2</f>
        <v/>
      </c>
      <c r="P129">
        <f>(100+75+80)/3</f>
        <v/>
      </c>
    </row>
    <row r="130">
      <c r="A130" t="inlineStr">
        <is>
          <t>Cristiano</t>
        </is>
      </c>
      <c r="B130" t="inlineStr">
        <is>
          <t>Sheriff</t>
        </is>
      </c>
      <c r="C130" t="inlineStr">
        <is>
          <t>Defender</t>
        </is>
      </c>
      <c r="D130" t="n">
        <v>540</v>
      </c>
      <c r="E130" t="n">
        <v>6</v>
      </c>
      <c r="F130" t="n">
        <v>0</v>
      </c>
      <c r="G130" t="n">
        <v>3</v>
      </c>
      <c r="H130" t="n">
        <v>63.2</v>
      </c>
      <c r="I130" t="n">
        <v>34.8</v>
      </c>
      <c r="J130" t="n">
        <v>8198</v>
      </c>
      <c r="K130" t="inlineStr">
        <is>
          <t>{'marketValueHistory': [{'date': 'Oct 4, 2004', 'age': '19', 'clubName': 'Manchester United', 'clubID': '985', 'value': '€18.00m'}, {'date': 'Feb 11, 2005', 'age': '20', 'clubName': 'Manchester United', 'clubID': '985', 'value': '€22.80m'}, {'date': 'Oct 18, 2005', 'age': '20', 'clubName': 'Manchester United', 'clubID': '985', 'value': '€26.50m'}, {'date': 'Jun 14, 2006', 'age': '21', 'clubName': 'Manchester United', 'clubID': '985', 'value': '€25.00m'}, {'date': 'Apr 25, 2007', 'age': '22', 'clubName': 'Manchester United', 'clubID': '985', 'value': '€34.00m'}, {'date': 'Feb 4, 2008', 'age': '22', 'clubName': 'Manchester United', 'clubID': '985', 'value': '€50.00m'}, {'date': 'Apr 8, 2008', 'age': '23', 'clubName': 'Manchester United', 'clubID': '985', 'value': '€55.00m'}, {'date': 'Jul 4, 2008', 'age': '23', 'clubName': 'Manchester United', 'clubID': '985', 'value': '€60.00m'}, {'date': 'Jul 22, 2009', 'age': '24', 'clubName': 'Real Madrid', 'clubID': '418', 'value': '€70.00m'}, {'date': 'Dec 3, 2009', 'age': '24', 'clubName': 'Real Madrid', 'clubID': '418', 'value': '€70.00m'}, {'date': 'Jan 7, 2010', 'age': '24', 'clubName': 'Real Madrid', 'clubID': '418', 'value': '€75.00m'}, {'date': 'Apr 12, 2010', 'age': '25', 'clubName': 'Real Madrid', 'clubID': '418', 'value': '€75.00m'}, {'date': 'Aug 27, 2010', 'age': '25', 'clubName': 'Real Madrid', 'clubID': '418', 'value': '€90.00m'}, {'date': 'Feb 4, 2011', 'age': '25', 'clubName': 'Real Madrid', 'clubID': '418', 'value': '€90.00m'}, {'date': 'Jul 29, 2011', 'age': '26', 'clubName': 'Real Madrid', 'clubID': '418', 'value': '€90.00m'}, {'date': 'Feb 3, 2012', 'age': '26', 'clubName': 'Real Madrid', 'clubID': '418', 'value': '€90.00m'}, {'date': 'Aug 7, 2012', 'age': '27', 'clubName': 'Real Madrid', 'clubID': '418', 'value': '€100.00m'}, {'date': 'Jan 10, 2013', 'age': '27', 'clubName': 'Real Madrid', 'clubID': '418', 'value': '€100.00m'}, {'date': 'Jun 12, 2013', 'age': '28', 'clubName': 'Real Madrid', 'clubID': '418', 'value': '€100.00m'}, {'date': 'Jan 23, 2014', 'age': '28', 'clubName': 'Real Madrid', 'clubID': '418', 'value': '€100.00m'}, {'date': 'Jul 20, 2014', 'age': '29', 'clubName': 'Real Madrid', 'clubID': '418', 'value': '€100.00m'}, {'date': 'Oct 22, 2014', 'age': '29', 'clubName': 'Real Madrid', 'clubID': '418', 'value': '€120.00m'}, {'date': 'Jan 23, 2015', 'age': '29', 'clubName': 'Real Madrid', 'clubID': '418', 'value': '€120.00m'}, {'date': 'Jul 1, 2015', 'age': '30', 'clubName': 'Real Madrid', 'clubID': '418', 'value': '€120.00m'}, {'date': 'Nov 22, 2015', 'age': '30', 'clubName': 'Real Madrid', 'clubID': '418', 'value': '€110.00m'}, {'date': 'Feb 22, 2016', 'age': '31', 'clubName': 'Real Madrid', 'clubID': '418', 'value': '€110.00m'}, {'date': 'Jun 1, 2016', 'age': '31', 'clubName': 'Real Madrid', 'clubID': '418', 'value': '€110.00m'}, {'date': 'Jul 15, 2016', 'age': '31', 'clubName': 'Real Madrid', 'clubID': '418', 'value': '€110.00m'}, {'date': 'Jan 24, 2017', 'age': '31', 'clubName': 'Real Madrid', 'clubID': '418', 'value': '€100.00m'}, {'date': 'Jun 5, 2017', 'age': '32', 'clubName': 'Real Madrid', 'clubID': '418', 'value': '€100.00m'}, {'date': 'Jan 1, 2018', 'age': '32', 'clubName': 'Real Madrid', 'clubID': '418', 'value': '€120.00m'}, {'date': 'May 30, 2018', 'age': '33', 'clubName': 'Real Madrid', 'clubID': '418', 'value': '€100.00m'}, {'date': 'Dec 20, 2018', 'age': '33', 'clubName': 'Juventus FC', 'clubID': '506', 'value': '€100.00m'}, {'date': 'Jun 6, 2019', 'age': '34', 'clubName': 'Juventus FC', 'clubID': '506', 'value': '€90.00m'}, {'date': 'Dec 12, 2019', 'age': '34', 'clubName': 'Juventus FC', 'clubID': '506', 'value': '€75.00m'}, {'date': 'Apr 8, 2020', 'age': '35', 'clubName': 'Juventus FC', 'clubID': '506', 'value': '€60.00m'}, {'date': 'Aug 25, 2020', 'age': '35', 'clubName': 'Juventus FC', 'clubID': '506', 'value': '€60.00m'}, {'date': 'Dec 29, 2020', 'age': '35', 'clubName': 'Juventus FC', 'clubID': '506', 'value': '€60.00m'}, {'date': 'Mar 23, 2021', 'age': '36', 'clubName': 'Juventus FC', 'clubID': '506', 'value': '€50.00m'}, {'date': 'Jun 1, 2021', 'age': '36', 'clubName': 'Juventus FC', 'clubID': '506', 'value': '€45.00m'}, {'date': 'Dec 23, 2021', 'age': '36', 'clubName': 'Manchester United', 'clubID': '985', 'value': '€35.00m'}, {'date': 'Jun 15, 2022', 'age': '37', 'clubName': 'Manchester United', 'clubID': '985', 'value': '€30.00m'}, {'date': 'Sep 15, 2022', 'age': '37', 'clubName': 'Manchester United', 'clubID': '985', 'value': '€20.00m'}, {'date': 'Nov 3, 2022', 'age': '37', 'clubName': 'Manchester United', 'clubID': '985', 'value': '€20.00m'}, {'date': 'Jun 12, 2023', 'age': '38', 'clubName': 'Al-Nassr FC', 'clubID': '18544', 'value': '€15.00m'}, {'date': 'Dec 15, 2023', 'age': '38', 'clubName': 'Al-Nassr FC', 'clubID': '18544', 'value': '€15.00m'}, {'date': 'Jun 4, 2024', 'age': '39', 'clubName': 'Al-Nassr FC', 'clubID': '18544', 'value': '€15.00m'}, {'date': 'Dec 13, 2024', 'age': '39', 'clubName': 'Al-Nassr FC', 'clubID': '18544', 'value': '€12.00m'}, {'date': 'May 27, 2025', 'age': '40', 'clubName': 'Al-Nassr FC', 'clubID': '18544', 'value': '€12.00m'}, {'date': 'Dec 18, 2025', 'age': '40', 'clubName': 'Al-Nassr FC', 'clubID': '18544', 'value': '€12.00m'}]}</t>
        </is>
      </c>
      <c r="L130" t="inlineStr">
        <is>
          <t>Portugal</t>
        </is>
      </c>
      <c r="M130" t="inlineStr">
        <is>
          <t>1985-02-05</t>
        </is>
      </c>
      <c r="N130" t="inlineStr">
        <is>
          <t>Portugal</t>
        </is>
      </c>
      <c r="O130">
        <f>(30+20+20)/3</f>
        <v/>
      </c>
      <c r="P130">
        <f>(50+45+35)/3</f>
        <v/>
      </c>
    </row>
    <row r="131">
      <c r="A131" t="inlineStr">
        <is>
          <t>Zabarnyi</t>
        </is>
      </c>
      <c r="B131" t="inlineStr">
        <is>
          <t>Dynamo Kyiv</t>
        </is>
      </c>
      <c r="C131" t="inlineStr">
        <is>
          <t>Defender</t>
        </is>
      </c>
      <c r="D131" t="n">
        <v>540</v>
      </c>
      <c r="E131" t="n">
        <v>6</v>
      </c>
      <c r="F131" t="n">
        <v>0</v>
      </c>
      <c r="G131" t="n">
        <v>0</v>
      </c>
      <c r="H131" t="n">
        <v>67.09999999999999</v>
      </c>
      <c r="I131" t="n">
        <v>30.9</v>
      </c>
      <c r="J131" t="n">
        <v>659089</v>
      </c>
      <c r="K131" t="inlineStr">
        <is>
          <t>{'marketValueHistory': [{'date': '04/09/2020', 'age': '18', 'clubName': 'Dynamo Kyiv', 'clubID': '338', 'value': '€50k'}, {'date': '16/10/2020', 'age': '18', 'clubName': 'Dynamo Kyiv', 'clubID': '338', 'value': '€1.00m'}, {'date': '14/01/2021', 'age': '18', 'clubName': 'Dynamo Kyiv', 'clubID': '338', 'value': '€4.00m'}, {'date': '27/05/2021', 'age': '18', 'clubName': 'Dynamo Kyiv', 'clubID': '338', 'value': '€6.00m'}, {'date': '15/07/2021', 'age': '18', 'clubName': 'Dynamo Kyiv', 'clubID': '338', 'value': '€11.00m'}, {'date': '20/12/2021', 'age': '19', 'clubName': 'Dynamo Kyiv', 'clubID': '338', 'value': '€13.00m'}, {'date': '18/05/2022', 'age': '19', 'clubName': 'Dynamo Kyiv', 'clubID': '338', 'value': '€15.00m'}, {'date': '06/12/2022', 'age': '20', 'clubName': 'Dynamo Kyiv', 'clubID': '338', 'value': '€15.00m'}, {'date': '16/03/2023', 'age': '20', 'clubName': 'AFC Bournemouth', 'clubID': '989', 'value': '€18.00m'}, {'date': '20/06/2023', 'age': '20', 'clubName': 'AFC Bournemouth', 'clubID': '989', 'value': '€20.00m'}, {'date': '19/12/2023', 'age': '21', 'clubName': 'AFC Bournemouth', 'clubID': '989', 'value': '€25.00m'}, {'date': '14/03/2024', 'age': '21', 'clubName': 'AFC Bournemouth', 'clubID': '989', 'value': '€28.00m'}, {'date': '27/05/2024', 'age': '21', 'clubName': 'AFC Bournemouth', 'clubID': '989', 'value': '€32.00m'}, {'date': '16/12/2024', 'age': '22', 'clubName': 'AFC Bournemouth', 'clubID': '989', 'value': '€38.00m'}, {'date': '18/03/2025', 'age': '22', 'clubName': 'AFC Bournemouth', 'clubID': '989', 'value': '€40.00m'}, {'date': '30/05/2025', 'age': '22', 'clubName': 'AFC Bournemouth', 'clubID': '989', 'value': '€42.00m'}, {'date': '10/10/2025', 'age': '23', 'clubName': 'Paris Saint-Germain', 'clubID': '583', 'value': '€55.00m'}, {'date': '15/12/2025', 'age': '23', 'clubName': 'Paris Saint-Germain', 'clubID': '583', 'value': '€50.00m'}, {'date': '27/03/2026', 'age': '23', 'clubName': 'Paris Saint-Germain', 'clubID': '583', 'value': '€45.00m'}]}</t>
        </is>
      </c>
      <c r="L131" t="inlineStr">
        <is>
          <t>Ukraine</t>
        </is>
      </c>
      <c r="M131" t="inlineStr">
        <is>
          <t>2002-09-01</t>
        </is>
      </c>
      <c r="N131" t="inlineStr">
        <is>
          <t>Ukraine</t>
        </is>
      </c>
      <c r="O131">
        <f>(15+15)/2</f>
        <v/>
      </c>
      <c r="P131">
        <f>(4+6+11+13)/4</f>
        <v/>
      </c>
    </row>
    <row r="132">
      <c r="A132" t="inlineStr">
        <is>
          <t>Fernando</t>
        </is>
      </c>
      <c r="B132" t="inlineStr">
        <is>
          <t>Sevilla</t>
        </is>
      </c>
      <c r="C132" t="inlineStr">
        <is>
          <t>Midfielder</t>
        </is>
      </c>
      <c r="D132" t="n">
        <v>540</v>
      </c>
      <c r="E132" t="n">
        <v>6</v>
      </c>
      <c r="F132" t="n">
        <v>0</v>
      </c>
      <c r="G132" t="n">
        <v>0</v>
      </c>
      <c r="H132" t="n">
        <v>66.59999999999999</v>
      </c>
      <c r="I132" t="n">
        <v>33.1</v>
      </c>
      <c r="J132" t="n">
        <v>7767</v>
      </c>
      <c r="K132" t="inlineStr">
        <is>
          <t>{'marketValueHistory': [{'date': '04/10/2004', 'age': '20', 'clubName': 'Atlético de Madrid', 'clubID': '13', 'value': '€16.50m'}, {'date': '29/11/2004', 'age': '20', 'clubName': 'Atlético de Madrid', 'clubID': '13', 'value': '€25.00m'}, {'date': '21/06/2007', 'age': '23', 'clubName': 'Atlético de Madrid', 'clubID': '13', 'value': '€30.00m'}, {'date': '02/08/2007', 'age': '23', 'clubName': 'Liverpool FC', 'clubID': '31', 'value': '€35.00m'}, {'date': '04/07/2008', 'age': '24', 'clubName': 'Liverpool FC', 'clubID': '31', 'value': '€40.00m'}, {'date': '23/02/2009', 'age': '24', 'clubName': 'Liverpool FC', 'clubID': '31', 'value': '€43.00m'}, {'date': '29/06/2009', 'age': '25', 'clubName': 'Liverpool FC', 'clubID': '31', 'value': '€45.00m'}, {'date': '25/01/2010', 'age': '25', 'clubName': 'Liverpool FC', 'clubID': '31', 'value': '€50.00m'}, {'date': '13/08/2010', 'age': '26', 'clubName': 'Liverpool FC', 'clubID': '31', 'value': '€50.00m'}, {'date': '01/02/2011', 'age': '26', 'clubName': 'Chelsea FC', 'clubID': '631', 'value': '€46.00m'}, {'date': '08/08/2011', 'age': '27', 'clubName': 'Chelsea FC', 'clubID': '631', 'value': '€42.00m'}, {'date': '06/02/2012', 'age': '27', 'clubName': 'Chelsea FC', 'clubID': '631', 'value': '€35.00m'}, {'date': '24/06/2012', 'age': '28', 'clubName': 'Chelsea FC', 'clubID': '631', 'value': '€35.00m'}, {'date': '28/01/2013', 'age': '28', 'clubName': 'Chelsea FC', 'clubID': '631', 'value': '€28.00m'}, {'date': '02/07/2013', 'age': '29', 'clubName': 'Chelsea FC', 'clubID': '631', 'value': '€23.00m'}, {'date': '15/01/2014', 'age': '29', 'clubName': 'Chelsea FC', 'clubID': '631', 'value': '€19.00m'}, {'date': '12/08/2014', 'age': '30', 'clubName': 'Chelsea FC', 'clubID': '631', 'value': '€12.00m'}, {'date': '08/11/2014', 'age': '30', 'clubName': 'AC Milan', 'clubID': '5', 'value': '€7.00m'}, {'date': '23/01/2015', 'age': '30', 'clubName': 'Atlético de Madrid', 'clubID': '13', 'value': '€7.00m'}, {'date': '01/07/2015', 'age': '31', 'clubName': 'Atlético de Madrid', 'clubID': '13', 'value': '€7.00m'}, {'date': '22/02/2016', 'age': '31', 'clubName': 'Atlético de Madrid', 'clubID': '13', 'value': '€7.00m'}, {'date': '15/07/2016', 'age': '32', 'clubName': 'Atlético de Madrid', 'clubID': '13', 'value': '€10.00m'}, {'date': '24/01/2017', 'age': '32', 'clubName': 'Atlético de Madrid', 'clubID': '13', 'value': '€6.00m'}, {'date': '05/06/2017', 'age': '33', 'clubName': 'Atlético de Madrid', 'clubID': '13', 'value': '€4.00m'}, {'date': '01/01/2018', 'age': '33', 'clubName': 'Atlético de Madrid', 'clubID': '13', 'value': '€4.00m'}, {'date': '30/05/2018', 'age': '34', 'clubName': 'Atlético de Madrid', 'clubID': '13', 'value': '€4.00m'}, {'date': '05/01/2019', 'age': '34', 'clubName': 'Sagan Tosu', 'clubID': '22177', 'value': '€3.50m'}, {'date': '27/06/2019', 'age': '35', 'clubName': 'Sagan Tosu', 'clubID': '22177', 'value': '€2.50m'}, {'date': '26/08/2019', 'age': '35', 'clubName': 'Retired', 'clubID': '123', 'value': '-'}]}</t>
        </is>
      </c>
      <c r="L132" t="inlineStr">
        <is>
          <t>Spain</t>
        </is>
      </c>
      <c r="M132" t="inlineStr">
        <is>
          <t>1984-03-20</t>
        </is>
      </c>
      <c r="N132" t="inlineStr">
        <is>
          <t>110</t>
        </is>
      </c>
    </row>
    <row r="133">
      <c r="A133" t="inlineStr">
        <is>
          <t>Fernando Costanza</t>
        </is>
      </c>
      <c r="B133" t="inlineStr">
        <is>
          <t>Sheriff</t>
        </is>
      </c>
      <c r="C133" t="inlineStr">
        <is>
          <t>Defender</t>
        </is>
      </c>
      <c r="D133" t="n">
        <v>540</v>
      </c>
      <c r="E133" t="n">
        <v>6</v>
      </c>
      <c r="F133" t="n">
        <v>0</v>
      </c>
      <c r="G133" t="n">
        <v>0</v>
      </c>
      <c r="H133" t="n">
        <v>64.59999999999999</v>
      </c>
      <c r="I133" t="n">
        <v>39.4</v>
      </c>
      <c r="J133" t="n">
        <v>524403</v>
      </c>
      <c r="K133" t="inlineStr">
        <is>
          <t>{'marketValueHistory': [{'date': 'Dec 7, 2017', 'age': '19', 'clubName': 'Unknown', 'clubID': '75', 'value': '€50k'}, {'date': 'May 28, 2019', 'age': '20', 'clubName': 'Botafogo de Futebol e Regatas', 'clubID': '537', 'value': '€500k'}, {'date': 'Aug 15, 2019', 'age': '20', 'clubName': 'Botafogo de Futebol e Regatas', 'clubID': '537', 'value': '€800k'}, {'date': 'Nov 27, 2019', 'age': '20', 'clubName': 'Botafogo de Futebol e Regatas', 'clubID': '537', 'value': '€700k'}, {'date': 'Apr 8, 2020', 'age': '21', 'clubName': 'Botafogo de Futebol e Regatas', 'clubID': '537', 'value': '€625k'}, {'date': 'Sep 9, 2020', 'age': '21', 'clubName': 'Botafogo de Futebol e Regatas', 'clubID': '537', 'value': '€600k'}, {'date': 'May 24, 2021', 'age': '22', 'clubName': 'FC Sheriff Tiraspol', 'clubID': '2481', 'value': '€500k'}, {'date': 'Oct 18, 2021', 'age': '22', 'clubName': 'FC Sheriff Tiraspol', 'clubID': '2481', 'value': '€800k'}, {'date': 'Dec 25, 2021', 'age': '23', 'clubName': 'FC Sheriff Tiraspol', 'clubID': '2481', 'value': '€1.00m'}, {'date': 'Jun 2, 2022', 'age': '23', 'clubName': 'Krylya Sovetov Samara', 'clubID': '2696', 'value': '€1.20m'}, {'date': 'Nov 21, 2022', 'age': '23', 'clubName': 'Krylya Sovetov Samara', 'clubID': '2696', 'value': '€1.20m'}, {'date': 'Jun 14, 2023', 'age': '24', 'clubName': 'Krylya Sovetov Samara', 'clubID': '2696', 'value': '€1.20m'}, {'date': 'Oct 5, 2023', 'age': '24', 'clubName': 'Krylya Sovetov Samara', 'clubID': '2696', 'value': '€1.80m'}, {'date': 'Dec 13, 2023', 'age': '25', 'clubName': 'Krylya Sovetov Samara', 'clubID': '2696', 'value': '€3.00m'}, {'date': 'Jun 4, 2024', 'age': '25', 'clubName': 'Krylya Sovetov Samara', 'clubID': '2696', 'value': '€3.50m'}, {'date': 'Dec 12, 2024', 'age': '26', 'clubName': 'Krylya Sovetov Samara', 'clubID': '2696', 'value': '€3.00m'}, {'date': 'Jun 4, 2025', 'age': '26', 'clubName': 'Krylya Sovetov Samara', 'clubID': '2696', 'value': '€3.00m'}, {'date': 'Dec 16, 2025', 'age': '27', 'clubName': 'Krylya Sovetov Samara', 'clubID': '2696', 'value': '€2.80m'}, {'date': 'Mar 25, 2026', 'age': '27', 'clubName': 'Krylya Sovetov Samara', 'clubID': '2696', 'value': '€2.50m'}]}</t>
        </is>
      </c>
      <c r="L133" t="inlineStr">
        <is>
          <t>Italy</t>
        </is>
      </c>
      <c r="M133" t="inlineStr">
        <is>
          <t>1998-11-29</t>
        </is>
      </c>
      <c r="N133" t="inlineStr">
        <is>
          <t>Brazil</t>
        </is>
      </c>
      <c r="O133">
        <f>(1.2+1.2)/2</f>
        <v/>
      </c>
      <c r="P133">
        <f>(0.5+0.8+1)/3</f>
        <v/>
      </c>
    </row>
    <row r="134">
      <c r="A134" t="inlineStr">
        <is>
          <t>Dodo</t>
        </is>
      </c>
      <c r="B134" t="inlineStr">
        <is>
          <t>Shakhtar Donetsk</t>
        </is>
      </c>
      <c r="C134" t="inlineStr">
        <is>
          <t>Defender</t>
        </is>
      </c>
      <c r="D134" t="n">
        <v>540</v>
      </c>
      <c r="E134" t="n">
        <v>6</v>
      </c>
      <c r="F134" t="n">
        <v>0</v>
      </c>
      <c r="G134" t="n">
        <v>0</v>
      </c>
      <c r="H134" t="n">
        <v>64.5</v>
      </c>
      <c r="I134" t="n">
        <v>34.7</v>
      </c>
      <c r="J134" t="n">
        <v>401529</v>
      </c>
      <c r="K134" t="inlineStr">
        <is>
          <t>{'marketValueHistory': [{'date': '27/05/2016', 'age': '17', 'clubName': 'Coritiba Foot Ball Club', 'clubID': '776', 'value': '€500k'}, {'date': '23/07/2016', 'age': '17', 'clubName': 'Coritiba Foot Ball Club', 'clubID': '776', 'value': '€1.00m'}, {'date': '28/11/2016', 'age': '18', 'clubName': 'Coritiba Foot Ball Club', 'clubID': '776', 'value': '€2.00m'}, {'date': '07/12/2017', 'age': '19', 'clubName': 'Coritiba Foot Ball Club', 'clubID': '776', 'value': '€2.00m'}, {'date': '01/11/2018', 'age': '19', 'clubName': 'Vitória Guimarães SC', 'clubID': '2420', 'value': '€2.00m'}, {'date': '11/01/2019', 'age': '20', 'clubName': 'Vitória Guimarães SC', 'clubID': '2420', 'value': '€2.00m'}, {'date': '07/06/2019', 'age': '20', 'clubName': 'Vitória Guimarães SC', 'clubID': '2420', 'value': '€2.00m'}, {'date': '08/01/2020', 'age': '21', 'clubName': 'Shakhtar Donetsk', 'clubID': '660', 'value': '€4.00m'}, {'date': '08/04/2020', 'age': '21', 'clubName': 'Shakhtar Donetsk', 'clubID': '660', 'value': '€3.60m'}, {'date': '04/09/2020', 'age': '21', 'clubName': 'Shakhtar Donetsk', 'clubID': '660', 'value': '€10.00m'}, {'date': '14/01/2021', 'age': '22', 'clubName': 'Shakhtar Donetsk', 'clubID': '660', 'value': '€18.00m'}, {'date': '07/06/2021', 'age': '22', 'clubName': 'Shakhtar Donetsk', 'clubID': '660', 'value': '€20.00m'}, {'date': '20/12/2021', 'age': '23', 'clubName': 'Shakhtar Donetsk', 'clubID': '660', 'value': '€20.00m'}, {'date': '18/05/2022', 'age': '23', 'clubName': 'Shakhtar Donetsk', 'clubID': '660', 'value': '€20.00m'}, {'date': '11/11/2022', 'age': '23', 'clubName': 'ACF Fiorentina', 'clubID': '430', 'value': '€17.00m'}, {'date': '15/06/2023', 'age': '24', 'clubName': 'ACF Fiorentina', 'clubID': '430', 'value': '€20.00m'}, {'date': '20/12/2023', 'age': '25', 'clubName': 'ACF Fiorentina', 'clubID': '430', 'value': '€20.00m'}, {'date': '05/06/2024', 'age': '25', 'clubName': 'ACF Fiorentina', 'clubID': '430', 'value': '€17.00m'}, {'date': '18/12/2024', 'age': '26', 'clubName': 'ACF Fiorentina', 'clubID': '430', 'value': '€22.00m'}, {'date': '17/06/2025', 'age': '26', 'clubName': 'ACF Fiorentina', 'clubID': '430', 'value': '€24.00m'}, {'date': '23/12/2025', 'age': '27', 'clubName': 'ACF Fiorentina', 'clubID': '430', 'value': '€18.00m'}]}</t>
        </is>
      </c>
      <c r="L134" t="inlineStr">
        <is>
          <t>Brazil</t>
        </is>
      </c>
      <c r="M134" t="inlineStr">
        <is>
          <t>1998-11-17</t>
        </is>
      </c>
      <c r="N134" t="inlineStr">
        <is>
          <t>Brazil</t>
        </is>
      </c>
      <c r="O134">
        <f>(20+17)/2</f>
        <v/>
      </c>
      <c r="P134">
        <f>(18+20+20)/3</f>
        <v/>
      </c>
    </row>
    <row r="135">
      <c r="A135" t="inlineStr">
        <is>
          <t>Barrios</t>
        </is>
      </c>
      <c r="B135" t="inlineStr">
        <is>
          <t>Zenit</t>
        </is>
      </c>
      <c r="C135" t="inlineStr">
        <is>
          <t>Midfielder</t>
        </is>
      </c>
      <c r="D135" t="n">
        <v>540</v>
      </c>
      <c r="E135" t="n">
        <v>6</v>
      </c>
      <c r="F135" t="n">
        <v>0</v>
      </c>
      <c r="G135" t="n">
        <v>0</v>
      </c>
      <c r="H135" t="n">
        <v>61.5</v>
      </c>
      <c r="I135" t="n">
        <v>31.5</v>
      </c>
      <c r="J135" t="n">
        <v>775605</v>
      </c>
      <c r="K135" t="inlineStr">
        <is>
          <t>{'marketValueHistory': [{'date': 'Sep 26, 2022', 'age': '19', 'clubName': 'Atlético Madrileño', 'clubID': '13', 'value': '€100k'}, {'date': 'Dec 29, 2022', 'age': '19', 'clubName': 'Atlético Madrileño', 'clubID': '13', 'value': '€500k'}, {'date': 'Mar 23, 2023', 'age': '19', 'clubName': 'Atlético de Madrid', 'clubID': '13', 'value': '€5.00m'}, {'date': 'Jun 13, 2023', 'age': '19', 'clubName': 'Atlético de Madrid', 'clubID': '13', 'value': '€5.00m'}, {'date': 'Oct 13, 2023', 'age': '20', 'clubName': 'Atlético de Madrid', 'clubID': '13', 'value': '€20.00m'}, {'date': 'Dec 22, 2023', 'age': '20', 'clubName': 'Atlético de Madrid', 'clubID': '13', 'value': '€25.00m'}, {'date': 'Jun 7, 2024', 'age': '20', 'clubName': 'Atlético de Madrid', 'clubID': '13', 'value': '€25.00m'}, {'date': 'Oct 11, 2024', 'age': '21', 'clubName': 'Atlético de Madrid', 'clubID': '13', 'value': '€30.00m'}, {'date': 'Dec 27, 2024', 'age': '21', 'clubName': 'Atlético de Madrid', 'clubID': '13', 'value': '€50.00m'}, {'date': 'Jun 9, 2025', 'age': '21', 'clubName': 'Atlético de Madrid', 'clubID': '13', 'value': '€55.00m'}, {'date': 'Dec 12, 2025', 'age': '22', 'clubName': 'Atlético de Madrid', 'clubID': '13', 'value': '€60.00m'}]}</t>
        </is>
      </c>
      <c r="L135" t="inlineStr">
        <is>
          <t>Spain</t>
        </is>
      </c>
      <c r="M135" t="inlineStr">
        <is>
          <t>2003-06-15</t>
        </is>
      </c>
      <c r="N135" t="inlineStr">
        <is>
          <t>4</t>
        </is>
      </c>
      <c r="O135">
        <f>(0.1+0.5)/2</f>
        <v/>
      </c>
    </row>
    <row r="136">
      <c r="A136" t="inlineStr">
        <is>
          <t>Lacroix</t>
        </is>
      </c>
      <c r="B136" t="inlineStr">
        <is>
          <t>Wolfsburg</t>
        </is>
      </c>
      <c r="C136" t="inlineStr">
        <is>
          <t>Defender</t>
        </is>
      </c>
      <c r="D136" t="n">
        <v>540</v>
      </c>
      <c r="E136" t="n">
        <v>6</v>
      </c>
      <c r="F136" t="n">
        <v>0</v>
      </c>
      <c r="G136" t="n">
        <v>0</v>
      </c>
      <c r="H136" t="n">
        <v>61.3</v>
      </c>
      <c r="I136" t="n">
        <v>34.5</v>
      </c>
      <c r="J136" t="n">
        <v>434224</v>
      </c>
      <c r="K136" t="inlineStr">
        <is>
          <t>{'marketValueHistory': [{'date': 'Jan 8, 2019', 'age': '18', 'clubName': 'FC Sochaux-Montbéliard', 'clubID': '750', 'value': '€200k'}, {'date': 'Jun 27, 2019', 'age': '19', 'clubName': 'FC Sochaux-Montbéliard', 'clubID': '750', 'value': '€300k'}, {'date': 'Sep 30, 2019', 'age': '19', 'clubName': 'FC Sochaux-Montbéliard', 'clubID': '750', 'value': '€700k'}, {'date': 'Jan 6, 2020', 'age': '19', 'clubName': 'FC Sochaux-Montbéliard', 'clubID': '750', 'value': '€800k'}, {'date': 'Apr 8, 2020', 'age': '20', 'clubName': 'FC Sochaux-Montbéliard', 'clubID': '750', 'value': '€725k'}, {'date': 'Aug 14, 2020', 'age': '20', 'clubName': 'FC Sochaux-Montbéliard', 'clubID': '750', 'value': '€1.00m'}, {'date': 'Sep 16, 2020', 'age': '20', 'clubName': 'VfL Wolfsburg', 'clubID': '82', 'value': '€4.00m'}, {'date': 'Nov 26, 2020', 'age': '20', 'clubName': 'VfL Wolfsburg', 'clubID': '82', 'value': '€8.00m'}, {'date': 'Feb 10, 2021', 'age': '20', 'clubName': 'VfL Wolfsburg', 'clubID': '82', 'value': '€17.00m'}, {'date': 'Mar 31, 2021', 'age': '20', 'clubName': 'VfL Wolfsburg', 'clubID': '82', 'value': '€25.00m'}, {'date': 'Jun 9, 2021', 'age': '21', 'clubName': 'VfL Wolfsburg', 'clubID': '82', 'value': '€28.00m'}, {'date': 'Dec 22, 2021', 'age': '21', 'clubName': 'VfL Wolfsburg', 'clubID': '82', 'value': '€25.00m'}, {'date': 'Mar 24, 2022', 'age': '21', 'clubName': 'VfL Wolfsburg', 'clubID': '82', 'value': '€20.00m'}, {'date': 'Jun 9, 2022', 'age': '22', 'clubName': 'VfL Wolfsburg', 'clubID': '82', 'value': '€20.00m'}, {'date': 'Nov 9, 2022', 'age': '22', 'clubName': 'VfL Wolfsburg', 'clubID': '82', 'value': '€20.00m'}, {'date': 'Jun 22, 2023', 'age': '23', 'clubName': 'VfL Wolfsburg', 'clubID': '82', 'value': '€17.00m'}, {'date': 'Dec 14, 2023', 'age': '23', 'clubName': 'VfL Wolfsburg', 'clubID': '82', 'value': '€20.00m'}, {'date': 'May 29, 2024', 'age': '24', 'clubName': 'VfL Wolfsburg', 'clubID': '82', 'value': '€20.00m'}, {'date': 'Dec 16, 2024', 'age': '24', 'clubName': 'Crystal Palace', 'clubID': '873', 'value': '€20.00m'}, {'date': 'Mar 18, 2025', 'age': '24', 'clubName': 'Crystal Palace', 'clubID': '873', 'value': '€22.00m'}, {'date': 'May 30, 2025', 'age': '25', 'clubName': 'Crystal Palace', 'clubID': '873', 'value': '€25.00m'}, {'date': 'Oct 17, 2025', 'age': '25', 'clubName': 'Crystal Palace', 'clubID': '873', 'value': '€32.00m'}, {'date': 'Dec 9, 2025', 'age': '25', 'clubName': 'Crystal Palace', 'clubID': '873', 'value': '€35.00m'}, {'date': 'Mar 9, 2026', 'age': '25', 'clubName': 'Crystal Palace', 'clubID': '873', 'value': '€40.00m'}]}</t>
        </is>
      </c>
      <c r="L136" t="inlineStr">
        <is>
          <t>France</t>
        </is>
      </c>
      <c r="M136" t="inlineStr">
        <is>
          <t>2000-04-06</t>
        </is>
      </c>
      <c r="N136" t="inlineStr">
        <is>
          <t>France</t>
        </is>
      </c>
      <c r="O136">
        <f>(20+20+20)/3</f>
        <v/>
      </c>
      <c r="P136">
        <f>(17+25+28+25)/4</f>
        <v/>
      </c>
    </row>
    <row r="137">
      <c r="A137" t="inlineStr">
        <is>
          <t>Hendry</t>
        </is>
      </c>
      <c r="B137" t="inlineStr">
        <is>
          <t>Club Brugge</t>
        </is>
      </c>
      <c r="C137" t="inlineStr">
        <is>
          <t>Defender</t>
        </is>
      </c>
      <c r="D137" t="n">
        <v>540</v>
      </c>
      <c r="E137" t="n">
        <v>6</v>
      </c>
      <c r="F137" t="n">
        <v>0</v>
      </c>
      <c r="G137" t="n">
        <v>0</v>
      </c>
      <c r="H137" t="n">
        <v>61</v>
      </c>
      <c r="I137" t="n">
        <v>33.2</v>
      </c>
      <c r="J137" t="n">
        <v>363223</v>
      </c>
      <c r="K137" t="inlineStr">
        <is>
          <t>{'id': '363223', 'marketValue': '€2.80m', 'marketValueHistory': [{'age': '20', 'date': 'Oct 16, 2015', 'clubName': 'Wigan Athletic', 'value': '€250k', 'clubID': '1071'}, {'age': '21', 'date': 'May 30, 2016', 'clubName': 'Shrewsbury Town', 'value': '€250k', 'clubID': '3054'}, {'age': '21', 'date': 'Oct 11, 2016', 'clubName': 'Milton Keynes Dons', 'value': '€250k', 'clubID': '991'}, {'age': '21', 'date': 'Feb 27, 2017', 'clubName': 'Wigan Athletic', 'value': '€250k', 'clubID': '1071'}, {'age': '22', 'date': 'Mar 27, 2018', 'clubName': 'Celtic FC', 'value': '€650k', 'clubID': '371'}, {'age': '23', 'date': 'Aug 8, 2018', 'clubName': 'Celtic FC', 'value': '€1.25m', 'clubID': '371'}, {'age': '23', 'date': 'Jan 3, 2019', 'clubName': 'Celtic FC', 'value': '€1.25m', 'clubID': '371'}, {'age': '24', 'date': 'Aug 20, 2019', 'clubName': 'Celtic FC', 'value': '€1.00m', 'clubID': '371'}, {'age': '24', 'date': 'Apr 8, 2020', 'clubName': 'Melbourne City FC', 'value': '€800k', 'clubID': '25580'}, {'age': '25', 'date': 'Oct 16, 2020', 'clubName': 'KV Oostende', 'value': '€800k', 'clubID': '2861'}, {'age': '25', 'date': 'Jan 4, 2021', 'clubName': 'KV Oostende', 'value': '€1.00m', 'clubID': '2861'}, {'age': '25', 'date': 'Mar 17, 2021', 'clubName': 'KV Oostende', 'value': '€1.60m', 'clubID': '2861'}, {'age': '26', 'date': 'May 28, 2021', 'clubName': 'KV Oostende', 'value': '€3.50m', 'clubID': '2861'}, {'age': '26', 'date': 'Oct 6, 2021', 'clubName': 'Club Brugge KV', 'value': '€5.00m', 'clubID': '2282'}, {'age': '26', 'date': 'Jan 6, 2022', 'clubName': 'Club Brugge KV', 'value': '€6.00m', 'clubID': '2282'}, {'age': '26', 'date': 'Apr 12, 2022', 'clubName': 'Club Brugge KV', 'value': '€5.00m', 'clubID': '2282'}, {'age': '27', 'date': 'Sep 7, 2022', 'clubName': 'US Cremonese', 'value': '€4.00m', 'clubID': '2239'}, {'age': '27', 'date': 'Nov 11, 2022', 'clubName': 'US Cremonese', 'value': '€3.80m', 'clubID': '2239'}, {'age': '28', 'date': 'Jun 9, 2023', 'clubName': 'Club Brugge KV', 'value': '€3.00m', 'clubID': '2282'}, {'age': '28', 'date': 'Dec 15, 2023', 'clubName': 'Al-Ettifaq FC', 'value': '€2.80m', 'clubID': '7732'}], 'ranking': {'Worldwide': '3.311', 'Saudi Pro League': '65', 'Al-Ettifaq': '8', 'Scotland': '27', 'Centre-Back': '580', 'Year 1995': '226'}, 'updatedAt': datetime.datetime(2024, 5, 23, 22, 31, 58, 146535)}</t>
        </is>
      </c>
      <c r="L137" t="inlineStr">
        <is>
          <t>United Kingdom</t>
        </is>
      </c>
      <c r="M137" t="inlineStr">
        <is>
          <t>1995-05-07</t>
        </is>
      </c>
      <c r="N137" t="inlineStr">
        <is>
          <t>Scotland</t>
        </is>
      </c>
      <c r="O137">
        <f>(6+5+4+3.8)/4</f>
        <v/>
      </c>
      <c r="P137">
        <f>(1+1.6+3.5+5)/4</f>
        <v/>
      </c>
    </row>
    <row r="138">
      <c r="A138" t="inlineStr">
        <is>
          <t>Arboleda</t>
        </is>
      </c>
      <c r="B138" t="inlineStr">
        <is>
          <t>Sheriff</t>
        </is>
      </c>
      <c r="C138" t="inlineStr">
        <is>
          <t>Defender</t>
        </is>
      </c>
      <c r="D138" t="n">
        <v>540</v>
      </c>
      <c r="E138" t="n">
        <v>6</v>
      </c>
      <c r="F138" t="n">
        <v>0</v>
      </c>
      <c r="G138" t="n">
        <v>0</v>
      </c>
      <c r="H138" t="n">
        <v>53.3</v>
      </c>
      <c r="I138" t="n">
        <v>34.6</v>
      </c>
      <c r="J138" t="n">
        <v>385454</v>
      </c>
      <c r="K138" t="inlineStr">
        <is>
          <t>{'marketValueHistory': [{'date': '15/03/2016', 'age': '22', 'clubName': 'Deportes Tolima', 'clubID': '10503', 'value': '€350k'}, {'date': '28/07/2016', 'age': '22', 'clubName': 'Atlético Nacional', 'clubID': '8172', 'value': '€450k'}, {'date': '01/09/2016', 'age': '22', 'clubName': 'Atlético Nacional', 'clubID': '8172', 'value': '€550k'}, {'date': '10/11/2016', 'age': '22', 'clubName': 'Atlético Nacional', 'clubID': '8172', 'value': '€600k'}, {'date': '31/01/2017', 'age': '23', 'clubName': 'Atlético Nacional', 'clubID': '8172', 'value': '€750k'}, {'date': '07/03/2018', 'age': '24', 'clubName': 'CD América de Cali', 'clubID': '2352', 'value': '€750k'}, {'date': '08/06/2018', 'age': '24', 'clubName': 'CD América de Cali', 'clubID': '2352', 'value': '€700k'}, {'date': '09/10/2018', 'age': '24', 'clubName': 'CD América de Cali', 'clubID': '2352', 'value': '€800k'}, {'date': '23/12/2018', 'age': '24', 'clubName': 'CD América de Cali', 'clubID': '2352', 'value': '€800k'}, {'date': '30/06/2019', 'age': '25', 'clubName': 'Independiente del Valle', 'clubID': '19309', 'value': '€700k'}, {'date': '30/12/2019', 'age': '25', 'clubName': 'Independiente del Valle', 'clubID': '19309', 'value': '€1.00m'}, {'date': '08/04/2020', 'age': '26', 'clubName': 'Vancouver Whitecaps FC', 'clubID': '6321', 'value': '€800k'}, {'date': '26/08/2020', 'age': '26', 'clubName': 'Vancouver Whitecaps FC', 'clubID': '6321', 'value': '€1.00m'}, {'date': '18/12/2020', 'age': '26', 'clubName': 'Vancouver Whitecaps FC', 'clubID': '6321', 'value': '€2.00m'}, {'date': '09/07/2021', 'age': '27', 'clubName': 'Vancouver Whitecaps FC', 'clubID': '6321', 'value': '€2.50m'}, {'date': '09/11/2021', 'age': '27', 'clubName': 'Vancouver Whitecaps FC', 'clubID': '6321', 'value': '€4.00m'}, {'date': '18/08/2022', 'age': '28', 'clubName': 'Vancouver Whitecaps FC', 'clubID': '6321', 'value': '€3.50m'}, {'date': '08/11/2022', 'age': '28', 'clubName': 'Vancouver Whitecaps FC', 'clubID': '6321', 'value': '€2.50m'}, {'date': '31/03/2023', 'age': '29', 'clubName': 'Vancouver Whitecaps FC', 'clubID': '6321', 'value': '€2.00m'}, {'date': '22/08/2023', 'age': '29', 'clubName': 'D.C. United', 'clubID': '2440', 'value': '€1.50m'}, {'date': '18/12/2023', 'age': '29', 'clubName': 'D.C. United', 'clubID': '2440', 'value': '€1.20m'}, {'date': '25/03/2024', 'age': '30', 'clubName': 'D.C. United', 'clubID': '2440', 'value': '€1.00m'}, {'date': '13/06/2024', 'age': '30', 'clubName': 'D.C. United', 'clubID': '2440', 'value': '€1.20m'}, {'date': '12/12/2024', 'age': '30', 'clubName': 'D.C. United', 'clubID': '2440', 'value': '€1.00m'}, {'date': '26/05/2025', 'age': '31', 'clubName': 'Santos Laguna', 'clubID': '1403', 'value': '€800k'}, {'date': '29/12/2025', 'age': '31', 'clubName': 'Santos Laguna', 'clubID': '1403', 'value': '€750k'}, {'date': '26/03/2026', 'age': '32', 'clubName': 'Santos Laguna', 'clubID': '1403', 'value': '€650k'}]}</t>
        </is>
      </c>
      <c r="L138" t="inlineStr">
        <is>
          <t>Colombia</t>
        </is>
      </c>
      <c r="M138" t="inlineStr">
        <is>
          <t>1994-01-03</t>
        </is>
      </c>
      <c r="N138" t="inlineStr">
        <is>
          <t>Colombia</t>
        </is>
      </c>
      <c r="O138">
        <f>(3.5+2.5)/2</f>
        <v/>
      </c>
      <c r="P138">
        <f>(2.5+4)/2</f>
        <v/>
      </c>
    </row>
    <row r="139">
      <c r="A139" t="inlineStr">
        <is>
          <t>Dulanto</t>
        </is>
      </c>
      <c r="B139" t="inlineStr">
        <is>
          <t>Sheriff</t>
        </is>
      </c>
      <c r="C139" t="inlineStr">
        <is>
          <t>Defender</t>
        </is>
      </c>
      <c r="D139" t="n">
        <v>540</v>
      </c>
      <c r="E139" t="n">
        <v>6</v>
      </c>
      <c r="F139" t="n">
        <v>0</v>
      </c>
      <c r="G139" t="n">
        <v>0</v>
      </c>
      <c r="H139" t="n">
        <v>53</v>
      </c>
      <c r="I139" t="n">
        <v>31.9</v>
      </c>
      <c r="J139" t="n">
        <v>347382</v>
      </c>
      <c r="K139" t="inlineStr">
        <is>
          <t>{'marketValueHistory': [{'date': 'Feb 9, 2015', 'age': '19', 'clubName': 'Universitario de Deportes', 'clubID': '6593', 'value': '€50k'}, {'date': 'Sep 29, 2015', 'age': '20', 'clubName': 'Universitario de Deportes', 'clubID': '6593', 'value': '€350k'}, {'date': 'Jun 17, 2016', 'age': '21', 'clubName': 'Universitario de Deportes', 'clubID': '6593', 'value': '€350k'}, {'date': 'Dec 13, 2016', 'age': '21', 'clubName': 'Universitario de Deportes', 'clubID': '6593', 'value': '€300k'}, {'date': 'Jun 22, 2017', 'age': '22', 'clubName': 'Universidad Técnica de Cajamarca', 'clubID': '21170', 'value': '€350k'}, {'date': 'Dec 29, 2017', 'age': '22', 'clubName': 'Universidad Técnica de Cajamarca', 'clubID': '21170', 'value': '€375k'}, {'date': 'Apr 17, 2019', 'age': '23', 'clubName': 'Real Garcilaso', 'clubID': '28999', 'value': '€400k'}, {'date': 'Dec 30, 2019', 'age': '24', 'clubName': 'Boavista FC', 'clubID': '2503', 'value': '€350k'}, {'date': 'Apr 8, 2020', 'age': '24', 'clubName': 'Boavista FC', 'clubID': '2503', 'value': '€300k'}, {'date': 'Aug 17, 2020', 'age': '25', 'clubName': 'Boavista FC', 'clubID': '2503', 'value': '€400k'}, {'date': 'May 24, 2021', 'age': '26', 'clubName': 'FC Sheriff Tiraspol', 'clubID': '2481', 'value': '€500k'}, {'date': 'Oct 18, 2021', 'age': '26', 'clubName': 'FC Sheriff Tiraspol', 'clubID': '2481', 'value': '€1.20m'}, {'date': 'Dec 25, 2021', 'age': '26', 'clubName': 'FC Sheriff Tiraspol', 'clubID': '2481', 'value': '€1.50m'}, {'date': 'May 23, 2022', 'age': '27', 'clubName': 'FC Sheriff Tiraspol', 'clubID': '2481', 'value': '€1.50m'}, {'date': 'Nov 23, 2022', 'age': '27', 'clubName': 'Riga FC', 'clubID': '48325', 'value': '€1.50m'}, {'date': 'May 11, 2023', 'age': '28', 'clubName': 'Riga FC', 'clubID': '48325', 'value': '€1.00m'}, {'date': 'Nov 14, 2023', 'age': '28', 'clubName': 'Riga FC', 'clubID': '48325', 'value': '€750k'}, {'date': 'Mar 29, 2024', 'age': '28', 'clubName': 'Without Club', 'clubID': '515', 'value': '€650k'}, {'date': 'Nov 7, 2024', 'age': '29', 'clubName': 'Universitario de Deportes', 'clubID': '6593', 'value': '€600k'}, {'date': 'Apr 3, 2025', 'age': '29', 'clubName': 'Universitario de Deportes', 'clubID': '6593', 'value': '€500k'}, {'date': 'Jun 12, 2025', 'age': '30', 'clubName': 'Universitario de Deportes', 'clubID': '6593', 'value': '€400k'}, {'date': 'Nov 6, 2025', 'age': '30', 'clubName': 'Asociación Deportiva Tarma', 'clubID': '35588', 'value': '€400k'}]}</t>
        </is>
      </c>
      <c r="L139" t="inlineStr">
        <is>
          <t>Peru</t>
        </is>
      </c>
      <c r="M139" t="inlineStr">
        <is>
          <t>1995-09-05</t>
        </is>
      </c>
      <c r="N139" t="inlineStr">
        <is>
          <t>Peru</t>
        </is>
      </c>
      <c r="O139">
        <f>(1.5+1.5)/2</f>
        <v/>
      </c>
      <c r="P139">
        <f>(0.5+1.2+1.5)/3</f>
        <v/>
      </c>
    </row>
    <row r="140">
      <c r="A140" t="inlineStr">
        <is>
          <t>Bounou</t>
        </is>
      </c>
      <c r="B140" t="inlineStr">
        <is>
          <t>Sevilla</t>
        </is>
      </c>
      <c r="C140" t="inlineStr">
        <is>
          <t>Goalkeeper</t>
        </is>
      </c>
      <c r="D140" t="n">
        <v>540</v>
      </c>
      <c r="E140" t="n">
        <v>6</v>
      </c>
      <c r="F140" t="n">
        <v>0</v>
      </c>
      <c r="G140" t="n">
        <v>0</v>
      </c>
      <c r="H140" t="n">
        <v>37.2</v>
      </c>
      <c r="I140" t="n">
        <v>28</v>
      </c>
      <c r="J140" t="n">
        <v>207834</v>
      </c>
      <c r="K140" t="inlineStr">
        <is>
          <t>{'marketValueHistory': [{'date': '30/12/2012', 'age': '21', 'clubName': 'Atlético Madrileño', 'clubID': '3679', 'value': '€300k'}, {'date': '10/02/2013', 'age': '21', 'clubName': 'Atlético Madrileño', 'clubID': '3679', 'value': '-'}, {'date': '07/08/2013', 'age': '22', 'clubName': 'Atlético de Madrid', 'clubID': '13', 'value': '€500k'}, {'date': '17/04/2014', 'age': '23', 'clubName': 'Atlético de Madrid', 'clubID': '13', 'value': '-'}, {'date': '08/05/2014', 'age': '23', 'clubName': 'Atlético de Madrid', 'clubID': '13', 'value': '€250k'}, {'date': '18/05/2014', 'age': '23', 'clubName': 'Atlético de Madrid', 'clubID': '13', 'value': '€300k'}, {'date': '12/07/2014', 'age': '23', 'clubName': 'Atlético de Madrid', 'clubID': '13', 'value': '-'}, {'date': '08/01/2015', 'age': '23', 'clubName': 'Real Zaragoza', 'clubID': '142', 'value': '€300k'}, {'date': '01/07/2015', 'age': '24', 'clubName': 'Real Zaragoza', 'clubID': '142', 'value': '€400k'}, {'date': '20/11/2015', 'age': '24', 'clubName': 'Real Zaragoza', 'clubID': '142', 'value': '€600k'}, {'date': '22/02/2016', 'age': '24', 'clubName': 'Real Zaragoza', 'clubID': '142', 'value': '€600k'}, {'date': '15/07/2016', 'age': '25', 'clubName': 'Girona FC', 'clubID': '12321', 'value': '€500k'}, {'date': '27/10/2016', 'age': '25', 'clubName': 'Girona FC', 'clubID': '12321', 'value': '€800k'}, {'date': '24/01/2017', 'age': '25', 'clubName': 'Girona FC', 'clubID': '12321', 'value': '€600k'}, {'date': '29/06/2017', 'age': '26', 'clubName': 'Girona FC', 'clubID': '12321', 'value': '€1.00m'}, {'date': '01/01/2018', 'age': '26', 'clubName': 'Girona FC', 'clubID': '12321', 'value': '€2.00m'}, {'date': '22/03/2018', 'age': '26', 'clubName': 'Girona FC', 'clubID': '12321', 'value': '€3.00m'}, {'date': '30/05/2018', 'age': '27', 'clubName': 'Girona FC', 'clubID': '12321', 'value': '€3.00m'}, {'date': '31/10/2018', 'age': '27', 'clubName': 'Girona FC', 'clubID': '12321', 'value': '€4.00m'}, {'date': '21/12/2018', 'age': '27', 'clubName': 'Girona FC', 'clubID': '12321', 'value': '€10.00m'}, {'date': '11/06/2019', 'age': '28', 'clubName': 'Girona FC', 'clubID': '12321', 'value': '€5.00m'}, {'date': '20/12/2019', 'age': '28', 'clubName': 'Sevilla FC', 'clubID': '368', 'value': '€5.00m'}, {'date': '08/04/2020', 'age': '29', 'clubName': 'Sevilla FC', 'clubID': '368', 'value': '€4.00m'}, {'date': '23/07/2020', 'age': '29', 'clubName': 'Sevilla FC', 'clubID': '368', 'value': '€3.00m'}, {'date': '08/10/2020', 'age': '29', 'clubName': 'Sevilla FC', 'clubID': '368', 'value': '€10.00m'}, {'date': '23/11/2020', 'age': '29', 'clubName': 'Sevilla FC', 'clubID': '368', 'value': '€15.00m'}, {'date': '05/01/2021', 'age': '29', 'clubName': 'Sevilla FC', 'clubID': '368', 'value': '€15.00m'}, {'date': '19/03/2021', 'age': '29', 'clubName': 'Sevilla FC', 'clubID': '368', 'value': '€18.00m'}, {'date': '10/06/2021', 'age': '30', 'clubName': 'Sevilla FC', 'clubID': '368', 'value': '€18.00m'}, {'date': '30/12/2021', 'age': '30', 'clubName': 'Sevilla FC', 'clubID': '368', 'value': '€15.00m'}, {'date': '03/06/2022', 'age': '31', 'clubName': 'Sevilla FC', 'clubID': '368', 'value': '€18.00m'}, {'date': '07/11/2022', 'age': '31', 'clubName': 'Sevilla FC', 'clubID': '368', 'value': '€15.00m'}, {'date': '23/03/2023', 'age': '31', 'clubName': 'Sevilla FC', 'clubID': '368', 'value': '€12.00m'}, {'date': '13/06/2023', 'age': '32', 'clubName': 'Sevilla FC', 'clubID': '368', 'value': '€12.00m'}, {'date': '24/10/2023', 'age': '32', 'clubName': 'Al-Hilal SFC', 'clubID': '1114', 'value': '€11.00m'}, {'date': '15/12/2023', 'age': '32', 'clubName': 'Al-Hilal SFC', 'clubID': '1114', 'value': '€11.00m'}, {'date': '04/06/2024', 'age': '33', 'clubName': 'Al-Hilal SFC', 'clubID': '1114', 'value': '€9.00m'}, {'date': '13/12/2024', 'age': '33', 'clubName': 'Al-Hilal SFC', 'clubID': '1114', 'value': '€7.00m'}, {'date': '10/03/2025', 'age': '33', 'clubName': 'Al-Hilal SFC', 'clubID': '1114', 'value': '€6.50m'}, {'date': '27/05/2025', 'age': '34', 'clubName': 'Al-Hilal SFC', 'clubID': '1114', 'value': '€5.50m'}, {'date': '18/12/2025', 'age': '34', 'clubName': 'Al-Hilal SFC', 'clubID': '1114', 'value': '€3.50m'}]}</t>
        </is>
      </c>
      <c r="L140" t="inlineStr">
        <is>
          <t>Morocco</t>
        </is>
      </c>
      <c r="M140" t="inlineStr">
        <is>
          <t>1991-04-05</t>
        </is>
      </c>
      <c r="N140" t="inlineStr">
        <is>
          <t>Morocco</t>
        </is>
      </c>
      <c r="O140">
        <f>(18+15)/2</f>
        <v/>
      </c>
      <c r="P140">
        <f>(15+18+18+15)/4</f>
        <v/>
      </c>
    </row>
    <row r="141">
      <c r="A141" t="inlineStr">
        <is>
          <t>Kobel</t>
        </is>
      </c>
      <c r="B141" t="inlineStr">
        <is>
          <t>Dortmund</t>
        </is>
      </c>
      <c r="C141" t="inlineStr">
        <is>
          <t>Goalkeeper</t>
        </is>
      </c>
      <c r="D141" t="n">
        <v>540</v>
      </c>
      <c r="E141" t="n">
        <v>6</v>
      </c>
      <c r="F141" t="n">
        <v>0</v>
      </c>
      <c r="G141" t="n">
        <v>0</v>
      </c>
      <c r="H141" t="n">
        <v>35.4</v>
      </c>
      <c r="I141" t="n">
        <v>24.2</v>
      </c>
      <c r="J141" t="n">
        <v>257814</v>
      </c>
      <c r="K141" t="inlineStr">
        <is>
          <t>{'marketValueHistory': [{'date': 'Jul 1, 2015', 'age': '17', 'clubName': 'TSG 1899 Hoffenheim U19', 'clubID': '8925', 'value': '€25k'}, {'date': 'Feb 13, 2016', 'age': '18', 'clubName': 'TSG 1899 Hoffenheim U19', 'clubID': '8925', 'value': '€25k'}, {'date': 'Jul 22, 2016', 'age': '18', 'clubName': 'TSG 1899 Hoffenheim', 'clubID': '533', 'value': '€100k'}, {'date': 'Feb 7, 2017', 'age': '19', 'clubName': 'TSG 1899 Hoffenheim', 'clubID': '533', 'value': '€150k'}, {'date': 'Jun 19, 2017', 'age': '19', 'clubName': 'TSG 1899 Hoffenheim', 'clubID': '533', 'value': '€400k'}, {'date': 'Dec 28, 2017', 'age': '20', 'clubName': 'TSG 1899 Hoffenheim', 'clubID': '533', 'value': '€500k'}, {'date': 'Jun 5, 2018', 'age': '20', 'clubName': 'TSG 1899 Hoffenheim', 'clubID': '533', 'value': '€500k'}, {'date': 'Oct 22, 2018', 'age': '20', 'clubName': 'TSG 1899 Hoffenheim', 'clubID': '533', 'value': '€1.00m'}, {'date': 'Dec 18, 2018', 'age': '21', 'clubName': 'TSG 1899 Hoffenheim', 'clubID': '533', 'value': '€1.00m'}, {'date': 'Mar 6, 2019', 'age': '21', 'clubName': 'FC Augsburg', 'clubID': '167', 'value': '€2.50m'}, {'date': 'Jun 5, 2019', 'age': '21', 'clubName': 'FC Augsburg', 'clubID': '167', 'value': '€6.00m'}, {'date': 'Dec 13, 2019', 'age': '22', 'clubName': 'VfB Stuttgart', 'clubID': '79', 'value': '€5.00m'}, {'date': 'Apr 8, 2020', 'age': '22', 'clubName': 'VfB Stuttgart', 'clubID': '79', 'value': '€4.00m'}, {'date': 'Sep 16, 2020', 'age': '22', 'clubName': 'VfB Stuttgart', 'clubID': '79', 'value': '€5.50m'}, {'date': 'Feb 10, 2021', 'age': '23', 'clubName': 'VfB Stuttgart', 'clubID': '79', 'value': '€8.00m'}, {'date': 'May 25, 2021', 'age': '23', 'clubName': 'VfB Stuttgart', 'clubID': '79', 'value': '€13.00m'}, {'date': 'Oct 7, 2021', 'age': '23', 'clubName': 'Borussia Dortmund', 'clubID': '16', 'value': '€18.00m'}, {'date': 'Dec 22, 2021', 'age': '24', 'clubName': 'Borussia Dortmund', 'clubID': '16', 'value': '€20.00m'}, {'date': 'Jun 9, 2022', 'age': '24', 'clubName': 'Borussia Dortmund', 'clubID': '16', 'value': '€22.00m'}, {'date': 'Nov 9, 2022', 'age': '24', 'clubName': 'Borussia Dortmund', 'clubID': '16', 'value': '€25.00m'}, {'date': 'Mar 29, 2023', 'age': '25', 'clubName': 'Borussia Dortmund', 'clubID': '16', 'value': '€35.00m'}, {'date': 'Jun 22, 2023', 'age': '25', 'clubName': 'Borussia Dortmund', 'clubID': '16', 'value': '€35.00m'}, {'date': 'Dec 14, 2023', 'age': '26', 'clubName': 'Borussia Dortmund', 'clubID': '16', 'value': '€40.00m'}, {'date': 'May 29, 2024', 'age': '26', 'clubName': 'Borussia Dortmund', 'clubID': '16', 'value': '€40.00m'}, {'date': 'Dec 20, 2024', 'age': '27', 'clubName': 'Borussia Dortmund', 'clubID': '16', 'value': '€40.00m'}, {'date': 'Jun 5, 2025', 'age': '27', 'clubName': 'Borussia Dortmund', 'clubID': '16', 'value': '€40.00m'}, {'date': 'Dec 19, 2025', 'age': '28', 'clubName': 'Borussia Dortmund', 'clubID': '16', 'value': '€40.00m'}]}</t>
        </is>
      </c>
      <c r="L141" t="inlineStr">
        <is>
          <t>Switzerland</t>
        </is>
      </c>
      <c r="M141" t="inlineStr">
        <is>
          <t>1997-12-06</t>
        </is>
      </c>
      <c r="N141" t="inlineStr">
        <is>
          <t>20</t>
        </is>
      </c>
      <c r="O141">
        <f>(22+25)/2</f>
        <v/>
      </c>
      <c r="P141">
        <f>(8+13+18+20)/4</f>
        <v/>
      </c>
    </row>
    <row r="142">
      <c r="A142" t="inlineStr">
        <is>
          <t>Mignolet</t>
        </is>
      </c>
      <c r="B142" t="inlineStr">
        <is>
          <t>Club Brugge</t>
        </is>
      </c>
      <c r="C142" t="inlineStr">
        <is>
          <t>Goalkeeper</t>
        </is>
      </c>
      <c r="D142" t="n">
        <v>540</v>
      </c>
      <c r="E142" t="n">
        <v>6</v>
      </c>
      <c r="F142" t="n">
        <v>0</v>
      </c>
      <c r="G142" t="n">
        <v>0</v>
      </c>
      <c r="H142" t="n">
        <v>33.2</v>
      </c>
      <c r="I142" t="n">
        <v>26.3</v>
      </c>
      <c r="J142" t="n">
        <v>50219</v>
      </c>
      <c r="K142" t="inlineStr">
        <is>
          <t>{'marketValueHistory': [{'date': 'Oct 26, 2007', 'age': '19', 'clubName': 'Sint-Truidense VV', 'clubID': '475', 'value': '€100k'}, {'date': 'Oct 9, 2008', 'age': '20', 'clubName': 'Sint-Truidense VV', 'clubID': '475', 'value': '€400k'}, {'date': 'Jul 8, 2009', 'age': '21', 'clubName': 'Sint-Truidense VV', 'clubID': '475', 'value': '€600k'}, {'date': 'Sep 4, 2009', 'age': '21', 'clubName': 'Sint-Truidense VV', 'clubID': '475', 'value': '€900k'}, {'date': 'Jan 25, 2010', 'age': '21', 'clubName': 'Sint-Truidense VV', 'clubID': '475', 'value': '€1.80m'}, {'date': 'Jun 29, 2010', 'age': '22', 'clubName': 'Sint-Truidense VV', 'clubID': '475', 'value': '€2.50m'}, {'date': 'Feb 1, 2011', 'age': '22', 'clubName': 'Sunderland AFC', 'clubID': '289', 'value': '€4.00m'}, {'date': 'Aug 8, 2011', 'age': '23', 'clubName': 'Sunderland AFC', 'clubID': '289', 'value': '€5.00m'}, {'date': 'Feb 6, 2012', 'age': '23', 'clubName': 'Sunderland AFC', 'clubID': '289', 'value': '€5.50m'}, {'date': 'Jun 24, 2012', 'age': '24', 'clubName': 'Sunderland AFC', 'clubID': '289', 'value': '€5.50m'}, {'date': 'Jan 28, 2013', 'age': '24', 'clubName': 'Sunderland AFC', 'clubID': '289', 'value': '€5.50m'}, {'date': 'Jul 2, 2013', 'age': '25', 'clubName': 'Liverpool FC', 'clubID': '31', 'value': '€10.00m'}, {'date': 'Jan 15, 2014', 'age': '25', 'clubName': 'Liverpool FC', 'clubID': '31', 'value': '€12.00m'}, {'date': 'Aug 12, 2014', 'age': '26', 'clubName': 'Liverpool FC', 'clubID': '31', 'value': '€14.00m'}, {'date': 'Feb 12, 2015', 'age': '26', 'clubName': 'Liverpool FC', 'clubID': '31', 'value': '€12.00m'}, {'date': 'Jul 1, 2015', 'age': '27', 'clubName': 'Liverpool FC', 'clubID': '31', 'value': '€12.00m'}, {'date': 'Feb 9, 2016', 'age': '27', 'clubName': 'Liverpool FC', 'clubID': '31', 'value': '€12.00m'}, {'date': 'Jun 1, 2016', 'age': '28', 'clubName': 'Liverpool FC', 'clubID': '31', 'value': '€12.00m'}, {'date': 'Aug 1, 2016', 'age': '28', 'clubName': 'Liverpool FC', 'clubID': '31', 'value': '€12.00m'}, {'date': 'Feb 20, 2017', 'age': '28', 'clubName': 'Liverpool FC', 'clubID': '31', 'value': '€10.00m'}, {'date': 'Jun 28, 2017', 'age': '29', 'clubName': 'Liverpool FC', 'clubID': '31', 'value': '€12.00m'}, {'date': 'Jan 2, 2018', 'age': '29', 'clubName': 'Liverpool FC', 'clubID': '31', 'value': '€12.00m'}, {'date': 'May 28, 2018', 'age': '30', 'clubName': 'Liverpool FC', 'clubID': '31', 'value': '€10.00m'}, {'date': 'Dec 19, 2018', 'age': '30', 'clubName': 'Liverpool FC', 'clubID': '31', 'value': '€9.00m'}, {'date': 'Mar 5, 2019', 'age': '30', 'clubName': 'Liverpool FC', 'clubID': '31', 'value': '€8.00m'}, {'date': 'Jun 13, 2019', 'age': '31', 'clubName': 'Liverpool FC', 'clubID': '31', 'value': '€8.00m'}, {'date': 'Dec 13, 2019', 'age': '31', 'clubName': 'Club Brugge KV', 'clubID': '2282', 'value': '€10.00m'}, {'date': 'Apr 8, 2020', 'age': '32', 'clubName': 'Club Brugge KV', 'clubID': '2282', 'value': '€8.00m'}, {'date': 'Oct 16, 2020', 'age': '32', 'clubName': 'Club Brugge KV', 'clubID': '2282', 'value': '€9.00m'}, {'date': 'May 26, 2021', 'age': '33', 'clubName': 'Club Brugge KV', 'clubID': '2282', 'value': '€8.00m'}, {'date': 'Jan 6, 2022', 'age': '33', 'clubName': 'Club Brugge KV', 'clubID': '2282', 'value': '€6.50m'}, {'date': 'Apr 12, 2022', 'age': '34', 'clubName': 'Club Brugge KV', 'clubID': '2282', 'value': '€3.50m'}, {'date': 'Nov 4, 2022', 'age': '34', 'clubName': 'Club Brugge KV', 'clubID': '2282', 'value': '€5.00m'}, {'date': 'Jun 9, 2023', 'age': '35', 'clubName': 'Club Brugge KV', 'clubID': '2282', 'value': '€3.20m'}, {'date': 'Dec 19, 2023', 'age': '35', 'clubName': 'Club Brugge KV', 'clubID': '2282', 'value': '€2.80m'}, {'date': 'Jun 4, 2024', 'age': '36', 'clubName': 'Club Brugge KV', 'clubID': '2282', 'value': '€2.00m'}, {'date': 'Dec 11, 2024', 'age': '36', 'clubName': 'Club Brugge KV', 'clubID': '2282', 'value': '€1.50m'}, {'date': 'Jun 12, 2025', 'age': '37', 'clubName': 'Club Brugge KV', 'clubID': '2282', 'value': '€1.20m'}, {'date': 'Dec 10, 2025', 'age': '37', 'clubName': 'Club Brugge KV', 'clubID': '2282', 'value': '€1.00m'}]}</t>
        </is>
      </c>
      <c r="L142" t="inlineStr">
        <is>
          <t>Belgium</t>
        </is>
      </c>
      <c r="M142" t="inlineStr">
        <is>
          <t>1988-03-06</t>
        </is>
      </c>
      <c r="N142" t="inlineStr">
        <is>
          <t>35</t>
        </is>
      </c>
      <c r="O142">
        <f>(6.5+3.5+5)/3</f>
        <v/>
      </c>
      <c r="P142">
        <f>8</f>
        <v/>
      </c>
    </row>
    <row r="143">
      <c r="A143" t="inlineStr">
        <is>
          <t>Musso</t>
        </is>
      </c>
      <c r="B143" t="inlineStr">
        <is>
          <t>Atalanta</t>
        </is>
      </c>
      <c r="C143" t="inlineStr">
        <is>
          <t>Goalkeeper</t>
        </is>
      </c>
      <c r="D143" t="n">
        <v>540</v>
      </c>
      <c r="E143" t="n">
        <v>6</v>
      </c>
      <c r="F143" t="n">
        <v>0</v>
      </c>
      <c r="G143" t="n">
        <v>0</v>
      </c>
      <c r="H143" t="n">
        <v>32.7</v>
      </c>
      <c r="I143" t="n">
        <v>28.8</v>
      </c>
      <c r="J143" t="n">
        <v>242359</v>
      </c>
      <c r="K143" t="inlineStr">
        <is>
          <t>{'marketValueHistory': [{'date': 'Jun 22, 2013', 'age': '19', 'clubName': 'Racing Club II', 'clubID': '1444', 'value': '€25k'}, {'date': 'Jan 11, 2015', 'age': '20', 'clubName': 'Racing Club', 'clubID': '1444', 'value': '€100k'}, {'date': 'Jul 14, 2015', 'age': '21', 'clubName': 'Racing Club', 'clubID': '1444', 'value': '€350k'}, {'date': 'Feb 6, 2016', 'age': '21', 'clubName': 'Racing Club', 'clubID': '1444', 'value': '€350k'}, {'date': 'Aug 8, 2016', 'age': '22', 'clubName': 'Racing Club', 'clubID': '1444', 'value': '€350k'}, {'date': 'Feb 13, 2017', 'age': '22', 'clubName': 'Racing Club', 'clubID': '1444', 'value': '€350k'}, {'date': 'Oct 9, 2017', 'age': '23', 'clubName': 'Racing Club', 'clubID': '1444', 'value': '€400k'}, {'date': 'May 8, 2018', 'age': '24', 'clubName': 'Racing Club', 'clubID': '1444', 'value': '€1.00m'}, {'date': 'Dec 20, 2018', 'age': '24', 'clubName': 'Udinese Calcio', 'clubID': '410', 'value': '€4.00m'}, {'date': 'Mar 1, 2019', 'age': '24', 'clubName': 'Udinese Calcio', 'clubID': '410', 'value': '€6.00m'}, {'date': 'Jun 6, 2019', 'age': '25', 'clubName': 'Udinese Calcio', 'clubID': '410', 'value': '€10.00m'}, {'date': 'Dec 12, 2019', 'age': '25', 'clubName': 'Udinese Calcio', 'clubID': '410', 'value': '€15.00m'}, {'date': 'Apr 8, 2020', 'age': '25', 'clubName': 'Udinese Calcio', 'clubID': '410', 'value': '€12.00m'}, {'date': 'Aug 25, 2020', 'age': '26', 'clubName': 'Udinese Calcio', 'clubID': '410', 'value': '€20.00m'}, {'date': 'Dec 29, 2020', 'age': '26', 'clubName': 'Udinese Calcio', 'clubID': '410', 'value': '€20.00m'}, {'date': 'Jun 3, 2021', 'age': '27', 'clubName': 'Udinese Calcio', 'clubID': '410', 'value': '€20.00m'}, {'date': 'Dec 28, 2021', 'age': '27', 'clubName': 'Atalanta BC', 'clubID': '800', 'value': '€20.00m'}, {'date': 'Jun 7, 2022', 'age': '28', 'clubName': 'Atalanta BC', 'clubID': '800', 'value': '€18.00m'}, {'date': 'Nov 11, 2022', 'age': '28', 'clubName': 'Atalanta BC', 'clubID': '800', 'value': '€16.00m'}, {'date': 'Mar 21, 2023', 'age': '28', 'clubName': 'Atalanta BC', 'clubID': '800', 'value': '€14.00m'}, {'date': 'Jun 15, 2023', 'age': '29', 'clubName': 'Atalanta BC', 'clubID': '800', 'value': '€8.00m'}, {'date': 'Dec 20, 2023', 'age': '29', 'clubName': 'Atalanta BC', 'clubID': '800', 'value': '€8.00m'}, {'date': 'Mar 12, 2024', 'age': '29', 'clubName': 'Atalanta BC', 'clubID': '800', 'value': '€6.50m'}, {'date': 'Jun 5, 2024', 'age': '30', 'clubName': 'Atalanta BC', 'clubID': '800', 'value': '€5.00m'}, {'date': 'Dec 27, 2024', 'age': '30', 'clubName': 'Atlético de Madrid', 'clubID': '13', 'value': '€4.00m'}, {'date': 'Jun 9, 2025', 'age': '31', 'clubName': 'Atalanta BC', 'clubID': '800', 'value': '€3.50m'}, {'date': 'Dec 12, 2025', 'age': '31', 'clubName': 'Atlético de Madrid', 'clubID': '13', 'value': '€3.00m'}]}</t>
        </is>
      </c>
      <c r="L143" t="inlineStr">
        <is>
          <t>Argentina</t>
        </is>
      </c>
      <c r="M143" t="inlineStr">
        <is>
          <t>1994-05-06</t>
        </is>
      </c>
      <c r="N143" t="inlineStr">
        <is>
          <t>Argentina</t>
        </is>
      </c>
      <c r="O143">
        <f>(18+16)/2</f>
        <v/>
      </c>
      <c r="P143">
        <f>(20+20)/2</f>
        <v/>
      </c>
    </row>
    <row r="144">
      <c r="A144" t="inlineStr">
        <is>
          <t>Pasveer</t>
        </is>
      </c>
      <c r="B144" t="inlineStr">
        <is>
          <t>Ajax</t>
        </is>
      </c>
      <c r="C144" t="inlineStr">
        <is>
          <t>Goalkeeper</t>
        </is>
      </c>
      <c r="D144" t="n">
        <v>540</v>
      </c>
      <c r="E144" t="n">
        <v>6</v>
      </c>
      <c r="F144" t="n">
        <v>0</v>
      </c>
      <c r="G144" t="n">
        <v>0</v>
      </c>
      <c r="H144" t="n">
        <v>32.7</v>
      </c>
      <c r="I144" t="n">
        <v>25.9</v>
      </c>
      <c r="J144" t="n">
        <v>25520</v>
      </c>
      <c r="K144" t="inlineStr">
        <is>
          <t>{'id': '25520', 'marketValue': '€200k', 'marketValueHistory': [{'age': '20', 'date': 'Oct 4, 2004', 'clubName': 'Twente Enschede FC', 'value': '€75k', 'clubID': '317'}, {'age': '21', 'date': 'Jul 11, 2005', 'clubName': 'Twente Enschede FC', 'value': '€250k', 'clubID': '317'}, {'age': '22', 'date': 'Sep 30, 2006', 'clubName': 'Heracles Almelo', 'value': '€300k', 'clubID': '1304'}, {'age': '23', 'date': 'Oct 19, 2007', 'clubName': 'Heracles Almelo', 'value': '€300k', 'clubID': '1304'}, {'age': '25', 'date': 'Jun 17, 2009', 'clubName': 'Go Ahead Eagles', 'value': '€450k', 'clubID': '1435'}, {'age': '26', 'date': 'Jun 3, 2010', 'clubName': 'Go Ahead Eagles', 'value': '€550k', 'clubID': '1435'}, {'age': '27', 'date': 'Jun 22, 2011', 'clubName': 'Heracles Almelo', 'value': '€650k', 'clubID': '1304'}, {'age': '28', 'date': 'Jul 21, 2012', 'clubName': 'Heracles Almelo', 'value': '€900k', 'clubID': '1304'}, {'age': '29', 'date': 'Jun 17, 2013', 'clubName': 'Heracles Almelo', 'value': '€1.00m', 'clubID': '1304'}, {'age': '30', 'date': 'Feb 11, 2014', 'clubName': 'Heracles Almelo', 'value': '€1.25m', 'clubID': '1304'}, {'age': '30', 'date': 'Aug 11, 2014', 'clubName': 'PSV Eindhoven', 'value': '€1.25m', 'clubID': '383'}, {'age': '31', 'date': 'Feb 16, 2015', 'clubName': 'PSV Eindhoven', 'value': '€1.25m', 'clubID': '383'}, {'age': '31', 'date': 'Jul 1, 2015', 'clubName': 'PSV Eindhoven', 'value': '€1.00m', 'clubID': '383'}, {'age': '32', 'date': 'Feb 5, 2016', 'clubName': 'PSV Eindhoven', 'value': '€1.00m', 'clubID': '383'}, {'age': '32', 'date': 'Jul 15, 2016', 'clubName': 'PSV Eindhoven', 'value': '€800k', 'clubID': '383'}, {'age': '33', 'date': 'Jan 18, 2017', 'clubName': 'PSV Eindhoven', 'value': '€700k', 'clubID': '383'}, {'age': '33', 'date': 'Jun 7, 2017', 'clubName': 'PSV Eindhoven', 'value': '€700k', 'clubID': '383'}, {'age': '33', 'date': 'Oct 26, 2017', 'clubName': 'Vitesse Arnhem', 'value': '€900k', 'clubID': '499'}, {'age': '34', 'date': 'Jan 17, 2018', 'clubName': 'Vitesse Arnhem', 'value': '€700k', 'clubID': '499'}, {'age': '34', 'date': 'Mar 27, 2018', 'clubName': 'Vitesse Arnhem', 'value': '€500k', 'clubID': '499'}, {'age': '34', 'date': 'Jun 12, 2018', 'clubName': 'Vitesse Arnhem', 'value': '€400k', 'clubID': '499'}, {'age': '35', 'date': 'Dec 28, 2018', 'clubName': 'Vitesse Arnhem', 'value': '€400k', 'clubID': '499'}, {'age': '35', 'date': 'Jun 12, 2019', 'clubName': 'Vitesse Arnhem', 'value': '€250k', 'clubID': '499'}, {'age': '36', 'date': 'Dec 18, 2019', 'clubName': 'Vitesse Arnhem', 'value': '€250k', 'clubID': '499'}, {'age': '36', 'date': 'Oct 14, 2020', 'clubName': 'Vitesse Arnhem', 'value': '€250k', 'clubID': '499'}, {'age': '37', 'date': 'May 19, 2021', 'clubName': 'Vitesse Arnhem', 'value': '€250k', 'clubID': '499'}, {'age': '38', 'date': 'Jan 5, 2022', 'clubName': 'Ajax Amsterdam', 'value': '€250k', 'clubID': '610'}, {'age': '38', 'date': 'Jun 8, 2022', 'clubName': 'Ajax Amsterdam', 'value': '€250k', 'clubID': '610'}, {'age': '39', 'date': 'Nov 11, 2022', 'clubName': 'Ajax Amsterdam', 'value': '€250k', 'clubID': '610'}, {'age': '39', 'date': 'Jun 23, 2023', 'clubName': 'Ajax Amsterdam', 'value': '€250k', 'clubID': '610'}, {'age': '40', 'date': 'Dec 15, 2023', 'clubName': 'Ajax Amsterdam', 'value': '€200k', 'clubID': '610'}], 'updatedAt': datetime.datetime(2024, 5, 23, 22, 19, 39, 381369)}</t>
        </is>
      </c>
      <c r="L144" t="inlineStr">
        <is>
          <t>Netherlands</t>
        </is>
      </c>
      <c r="M144" t="inlineStr">
        <is>
          <t>1983-11-08</t>
        </is>
      </c>
      <c r="N144" t="inlineStr">
        <is>
          <t>Netherlands</t>
        </is>
      </c>
      <c r="O144">
        <f>(0.25+0.25+0.25)/3</f>
        <v/>
      </c>
      <c r="P144">
        <f>0.25</f>
        <v/>
      </c>
    </row>
    <row r="145">
      <c r="A145" t="inlineStr">
        <is>
          <t>Grbic</t>
        </is>
      </c>
      <c r="B145" t="inlineStr">
        <is>
          <t>Lille</t>
        </is>
      </c>
      <c r="C145" t="inlineStr">
        <is>
          <t>Goalkeeper</t>
        </is>
      </c>
      <c r="D145" t="n">
        <v>540</v>
      </c>
      <c r="E145" t="n">
        <v>6</v>
      </c>
      <c r="F145" t="n">
        <v>0</v>
      </c>
      <c r="G145" t="n">
        <v>0</v>
      </c>
      <c r="H145" t="n">
        <v>31.9</v>
      </c>
      <c r="I145" t="n">
        <v>25.3</v>
      </c>
      <c r="J145" t="n">
        <v>167342</v>
      </c>
      <c r="K145" t="inlineStr">
        <is>
          <t>{'id': '167342', 'marketValue': '€1.20m', 'marketValueHistory': [{'age': '18', 'date': 'Jul 1, 2015', 'clubName': 'VfB Stuttgart II', 'value': '€150k', 'clubID': '102'}, {'age': '19', 'date': 'Feb 8, 2016', 'clubName': 'VfB Stuttgart II', 'value': '€200k', 'clubID': '102'}, {'age': '19', 'date': 'Jul 1, 2016', 'clubName': 'VfB Stuttgart II', 'value': '€175k', 'clubID': '102'}, {'age': '20', 'date': 'Dec 3, 2016', 'clubName': 'Floridsdorfer AC', 'value': '€200k', 'clubID': '7443'}, {'age': '20', 'date': 'May 27, 2017', 'clubName': 'Floridsdorfer AC', 'value': '€250k', 'clubID': '7443'}, {'age': '21', 'date': 'Jan 2, 2018', 'clubName': 'SCR Altach', 'value': '€350k', 'clubID': '3551'}, {'age': '21', 'date': 'Jun 14, 2018', 'clubName': 'SCR Altach', 'value': '€600k', 'clubID': '3551'}, {'age': '22', 'date': 'Dec 19, 2018', 'clubName': 'SCR Altach', 'value': '€600k', 'clubID': '3551'}, {'age': '22', 'date': 'Jun 3, 2019', 'clubName': 'SCR Altach', 'value': '€600k', 'clubID': '3551'}, {'age': '23', 'date': 'Sep 30, 2019', 'clubName': 'Clermont Foot 63', 'value': '€1.00m', 'clubID': '3524'}, {'age': '23', 'date': 'Jan 6, 2020', 'clubName': 'Clermont Foot 63', 'value': '€2.50m', 'clubID': '3524'}, {'age': '23', 'date': 'Apr 8, 2020', 'clubName': 'Clermont Foot 63', 'value': '€2.00m', 'clubID': '3524'}, {'age': '24', 'date': 'Aug 14, 2020', 'clubName': 'FC Lorient', 'value': '€7.00m', 'clubID': '1158'}, {'age': '24', 'date': 'Oct 15, 2020', 'clubName': 'FC Lorient', 'value': '€9.00m', 'clubID': '1158'}, {'age': '24', 'date': 'Jan 7, 2021', 'clubName': 'FC Lorient', 'value': '€7.00m', 'clubID': '1158'}, {'age': '24', 'date': 'May 27, 2021', 'clubName': 'FC Lorient', 'value': '€5.00m', 'clubID': '1158'}, {'age': '25', 'date': 'Dec 16, 2021', 'clubName': 'FC Lorient', 'value': '€4.00m', 'clubID': '1158'}, {'age': '25', 'date': 'Jun 8, 2022', 'clubName': 'Vitesse Arnhem', 'value': '€2.50m', 'clubID': '499'}, {'age': '26', 'date': 'Sep 19, 2022', 'clubName': 'FC Lorient', 'value': '€1.50m', 'clubID': '1158'}, {'age': '26', 'date': 'Nov 2, 2022', 'clubName': 'FC Lorient', 'value': '€1.20m', 'clubID': '1158'}, {'age': '26', 'date': 'Jun 16, 2023', 'clubName': 'Valenciennes FC', 'value': '€1.50m', 'clubID': '1423'}, {'age': '27', 'date': 'Dec 18, 2023', 'clubName': 'FC Lorient', 'value': '€1.20m', 'clubID': '1158'}], 'ranking': {'Worldwide': '6.078', 'Super League': '87', 'FC Luzern': '8', 'Austria': '64', 'Centre-Forward': '852', 'Year 1996': '510'}, 'updatedAt': datetime.datetime(2024, 5, 23, 22, 32, 12, 915219)}</t>
        </is>
      </c>
      <c r="L145" t="inlineStr">
        <is>
          <t>Austria</t>
        </is>
      </c>
      <c r="M145" t="inlineStr">
        <is>
          <t>1996-08-04</t>
        </is>
      </c>
      <c r="N145" t="inlineStr">
        <is>
          <t>9</t>
        </is>
      </c>
      <c r="O145">
        <f>(2.5+1.5+1.2)/3</f>
        <v/>
      </c>
      <c r="P145">
        <f>(7+5+4)/3</f>
        <v/>
      </c>
    </row>
    <row r="146">
      <c r="A146" t="inlineStr">
        <is>
          <t>Diogo Costa</t>
        </is>
      </c>
      <c r="B146" t="inlineStr">
        <is>
          <t>FC Porto</t>
        </is>
      </c>
      <c r="C146" t="inlineStr">
        <is>
          <t>Goalkeeper</t>
        </is>
      </c>
      <c r="D146" t="n">
        <v>540</v>
      </c>
      <c r="E146" t="n">
        <v>6</v>
      </c>
      <c r="F146" t="n">
        <v>0</v>
      </c>
      <c r="G146" t="n">
        <v>0</v>
      </c>
      <c r="H146" t="n">
        <v>31.7</v>
      </c>
      <c r="I146" t="n">
        <v>30.8</v>
      </c>
      <c r="J146" t="n">
        <v>357153</v>
      </c>
      <c r="K146" t="inlineStr">
        <is>
          <t>{'marketValueHistory': [{'date': '30/09/2016', 'age': '17', 'clubName': 'FC Porto B', 'clubID': '10331', 'value': '€25k'}, {'date': '30/06/2017', 'age': '17', 'clubName': 'FC Porto B', 'clubID': '10331', 'value': '€100k'}, {'date': '08/09/2017', 'age': '17', 'clubName': 'FC Porto B', 'clubID': '10331', 'value': '€500k'}, {'date': '23/02/2018', 'age': '18', 'clubName': 'FC Porto B', 'clubID': '10331', 'value': '€1.00m'}, {'date': '29/06/2018', 'age': '18', 'clubName': 'FC Porto B', 'clubID': '10331', 'value': '€2.00m'}, {'date': '12/02/2019', 'age': '19', 'clubName': 'FC Porto B', 'clubID': '10331', 'value': '€3.00m'}, {'date': '07/06/2019', 'age': '19', 'clubName': 'FC Porto B', 'clubID': '10331', 'value': '€4.00m'}, {'date': '30/12/2019', 'age': '20', 'clubName': 'FC Porto', 'clubID': '720', 'value': '€5.00m'}, {'date': '08/04/2020', 'age': '20', 'clubName': 'FC Porto', 'clubID': '720', 'value': '€4.50m'}, {'date': '17/08/2020', 'age': '20', 'clubName': 'FC Porto', 'clubID': '720', 'value': '€5.00m'}, {'date': '28/01/2021', 'age': '21', 'clubName': 'FC Porto', 'clubID': '720', 'value': '€6.00m'}, {'date': '21/05/2021', 'age': '21', 'clubName': 'FC Porto', 'clubID': '720', 'value': '€6.00m'}, {'date': '21/09/2021', 'age': '22', 'clubName': 'FC Porto', 'clubID': '720', 'value': '€10.00m'}, {'date': '27/12/2021', 'age': '22', 'clubName': 'FC Porto', 'clubID': '720', 'value': '€16.00m'}, {'date': '31/05/2022', 'age': '22', 'clubName': 'FC Porto', 'clubID': '720', 'value': '€25.00m'}, {'date': '01/11/2022', 'age': '23', 'clubName': 'FC Porto', 'clubID': '720', 'value': '€35.00m'}, {'date': '02/03/2023', 'age': '23', 'clubName': 'FC Porto', 'clubID': '720', 'value': '€45.00m'}, {'date': '16/06/2023', 'age': '23', 'clubName': 'FC Porto', 'clubID': '720', 'value': '€45.00m'}, {'date': '27/12/2023', 'age': '24', 'clubName': 'FC Porto', 'clubID': '720', 'value': '€45.00m'}, {'date': '06/06/2024', 'age': '24', 'clubName': 'FC Porto', 'clubID': '720', 'value': '€40.00m'}, {'date': '18/07/2024', 'age': '24', 'clubName': 'FC Porto', 'clubID': '720', 'value': '€45.00m'}, {'date': '19/12/2024', 'age': '25', 'clubName': 'FC Porto', 'clubID': '720', 'value': '€40.00m'}, {'date': '31/03/2025', 'age': '25', 'clubName': 'FC Porto', 'clubID': '720', 'value': '€38.00m'}, {'date': '30/05/2025', 'age': '25', 'clubName': 'FC Porto', 'clubID': '720', 'value': '€40.00m'}, {'date': '18/12/2025', 'age': '26', 'clubName': 'FC Porto', 'clubID': '720', 'value': '€40.00m'}]}</t>
        </is>
      </c>
      <c r="L146" t="inlineStr">
        <is>
          <t>Portugal</t>
        </is>
      </c>
      <c r="M146" t="inlineStr">
        <is>
          <t>2000-08-04</t>
        </is>
      </c>
      <c r="N146" t="inlineStr">
        <is>
          <t>42</t>
        </is>
      </c>
      <c r="O146">
        <f>(25+35)/2</f>
        <v/>
      </c>
      <c r="P146">
        <f>(6+6+10+16)/4</f>
        <v/>
      </c>
    </row>
    <row r="147">
      <c r="A147" t="inlineStr">
        <is>
          <t>Ter Stegen</t>
        </is>
      </c>
      <c r="B147" t="inlineStr">
        <is>
          <t>Barcelona</t>
        </is>
      </c>
      <c r="C147" t="inlineStr">
        <is>
          <t>Goalkeeper</t>
        </is>
      </c>
      <c r="D147" t="n">
        <v>540</v>
      </c>
      <c r="E147" t="n">
        <v>6</v>
      </c>
      <c r="F147" t="n">
        <v>0</v>
      </c>
      <c r="G147" t="n">
        <v>0</v>
      </c>
      <c r="H147" t="n">
        <v>29</v>
      </c>
      <c r="I147" t="n">
        <v>24.9</v>
      </c>
      <c r="J147" t="n">
        <v>74857</v>
      </c>
      <c r="K147" t="inlineStr">
        <is>
          <t>{'marketValueHistory': [{'date': 'Aug 13, 2009', 'age': '17', 'clubName': 'Borussia Mönchengladbach U19', 'clubID': '4121', 'value': '€100k'}, {'date': 'Aug 27, 2010', 'age': '18', 'clubName': 'Borussia Mönchengladbach II', 'clubID': '1006', 'value': '€200k'}, {'date': 'Oct 18, 2010', 'age': '18', 'clubName': 'Borussia Mönchengladbach', 'clubID': '18', 'value': '€350k'}, {'date': 'Jan 12, 2011', 'age': '18', 'clubName': 'Borussia Mönchengladbach', 'clubID': '18', 'value': '€400k'}, {'date': 'Jun 29, 2011', 'age': '19', 'clubName': 'Borussia Mönchengladbach', 'clubID': '18', 'value': '€2.50m'}, {'date': 'Aug 26, 2011', 'age': '19', 'clubName': 'Borussia Mönchengladbach', 'clubID': '18', 'value': '€3.50m'}, {'date': 'Oct 18, 2011', 'age': '19', 'clubName': 'Borussia Mönchengladbach', 'clubID': '18', 'value': '€5.50m'}, {'date': 'Jan 23, 2012', 'age': '19', 'clubName': 'Borussia Mönchengladbach', 'clubID': '18', 'value': '€7.50m'}, {'date': 'Jun 29, 2012', 'age': '20', 'clubName': 'Borussia Mönchengladbach', 'clubID': '18', 'value': '€10.00m'}, {'date': 'Jan 13, 2013', 'age': '20', 'clubName': 'Borussia Mönchengladbach', 'clubID': '18', 'value': '€10.00m'}, {'date': 'Jun 30, 2013', 'age': '21', 'clubName': 'Borussia Mönchengladbach', 'clubID': '18', 'value': '€11.00m'}, {'date': 'Feb 12, 2014', 'age': '21', 'clubName': 'Borussia Mönchengladbach', 'clubID': '18', 'value': '€20.00m'}, {'date': 'Jul 20, 2014', 'age': '22', 'clubName': 'FC Barcelona', 'clubID': '131', 'value': '€20.00m'}, {'date': 'Oct 5, 2014', 'age': '22', 'clubName': 'FC Barcelona', 'clubID': '131', 'value': '€15.00m'}, {'date': 'Jan 23, 2015', 'age': '22', 'clubName': 'FC Barcelona', 'clubID': '131', 'value': '€15.00m'}, {'date': 'Jul 1, 2015', 'age': '23', 'clubName': 'FC Barcelona', 'clubID': '131', 'value': '€18.00m'}, {'date': 'Nov 22, 2015', 'age': '23', 'clubName': 'FC Barcelona', 'clubID': '131', 'value': '€15.00m'}, {'date': 'Feb 22, 2016', 'age': '23', 'clubName': 'FC Barcelona', 'clubID': '131', 'value': '€15.00m'}, {'date': 'Jun 1, 2016', 'age': '24', 'clubName': 'FC Barcelona', 'clubID': '131', 'value': '€15.00m'}, {'date': 'Jul 15, 2016', 'age': '24', 'clubName': 'FC Barcelona', 'clubID': '131', 'value': '€15.00m'}, {'date': 'Oct 27, 2016', 'age': '24', 'clubName': 'FC Barcelona', 'clubID': '131', 'value': '€18.00m'}, {'date': 'Jan 24, 2017', 'age': '24', 'clubName': 'FC Barcelona', 'clubID': '131', 'value': '€22.00m'}, {'date': 'Jun 5, 2017', 'age': '25', 'clubName': 'FC Barcelona', 'clubID': '131', 'value': '€25.00m'}, {'date': 'Jan 1, 2018', 'age': '25', 'clubName': 'FC Barcelona', 'clubID': '131', 'value': '€40.00m'}, {'date': 'Mar 22, 2018', 'age': '25', 'clubName': 'FC Barcelona', 'clubID': '131', 'value': '€60.00m'}, {'date': 'May 30, 2018', 'age': '26', 'clubName': 'FC Barcelona', 'clubID': '131', 'value': '€60.00m'}, {'date': 'Oct 31, 2018', 'age': '26', 'clubName': 'FC Barcelona', 'clubID': '131', 'value': '€80.00m'}, {'date': 'Dec 21, 2018', 'age': '26', 'clubName': 'FC Barcelona', 'clubID': '131', 'value': '€80.00m'}, {'date': 'Jun 11, 2019', 'age': '27', 'clubName': 'FC Barcelona', 'clubID': '131', 'value': '€90.00m'}, {'date': 'Dec 20, 2019', 'age': '27', 'clubName': 'FC Barcelona', 'clubID': '131', 'value': '€90.00m'}, {'date': 'Apr 8, 2020', 'age': '27', 'clubName': 'FC Barcelona', 'clubID': '131', 'value': '€72.00m'}, {'date': 'Oct 8, 2020', 'age': '28', 'clubName': 'FC Barcelona', 'clubID': '131', 'value': '€75.00m'}, {'date': 'Jan 5, 2021', 'age': '28', 'clubName': 'FC Barcelona', 'clubID': '131', 'value': '€75.00m'}, {'date': 'Jun 10, 2021', 'age': '29', 'clubName': 'FC Barcelona', 'clubID': '131', 'value': '€60.00m'}, {'date': 'Oct 13, 2021', 'age': '29', 'clubName': 'FC Barcelona', 'clubID': '131', 'value': '€55.00m'}, {'date': 'Dec 30, 2021', 'age': '29', 'clubName': 'FC Barcelona', 'clubID': '131', 'value': '€45.00m'}, {'date': 'Jun 3, 2022', 'age': '30', 'clubName': 'FC Barcelona', 'clubID': '131', 'value': '€30.00m'}, {'date': 'Nov 7, 2022', 'age': '30', 'clubName': 'FC Barcelona', 'clubID': '131', 'value': '€30.00m'}, {'date': 'Mar 23, 2023', 'age': '30', 'clubName': 'FC Barcelona', 'clubID': '131', 'value': '€40.00m'}, {'date': 'Jun 13, 2023', 'age': '31', 'clubName': 'FC Barcelona', 'clubID': '131', 'value': '€35.00m'}, {'date': 'Dec 22, 2023', 'age': '31', 'clubName': 'FC Barcelona', 'clubID': '131', 'value': '€35.00m'}, {'date': 'Mar 21, 2024', 'age': '31', 'clubName': 'FC Barcelona', 'clubID': '131', 'value': '€30.00m'}, {'date': 'Jun 7, 2024', 'age': '32', 'clubName': 'FC Barcelona', 'clubID': '131', 'value': '€28.00m'}, {'date': 'Oct 11, 2024', 'age': '32', 'clubName': 'FC Barcelona', 'clubID': '131', 'value': '€20.00m'}, {'date': 'Dec 27, 2024', 'age': '32', 'clubName': 'FC Barcelona', 'clubID': '131', 'value': '€15.00m'}, {'date': 'Jun 9, 2025', 'age': '33', 'clubName': 'FC Barcelona', 'clubID': '131', 'value': '€12.00m'}, {'date': 'Oct 2, 2025', 'age': '33', 'clubName': 'FC Barcelona', 'clubID': '131', 'value': '€8.00m'}, {'date': 'Dec 12, 2025', 'age': '33', 'clubName': 'FC Barcelona', 'clubID': '131', 'value': '€7.00m'}, {'date': 'Mar 16, 2026', 'age': '33', 'clubName': 'Girona FC', 'clubID': '12321', 'value': '€4.00m'}]}</t>
        </is>
      </c>
      <c r="L147" t="inlineStr">
        <is>
          <t>Germany</t>
        </is>
      </c>
      <c r="M147" t="inlineStr">
        <is>
          <t>1992-04-30</t>
        </is>
      </c>
      <c r="N147" t="inlineStr">
        <is>
          <t>44</t>
        </is>
      </c>
      <c r="O147">
        <f>(30+30)/2</f>
        <v/>
      </c>
      <c r="P147">
        <f>(75+60+55+45)/4</f>
        <v/>
      </c>
    </row>
    <row r="148">
      <c r="A148" t="inlineStr">
        <is>
          <t>Locatelli</t>
        </is>
      </c>
      <c r="B148" t="inlineStr">
        <is>
          <t>Juventus</t>
        </is>
      </c>
      <c r="C148" t="inlineStr">
        <is>
          <t>Midfielder</t>
        </is>
      </c>
      <c r="D148" t="n">
        <v>539</v>
      </c>
      <c r="E148" t="n">
        <v>7</v>
      </c>
      <c r="F148" t="n">
        <v>0</v>
      </c>
      <c r="G148" t="n">
        <v>0</v>
      </c>
      <c r="H148" t="n">
        <v>69.8</v>
      </c>
      <c r="I148" t="n">
        <v>30.9</v>
      </c>
      <c r="J148" t="n">
        <v>265088</v>
      </c>
      <c r="K148" t="inlineStr">
        <is>
          <t>{'marketValueHistory': [{'date': 'Sep 16, 2014', 'age': '16', 'clubName': 'Milan Primavera', 'clubID': '10958', 'value': '€75k'}, {'date': 'Mar 2, 2015', 'age': '17', 'clubName': 'Milan Primavera', 'clubID': '10958', 'value': '€150k'}, {'date': 'Jun 17, 2015', 'age': '17', 'clubName': 'Milan Primavera', 'clubID': '10958', 'value': '€150k'}, {'date': 'Jul 15, 2016', 'age': '18', 'clubName': 'AC Milan', 'clubID': '5', 'value': '€300k'}, {'date': 'Oct 14, 2016', 'age': '18', 'clubName': 'AC Milan', 'clubID': '5', 'value': '€1.50m'}, {'date': 'Jan 2, 2017', 'age': '18', 'clubName': 'AC Milan', 'clubID': '5', 'value': '€5.00m'}, {'date': 'Jun 8, 2017', 'age': '19', 'clubName': 'AC Milan', 'clubID': '5', 'value': '€6.00m'}, {'date': 'Dec 29, 2017', 'age': '19', 'clubName': 'AC Milan', 'clubID': '5', 'value': '€7.00m'}, {'date': 'Jun 7, 2018', 'age': '20', 'clubName': 'AC Milan', 'clubID': '5', 'value': '€8.00m'}, {'date': 'Dec 20, 2018', 'age': '20', 'clubName': 'US Sassuolo', 'clubID': '6574', 'value': '€8.00m'}, {'date': 'Feb 26, 2019', 'age': '21', 'clubName': 'US Sassuolo', 'clubID': '6574', 'value': '€12.00m'}, {'date': 'Jun 6, 2019', 'age': '21', 'clubName': 'US Sassuolo', 'clubID': '6574', 'value': '€12.00m'}, {'date': 'Dec 12, 2019', 'age': '21', 'clubName': 'US Sassuolo', 'clubID': '6574', 'value': '€13.00m'}, {'date': 'Mar 3, 2020', 'age': '22', 'clubName': 'US Sassuolo', 'clubID': '6574', 'value': '€17.00m'}, {'date': 'Apr 8, 2020', 'age': '22', 'clubName': 'US Sassuolo', 'clubID': '6574', 'value': '€15.50m'}, {'date': 'Aug 25, 2020', 'age': '22', 'clubName': 'US Sassuolo', 'clubID': '6574', 'value': '€25.00m'}, {'date': 'Oct 29, 2020', 'age': '22', 'clubName': 'US Sassuolo', 'clubID': '6574', 'value': '€30.00m'}, {'date': 'Dec 29, 2020', 'age': '22', 'clubName': 'US Sassuolo', 'clubID': '6574', 'value': '€35.00m'}, {'date': 'May 25, 2021', 'age': '23', 'clubName': 'US Sassuolo', 'clubID': '6574', 'value': '€35.00m'}, {'date': 'Dec 28, 2021', 'age': '23', 'clubName': 'Juventus FC', 'clubID': '506', 'value': '€35.00m'}, {'date': 'Jun 7, 2022', 'age': '24', 'clubName': 'Juventus FC', 'clubID': '506', 'value': '€35.00m'}, {'date': 'Nov 11, 2022', 'age': '24', 'clubName': 'Juventus FC', 'clubID': '506', 'value': '€30.00m'}, {'date': 'Jun 15, 2023', 'age': '25', 'clubName': 'Juventus FC', 'clubID': '506', 'value': '€30.00m'}, {'date': 'Dec 20, 2023', 'age': '25', 'clubName': 'Juventus FC', 'clubID': '506', 'value': '€33.00m'}, {'date': 'Jun 5, 2024', 'age': '26', 'clubName': 'Juventus FC', 'clubID': '506', 'value': '€28.00m'}, {'date': 'Dec 18, 2024', 'age': '26', 'clubName': 'Juventus FC', 'clubID': '506', 'value': '€28.00m'}, {'date': 'Jun 17, 2025', 'age': '27', 'clubName': 'Juventus FC', 'clubID': '506', 'value': '€30.00m'}, {'date': 'Dec 23, 2025', 'age': '27', 'clubName': 'Juventus FC', 'clubID': '506', 'value': '€25.00m'}]}</t>
        </is>
      </c>
      <c r="L148" t="inlineStr">
        <is>
          <t>Italy</t>
        </is>
      </c>
      <c r="M148" t="inlineStr">
        <is>
          <t>1998-01-08</t>
        </is>
      </c>
      <c r="N148" t="inlineStr">
        <is>
          <t>36</t>
        </is>
      </c>
      <c r="O148">
        <f>(35+30)/2</f>
        <v/>
      </c>
      <c r="P148">
        <f>(35+35)/2</f>
        <v/>
      </c>
    </row>
    <row r="149">
      <c r="A149" t="inlineStr">
        <is>
          <t>Diego Carlos</t>
        </is>
      </c>
      <c r="B149" t="inlineStr">
        <is>
          <t>Sevilla</t>
        </is>
      </c>
      <c r="C149" t="inlineStr">
        <is>
          <t>Defender</t>
        </is>
      </c>
      <c r="D149" t="n">
        <v>539</v>
      </c>
      <c r="E149" t="n">
        <v>6</v>
      </c>
      <c r="F149" t="n">
        <v>0</v>
      </c>
      <c r="G149" t="n">
        <v>0</v>
      </c>
      <c r="H149" t="n">
        <v>58.7</v>
      </c>
      <c r="I149" t="n">
        <v>32.9</v>
      </c>
      <c r="J149" t="n">
        <v>329145</v>
      </c>
      <c r="K149" t="inlineStr">
        <is>
          <t>{'marketValueHistory': [{'date': 'Jul 1, 2015', 'age': '22', 'clubName': 'GD Estoril Praia', 'clubID': '1465', 'value': '€100k'}, {'date': 'Oct 7, 2015', 'age': '22', 'clubName': 'GD Estoril Praia', 'clubID': '1465', 'value': '€500k'}, {'date': 'Feb 24, 2016', 'age': '22', 'clubName': 'GD Estoril Praia', 'clubID': '1465', 'value': '€1.00m'}, {'date': 'Jul 13, 2016', 'age': '23', 'clubName': 'FC Nantes', 'clubID': '995', 'value': '€2.00m'}, {'date': 'Jan 16, 2017', 'age': '23', 'clubName': 'FC Nantes', 'clubID': '995', 'value': '€2.50m'}, {'date': 'Jun 1, 2017', 'age': '24', 'clubName': 'FC Nantes', 'clubID': '995', 'value': '€3.50m'}, {'date': 'Oct 12, 2017', 'age': '24', 'clubName': 'FC Nantes', 'clubID': '995', 'value': '€5.00m'}, {'date': 'Jan 24, 2018', 'age': '24', 'clubName': 'FC Nantes', 'clubID': '995', 'value': '€10.00m'}, {'date': 'Jun 4, 2018', 'age': '25', 'clubName': 'FC Nantes', 'clubID': '995', 'value': '€10.00m'}, {'date': 'Dec 17, 2018', 'age': '25', 'clubName': 'FC Nantes', 'clubID': '995', 'value': '€10.00m'}, {'date': 'Jun 3, 2019', 'age': '26', 'clubName': 'FC Nantes', 'clubID': '995', 'value': '€13.00m'}, {'date': 'Sep 10, 2019', 'age': '26', 'clubName': 'Sevilla FC', 'clubID': '368', 'value': '€15.00m'}, {'date': 'Dec 20, 2019', 'age': '26', 'clubName': 'Sevilla FC', 'clubID': '368', 'value': '€25.00m'}, {'date': 'Mar 5, 2020', 'age': '26', 'clubName': 'Sevilla FC', 'clubID': '368', 'value': '€40.00m'}, {'date': 'Apr 8, 2020', 'age': '27', 'clubName': 'Sevilla FC', 'clubID': '368', 'value': '€32.00m'}, {'date': 'Jul 23, 2020', 'age': '27', 'clubName': 'Sevilla FC', 'clubID': '368', 'value': '€50.00m'}, {'date': 'Oct 8, 2020', 'age': '27', 'clubName': 'Sevilla FC', 'clubID': '368', 'value': '€50.00m'}, {'date': 'Jan 5, 2021', 'age': '27', 'clubName': 'Sevilla FC', 'clubID': '368', 'value': '€50.00m'}, {'date': 'Jun 10, 2021', 'age': '28', 'clubName': 'Sevilla FC', 'clubID': '368', 'value': '€45.00m'}, {'date': 'Dec 30, 2021', 'age': '28', 'clubName': 'Sevilla FC', 'clubID': '368', 'value': '€45.00m'}, {'date': 'Jun 3, 2022', 'age': '29', 'clubName': 'Sevilla FC', 'clubID': '368', 'value': '€40.00m'}, {'date': 'Sep 15, 2022', 'age': '29', 'clubName': 'Aston Villa', 'clubID': '405', 'value': '€30.00m'}, {'date': 'Nov 3, 2022', 'age': '29', 'clubName': 'Aston Villa', 'clubID': '405', 'value': '€30.00m'}, {'date': 'Jun 20, 2023', 'age': '30', 'clubName': 'Aston Villa', 'clubID': '405', 'value': '€20.00m'}, {'date': 'Oct 9, 2023', 'age': '30', 'clubName': 'Aston Villa', 'clubID': '405', 'value': '€18.00m'}, {'date': 'Dec 19, 2023', 'age': '30', 'clubName': 'Aston Villa', 'clubID': '405', 'value': '€16.00m'}, {'date': 'May 27, 2024', 'age': '31', 'clubName': 'Aston Villa', 'clubID': '405', 'value': '€16.00m'}, {'date': 'Oct 1, 2024', 'age': '31', 'clubName': 'Aston Villa', 'clubID': '405', 'value': '€12.00m'}, {'date': 'Dec 16, 2024', 'age': '31', 'clubName': 'Aston Villa', 'clubID': '405', 'value': '€11.00m'}, {'date': 'Mar 20, 2025', 'age': '32', 'clubName': 'Fenerbahce', 'clubID': '36', 'value': '€11.00m'}, {'date': 'Jun 18, 2025', 'age': '32', 'clubName': 'Fenerbahce', 'clubID': '36', 'value': '€9.50m'}, {'date': 'Dec 23, 2025', 'age': '32', 'clubName': 'Como 1907', 'clubID': '1047', 'value': '€8.50m'}, {'date': 'Mar 24, 2026', 'age': '33', 'clubName': 'Como 1907', 'clubID': '1047', 'value': '€6.00m'}]}</t>
        </is>
      </c>
      <c r="L149" t="inlineStr">
        <is>
          <t>Italy</t>
        </is>
      </c>
      <c r="M149" t="inlineStr">
        <is>
          <t>1993-03-15</t>
        </is>
      </c>
      <c r="N149" t="inlineStr">
        <is>
          <t>Brazil</t>
        </is>
      </c>
      <c r="O149">
        <f>(40+30+30)/3</f>
        <v/>
      </c>
      <c r="P149">
        <f>(50+45+45)/3</f>
        <v/>
      </c>
    </row>
    <row r="150">
      <c r="A150" t="inlineStr">
        <is>
          <t>Mount</t>
        </is>
      </c>
      <c r="B150" t="inlineStr">
        <is>
          <t>Chelsea</t>
        </is>
      </c>
      <c r="C150" t="inlineStr">
        <is>
          <t>Midfielder</t>
        </is>
      </c>
      <c r="D150" t="n">
        <v>538</v>
      </c>
      <c r="E150" t="n">
        <v>7</v>
      </c>
      <c r="F150" t="n">
        <v>1</v>
      </c>
      <c r="G150" t="n">
        <v>2</v>
      </c>
      <c r="H150" t="n">
        <v>60.3</v>
      </c>
      <c r="I150" t="n">
        <v>35</v>
      </c>
      <c r="J150" t="n">
        <v>346483</v>
      </c>
      <c r="K150" t="inlineStr">
        <is>
          <t>{'marketValueHistory': [{'date': '24/07/2017', 'age': '18', 'clubName': 'Vitesse Arnhem', 'clubID': '499', 'value': '€400k'}, {'date': '26/10/2017', 'age': '18', 'clubName': 'Vitesse Arnhem', 'clubID': '499', 'value': '€750k'}, {'date': '17/01/2018', 'age': '19', 'clubName': 'Vitesse Arnhem', 'clubID': '499', 'value': '€1.00m'}, {'date': '27/03/2018', 'age': '19', 'clubName': 'Vitesse Arnhem', 'clubID': '499', 'value': '€2.00m'}, {'date': '12/06/2018', 'age': '19', 'clubName': 'Vitesse Arnhem', 'clubID': '499', 'value': '€4.00m'}, {'date': '27/02/2019', 'age': '20', 'clubName': 'Derby County', 'clubID': '22', 'value': '€10.00m'}, {'date': '13/06/2019', 'age': '20', 'clubName': 'Chelsea FC U23', 'clubID': '9250', 'value': '€12.00m'}, {'date': '12/09/2019', 'age': '20', 'clubName': 'Chelsea FC', 'clubID': '631', 'value': '€35.00m'}, {'date': '10/12/2019', 'age': '20', 'clubName': 'Chelsea FC', 'clubID': '631', 'value': '€45.00m'}, {'date': '08/04/2020', 'age': '21', 'clubName': 'Chelsea FC', 'clubID': '631', 'value': '€40.50m'}, {'date': '13/10/2020', 'age': '21', 'clubName': 'Chelsea FC', 'clubID': '631', 'value': '€45.00m'}, {'date': '18/03/2021', 'age': '22', 'clubName': 'Chelsea FC', 'clubID': '631', 'value': '€60.00m'}, {'date': '28/05/2021', 'age': '22', 'clubName': 'Chelsea FC', 'clubID': '631', 'value': '€75.00m'}, {'date': '23/12/2021', 'age': '22', 'clubName': 'Chelsea FC', 'clubID': '631', 'value': '€75.00m'}, {'date': '15/06/2022', 'age': '23', 'clubName': 'Chelsea FC', 'clubID': '631', 'value': '€75.00m'}, {'date': '03/11/2022', 'age': '23', 'clubName': 'Chelsea FC', 'clubID': '631', 'value': '€75.00m'}, {'date': '16/03/2023', 'age': '24', 'clubName': 'Chelsea FC', 'clubID': '631', 'value': '€65.00m'}, {'date': '20/06/2023', 'age': '24', 'clubName': 'Chelsea FC', 'clubID': '631', 'value': '€60.00m'}, {'date': '19/12/2023', 'age': '24', 'clubName': 'Manchester United', 'clubID': '985', 'value': '€45.00m'}, {'date': '14/03/2024', 'age': '25', 'clubName': 'Manchester United', 'clubID': '985', 'value': '€40.00m'}, {'date': '27/05/2024', 'age': '25', 'clubName': 'Manchester United', 'clubID': '985', 'value': '€35.00m'}, {'date': '16/12/2024', 'age': '25', 'clubName': 'Manchester United', 'clubID': '985', 'value': '€32.00m'}, {'date': '18/03/2025', 'age': '26', 'clubName': 'Manchester United', 'clubID': '985', 'value': '€28.00m'}, {'date': '30/05/2025', 'age': '26', 'clubName': 'Manchester United', 'clubID': '985', 'value': '€28.00m'}, {'date': '09/12/2025', 'age': '26', 'clubName': 'Manchester United', 'clubID': '985', 'value': '€32.00m'}, {'date': '09/03/2026', 'age': '27', 'clubName': 'Manchester United', 'clubID': '985', 'value': '€30.00m'}]}</t>
        </is>
      </c>
      <c r="L150" t="inlineStr">
        <is>
          <t>United Kingdom</t>
        </is>
      </c>
      <c r="M150" t="inlineStr">
        <is>
          <t>1999-01-10</t>
        </is>
      </c>
      <c r="N150" t="inlineStr">
        <is>
          <t>36</t>
        </is>
      </c>
      <c r="O150">
        <f>(75+75)/2</f>
        <v/>
      </c>
      <c r="P150">
        <f>(60+75+75)/3</f>
        <v/>
      </c>
    </row>
    <row r="151">
      <c r="A151" t="inlineStr">
        <is>
          <t>Rabiot</t>
        </is>
      </c>
      <c r="B151" t="inlineStr">
        <is>
          <t>Juventus</t>
        </is>
      </c>
      <c r="C151" t="inlineStr">
        <is>
          <t>Midfielder</t>
        </is>
      </c>
      <c r="D151" t="n">
        <v>536</v>
      </c>
      <c r="E151" t="n">
        <v>7</v>
      </c>
      <c r="F151" t="n">
        <v>0</v>
      </c>
      <c r="G151" t="n">
        <v>0</v>
      </c>
      <c r="H151" t="n">
        <v>67.59999999999999</v>
      </c>
      <c r="I151" t="n">
        <v>36.8</v>
      </c>
      <c r="J151" t="n">
        <v>182913</v>
      </c>
      <c r="K151" t="inlineStr">
        <is>
          <t>{'id': '182913', 'marketValue': '€40.00m', 'marketValueHistory': [{'age': '17', 'date': 'Jul 25, 2012', 'clubName': 'Paris Saint-Germain', 'value': '€400k', 'clubID': '583'}, {'age': '17', 'date': 'Jan 7, 2013', 'clubName': 'Paris Saint-Germain', 'value': '€1.50m', 'clubID': '583'}, {'age': '18', 'date': 'May 30, 2013', 'clubName': 'FC Toulouse', 'value': '€2.50m', 'clubID': '415'}, {'age': '18', 'date': 'Jan 14, 2014', 'clubName': 'Paris Saint-Germain', 'value': '€3.50m', 'clubID': '583'}, {'age': '19', 'date': 'Aug 1, 2014', 'clubName': 'Paris Saint-Germain', 'value': '€4.50m', 'clubID': '583'}, {'age': '19', 'date': 'Jan 14, 2015', 'clubName': 'Paris Saint-Germain', 'value': '€5.00m', 'clubID': '583'}, {'age': '20', 'date': 'Jun 6, 2015', 'clubName': 'Paris Saint-Germain', 'value': '€8.00m', 'clubID': '583'}, {'age': '20', 'date': 'Feb 4, 2016', 'clubName': 'Paris Saint-Germain', 'value': '€10.00m', 'clubID': '583'}, {'age': '21', 'date': 'Jul 13, 2016', 'clubName': 'Paris Saint-Germain', 'value': '€12.00m', 'clubID': '583'}, {'age': '21', 'date': 'Jan 16, 2017', 'clubName': 'Paris Saint-Germain', 'value': '€12.00m', 'clubID': '583'}, {'age': '22', 'date': 'Jun 1, 2017', 'clubName': 'Paris Saint-Germain', 'value': '€18.00m', 'clubID': '583'}, {'age': '22', 'date': 'Oct 12, 2017', 'clubName': 'Paris Saint-Germain', 'value': '€25.00m', 'clubID': '583'}, {'age': '22', 'date': 'Jan 24, 2018', 'clubName': 'Paris Saint-Germain', 'value': '€45.00m', 'clubID': '583'}, {'age': '23', 'date': 'Jun 4, 2018', 'clubName': 'Paris Saint-Germain', 'value': '€50.00m', 'clubID': '583'}, {'age': '23', 'date': 'Dec 17, 2018', 'clubName': 'Paris Saint-Germain', 'value': '€50.00m', 'clubID': '583'}, {'age': '23', 'date': 'Mar 7, 2019', 'clubName': 'Paris Saint-Germain', 'value': '€35.00m', 'clubID': '583'}, {'age': '24', 'date': 'Jun 3, 2019', 'clubName': 'Paris Saint-Germain', 'value': '€35.00m', 'clubID': '583'}, {'age': '24', 'date': 'Dec 12, 2019', 'clubName': 'Juventus FC', 'value': '€32.00m', 'clubID': '506'}, {'age': '25', 'date': 'Apr 8, 2020', 'clubName': 'Juventus FC', 'value': '€25.50m', 'clubID': '506'}, {'age': '25', 'date': 'Aug 25, 2020', 'clubName': 'Juventus FC', 'value': '€28.00m', 'clubID': '506'}, {'age': '25', 'date': 'Dec 29, 2020', 'clubName': 'Juventus FC', 'value': '€32.00m', 'clubID': '506'}, {'age': '26', 'date': 'Jun 1, 2021', 'clubName': 'Juventus FC', 'value': '€30.00m', 'clubID': '506'}, {'age': '26', 'date': 'Dec 28, 2021', 'clubName': 'Juventus FC', 'value': '€22.00m', 'clubID': '506'}, {'age': '26', 'date': 'Mar 15, 2022', 'clubName': 'Juventus FC', 'value': '€18.00m', 'clubID': '506'}, {'age': '27', 'date': 'Jun 7, 2022', 'clubName': 'Juventus FC', 'value': '€17.00m', 'clubID': '506'}, {'age': '27', 'date': 'Nov 11, 2022', 'clubName': 'Juventus FC', 'value': '€18.00m', 'clubID': '506'}, {'age': '27', 'date': 'Dec 23, 2022', 'clubName': 'Juventus FC', 'value': '€25.00m', 'clubID': '506'}, {'age': '27', 'date': 'Mar 21, 2023', 'clubName': 'Juventus FC', 'value': '€30.00m', 'clubID': '506'}, {'age': '28', 'date': 'Jun 15, 2023', 'clubName': 'Juventus FC', 'value': '€40.00m', 'clubID': '506'}, {'age': '28', 'date': 'Dec 20, 2023', 'clubName': 'Juventus FC', 'value': '€40.00m', 'clubID': '506'}], 'ranking': {'Worldwide': '143', 'Serie A': '14', 'Juventus': '3', 'France': '20', 'Central Midfield': '17', 'Year 1995': '8'}, 'updatedAt': datetime.datetime(2024, 5, 23, 22, 22, 5, 341029)}</t>
        </is>
      </c>
      <c r="L151" t="inlineStr">
        <is>
          <t>France</t>
        </is>
      </c>
      <c r="M151" t="inlineStr">
        <is>
          <t>1995-04-03</t>
        </is>
      </c>
      <c r="N151" t="inlineStr">
        <is>
          <t>France</t>
        </is>
      </c>
      <c r="O151">
        <f>(18+17+18+25)/4</f>
        <v/>
      </c>
      <c r="P151">
        <f>(30+22)/2</f>
        <v/>
      </c>
    </row>
    <row r="152">
      <c r="A152" t="inlineStr">
        <is>
          <t>Sydorchuk</t>
        </is>
      </c>
      <c r="B152" t="inlineStr">
        <is>
          <t>Dynamo Kyiv</t>
        </is>
      </c>
      <c r="C152" t="inlineStr">
        <is>
          <t>Midfielder</t>
        </is>
      </c>
      <c r="D152" t="n">
        <v>536</v>
      </c>
      <c r="E152" t="n">
        <v>6</v>
      </c>
      <c r="F152" t="n">
        <v>0</v>
      </c>
      <c r="G152" t="n">
        <v>0</v>
      </c>
      <c r="H152" t="n">
        <v>69.09999999999999</v>
      </c>
      <c r="I152" t="n">
        <v>31</v>
      </c>
      <c r="J152" t="n">
        <v>124182</v>
      </c>
      <c r="K152" t="inlineStr">
        <is>
          <t>{'marketValueHistory': [{'date': '20/01/2010', 'age': '18', 'clubName': 'Metalurg Zaporizhya', 'clubID': '6994', 'value': '€75k'}, {'date': '17/02/2010', 'age': '18', 'clubName': 'Metalurg Zaporizhya', 'clubID': '6994', 'value': '€150k'}, {'date': '25/08/2010', 'age': '19', 'clubName': 'Metalurg Zaporizhya', 'clubID': '6994', 'value': '€150k'}, {'date': '01/01/2011', 'age': '19', 'clubName': 'Metalurg Zaporizhya', 'clubID': '6994', 'value': '€300k'}, {'date': '18/10/2011', 'age': '20', 'clubName': 'Metalurg Zaporizhya', 'clubID': '6994', 'value': '€150k'}, {'date': '02/07/2012', 'age': '21', 'clubName': 'Metalurg Zaporizhya', 'clubID': '6994', 'value': '€400k'}, {'date': '17/06/2013', 'age': '22', 'clubName': 'Dynamo Kyiv II', 'clubID': '21218', 'value': '€800k'}, {'date': '02/01/2014', 'age': '22', 'clubName': 'Dynamo Kyiv', 'clubID': '338', 'value': '€1.50m'}, {'date': '30/06/2014', 'age': '23', 'clubName': 'Dynamo Kyiv', 'clubID': '338', 'value': '€1.50m'}, {'date': '25/12/2014', 'age': '23', 'clubName': 'Dynamo Kyiv', 'clubID': '338', 'value': '€2.50m'}, {'date': '07/06/2015', 'age': '24', 'clubName': 'Dynamo Kyiv', 'clubID': '338', 'value': '€3.50m'}, {'date': '18/12/2015', 'age': '24', 'clubName': 'Dynamo Kyiv', 'clubID': '338', 'value': '€4.00m'}, {'date': '01/06/2016', 'age': '25', 'clubName': 'Dynamo Kyiv', 'clubID': '338', 'value': '€4.50m'}, {'date': '21/07/2016', 'age': '25', 'clubName': 'Dynamo Kyiv', 'clubID': '338', 'value': '€4.50m'}, {'date': '03/01/2017', 'age': '25', 'clubName': 'Dynamo Kyiv', 'clubID': '338', 'value': '€4.50m'}, {'date': '26/06/2017', 'age': '26', 'clubName': 'Dynamo Kyiv', 'clubID': '338', 'value': '€4.50m'}, {'date': '12/01/2018', 'age': '26', 'clubName': 'Dynamo Kyiv', 'clubID': '338', 'value': '€4.00m'}, {'date': '06/08/2018', 'age': '27', 'clubName': 'Dynamo Kyiv', 'clubID': '338', 'value': '€3.50m'}, {'date': '10/12/2018', 'age': '27', 'clubName': 'Dynamo Kyiv', 'clubID': '338', 'value': '€4.50m'}, {'date': '20/06/2019', 'age': '28', 'clubName': 'Dynamo Kyiv', 'clubID': '338', 'value': '€4.50m'}, {'date': '08/01/2020', 'age': '28', 'clubName': 'Dynamo Kyiv', 'clubID': '338', 'value': '€4.50m'}, {'date': '08/04/2020', 'age': '28', 'clubName': 'Dynamo Kyiv', 'clubID': '338', 'value': '€3.50m'}, {'date': '04/09/2020', 'age': '29', 'clubName': 'Dynamo Kyiv', 'clubID': '338', 'value': '€3.50m'}, {'date': '14/01/2021', 'age': '29', 'clubName': 'Dynamo Kyiv', 'clubID': '338', 'value': '€3.50m'}, {'date': '27/05/2021', 'age': '30', 'clubName': 'Dynamo Kyiv', 'clubID': '338', 'value': '€4.00m'}, {'date': '20/12/2021', 'age': '30', 'clubName': 'Dynamo Kyiv', 'clubID': '338', 'value': '€5.00m'}, {'date': '18/05/2022', 'age': '31', 'clubName': 'Dynamo Kyiv', 'clubID': '338', 'value': '€5.00m'}, {'date': '06/12/2022', 'age': '31', 'clubName': 'Dynamo Kyiv', 'clubID': '338', 'value': '€4.00m'}, {'date': '21/06/2023', 'age': '32', 'clubName': 'Dynamo Kyiv', 'clubID': '338', 'value': '€3.00m'}, {'date': '23/10/2023', 'age': '32', 'clubName': 'KVC Westerlo', 'clubID': '968', 'value': '€2.50m'}, {'date': '19/12/2023', 'age': '32', 'clubName': 'KVC Westerlo', 'clubID': '968', 'value': '€2.20m'}, {'date': '04/06/2024', 'age': '33', 'clubName': 'KVC Westerlo', 'clubID': '968', 'value': '€2.00m'}, {'date': '02/10/2024', 'age': '33', 'clubName': 'KVC Westerlo', 'clubID': '968', 'value': '€1.50m'}, {'date': '11/12/2024', 'age': '33', 'clubName': 'KVC Westerlo', 'clubID': '968', 'value': '€1.00m'}, {'date': '26/03/2025', 'age': '33', 'clubName': 'KVC Westerlo', 'clubID': '968', 'value': '€700k'}, {'date': '12/06/2025', 'age': '34', 'clubName': 'KVC Westerlo', 'clubID': '968', 'value': '€500k'}, {'date': '10/12/2025', 'age': '34', 'clubName': 'KVC Westerlo', 'clubID': '968', 'value': '€300k'}]}</t>
        </is>
      </c>
      <c r="L152" t="inlineStr">
        <is>
          <t>Ukraine</t>
        </is>
      </c>
      <c r="M152" t="inlineStr">
        <is>
          <t>1991-05-02</t>
        </is>
      </c>
      <c r="N152" t="inlineStr">
        <is>
          <t>Ukraine</t>
        </is>
      </c>
      <c r="O152">
        <f>(5+4)/2</f>
        <v/>
      </c>
      <c r="P152">
        <f>(3.5+4+5)/3</f>
        <v/>
      </c>
    </row>
    <row r="153">
      <c r="A153" t="inlineStr">
        <is>
          <t>Maguire</t>
        </is>
      </c>
      <c r="B153" t="inlineStr">
        <is>
          <t>Man United</t>
        </is>
      </c>
      <c r="C153" t="inlineStr">
        <is>
          <t>Defender</t>
        </is>
      </c>
      <c r="D153" t="n">
        <v>534</v>
      </c>
      <c r="E153" t="n">
        <v>6</v>
      </c>
      <c r="F153" t="n">
        <v>1</v>
      </c>
      <c r="G153" t="n">
        <v>0</v>
      </c>
      <c r="H153" t="n">
        <v>49.3</v>
      </c>
      <c r="I153" t="n">
        <v>30.5</v>
      </c>
      <c r="J153" t="n">
        <v>177907</v>
      </c>
      <c r="K153" t="inlineStr">
        <is>
          <t>{'marketValueHistory': [{'date': '05/09/2011', 'age': '18', 'clubName': 'Sheffield United', 'clubID': '350', 'value': '€50k'}, {'date': '14/03/2012', 'age': '19', 'clubName': 'Sheffield United', 'clubID': '350', 'value': '€150k'}, {'date': '17/11/2012', 'age': '19', 'clubName': 'Sheffield United', 'clubID': '350', 'value': '€250k'}, {'date': '16/09/2013', 'age': '20', 'clubName': 'Sheffield United', 'clubID': '350', 'value': '€750k'}, {'date': '12/08/2014', 'age': '21', 'clubName': 'Hull City', 'clubID': '3008', 'value': '€3.00m'}, {'date': '24/02/2015', 'age': '21', 'clubName': 'Wigan Athletic', 'clubID': '1071', 'value': '€2.00m'}, {'date': '24/09/2015', 'age': '22', 'clubName': 'Hull City', 'clubID': '3008', 'value': '€2.00m'}, {'date': '20/04/2016', 'age': '23', 'clubName': 'Hull City', 'clubID': '3008', 'value': '€2.50m'}, {'date': '01/08/2016', 'age': '23', 'clubName': 'Hull City', 'clubID': '3008', 'value': '€2.50m'}, {'date': '20/02/2017', 'age': '23', 'clubName': 'Hull City', 'clubID': '3008', 'value': '€2.50m'}, {'date': '28/06/2017', 'age': '24', 'clubName': 'Hull City', 'clubID': '3008', 'value': '€8.00m'}, {'date': '02/01/2018', 'age': '24', 'clubName': 'Leicester City', 'clubID': '1003', 'value': '€15.00m'}, {'date': '28/05/2018', 'age': '25', 'clubName': 'Leicester City', 'clubID': '1003', 'value': '€25.00m'}, {'date': '16/07/2018', 'age': '25', 'clubName': 'Leicester City', 'clubID': '1003', 'value': '€35.00m'}, {'date': '13/08/2018', 'age': '25', 'clubName': 'Leicester City', 'clubID': '1003', 'value': '€45.00m'}, {'date': '19/12/2018', 'age': '25', 'clubName': 'Leicester City', 'clubID': '1003', 'value': '€45.00m'}, {'date': '13/06/2019', 'age': '26', 'clubName': 'Leicester City', 'clubID': '1003', 'value': '€50.00m'}, {'date': '12/09/2019', 'age': '26', 'clubName': 'Manchester United', 'clubID': '985', 'value': '€70.00m'}, {'date': '10/12/2019', 'age': '26', 'clubName': 'Manchester United', 'clubID': '985', 'value': '€70.00m'}, {'date': '08/04/2020', 'age': '27', 'clubName': 'Manchester United', 'clubID': '985', 'value': '€56.00m'}, {'date': '13/10/2020', 'age': '27', 'clubName': 'Manchester United', 'clubID': '985', 'value': '€50.00m'}, {'date': '17/12/2020', 'age': '27', 'clubName': 'Manchester United', 'clubID': '985', 'value': '€40.00m'}, {'date': '18/03/2021', 'age': '28', 'clubName': 'Manchester United', 'clubID': '985', 'value': '€40.00m'}, {'date': '28/05/2021', 'age': '28', 'clubName': 'Manchester United', 'clubID': '985', 'value': '€45.00m'}, {'date': '15/07/2021', 'age': '28', 'clubName': 'Manchester United', 'clubID': '985', 'value': '€50.00m'}, {'date': '23/12/2021', 'age': '28', 'clubName': 'Manchester United', 'clubID': '985', 'value': '€48.00m'}, {'date': '29/03/2022', 'age': '29', 'clubName': 'Manchester United', 'clubID': '985', 'value': '€40.00m'}, {'date': '15/06/2022', 'age': '29', 'clubName': 'Manchester United', 'clubID': '985', 'value': '€38.00m'}, {'date': '15/09/2022', 'age': '29', 'clubName': 'Manchester United', 'clubID': '985', 'value': '€30.00m'}, {'date': '03/11/2022', 'age': '29', 'clubName': 'Manchester United', 'clubID': '985', 'value': '€30.00m'}, {'date': '16/03/2023', 'age': '30', 'clubName': 'Manchester United', 'clubID': '985', 'value': '€25.00m'}, {'date': '20/06/2023', 'age': '30', 'clubName': 'Manchester United', 'clubID': '985', 'value': '€20.00m'}, {'date': '19/12/2023', 'age': '30', 'clubName': 'Manchester United', 'clubID': '985', 'value': '€20.00m'}, {'date': '27/05/2024', 'age': '31', 'clubName': 'Manchester United', 'clubID': '985', 'value': '€18.00m'}, {'date': '16/12/2024', 'age': '31', 'clubName': 'Manchester United', 'clubID': '985', 'value': '€15.00m'}, {'date': '30/05/2025', 'age': '32', 'clubName': 'Manchester United', 'clubID': '985', 'value': '€13.00m'}, {'date': '09/12/2025', 'age': '32', 'clubName': 'Manchester United', 'clubID': '985', 'value': '€10.00m'}]}</t>
        </is>
      </c>
      <c r="L153" t="inlineStr">
        <is>
          <t>England</t>
        </is>
      </c>
      <c r="M153" t="inlineStr">
        <is>
          <t>1993-05-03</t>
        </is>
      </c>
      <c r="N153" t="inlineStr">
        <is>
          <t>66</t>
        </is>
      </c>
      <c r="O153">
        <f>(40+38+30+30)/4</f>
        <v/>
      </c>
      <c r="P153">
        <f>(40+45+50+48)/4</f>
        <v/>
      </c>
    </row>
    <row r="154">
      <c r="A154" t="inlineStr">
        <is>
          <t>Joao Palhinha</t>
        </is>
      </c>
      <c r="B154" t="inlineStr">
        <is>
          <t>Sporting CP</t>
        </is>
      </c>
      <c r="C154" t="inlineStr">
        <is>
          <t>Midfielder</t>
        </is>
      </c>
      <c r="D154" t="n">
        <v>534</v>
      </c>
      <c r="E154" t="n">
        <v>6</v>
      </c>
      <c r="F154" t="n">
        <v>0</v>
      </c>
      <c r="G154" t="n">
        <v>0</v>
      </c>
      <c r="H154" t="n">
        <v>66.40000000000001</v>
      </c>
      <c r="I154" t="n">
        <v>30.3</v>
      </c>
      <c r="J154" t="n">
        <v>257455</v>
      </c>
      <c r="K154" t="inlineStr">
        <is>
          <t>{'marketValueHistory': [{'date': 'Jul 1, 2015', 'age': '19', 'clubName': 'Sporting CP B', 'clubID': '10949', 'value': '€75k'}, {'date': 'Feb 24, 2016', 'age': '20', 'clubName': 'Moreirense FC', 'clubID': '979', 'value': '€500k'}, {'date': 'Jul 29, 2016', 'age': '21', 'clubName': 'Sporting CP', 'clubID': '336', 'value': '€1.25m'}, {'date': 'Feb 22, 2017', 'age': '21', 'clubName': 'Sporting CP', 'clubID': '336', 'value': '€2.00m'}, {'date': 'Jun 26, 2017', 'age': '21', 'clubName': 'Sporting CP', 'clubID': '336', 'value': '€2.00m'}, {'date': 'Feb 7, 2018', 'age': '22', 'clubName': 'Sporting CP', 'clubID': '336', 'value': '€2.00m'}, {'date': 'Jun 13, 2018', 'age': '22', 'clubName': 'Sporting CP', 'clubID': '336', 'value': '€1.50m'}, {'date': 'Jan 11, 2019', 'age': '23', 'clubName': 'SC Braga', 'clubID': '1075', 'value': '€1.50m'}, {'date': 'Jun 7, 2019', 'age': '23', 'clubName': 'SC Braga', 'clubID': '1075', 'value': '€2.50m'}, {'date': 'Dec 30, 2019', 'age': '24', 'clubName': 'SC Braga', 'clubID': '1075', 'value': '€6.00m'}, {'date': 'Apr 8, 2020', 'age': '24', 'clubName': 'SC Braga', 'clubID': '1075', 'value': '€4.80m'}, {'date': 'Aug 17, 2020', 'age': '25', 'clubName': 'Sporting CP', 'clubID': '336', 'value': '€9.00m'}, {'date': 'Oct 22, 2020', 'age': '25', 'clubName': 'Sporting CP', 'clubID': '336', 'value': '€12.00m'}, {'date': 'Jan 28, 2021', 'age': '25', 'clubName': 'Sporting CP', 'clubID': '336', 'value': '€14.00m'}, {'date': 'Mar 23, 2021', 'age': '25', 'clubName': 'Sporting CP', 'clubID': '336', 'value': '€15.00m'}, {'date': 'Jun 1, 2021', 'age': '25', 'clubName': 'Sporting CP', 'clubID': '336', 'value': '€18.00m'}, {'date': 'Jul 15, 2021', 'age': '26', 'clubName': 'Sporting CP', 'clubID': '336', 'value': '€21.00m'}, {'date': 'Dec 27, 2021', 'age': '26', 'clubName': 'Sporting CP', 'clubID': '336', 'value': '€26.00m'}, {'date': 'May 31, 2022', 'age': '26', 'clubName': 'Sporting CP', 'clubID': '336', 'value': '€25.00m'}, {'date': 'Nov 3, 2022', 'age': '27', 'clubName': 'Fulham FC', 'clubID': '931', 'value': '€28.00m'}, {'date': 'Mar 16, 2023', 'age': '27', 'clubName': 'Fulham FC', 'clubID': '931', 'value': '€35.00m'}, {'date': 'Jun 20, 2023', 'age': '27', 'clubName': 'Fulham FC', 'clubID': '931', 'value': '€40.00m'}, {'date': 'Oct 9, 2023', 'age': '28', 'clubName': 'Fulham FC', 'clubID': '931', 'value': '€55.00m'}, {'date': 'Dec 19, 2023', 'age': '28', 'clubName': 'Fulham FC', 'clubID': '931', 'value': '€60.00m'}, {'date': 'Mar 14, 2024', 'age': '28', 'clubName': 'Fulham FC', 'clubID': '931', 'value': '€55.00m'}, {'date': 'May 27, 2024', 'age': '28', 'clubName': 'Fulham FC', 'clubID': '931', 'value': '€55.00m'}, {'date': 'Oct 9, 2024', 'age': '29', 'clubName': 'Bayern Munich', 'clubID': '27', 'value': '€50.00m'}, {'date': 'Dec 20, 2024', 'age': '29', 'clubName': 'Bayern Munich', 'clubID': '27', 'value': '€40.00m'}, {'date': 'Jun 5, 2025', 'age': '29', 'clubName': 'Bayern Munich', 'clubID': '27', 'value': '€30.00m'}, {'date': 'Dec 9, 2025', 'age': '30', 'clubName': 'Tottenham Hotspur', 'clubID': '148', 'value': '€25.00m'}, {'date': 'Mar 9, 2026', 'age': '30', 'clubName': 'Tottenham Hotspur', 'clubID': '148', 'value': '€18.00m'}]}</t>
        </is>
      </c>
      <c r="L154" t="inlineStr">
        <is>
          <t>Portugal</t>
        </is>
      </c>
      <c r="M154" t="inlineStr">
        <is>
          <t>1995-07-09</t>
        </is>
      </c>
      <c r="N154" t="inlineStr">
        <is>
          <t>Portugal</t>
        </is>
      </c>
      <c r="O154">
        <f>(25+28)/2</f>
        <v/>
      </c>
      <c r="P154">
        <f>(14+15+18+21+26)/5</f>
        <v/>
      </c>
    </row>
    <row r="155">
      <c r="A155" t="inlineStr">
        <is>
          <t>Tiago Djalo</t>
        </is>
      </c>
      <c r="B155" t="inlineStr">
        <is>
          <t>Lille</t>
        </is>
      </c>
      <c r="C155" t="inlineStr">
        <is>
          <t>Defender</t>
        </is>
      </c>
      <c r="D155" t="n">
        <v>533</v>
      </c>
      <c r="E155" t="n">
        <v>7</v>
      </c>
      <c r="F155" t="n">
        <v>0</v>
      </c>
      <c r="G155" t="n">
        <v>0</v>
      </c>
      <c r="H155" t="n">
        <v>60.5</v>
      </c>
      <c r="I155" t="n">
        <v>31.6</v>
      </c>
      <c r="J155" t="n">
        <v>420465</v>
      </c>
      <c r="K155" t="inlineStr">
        <is>
          <t>{'marketValueHistory': [{'date': 'Jun 25, 2018', 'age': '18', 'clubName': 'Sporting CP U19', 'clubID': '10283', 'value': '€200k'}, {'date': 'Jun 17, 2019', 'age': '19', 'clubName': 'Milan Primavera', 'clubID': '10958', 'value': '€175k'}, {'date': 'Sep 27, 2019', 'age': '19', 'clubName': 'LOSC Lille', 'clubID': '1082', 'value': '€3.00m'}, {'date': 'Dec 19, 2019', 'age': '19', 'clubName': 'LOSC Lille', 'clubID': '1082', 'value': '€5.00m'}, {'date': 'Apr 8, 2020', 'age': '19', 'clubName': 'LOSC Lille', 'clubID': '1082', 'value': '€4.50m'}, {'date': 'Oct 15, 2020', 'age': '20', 'clubName': 'LOSC Lille', 'clubID': '1082', 'value': '€4.50m'}, {'date': 'Jun 4, 2021', 'age': '21', 'clubName': 'LOSC Lille', 'clubID': '1082', 'value': '€5.00m'}, {'date': 'Dec 16, 2021', 'age': '21', 'clubName': 'LOSC Lille', 'clubID': '1082', 'value': '€10.00m'}, {'date': 'Mar 23, 2022', 'age': '21', 'clubName': 'LOSC Lille', 'clubID': '1082', 'value': '€12.00m'}, {'date': 'May 30, 2022', 'age': '22', 'clubName': 'LOSC Lille', 'clubID': '1082', 'value': '€12.00m'}, {'date': 'Nov 2, 2022', 'age': '22', 'clubName': 'LOSC Lille', 'clubID': '1082', 'value': '€12.00m'}, {'date': 'Mar 27, 2023', 'age': '22', 'clubName': 'LOSC Lille', 'clubID': '1082', 'value': '€16.00m'}, {'date': 'Jun 27, 2023', 'age': '23', 'clubName': 'LOSC Lille', 'clubID': '1082', 'value': '€16.00m'}, {'date': 'Dec 18, 2023', 'age': '23', 'clubName': 'LOSC Lille', 'clubID': '1082', 'value': '€15.00m'}, {'date': 'Jun 5, 2024', 'age': '24', 'clubName': 'Juventus FC', 'clubID': '506', 'value': '€12.00m'}, {'date': 'Dec 19, 2024', 'age': '24', 'clubName': 'FC Porto', 'clubID': '720', 'value': '€12.00m'}, {'date': 'Mar 31, 2025', 'age': '24', 'clubName': 'FC Porto', 'clubID': '720', 'value': '€10.00m'}, {'date': 'May 30, 2025', 'age': '25', 'clubName': 'FC Porto', 'clubID': '720', 'value': '€8.00m'}, {'date': 'Dec 17, 2025', 'age': '25', 'clubName': 'Besiktas JK', 'clubID': '114', 'value': '€7.00m'}]}</t>
        </is>
      </c>
      <c r="L155" t="inlineStr">
        <is>
          <t>Portugal</t>
        </is>
      </c>
      <c r="M155" t="inlineStr">
        <is>
          <t>2000-04-09</t>
        </is>
      </c>
      <c r="N155" t="inlineStr">
        <is>
          <t>Portugal</t>
        </is>
      </c>
      <c r="O155">
        <f>(12+12+12)/3</f>
        <v/>
      </c>
      <c r="P155">
        <f>(5+10)/2</f>
        <v/>
      </c>
    </row>
    <row r="156">
      <c r="A156" t="inlineStr">
        <is>
          <t>Ngamaleu</t>
        </is>
      </c>
      <c r="B156" t="inlineStr">
        <is>
          <t>Young Boys</t>
        </is>
      </c>
      <c r="C156" t="inlineStr">
        <is>
          <t>Midfielder</t>
        </is>
      </c>
      <c r="D156" t="n">
        <v>532</v>
      </c>
      <c r="E156" t="n">
        <v>6</v>
      </c>
      <c r="F156" t="n">
        <v>1</v>
      </c>
      <c r="G156" t="n">
        <v>1</v>
      </c>
      <c r="H156" t="n">
        <v>57.2</v>
      </c>
      <c r="I156" t="n">
        <v>35.6</v>
      </c>
      <c r="J156" t="n">
        <v>266768</v>
      </c>
      <c r="K156" t="inlineStr">
        <is>
          <t>{'marketValueHistory': [{'date': '26/08/2013', 'age': '19', 'clubName': 'Coton Sport FC de Garoua', 'clubID': '4675', 'value': '€25k'}, {'date': '04/08/2016', 'age': '22', 'clubName': 'SCR Altach', 'clubID': '3551', 'value': '€200k'}, {'date': '22/12/2016', 'age': '22', 'clubName': 'SCR Altach', 'clubID': '3551', 'value': '€500k'}, {'date': '02/06/2017', 'age': '22', 'clubName': 'SCR Altach', 'clubID': '3551', 'value': '€800k'}, {'date': '29/09/2017', 'age': '23', 'clubName': 'BSC Young Boys', 'clubID': '452', 'value': '€1.50m'}, {'date': '08/01/2018', 'age': '23', 'clubName': 'BSC Young Boys', 'clubID': '452', 'value': '€1.50m'}, {'date': '24/04/2018', 'age': '23', 'clubName': 'BSC Young Boys', 'clubID': '452', 'value': '€1.50m'}, {'date': '12/07/2018', 'age': '24', 'clubName': 'BSC Young Boys', 'clubID': '452', 'value': '€2.50m'}, {'date': '19/10/2018', 'age': '24', 'clubName': 'BSC Young Boys', 'clubID': '452', 'value': '€3.75m'}, {'date': '21/01/2019', 'age': '24', 'clubName': 'BSC Young Boys', 'clubID': '452', 'value': '€3.75m'}, {'date': '15/04/2019', 'age': '24', 'clubName': 'BSC Young Boys', 'clubID': '452', 'value': '€3.75m'}, {'date': '04/06/2019', 'age': '24', 'clubName': 'BSC Young Boys', 'clubID': '452', 'value': '€3.75m'}, {'date': '07/10/2019', 'age': '25', 'clubName': 'BSC Young Boys', 'clubID': '452', 'value': '€6.00m'}, {'date': '06/01/2020', 'age': '25', 'clubName': 'BSC Young Boys', 'clubID': '452', 'value': '€6.00m'}, {'date': '08/04/2020', 'age': '25', 'clubName': 'BSC Young Boys', 'clubID': '452', 'value': '€4.80m'}, {'date': '31/07/2020', 'age': '26', 'clubName': 'BSC Young Boys', 'clubID': '452', 'value': '€4.80m'}, {'date': '28/12/2020', 'age': '26', 'clubName': 'BSC Young Boys', 'clubID': '452', 'value': '€4.80m'}, {'date': '15/04/2021', 'age': '26', 'clubName': 'BSC Young Boys', 'clubID': '452', 'value': '€3.80m'}, {'date': '23/06/2021', 'age': '26', 'clubName': 'BSC Young Boys', 'clubID': '452', 'value': '€4.50m'}, {'date': '31/12/2021', 'age': '27', 'clubName': 'BSC Young Boys', 'clubID': '452', 'value': '€4.50m'}, {'date': '08/06/2022', 'age': '27', 'clubName': 'BSC Young Boys', 'clubID': '452', 'value': '€4.70m'}, {'date': '14/11/2022', 'age': '28', 'clubName': 'Dynamo Moscow', 'clubID': '121', 'value': '€4.00m'}, {'date': '14/06/2023', 'age': '28', 'clubName': 'Dynamo Moscow', 'clubID': '121', 'value': '€3.00m'}, {'date': '05/10/2023', 'age': '29', 'clubName': 'Dynamo Moscow', 'clubID': '121', 'value': '€3.50m'}, {'date': '13/12/2023', 'age': '29', 'clubName': 'Dynamo Moscow', 'clubID': '121', 'value': '€3.50m'}, {'date': '04/06/2024', 'age': '29', 'clubName': 'Dynamo Moscow', 'clubID': '121', 'value': '€4.50m'}, {'date': '12/12/2024', 'age': '30', 'clubName': 'Dynamo Moscow', 'clubID': '121', 'value': '€5.00m'}, {'date': '04/06/2025', 'age': '30', 'clubName': 'Dynamo Moscow', 'clubID': '121', 'value': '€4.00m'}, {'date': '18/09/2025', 'age': '31', 'clubName': 'Dynamo Moscow', 'clubID': '121', 'value': '€3.50m'}, {'date': '16/12/2025', 'age': '31', 'clubName': 'Dynamo Moscow', 'clubID': '121', 'value': '€2.80m'}]}</t>
        </is>
      </c>
      <c r="L156" t="inlineStr">
        <is>
          <t>Cameroon</t>
        </is>
      </c>
      <c r="M156" t="inlineStr">
        <is>
          <t>1994-07-09</t>
        </is>
      </c>
      <c r="N156" t="inlineStr">
        <is>
          <t>Cameroon</t>
        </is>
      </c>
      <c r="O156">
        <f>(4.7+4)/2</f>
        <v/>
      </c>
      <c r="P156">
        <f>(3.8+4.5+4.5)/3</f>
        <v/>
      </c>
    </row>
    <row r="157">
      <c r="A157" t="inlineStr">
        <is>
          <t>Perisic</t>
        </is>
      </c>
      <c r="B157" t="inlineStr">
        <is>
          <t>Inter</t>
        </is>
      </c>
      <c r="C157" t="inlineStr">
        <is>
          <t>Midfielder</t>
        </is>
      </c>
      <c r="D157" t="n">
        <v>531</v>
      </c>
      <c r="E157" t="n">
        <v>8</v>
      </c>
      <c r="F157" t="n">
        <v>0</v>
      </c>
      <c r="G157" t="n">
        <v>1</v>
      </c>
      <c r="H157" t="n">
        <v>65.5</v>
      </c>
      <c r="I157" t="n">
        <v>33.9</v>
      </c>
      <c r="J157" t="n">
        <v>42460</v>
      </c>
      <c r="K157" t="inlineStr">
        <is>
          <t>{'marketValueHistory': [{'date': 'Aug 20, 2006', 'age': '17', 'clubName': 'FC Sochaux-Montbéliard B', 'clubID': '10825', 'value': '€350k'}, {'date': 'Feb 12, 2007', 'age': '18', 'clubName': 'FC Sochaux-Montbéliard B', 'clubID': '10825', 'value': '€325k'}, {'date': 'Jul 5, 2008', 'age': '19', 'clubName': 'FC Sochaux-Montbéliard', 'clubID': '750', 'value': '€100k'}, {'date': 'Jan 28, 2009', 'age': '19', 'clubName': 'KSV Roeselare (-2020)', 'clubID': '2977', 'value': '€350k'}, {'date': 'Mar 26, 2009', 'age': '20', 'clubName': 'KSV Roeselare (-2020)', 'clubID': '2977', 'value': '€600k'}, {'date': 'Jul 1, 2009', 'age': '20', 'clubName': 'FC Sochaux-Montbéliard', 'clubID': '750', 'value': '€1.00m'}, {'date': 'Dec 7, 2009', 'age': '20', 'clubName': 'Club Brugge KV', 'clubID': '2282', 'value': '€2.50m'}, {'date': 'Jul 28, 2010', 'age': '21', 'clubName': 'Club Brugge KV', 'clubID': '2282', 'value': '€3.50m'}, {'date': 'Dec 28, 2010', 'age': '21', 'clubName': 'Club Brugge KV', 'clubID': '2282', 'value': '€3.50m'}, {'date': 'Mar 18, 2011', 'age': '22', 'clubName': 'Club Brugge KV', 'clubID': '2282', 'value': '€4.50m'}, {'date': 'Apr 14, 2011', 'age': '22', 'clubName': 'Club Brugge KV', 'clubID': '2282', 'value': '€5.00m'}, {'date': 'May 24, 2011', 'age': '22', 'clubName': 'Club Brugge KV', 'clubID': '2282', 'value': '€6.00m'}, {'date': 'Jan 23, 2012', 'age': '22', 'clubName': 'Borussia Dortmund', 'clubID': '16', 'value': '€6.00m'}, {'date': 'Jun 29, 2012', 'age': '23', 'clubName': 'Borussia Dortmund', 'clubID': '16', 'value': '€7.00m'}, {'date': 'Jan 13, 2013', 'age': '23', 'clubName': 'VfL Wolfsburg', 'clubID': '82', 'value': '€7.50m'}, {'date': 'Jun 30, 2013', 'age': '24', 'clubName': 'VfL Wolfsburg', 'clubID': '82', 'value': '€7.00m'}, {'date': 'Mar 31, 2014', 'age': '25', 'clubName': 'VfL Wolfsburg', 'clubID': '82', 'value': '€6.00m'}, {'date': 'Jul 10, 2014', 'age': '25', 'clubName': 'VfL Wolfsburg', 'clubID': '82', 'value': '€8.00m'}, {'date': 'Feb 4, 2015', 'age': '26', 'clubName': 'VfL Wolfsburg', 'clubID': '82', 'value': '€11.00m'}, {'date': 'Jul 1, 2015', 'age': '26', 'clubName': 'VfL Wolfsburg', 'clubID': '82', 'value': '€13.00m'}, {'date': 'Nov 5, 2015', 'age': '26', 'clubName': 'Inter Milan', 'clubID': '46', 'value': '€16.00m'}, {'date': 'Jan 4, 2016', 'age': '26', 'clubName': 'Inter Milan', 'clubID': '46', 'value': '€16.00m'}, {'date': 'Apr 1, 2016', 'age': '27', 'clubName': 'Inter Milan', 'clubID': '46', 'value': '€19.00m'}, {'date': 'Jun 1, 2016', 'age': '27', 'clubName': 'Inter Milan', 'clubID': '46', 'value': '€21.00m'}, {'date': 'Jul 15, 2016', 'age': '27', 'clubName': 'Inter Milan', 'clubID': '46', 'value': '€25.00m'}, {'date': 'Jan 2, 2017', 'age': '27', 'clubName': 'Inter Milan', 'clubID': '46', 'value': '€25.00m'}, {'date': 'Jun 8, 2017', 'age': '28', 'clubName': 'Inter Milan', 'clubID': '46', 'value': '€30.00m'}, {'date': 'Oct 13, 2017', 'age': '28', 'clubName': 'Inter Milan', 'clubID': '46', 'value': '€35.00m'}, {'date': 'Dec 29, 2017', 'age': '28', 'clubName': 'Inter Milan', 'clubID': '46', 'value': '€45.00m'}, {'date': 'Mar 24, 2018', 'age': '29', 'clubName': 'Inter Milan', 'clubID': '46', 'value': '€40.00m'}, {'date': 'Jun 7, 2018', 'age': '29', 'clubName': 'Inter Milan', 'clubID': '46', 'value': '€40.00m'}, {'date': 'Jul 16, 2018', 'age': '29', 'clubName': 'Inter Milan', 'clubID': '46', 'value': '€45.00m'}, {'date': 'Dec 20, 2018', 'age': '29', 'clubName': 'Inter Milan', 'clubID': '46', 'value': '€40.00m'}, {'date': 'Mar 1, 2019', 'age': '30', 'clubName': 'Inter Milan', 'clubID': '46', 'value': '€35.00m'}, {'date': 'Jun 6, 2019', 'age': '30', 'clubName': 'Inter Milan', 'clubID': '46', 'value': '€30.00m'}, {'date': 'Oct 2, 2019', 'age': '30', 'clubName': 'Bayern Munich', 'clubID': '27', 'value': '€24.00m'}, {'date': 'Dec 17, 2019', 'age': '30', 'clubName': 'Bayern Munich', 'clubID': '27', 'value': '€22.00m'}, {'date': 'Apr 8, 2020', 'age': '31', 'clubName': 'Bayern Munich', 'clubID': '27', 'value': '€17.50m'}, {'date': 'Sep 16, 2020', 'age': '31', 'clubName': 'Inter Milan', 'clubID': '46', 'value': '€15.00m'}, {'date': 'Dec 29, 2020', 'age': '31', 'clubName': 'Inter Milan', 'clubID': '46', 'value': '€10.00m'}, {'date': 'May 28, 2021', 'age': '32', 'clubName': 'Inter Milan', 'clubID': '46', 'value': '€10.00m'}, {'date': 'Dec 28, 2021', 'age': '32', 'clubName': 'Inter Milan', 'clubID': '46', 'value': '€10.00m'}, {'date': 'Jun 7, 2022', 'age': '33', 'clubName': 'Inter Milan', 'clubID': '46', 'value': '€10.00m'}, {'date': 'Nov 3, 2022', 'age': '33', 'clubName': 'Tottenham Hotspur', 'clubID': '148', 'value': '€10.00m'}, {'date': 'Jun 20, 2023', 'age': '34', 'clubName': 'Tottenham Hotspur', 'clubID': '148', 'value': '€7.00m'}, {'date': 'Oct 9, 2023', 'age': '34', 'clubName': 'Tottenham Hotspur', 'clubID': '148', 'value': '€4.00m'}, {'date': 'Dec 19, 2023', 'age': '34', 'clubName': 'Tottenham Hotspur', 'clubID': '148', 'value': '€4.00m'}, {'date': 'Jun 4, 2024', 'age': '35', 'clubName': 'HNK Hajduk Split', 'clubID': '447', 'value': '€2.00m'}, {'date': 'Dec 17, 2024', 'age': '35', 'clubName': 'PSV Eindhoven', 'clubID': '383', 'value': '€1.50m'}, {'date': 'May 28, 2025', 'age': '36', 'clubName': 'PSV Eindhoven', 'clubID': '383', 'value': '€1.50m'}, {'date': 'Dec 2, 2025', 'age': '36', 'clubName': 'PSV Eindhoven', 'clubID': '383', 'value': '€1.30m'}]}</t>
        </is>
      </c>
      <c r="L157" t="inlineStr">
        <is>
          <t>Croatia</t>
        </is>
      </c>
      <c r="M157" t="inlineStr">
        <is>
          <t>1989-02-02</t>
        </is>
      </c>
      <c r="N157" t="inlineStr">
        <is>
          <t>152</t>
        </is>
      </c>
      <c r="O157">
        <f>(10+10)/2</f>
        <v/>
      </c>
      <c r="P157">
        <f>(10+10)/2</f>
        <v/>
      </c>
    </row>
    <row r="158">
      <c r="A158" t="inlineStr">
        <is>
          <t>Nkunku</t>
        </is>
      </c>
      <c r="B158" t="inlineStr">
        <is>
          <t>Leipzig</t>
        </is>
      </c>
      <c r="C158" t="inlineStr">
        <is>
          <t>Midfielder</t>
        </is>
      </c>
      <c r="D158" t="n">
        <v>531</v>
      </c>
      <c r="E158" t="n">
        <v>6</v>
      </c>
      <c r="F158" t="n">
        <v>7</v>
      </c>
      <c r="G158" t="n">
        <v>0</v>
      </c>
      <c r="H158" t="n">
        <v>62.8</v>
      </c>
      <c r="I158" t="n">
        <v>32.6</v>
      </c>
      <c r="J158" t="n">
        <v>344381</v>
      </c>
      <c r="K158" t="inlineStr">
        <is>
          <t>{'id': '344381', 'marketValue': '€70.00m', 'marketValueHistory': [{'age': '18', 'date': 'Feb 4, 2016', 'clubName': 'Paris Saint-Germain', 'value': '€250k', 'clubID': '583'}, {'age': '18', 'date': 'Jul 13, 2016', 'clubName': 'Paris Saint-Germain', 'value': '€500k', 'clubID': '583'}, {'age': '19', 'date': 'Jan 16, 2017', 'clubName': 'Paris Saint-Germain', 'value': '€750k', 'clubID': '583'}, {'age': '19', 'date': 'Jun 1, 2017', 'clubName': 'Paris Saint-Germain', 'value': '€3.00m', 'clubID': '583'}, {'age': '20', 'date': 'Jan 24, 2018', 'clubName': 'Paris Saint-Germain', 'value': '€3.00m', 'clubID': '583'}, {'age': '20', 'date': 'Mar 20, 2018', 'clubName': 'Paris Saint-Germain', 'value': '€5.00m', 'clubID': '583'}, {'age': '20', 'date': 'Jun 4, 2018', 'clubName': 'Paris Saint-Germain', 'value': '€10.00m', 'clubID': '583'}, {'age': '20', 'date': 'Oct 24, 2018', 'clubName': 'Paris Saint-Germain', 'value': '€12.00m', 'clubID': '583'}, {'age': '21', 'date': 'Dec 17, 2018', 'clubName': 'Paris Saint-Germain', 'value': '€12.00m', 'clubID': '583'}, {'age': '21', 'date': 'Jun 3, 2019', 'clubName': 'Paris Saint-Germain', 'value': '€12.00m', 'clubID': '583'}, {'age': '21', 'date': 'Oct 2, 2019', 'clubName': 'RB Leipzig', 'value': '€15.00m', 'clubID': '23826'}, {'age': '22', 'date': 'Dec 17, 2019', 'clubName': 'RB Leipzig', 'value': '€22.00m', 'clubID': '23826'}, {'age': '22', 'date': 'Mar 11, 2020', 'clubName': 'RB Leipzig', 'value': '€35.00m', 'clubID': '23826'}, {'age': '22', 'date': 'Apr 8, 2020', 'clubName': 'RB Leipzig', 'value': '€28.00m', 'clubID': '23826'}, {'age': '22', 'date': 'Jul 8, 2020', 'clubName': 'RB Leipzig', 'value': '€33.00m', 'clubID': '23826'}, {'age': '23', 'date': 'Feb 10, 2021', 'clubName': 'RB Leipzig', 'value': '€33.00m', 'clubID': '23826'}, {'age': '23', 'date': 'Mar 31, 2021', 'clubName': 'RB Leipzig', 'value': '€40.00m', 'clubID': '23826'}, {'age': '23', 'date': 'Jun 9, 2021', 'clubName': 'RB Leipzig', 'value': '€43.00m', 'clubID': '23826'}, {'age': '23', 'date': 'Oct 7, 2021', 'clubName': 'RB Leipzig', 'value': '€47.00m', 'clubID': '23826'}, {'age': '24', 'date': 'Dec 22, 2021', 'clubName': 'RB Leipzig', 'value': '€55.00m', 'clubID': '23826'}, {'age': '24', 'date': 'Mar 24, 2022', 'clubName': 'RB Leipzig', 'value': '€65.00m', 'clubID': '23826'}, {'age': '24', 'date': 'Jun 9, 2022', 'clubName': 'RB Leipzig', 'value': '€80.00m', 'clubID': '23826'}, {'age': '24', 'date': 'Nov 9, 2022', 'clubName': 'RB Leipzig', 'value': '€80.00m', 'clubID': '23826'}, {'age': '25', 'date': 'Jun 22, 2023', 'clubName': 'RB Leipzig', 'value': '€80.00m', 'clubID': '23826'}, {'age': '26', 'date': 'Dec 19, 2023', 'clubName': 'Chelsea FC', 'value': '€75.00m', 'clubID': '631'}, {'age': '26', 'date': 'Mar 14, 2024', 'clubName': 'Chelsea FC', 'value': '€70.00m', 'clubID': '631'}], 'ranking': {'Worldwide': '37', 'Premier League': '18', 'Chelsea': '3', 'France': '5', 'Attacking Midfield': '7', 'Year 1997': '6'}, 'updatedAt': datetime.datetime(2024, 5, 23, 22, 18, 46, 92940)}</t>
        </is>
      </c>
      <c r="L158" t="inlineStr">
        <is>
          <t>France</t>
        </is>
      </c>
      <c r="M158" t="inlineStr">
        <is>
          <t>1997-11-14</t>
        </is>
      </c>
      <c r="N158" t="inlineStr">
        <is>
          <t>France</t>
        </is>
      </c>
      <c r="O158">
        <f>(65+80+80)/3</f>
        <v/>
      </c>
      <c r="P158">
        <f>(33+40+43+47+55)/5</f>
        <v/>
      </c>
    </row>
    <row r="159">
      <c r="A159" t="inlineStr">
        <is>
          <t>Traore</t>
        </is>
      </c>
      <c r="B159" t="inlineStr">
        <is>
          <t>Sheriff</t>
        </is>
      </c>
      <c r="C159" t="inlineStr">
        <is>
          <t>Forward</t>
        </is>
      </c>
      <c r="D159" t="n">
        <v>530</v>
      </c>
      <c r="E159" t="n">
        <v>6</v>
      </c>
      <c r="F159" t="n">
        <v>2</v>
      </c>
      <c r="G159" t="n">
        <v>1</v>
      </c>
      <c r="H159" t="n">
        <v>64.40000000000001</v>
      </c>
      <c r="I159" t="n">
        <v>34.7</v>
      </c>
      <c r="J159" t="n">
        <v>204103</v>
      </c>
      <c r="K159" t="inlineStr">
        <is>
          <t>{'marketValueHistory': [{'date': 'Jun 22, 2013', 'age': '17', 'clubName': 'FC Barcelona U19', 'clubID': '2470', 'value': '€200k'}, {'date': 'Oct 8, 2013', 'age': '17', 'clubName': 'FC Barcelona B', 'clubID': '2464', 'value': '€200k'}, {'date': 'Feb 6, 2014', 'age': '18', 'clubName': 'FC Barcelona B', 'clubID': '2464', 'value': '€1.00m'}, {'date': 'Aug 5, 2014', 'age': '18', 'clubName': 'FC Barcelona B', 'clubID': '2464', 'value': '€5.00m'}, {'date': 'Jan 8, 2015', 'age': '18', 'clubName': 'FC Barcelona B', 'clubID': '2464', 'value': '€5.00m'}, {'date': 'Aug 14, 2015', 'age': '19', 'clubName': 'Aston Villa', 'clubID': '405', 'value': '€5.00m'}, {'date': 'Oct 14, 2015', 'age': '19', 'clubName': 'Aston Villa', 'clubID': '405', 'value': '€8.00m'}, {'date': 'Feb 9, 2016', 'age': '20', 'clubName': 'Aston Villa', 'clubID': '405', 'value': '€8.00m'}, {'date': 'Sep 1, 2016', 'age': '20', 'clubName': 'Middlesbrough FC', 'clubID': '641', 'value': '€7.00m'}, {'date': 'Feb 20, 2017', 'age': '21', 'clubName': 'Middlesbrough FC', 'clubID': '641', 'value': '€8.00m'}, {'date': 'Jun 28, 2017', 'age': '21', 'clubName': 'Middlesbrough FC', 'clubID': '641', 'value': '€8.00m'}, {'date': 'Aug 13, 2018', 'age': '22', 'clubName': 'Wolverhampton Wanderers', 'clubID': '543', 'value': '€18.00m'}, {'date': 'Dec 19, 2018', 'age': '22', 'clubName': 'Wolverhampton Wanderers', 'clubID': '543', 'value': '€18.00m'}, {'date': 'Jun 13, 2019', 'age': '23', 'clubName': 'Wolverhampton Wanderers', 'clubID': '543', 'value': '€15.00m'}, {'date': 'Dec 10, 2019', 'age': '23', 'clubName': 'Wolverhampton Wanderers', 'clubID': '543', 'value': '€28.00m'}, {'date': 'Mar 9, 2020', 'age': '24', 'clubName': 'Wolverhampton Wanderers', 'clubID': '543', 'value': '€32.00m'}, {'date': 'Apr 8, 2020', 'age': '24', 'clubName': 'Wolverhampton Wanderers', 'clubID': '543', 'value': '€25.50m'}, {'date': 'Jul 30, 2020', 'age': '24', 'clubName': 'Wolverhampton Wanderers', 'clubID': '543', 'value': '€35.00m'}, {'date': 'Oct 13, 2020', 'age': '24', 'clubName': 'Wolverhampton Wanderers', 'clubID': '543', 'value': '€40.00m'}, {'date': 'Mar 18, 2021', 'age': '25', 'clubName': 'Wolverhampton Wanderers', 'clubID': '543', 'value': '€35.00m'}, {'date': 'May 31, 2021', 'age': '25', 'clubName': 'Wolverhampton Wanderers', 'clubID': '543', 'value': '€30.00m'}, {'date': 'Dec 23, 2021', 'age': '25', 'clubName': 'Wolverhampton Wanderers', 'clubID': '543', 'value': '€28.00m'}, {'date': 'Jun 3, 2022', 'age': '26', 'clubName': 'FC Barcelona', 'clubID': '131', 'value': '€20.00m'}, {'date': 'Sep 15, 2022', 'age': '26', 'clubName': 'Wolverhampton Wanderers', 'clubID': '543', 'value': '€15.00m'}, {'date': 'Nov 3, 2022', 'age': '26', 'clubName': 'Wolverhampton Wanderers', 'clubID': '543', 'value': '€15.00m'}, {'date': 'Mar 16, 2023', 'age': '27', 'clubName': 'Wolverhampton Wanderers', 'clubID': '543', 'value': '€12.00m'}, {'date': 'Jun 20, 2023', 'age': '27', 'clubName': 'Wolverhampton Wanderers', 'clubID': '543', 'value': '€10.00m'}, {'date': 'Dec 19, 2023', 'age': '27', 'clubName': 'Fulham FC', 'clubID': '931', 'value': '€9.00m'}, {'date': 'May 27, 2024', 'age': '28', 'clubName': 'Fulham FC', 'clubID': '931', 'value': '€9.00m'}, {'date': 'Dec 16, 2024', 'age': '28', 'clubName': 'Fulham FC', 'clubID': '931', 'value': '€10.00m'}, {'date': 'May 30, 2025', 'age': '29', 'clubName': 'Fulham FC', 'clubID': '931', 'value': '€9.00m'}, {'date': 'Dec 9, 2025', 'age': '29', 'clubName': 'Fulham FC', 'clubID': '931', 'value': '€8.00m'}]}</t>
        </is>
      </c>
      <c r="L159" t="inlineStr">
        <is>
          <t>Spain</t>
        </is>
      </c>
      <c r="M159" t="inlineStr">
        <is>
          <t>1996-01-25</t>
        </is>
      </c>
      <c r="N159" t="inlineStr">
        <is>
          <t>Spain</t>
        </is>
      </c>
      <c r="O159">
        <f>(20+15+15)/3</f>
        <v/>
      </c>
      <c r="P159">
        <f>(35+30+28)/3</f>
        <v/>
      </c>
    </row>
    <row r="160">
      <c r="A160" t="inlineStr">
        <is>
          <t>Burak Yilmaz</t>
        </is>
      </c>
      <c r="B160" t="inlineStr">
        <is>
          <t>Lille</t>
        </is>
      </c>
      <c r="C160" t="inlineStr">
        <is>
          <t>Forward</t>
        </is>
      </c>
      <c r="D160" t="n">
        <v>529</v>
      </c>
      <c r="E160" t="n">
        <v>7</v>
      </c>
      <c r="F160" t="n">
        <v>3</v>
      </c>
      <c r="G160" t="n">
        <v>0</v>
      </c>
      <c r="H160" t="n">
        <v>56.2</v>
      </c>
      <c r="I160" t="n">
        <v>33.2</v>
      </c>
      <c r="J160" t="n">
        <v>34987</v>
      </c>
      <c r="K160" t="inlineStr">
        <is>
          <t>{'marketValueHistory': [{'date': 'Jan 24, 2006', 'age': '20', 'clubName': 'Antalyaspor', 'clubID': '589', 'value': '€50k'}, {'date': 'Jan 12, 2007', 'age': '21', 'clubName': 'Besiktas JK', 'clubID': '114', 'value': '€500k'}, {'date': 'Jun 9, 2007', 'age': '21', 'clubName': 'Besiktas JK', 'clubID': '114', 'value': '€1.80m'}, {'date': 'Jan 11, 2008', 'age': '22', 'clubName': 'Manisaspor', 'clubID': '1267', 'value': '€1.70m'}, {'date': 'Jun 11, 2008', 'age': '22', 'clubName': 'Manisaspor', 'clubID': '1267', 'value': '€2.50m'}, {'date': 'Feb 8, 2009', 'age': '23', 'clubName': 'Fenerbahce', 'clubID': '36', 'value': '€1.80m'}, {'date': 'Jul 16, 2009', 'age': '24', 'clubName': 'Fenerbahce', 'clubID': '36', 'value': '€1.30m'}, {'date': 'Jan 11, 2010', 'age': '24', 'clubName': 'Eskisehirspor', 'clubID': '825', 'value': '€1.50m'}, {'date': 'Jun 22, 2010', 'age': '24', 'clubName': 'Trabzonspor', 'clubID': '449', 'value': '€1.50m'}, {'date': 'Jan 21, 2011', 'age': '25', 'clubName': 'Trabzonspor', 'clubID': '449', 'value': '€4.00m'}, {'date': 'Jul 1, 2011', 'age': '25', 'clubName': 'Trabzonspor', 'clubID': '449', 'value': '€7.00m'}, {'date': 'Jan 9, 2012', 'age': '26', 'clubName': 'Trabzonspor', 'clubID': '449', 'value': '€10.00m'}, {'date': 'Jun 19, 2012', 'age': '26', 'clubName': 'Trabzonspor', 'clubID': '449', 'value': '€12.00m'}, {'date': 'Jan 6, 2013', 'age': '27', 'clubName': 'Galatasaray', 'clubID': '141', 'value': '€15.00m'}, {'date': 'Jun 15, 2013', 'age': '27', 'clubName': 'Galatasaray', 'clubID': '141', 'value': '€18.00m'}, {'date': 'Jan 27, 2014', 'age': '28', 'clubName': 'Galatasaray', 'clubID': '141', 'value': '€16.00m'}, {'date': 'Aug 11, 2014', 'age': '29', 'clubName': 'Galatasaray', 'clubID': '141', 'value': '€14.00m'}, {'date': 'Jan 26, 2015', 'age': '29', 'clubName': 'Galatasaray', 'clubID': '141', 'value': '€12.00m'}, {'date': 'Jun 25, 2015', 'age': '29', 'clubName': 'Galatasaray', 'clubID': '141', 'value': '€12.00m'}, {'date': 'Oct 8, 2015', 'age': '30', 'clubName': 'Galatasaray', 'clubID': '141', 'value': '€10.00m'}, {'date': 'Jan 18, 2016', 'age': '30', 'clubName': 'Galatasaray', 'clubID': '141', 'value': '€7.00m'}, {'date': 'Feb 27, 2016', 'age': '30', 'clubName': 'Beijing Guoan', 'clubID': '3176', 'value': '€5.50m'}, {'date': 'Jun 1, 2016', 'age': '30', 'clubName': 'Beijing Guoan', 'clubID': '3176', 'value': '€5.00m'}, {'date': 'Jun 20, 2016', 'age': '30', 'clubName': 'Beijing Guoan', 'clubID': '3176', 'value': '€5.00m'}, {'date': 'Nov 20, 2016', 'age': '31', 'clubName': 'Beijing Guoan', 'clubID': '3176', 'value': '€5.50m'}, {'date': 'Mar 5, 2017', 'age': '31', 'clubName': 'Beijing Guoan', 'clubID': '3176', 'value': '€5.50m'}, {'date': 'Jun 19, 2017', 'age': '31', 'clubName': 'Beijing Guoan', 'clubID': '3176', 'value': '€5.20m'}, {'date': 'Oct 6, 2017', 'age': '32', 'clubName': 'Trabzonspor', 'clubID': '449', 'value': '€3.50m'}, {'date': 'Feb 12, 2018', 'age': '32', 'clubName': 'Trabzonspor', 'clubID': '449', 'value': '€3.50m'}, {'date': 'May 29, 2018', 'age': '32', 'clubName': 'Trabzonspor', 'clubID': '449', 'value': '€3.50m'}, {'date': 'Jan 4, 2019', 'age': '33', 'clubName': 'Besiktas JK', 'clubID': '114', 'value': '€2.00m'}, {'date': 'Jun 4, 2019', 'age': '33', 'clubName': 'Besiktas JK', 'clubID': '114', 'value': '€2.00m'}, {'date': 'Jan 3, 2020', 'age': '34', 'clubName': 'Besiktas JK', 'clubID': '114', 'value': '€1.80m'}, {'date': 'Apr 8, 2020', 'age': '34', 'clubName': 'Besiktas JK', 'clubID': '114', 'value': '€1.40m'}, {'date': 'Aug 3, 2020', 'age': '35', 'clubName': 'LOSC Lille', 'clubID': '1082', 'value': '€1.50m'}, {'date': 'Oct 15, 2020', 'age': '35', 'clubName': 'LOSC Lille', 'clubID': '1082', 'value': '€1.50m'}, {'date': 'Jan 7, 2021', 'age': '35', 'clubName': 'LOSC Lille', 'clubID': '1082', 'value': '€2.00m'}, {'date': 'May 25, 2021', 'age': '35', 'clubName': 'LOSC Lille', 'clubID': '1082', 'value': '€2.80m'}, {'date': 'Dec 16, 2021', 'age': '36', 'clubName': 'LOSC Lille', 'clubID': '1082', 'value': '€2.30m'}, {'date': 'May 30, 2022', 'age': '36', 'clubName': 'LOSC Lille', 'clubID': '1082', 'value': '€1.50m'}, {'date': 'Sep 14, 2022', 'age': '37', 'clubName': 'Fortuna Sittard', 'clubID': '385', 'value': '€1.00m'}, {'date': 'Nov 11, 2022', 'age': '37', 'clubName': 'Fortuna Sittard', 'clubID': '385', 'value': '€1.00m'}, {'date': 'Jun 23, 2023', 'age': '37', 'clubName': 'Fortuna Sittard', 'clubID': '385', 'value': '€800k'}, {'date': 'Jul 1, 2023', 'age': '37', 'clubName': 'Retired', 'clubID': '123', 'value': '-'}]}</t>
        </is>
      </c>
      <c r="L160" t="inlineStr">
        <is>
          <t>Turkey</t>
        </is>
      </c>
      <c r="M160" t="inlineStr">
        <is>
          <t>1985-07-15</t>
        </is>
      </c>
      <c r="N160" t="inlineStr">
        <is>
          <t>Turkey</t>
        </is>
      </c>
      <c r="O160">
        <f>(1.5+1+1)/3</f>
        <v/>
      </c>
      <c r="P160">
        <f>(2+2.8+2.3)/3</f>
        <v/>
      </c>
    </row>
    <row r="161">
      <c r="A161" t="inlineStr">
        <is>
          <t>Pedro Porro</t>
        </is>
      </c>
      <c r="B161" t="inlineStr">
        <is>
          <t>Sporting CP</t>
        </is>
      </c>
      <c r="C161" t="inlineStr">
        <is>
          <t>Defender</t>
        </is>
      </c>
      <c r="D161" t="n">
        <v>529</v>
      </c>
      <c r="E161" t="n">
        <v>7</v>
      </c>
      <c r="F161" t="n">
        <v>1</v>
      </c>
      <c r="G161" t="n">
        <v>0</v>
      </c>
      <c r="H161" t="n">
        <v>60.9</v>
      </c>
      <c r="I161" t="n">
        <v>33.3</v>
      </c>
      <c r="J161" t="n">
        <v>553875</v>
      </c>
      <c r="K161" t="inlineStr">
        <is>
          <t>{'id': '553875', 'marketValue': '€45.00m', 'marketValueHistory': [{'age': '18', 'date': 'Jul 5, 2018', 'clubName': 'CF Peralada', 'value': '€1.00m', 'clubID': '18446'}, {'age': '19', 'date': 'Oct 31, 2018', 'clubName': 'Girona FC', 'value': '€5.00m', 'clubID': '12321'}, {'age': '19', 'date': 'Dec 21, 2018', 'clubName': 'Girona FC', 'value': '€10.00m', 'clubID': '12321'}, {'age': '19', 'date': 'Jun 11, 2019', 'clubName': 'Girona FC', 'value': '€10.00m', 'clubID': '12321'}, {'age': '20', 'date': 'Dec 20, 2019', 'clubName': 'Real Valladolid CF', 'value': '€10.00m', 'clubID': '366'}, {'age': '20', 'date': 'Apr 8, 2020', 'clubName': 'Real Valladolid CF', 'value': '€9.00m', 'clubID': '366'}, {'age': '21', 'date': 'Oct 22, 2020', 'clubName': 'Sporting CP', 'value': '€9.00m', 'clubID': '336'}, {'age': '21', 'date': 'Jan 28, 2021', 'clubName': 'Sporting CP', 'value': '€11.00m', 'clubID': '336'}, {'age': '21', 'date': 'Mar 25, 2021', 'clubName': 'Sporting CP', 'value': '€17.00m', 'clubID': '336'}, {'age': '21', 'date': 'May 31, 2021', 'clubName': 'Sporting CP', 'value': '€20.00m', 'clubID': '336'}, {'age': '22', 'date': 'Dec 27, 2021', 'clubName': 'Sporting CP', 'value': '€25.00m', 'clubID': '336'}, {'age': '22', 'date': 'May 31, 2022', 'clubName': 'Sporting CP', 'value': '€25.00m', 'clubID': '336'}, {'age': '23', 'date': 'Nov 1, 2022', 'clubName': 'Sporting CP', 'value': '€25.00m', 'clubID': '336'}, {'age': '23', 'date': 'Mar 16, 2023', 'clubName': 'Tottenham Hotspur', 'value': '€35.00m', 'clubID': '148'}, {'age': '23', 'date': 'Jun 20, 2023', 'clubName': 'Tottenham Hotspur', 'value': '€40.00m', 'clubID': '148'}, {'age': '24', 'date': 'Dec 19, 2023', 'clubName': 'Tottenham Hotspur', 'value': '€45.00m', 'clubID': '148'}], 'ranking': {'Worldwide': '118', 'Premier League': '61', 'Tottenham': '7', 'Spain': '10', 'Right-Back': '6', 'Year 1999': '13'}, 'updatedAt': datetime.datetime(2024, 5, 23, 22, 22, 34, 146722)}</t>
        </is>
      </c>
      <c r="L161" t="inlineStr">
        <is>
          <t>Spain</t>
        </is>
      </c>
      <c r="M161" t="inlineStr">
        <is>
          <t>1999-09-13</t>
        </is>
      </c>
      <c r="N161" t="inlineStr">
        <is>
          <t>16</t>
        </is>
      </c>
      <c r="O161">
        <f>(25+25)/2</f>
        <v/>
      </c>
      <c r="P161">
        <f>(11+17+20+25)/4</f>
        <v/>
      </c>
    </row>
    <row r="162">
      <c r="A162" t="inlineStr">
        <is>
          <t>Lang</t>
        </is>
      </c>
      <c r="B162" t="inlineStr">
        <is>
          <t>Club Brugge</t>
        </is>
      </c>
      <c r="C162" t="inlineStr">
        <is>
          <t>Forward</t>
        </is>
      </c>
      <c r="D162" t="n">
        <v>528</v>
      </c>
      <c r="E162" t="n">
        <v>6</v>
      </c>
      <c r="F162" t="n">
        <v>0</v>
      </c>
      <c r="G162" t="n">
        <v>1</v>
      </c>
      <c r="H162" t="n">
        <v>68.90000000000001</v>
      </c>
      <c r="I162" t="n">
        <v>33.2</v>
      </c>
      <c r="J162" t="n">
        <v>583189</v>
      </c>
      <c r="K162" t="inlineStr">
        <is>
          <t>{'marketValueHistory': [{'date': 'Jun 8, 2021', 'age': '19', 'clubName': 'Manchester United U23', 'clubID': '9251', 'value': '€800k'}, {'date': 'Dec 23, 2021', 'age': '19', 'clubName': 'Manchester United U23', 'clubID': '9251', 'value': '€4.00m'}, {'date': 'Mar 29, 2022', 'age': '19', 'clubName': 'Manchester United', 'clubID': '985', 'value': '€15.00m'}, {'date': 'Jun 15, 2022', 'age': '20', 'clubName': 'Manchester United', 'clubID': '985', 'value': '€20.00m'}, {'date': 'Sep 15, 2022', 'age': '20', 'clubName': 'Manchester United', 'clubID': '985', 'value': '€25.00m'}, {'date': 'Nov 3, 2022', 'age': '20', 'clubName': 'Manchester United', 'clubID': '985', 'value': '€25.00m'}, {'date': 'Jun 20, 2023', 'age': '21', 'clubName': 'Manchester United', 'clubID': '985', 'value': '€18.00m'}, {'date': 'Dec 19, 2023', 'age': '21', 'clubName': 'Nottingham Forest', 'clubID': '703', 'value': '€18.00m'}, {'date': 'Mar 14, 2024', 'age': '21', 'clubName': 'Nottingham Forest', 'clubID': '703', 'value': '€22.00m'}, {'date': 'May 27, 2024', 'age': '22', 'clubName': 'Nottingham Forest', 'clubID': '703', 'value': '€22.00m'}, {'date': 'Oct 1, 2024', 'age': '22', 'clubName': 'Nottingham Forest', 'clubID': '703', 'value': '€25.00m'}, {'date': 'Dec 16, 2024', 'age': '22', 'clubName': 'Nottingham Forest', 'clubID': '703', 'value': '€25.00m'}, {'date': 'Mar 18, 2025', 'age': '22', 'clubName': 'Nottingham Forest', 'clubID': '703', 'value': '€35.00m'}, {'date': 'May 30, 2025', 'age': '23', 'clubName': 'Nottingham Forest', 'clubID': '703', 'value': '€42.00m'}, {'date': 'Oct 17, 2025', 'age': '23', 'clubName': 'Newcastle United', 'clubID': '762', 'value': '€55.00m'}, {'date': 'Dec 9, 2025', 'age': '23', 'clubName': 'Newcastle United', 'clubID': '762', 'value': '€50.00m'}, {'date': 'Mar 9, 2026', 'age': '23', 'clubName': 'Newcastle United', 'clubID': '762', 'value': '€40.00m'}]}</t>
        </is>
      </c>
      <c r="L162" t="inlineStr">
        <is>
          <t>Sweden</t>
        </is>
      </c>
      <c r="M162" t="inlineStr">
        <is>
          <t>2002-04-27</t>
        </is>
      </c>
      <c r="N162" t="inlineStr">
        <is>
          <t>28</t>
        </is>
      </c>
      <c r="O162">
        <f>(15+20+25+25)/4</f>
        <v/>
      </c>
      <c r="P162">
        <f>(0.8+4)/2</f>
        <v/>
      </c>
    </row>
    <row r="163">
      <c r="A163" t="inlineStr">
        <is>
          <t>Clinton Mata</t>
        </is>
      </c>
      <c r="B163" t="inlineStr">
        <is>
          <t>Club Brugge</t>
        </is>
      </c>
      <c r="C163" t="inlineStr">
        <is>
          <t>Defender</t>
        </is>
      </c>
      <c r="D163" t="n">
        <v>528</v>
      </c>
      <c r="E163" t="n">
        <v>6</v>
      </c>
      <c r="F163" t="n">
        <v>0</v>
      </c>
      <c r="G163" t="n">
        <v>0</v>
      </c>
      <c r="H163" t="n">
        <v>59.9</v>
      </c>
      <c r="I163" t="n">
        <v>32.7</v>
      </c>
      <c r="J163" t="n">
        <v>187718</v>
      </c>
      <c r="K163" t="inlineStr">
        <is>
          <t>{'id': '187718', 'marketValue': '€4.00m', 'marketValueHistory': [{'age': '19', 'date': 'Feb 5, 2012', 'clubName': 'KAS Eupen', 'value': '€25k', 'clubID': '1245'}, {'age': '19', 'date': 'Mar 26, 2012', 'clubName': 'KAS Eupen', 'value': '€50k', 'clubID': '1245'}, {'age': '19', 'date': 'Jun 24, 2012', 'clubName': 'KAS Eupen', 'value': '€100k', 'clubID': '1245'}, {'age': '20', 'date': 'Jan 1, 2013', 'clubName': 'KAS Eupen', 'value': '€150k', 'clubID': '1245'}, {'age': '22', 'date': 'Jan 7, 2015', 'clubName': 'R Charleroi SC', 'value': '€350k', 'clubID': '172'}, {'age': '22', 'date': 'Jun 24, 2015', 'clubName': 'R Charleroi SC', 'value': '€500k', 'clubID': '172'}, {'age': '23', 'date': 'Feb 7, 2016', 'clubName': 'R Charleroi SC', 'value': '€500k', 'clubID': '172'}, {'age': '23', 'date': 'Apr 14, 2016', 'clubName': 'R Charleroi SC', 'value': '€700k', 'clubID': '172'}, {'age': '23', 'date': 'Jul 15, 2016', 'clubName': 'R Charleroi SC', 'value': '€1.00m', 'clubID': '172'}, {'age': '23', 'date': 'Oct 20, 2016', 'clubName': 'R Charleroi SC', 'value': '€1.50m', 'clubID': '172'}, {'age': '24', 'date': 'Jan 21, 2017', 'clubName': 'R Charleroi SC', 'value': '€3.00m', 'clubID': '172'}, {'age': '24', 'date': 'Jun 6, 2017', 'clubName': 'R Charleroi SC', 'value': '€3.00m', 'clubID': '172'}, {'age': '25', 'date': 'Jan 9, 2018', 'clubName': 'KRC Genk', 'value': '€2.50m', 'clubID': '1184'}, {'age': '25', 'date': 'Jun 3, 2018', 'clubName': 'KRC Genk', 'value': '€2.50m', 'clubID': '1184'}, {'age': '26', 'date': 'Dec 27, 2018', 'clubName': 'Club Brugge KV', 'value': '€3.00m', 'clubID': '2282'}, {'age': '26', 'date': 'Jun 10, 2019', 'clubName': 'Club Brugge KV', 'value': '€4.50m', 'clubID': '2282'}, {'age': '27', 'date': 'Dec 13, 2019', 'clubName': 'Club Brugge KV', 'value': '€5.50m', 'clubID': '2282'}, {'age': '27', 'date': 'Mar 30, 2020', 'clubName': 'Club Brugge KV', 'value': '€8.00m', 'clubID': '2282'}, {'age': '27', 'date': 'Apr 8, 2020', 'clubName': 'Club Brugge KV', 'value': '€6.50m', 'clubID': '2282'}, {'age': '27', 'date': 'Aug 6, 2020', 'clubName': 'Club Brugge KV', 'value': '€8.50m', 'clubID': '2282'}, {'age': '27', 'date': 'Oct 16, 2020', 'clubName': 'Club Brugge KV', 'value': '€8.50m', 'clubID': '2282'}, {'age': '28', 'date': 'Mar 17, 2021', 'clubName': 'Club Brugge KV', 'value': '€10.00m', 'clubID': '2282'}, {'age': '28', 'date': 'Jun 7, 2021', 'clubName': 'Club Brugge KV', 'value': '€10.00m', 'clubID': '2282'}, {'age': '29', 'date': 'Jan 6, 2022', 'clubName': 'Club Brugge KV', 'value': '€8.00m', 'clubID': '2282'}, {'age': '29', 'date': 'Apr 12, 2022', 'clubName': 'Club Brugge KV', 'value': '€8.00m', 'clubID': '2282'}, {'age': '29', 'date': 'Nov 4, 2022', 'clubName': 'Club Brugge KV', 'value': '€7.00m', 'clubID': '2282'}, {'age': '30', 'date': 'Mar 22, 2023', 'clubName': 'Club Brugge KV', 'value': '€5.00m', 'clubID': '2282'}, {'age': '30', 'date': 'Jun 9, 2023', 'clubName': 'Club Brugge KV', 'value': '€4.50m', 'clubID': '2282'}, {'age': '31', 'date': 'Dec 18, 2023', 'clubName': 'Olympique Lyon', 'value': '€4.00m', 'clubID': '1041'}], 'ranking': {'Worldwide': '2.272', 'Ligue 1': '215', 'Olympique Lyon': '20', 'Angola': '5', 'Right-Back': '135', 'Year 1992': '82'}, 'updatedAt': datetime.datetime(2024, 5, 23, 22, 29, 44, 933759)}</t>
        </is>
      </c>
      <c r="L163" t="inlineStr">
        <is>
          <t>Belgium</t>
        </is>
      </c>
      <c r="M163" t="inlineStr">
        <is>
          <t>1992-11-07</t>
        </is>
      </c>
      <c r="N163" t="inlineStr">
        <is>
          <t>Angola</t>
        </is>
      </c>
      <c r="O163">
        <f>(8+8+7)/3</f>
        <v/>
      </c>
      <c r="P163">
        <f>(10+10)/2</f>
        <v/>
      </c>
    </row>
    <row r="164">
      <c r="A164" t="inlineStr">
        <is>
          <t>Freuler</t>
        </is>
      </c>
      <c r="B164" t="inlineStr">
        <is>
          <t>Atalanta</t>
        </is>
      </c>
      <c r="C164" t="inlineStr">
        <is>
          <t>Midfielder</t>
        </is>
      </c>
      <c r="D164" t="n">
        <v>526</v>
      </c>
      <c r="E164" t="n">
        <v>6</v>
      </c>
      <c r="F164" t="n">
        <v>1</v>
      </c>
      <c r="G164" t="n">
        <v>1</v>
      </c>
      <c r="H164" t="n">
        <v>71.59999999999999</v>
      </c>
      <c r="I164" t="n">
        <v>31</v>
      </c>
      <c r="J164" t="n">
        <v>148252</v>
      </c>
      <c r="K164" t="inlineStr">
        <is>
          <t>{'marketValueHistory': [{'date': '21/05/2010', 'age': '18', 'clubName': 'FC Winterthur U21', 'clubID': '14156', 'value': '€50k'}, {'date': '21/06/2012', 'age': '20', 'clubName': 'FC Winterthur', 'clubID': '242', 'value': '€200k'}, {'date': '28/03/2013', 'age': '20', 'clubName': 'FC Winterthur', 'clubID': '242', 'value': '€250k'}, {'date': '11/07/2013', 'age': '21', 'clubName': 'FC Winterthur', 'clubID': '242', 'value': '€275k'}, {'date': '14/02/2014', 'age': '21', 'clubName': 'FC Winterthur', 'clubID': '242', 'value': '€450k'}, {'date': '12/09/2014', 'age': '22', 'clubName': 'FC Luzern', 'clubID': '434', 'value': '€600k'}, {'date': '15/12/2014', 'age': '22', 'clubName': 'FC Luzern', 'clubID': '434', 'value': '€1.00m'}, {'date': '18/06/2015', 'age': '23', 'clubName': 'FC Luzern', 'clubID': '434', 'value': '€1.75m'}, {'date': '18/12/2015', 'age': '23', 'clubName': 'FC Luzern', 'clubID': '434', 'value': '€2.00m'}, {'date': '15/07/2016', 'age': '24', 'clubName': 'Atalanta BC', 'clubID': '800', 'value': '€2.00m'}, {'date': '02/01/2017', 'age': '24', 'clubName': 'Atalanta BC', 'clubID': '800', 'value': '€4.00m'}, {'date': '28/03/2017', 'age': '24', 'clubName': 'Atalanta BC', 'clubID': '800', 'value': '€5.50m'}, {'date': '08/06/2017', 'age': '25', 'clubName': 'Atalanta BC', 'clubID': '800', 'value': '€7.50m'}, {'date': '29/12/2017', 'age': '25', 'clubName': 'Atalanta BC', 'clubID': '800', 'value': '€10.00m'}, {'date': '07/06/2018', 'age': '26', 'clubName': 'Atalanta BC', 'clubID': '800', 'value': '€14.00m'}, {'date': '20/12/2018', 'age': '26', 'clubName': 'Atalanta BC', 'clubID': '800', 'value': '€16.00m'}, {'date': '06/06/2019', 'age': '27', 'clubName': 'Atalanta BC', 'clubID': '800', 'value': '€20.00m'}, {'date': '12/12/2019', 'age': '27', 'clubName': 'Atalanta BC', 'clubID': '800', 'value': '€20.00m'}, {'date': '03/03/2020', 'age': '27', 'clubName': 'Atalanta BC', 'clubID': '800', 'value': '€25.00m'}, {'date': '08/04/2020', 'age': '27', 'clubName': 'Atalanta BC', 'clubID': '800', 'value': '€20.00m'}, {'date': '25/08/2020', 'age': '28', 'clubName': 'Atalanta BC', 'clubID': '800', 'value': '€23.00m'}, {'date': '29/12/2020', 'age': '28', 'clubName': 'Atalanta BC', 'clubID': '800', 'value': '€23.00m'}, {'date': '25/05/2021', 'age': '29', 'clubName': 'Atalanta BC', 'clubID': '800', 'value': '€25.00m'}, {'date': '28/12/2021', 'age': '29', 'clubName': 'Atalanta BC', 'clubID': '800', 'value': '€24.00m'}, {'date': '07/06/2022', 'age': '30', 'clubName': 'Atalanta BC', 'clubID': '800', 'value': '€20.00m'}, {'date': '15/09/2022', 'age': '30', 'clubName': 'Nottingham Forest', 'clubID': '703', 'value': '€13.00m'}, {'date': '03/11/2022', 'age': '30', 'clubName': 'Nottingham Forest', 'clubID': '703', 'value': '€13.00m'}, {'date': '16/03/2023', 'age': '30', 'clubName': 'Nottingham Forest', 'clubID': '703', 'value': '€10.00m'}, {'date': '20/06/2023', 'age': '31', 'clubName': 'Nottingham Forest', 'clubID': '703', 'value': '€8.00m'}, {'date': '11/10/2023', 'age': '31', 'clubName': 'Bologna FC 1909', 'clubID': '1025', 'value': '€6.50m'}, {'date': '20/12/2023', 'age': '31', 'clubName': 'Bologna FC 1909', 'clubID': '1025', 'value': '€6.50m'}, {'date': '05/06/2024', 'age': '32', 'clubName': 'Bologna FC 1909', 'clubID': '1025', 'value': '€6.50m'}, {'date': '18/12/2024', 'age': '32', 'clubName': 'Bologna FC 1909', 'clubID': '1025', 'value': '€6.50m'}, {'date': '17/06/2025', 'age': '33', 'clubName': 'Bologna FC 1909', 'clubID': '1025', 'value': '€5.00m'}, {'date': '23/12/2025', 'age': '33', 'clubName': 'Bologna FC 1909', 'clubID': '1025', 'value': '€4.00m'}]}</t>
        </is>
      </c>
      <c r="L164" t="inlineStr">
        <is>
          <t>Switzerland</t>
        </is>
      </c>
      <c r="M164" t="inlineStr">
        <is>
          <t>1992-04-15</t>
        </is>
      </c>
      <c r="N164" t="inlineStr">
        <is>
          <t>Switzerland</t>
        </is>
      </c>
      <c r="O164">
        <f>(20+13+13)/3</f>
        <v/>
      </c>
      <c r="P164">
        <f>(25+24)/2</f>
        <v/>
      </c>
    </row>
    <row r="165">
      <c r="A165" t="inlineStr">
        <is>
          <t>Depay</t>
        </is>
      </c>
      <c r="B165" t="inlineStr">
        <is>
          <t>Barcelona</t>
        </is>
      </c>
      <c r="C165" t="inlineStr">
        <is>
          <t>Forward</t>
        </is>
      </c>
      <c r="D165" t="n">
        <v>525</v>
      </c>
      <c r="E165" t="n">
        <v>6</v>
      </c>
      <c r="F165" t="n">
        <v>0</v>
      </c>
      <c r="G165" t="n">
        <v>0</v>
      </c>
      <c r="H165" t="n">
        <v>64.40000000000001</v>
      </c>
      <c r="I165" t="n">
        <v>32.3</v>
      </c>
      <c r="J165" t="n">
        <v>167850</v>
      </c>
      <c r="K165" t="inlineStr">
        <is>
          <t>{'marketValueHistory': [{'date': '29/09/2011', 'age': '17', 'clubName': 'PSV Eindhoven U19', 'clubID': '32801', 'value': '€100k'}, {'date': '11/07/2012', 'age': '18', 'clubName': 'PSV Eindhoven', 'clubID': '383', 'value': '€1.00m'}, {'date': '11/01/2013', 'age': '18', 'clubName': 'PSV Eindhoven', 'clubID': '383', 'value': '€1.50m'}, {'date': '28/05/2013', 'age': '19', 'clubName': 'PSV Eindhoven', 'clubID': '383', 'value': '€2.50m'}, {'date': '11/02/2014', 'age': '19', 'clubName': 'PSV Eindhoven', 'clubID': '383', 'value': '€5.00m'}, {'date': '11/08/2014', 'age': '20', 'clubName': 'PSV Eindhoven', 'clubID': '383', 'value': '€12.00m'}, {'date': '16/02/2015', 'age': '21', 'clubName': 'PSV Eindhoven', 'clubID': '383', 'value': '€15.00m'}, {'date': '04/05/2015', 'age': '21', 'clubName': 'PSV Eindhoven', 'clubID': '383', 'value': '€20.00m'}, {'date': '01/07/2015', 'age': '21', 'clubName': 'Manchester United', 'clubID': '985', 'value': '€28.00m'}, {'date': '09/02/2016', 'age': '21', 'clubName': 'Manchester United', 'clubID': '985', 'value': '€25.00m'}, {'date': '01/08/2016', 'age': '22', 'clubName': 'Manchester United', 'clubID': '985', 'value': '€25.00m'}, {'date': '01/06/2017', 'age': '23', 'clubName': 'Olympique Lyon', 'clubID': '1041', 'value': '€19.00m'}, {'date': '24/01/2018', 'age': '23', 'clubName': 'Olympique Lyon', 'clubID': '1041', 'value': '€28.00m'}, {'date': '04/06/2018', 'age': '24', 'clubName': 'Olympique Lyon', 'clubID': '1041', 'value': '€45.00m'}, {'date': '17/12/2018', 'age': '24', 'clubName': 'Olympique Lyon', 'clubID': '1041', 'value': '€50.00m'}, {'date': '03/06/2019', 'age': '25', 'clubName': 'Olympique Lyon', 'clubID': '1041', 'value': '€45.00m'}, {'date': '19/12/2019', 'age': '25', 'clubName': 'Olympique Lyon', 'clubID': '1041', 'value': '€55.00m'}, {'date': '08/04/2020', 'age': '26', 'clubName': 'Olympique Lyon', 'clubID': '1041', 'value': '€44.00m'}, {'date': '15/10/2020', 'age': '26', 'clubName': 'Olympique Lyon', 'clubID': '1041', 'value': '€45.00m'}, {'date': '27/05/2021', 'age': '27', 'clubName': 'Olympique Lyon', 'clubID': '1041', 'value': '€45.00m'}, {'date': '30/12/2021', 'age': '27', 'clubName': 'FC Barcelona', 'clubID': '131', 'value': '€45.00m'}, {'date': '03/06/2022', 'age': '28', 'clubName': 'FC Barcelona', 'clubID': '131', 'value': '€35.00m'}, {'date': '23/09/2022', 'age': '28', 'clubName': 'FC Barcelona', 'clubID': '131', 'value': '€25.00m'}, {'date': '07/11/2022', 'age': '28', 'clubName': 'FC Barcelona', 'clubID': '131', 'value': '€20.00m'}, {'date': '23/03/2023', 'age': '29', 'clubName': 'Atlético de Madrid', 'clubID': '13', 'value': '€16.00m'}, {'date': '13/06/2023', 'age': '29', 'clubName': 'Atlético de Madrid', 'clubID': '13', 'value': '€14.00m'}, {'date': '22/12/2023', 'age': '29', 'clubName': 'Atlético de Madrid', 'clubID': '13', 'value': '€12.00m'}, {'date': '07/06/2024', 'age': '30', 'clubName': 'Atlético de Madrid', 'clubID': '13', 'value': '€10.00m'}, {'date': '09/12/2024', 'age': '30', 'clubName': 'Sport Club Corinthians Paulista', 'clubID': '199', 'value': '€10.00m'}, {'date': '06/06/2025', 'age': '31', 'clubName': 'Sport Club Corinthians Paulista', 'clubID': '199', 'value': '€10.00m'}, {'date': '05/09/2025', 'age': '31', 'clubName': 'Sport Club Corinthians Paulista', 'clubID': '199', 'value': '€9.00m'}, {'date': '10/12/2025', 'age': '31', 'clubName': 'Sport Club Corinthians Paulista', 'clubID': '199', 'value': '€8.00m'}]}</t>
        </is>
      </c>
      <c r="L165" t="inlineStr">
        <is>
          <t>Ghana</t>
        </is>
      </c>
      <c r="M165" t="inlineStr">
        <is>
          <t>1994-02-13</t>
        </is>
      </c>
      <c r="N165" t="inlineStr">
        <is>
          <t>108</t>
        </is>
      </c>
      <c r="O165">
        <f>(35+25+20)/3</f>
        <v/>
      </c>
      <c r="P165">
        <f>(45+45)/2</f>
        <v/>
      </c>
    </row>
    <row r="166">
      <c r="A166" t="inlineStr">
        <is>
          <t>Gerard Moreno</t>
        </is>
      </c>
      <c r="B166" t="inlineStr">
        <is>
          <t>Villarreal</t>
        </is>
      </c>
      <c r="C166" t="inlineStr">
        <is>
          <t>Forward</t>
        </is>
      </c>
      <c r="D166" t="n">
        <v>524</v>
      </c>
      <c r="E166" t="n">
        <v>7</v>
      </c>
      <c r="F166" t="n">
        <v>2</v>
      </c>
      <c r="G166" t="n">
        <v>4</v>
      </c>
      <c r="H166" t="n">
        <v>65.7</v>
      </c>
      <c r="I166" t="n">
        <v>31.7</v>
      </c>
      <c r="J166" t="n">
        <v>177467</v>
      </c>
      <c r="K166" t="inlineStr">
        <is>
          <t>{'marketValueHistory': [{'date': '10/05/2013', 'age': '21', 'clubName': 'Villarreal CF', 'clubID': '1050', 'value': '€500k'}, {'date': '07/08/2013', 'age': '21', 'clubName': 'RCD Mallorca', 'clubID': '237', 'value': '€500k'}, {'date': '08/10/2013', 'age': '21', 'clubName': 'RCD Mallorca', 'clubID': '237', 'value': '€1.00m'}, {'date': '06/02/2014', 'age': '21', 'clubName': 'RCD Mallorca', 'clubID': '237', 'value': '€2.00m'}, {'date': '20/07/2014', 'age': '22', 'clubName': 'Villarreal CF', 'clubID': '1050', 'value': '€2.00m'}, {'date': '23/01/2015', 'age': '22', 'clubName': 'Villarreal CF', 'clubID': '1050', 'value': '€3.00m'}, {'date': '01/07/2015', 'age': '23', 'clubName': 'Villarreal CF', 'clubID': '1050', 'value': '€4.00m'}, {'date': '22/02/2016', 'age': '23', 'clubName': 'RCD Espanyol Barcelona', 'clubID': '714', 'value': '€3.00m'}, {'date': '15/07/2016', 'age': '24', 'clubName': 'RCD Espanyol Barcelona', 'clubID': '714', 'value': '€3.50m'}, {'date': '24/01/2017', 'age': '24', 'clubName': 'RCD Espanyol Barcelona', 'clubID': '714', 'value': '€6.00m'}, {'date': '05/06/2017', 'age': '25', 'clubName': 'RCD Espanyol Barcelona', 'clubID': '714', 'value': '€8.00m'}, {'date': '01/01/2018', 'age': '25', 'clubName': 'RCD Espanyol Barcelona', 'clubID': '714', 'value': '€12.00m'}, {'date': '22/03/2018', 'age': '25', 'clubName': 'RCD Espanyol Barcelona', 'clubID': '714', 'value': '€20.00m'}, {'date': '30/05/2018', 'age': '26', 'clubName': 'RCD Espanyol Barcelona', 'clubID': '714', 'value': '€20.00m'}, {'date': '21/12/2018', 'age': '26', 'clubName': 'Villarreal CF', 'clubID': '1050', 'value': '€20.00m'}, {'date': '28/02/2019', 'age': '26', 'clubName': 'Villarreal CF', 'clubID': '1050', 'value': '€17.50m'}, {'date': '11/06/2019', 'age': '27', 'clubName': 'Villarreal CF', 'clubID': '1050', 'value': '€17.50m'}, {'date': '20/12/2019', 'age': '27', 'clubName': 'Villarreal CF', 'clubID': '1050', 'value': '€20.00m'}, {'date': '08/04/2020', 'age': '28', 'clubName': 'Villarreal CF', 'clubID': '1050', 'value': '€16.00m'}, {'date': '23/07/2020', 'age': '28', 'clubName': 'Villarreal CF', 'clubID': '1050', 'value': '€30.00m'}, {'date': '08/10/2020', 'age': '28', 'clubName': 'Villarreal CF', 'clubID': '1050', 'value': '€30.00m'}, {'date': '05/01/2021', 'age': '28', 'clubName': 'Villarreal CF', 'clubID': '1050', 'value': '€30.00m'}, {'date': '19/03/2021', 'age': '28', 'clubName': 'Villarreal CF', 'clubID': '1050', 'value': '€35.00m'}, {'date': '31/05/2021', 'age': '29', 'clubName': 'Villarreal CF', 'clubID': '1050', 'value': '€40.00m'}, {'date': '30/12/2021', 'age': '29', 'clubName': 'Villarreal CF', 'clubID': '1050', 'value': '€40.00m'}, {'date': '03/06/2022', 'age': '30', 'clubName': 'Villarreal CF', 'clubID': '1050', 'value': '€40.00m'}, {'date': '07/11/2022', 'age': '30', 'clubName': 'Villarreal CF', 'clubID': '1050', 'value': '€35.00m'}, {'date': '23/03/2023', 'age': '30', 'clubName': 'Villarreal CF', 'clubID': '1050', 'value': '€30.00m'}, {'date': '13/06/2023', 'age': '31', 'clubName': 'Villarreal CF', 'clubID': '1050', 'value': '€20.00m'}, {'date': '13/10/2023', 'age': '31', 'clubName': 'Villarreal CF', 'clubID': '1050', 'value': '€15.00m'}, {'date': '22/12/2023', 'age': '31', 'clubName': 'Villarreal CF', 'clubID': '1050', 'value': '€15.00m'}, {'date': '21/03/2024', 'age': '31', 'clubName': 'Villarreal CF', 'clubID': '1050', 'value': '€14.00m'}, {'date': '07/06/2024', 'age': '32', 'clubName': 'Villarreal CF', 'clubID': '1050', 'value': '€10.00m'}, {'date': '27/12/2024', 'age': '32', 'clubName': 'Villarreal CF', 'clubID': '1050', 'value': '€5.00m'}, {'date': '09/06/2025', 'age': '33', 'clubName': 'Villarreal CF', 'clubID': '1050', 'value': '€4.00m'}, {'date': '02/10/2025', 'age': '33', 'clubName': 'Villarreal CF', 'clubID': '1050', 'value': '€3.00m'}, {'date': '12/12/2025', 'age': '33', 'clubName': 'Villarreal CF', 'clubID': '1050', 'value': '€2.80m'}]}</t>
        </is>
      </c>
      <c r="L166" t="inlineStr">
        <is>
          <t>Spain</t>
        </is>
      </c>
      <c r="M166" t="inlineStr">
        <is>
          <t>1992-04-07</t>
        </is>
      </c>
      <c r="N166" t="inlineStr">
        <is>
          <t>Spain</t>
        </is>
      </c>
      <c r="O166">
        <f>(40+35)/2</f>
        <v/>
      </c>
      <c r="P166">
        <f>(30+35+40+40)/4</f>
        <v/>
      </c>
    </row>
    <row r="167">
      <c r="A167" t="inlineStr">
        <is>
          <t>Lo Celso</t>
        </is>
      </c>
      <c r="B167" t="inlineStr">
        <is>
          <t>Villarreal</t>
        </is>
      </c>
      <c r="C167" t="inlineStr">
        <is>
          <t>Midfielder</t>
        </is>
      </c>
      <c r="D167" t="n">
        <v>524</v>
      </c>
      <c r="E167" t="n">
        <v>6</v>
      </c>
      <c r="F167" t="n">
        <v>0</v>
      </c>
      <c r="G167" t="n">
        <v>0</v>
      </c>
      <c r="H167" t="n">
        <v>68.5</v>
      </c>
      <c r="I167" t="n">
        <v>34.2</v>
      </c>
      <c r="J167" t="n">
        <v>348795</v>
      </c>
      <c r="K167" t="inlineStr">
        <is>
          <t>{'marketValueHistory': [{'date': 'Feb 6, 2016', 'age': '19', 'clubName': 'CA Rosario Central', 'clubID': '1418', 'value': '€7.50m'}, {'date': 'Aug 8, 2016', 'age': '20', 'clubName': 'CA Rosario Central', 'clubID': '1418', 'value': '€10.00m'}, {'date': 'Jan 16, 2017', 'age': '20', 'clubName': 'Paris Saint-Germain', 'clubID': '583', 'value': '€10.00m'}, {'date': 'Jun 1, 2017', 'age': '21', 'clubName': 'Paris Saint-Germain', 'clubID': '583', 'value': '€8.00m'}, {'date': 'Jan 24, 2018', 'age': '21', 'clubName': 'Paris Saint-Germain', 'clubID': '583', 'value': '€20.00m'}, {'date': 'Jun 4, 2018', 'age': '22', 'clubName': 'Paris Saint-Germain', 'clubID': '583', 'value': '€30.00m'}, {'date': 'Dec 21, 2018', 'age': '22', 'clubName': 'Real Betis Balompié', 'clubID': '150', 'value': '€30.00m'}, {'date': 'Feb 28, 2019', 'age': '22', 'clubName': 'Real Betis Balompié', 'clubID': '150', 'value': '€40.00m'}, {'date': 'Jun 11, 2019', 'age': '23', 'clubName': 'Real Betis Balompié', 'clubID': '150', 'value': '€50.00m'}, {'date': 'Dec 10, 2019', 'age': '23', 'clubName': 'Tottenham Hotspur', 'clubID': '148', 'value': '€50.00m'}, {'date': 'Apr 8, 2020', 'age': '23', 'clubName': 'Tottenham Hotspur', 'clubID': '148', 'value': '€40.00m'}, {'date': 'Oct 13, 2020', 'age': '24', 'clubName': 'Tottenham Hotspur', 'clubID': '148', 'value': '€35.00m'}, {'date': 'Mar 18, 2021', 'age': '24', 'clubName': 'Tottenham Hotspur', 'clubID': '148', 'value': '€30.00m'}, {'date': 'Jun 8, 2021', 'age': '25', 'clubName': 'Tottenham Hotspur', 'clubID': '148', 'value': '€27.00m'}, {'date': 'Oct 5, 2021', 'age': '25', 'clubName': 'Tottenham Hotspur', 'clubID': '148', 'value': '€22.00m'}, {'date': 'Dec 23, 2021', 'age': '25', 'clubName': 'Tottenham Hotspur', 'clubID': '148', 'value': '€22.00m'}, {'date': 'Jun 3, 2022', 'age': '26', 'clubName': 'Villarreal CF', 'clubID': '1050', 'value': '€22.00m'}, {'date': 'Nov 7, 2022', 'age': '26', 'clubName': 'Villarreal CF', 'clubID': '1050', 'value': '€22.00m'}, {'date': 'Mar 23, 2023', 'age': '26', 'clubName': 'Villarreal CF', 'clubID': '1050', 'value': '€18.00m'}, {'date': 'Jun 13, 2023', 'age': '27', 'clubName': 'Villarreal CF', 'clubID': '1050', 'value': '€14.00m'}, {'date': 'Dec 19, 2023', 'age': '27', 'clubName': 'Tottenham Hotspur', 'clubID': '148', 'value': '€16.00m'}, {'date': 'May 27, 2024', 'age': '28', 'clubName': 'Tottenham Hotspur', 'clubID': '148', 'value': '€16.00m'}, {'date': 'Oct 11, 2024', 'age': '28', 'clubName': 'Real Betis Balompié', 'clubID': '150', 'value': '€20.00m'}, {'date': 'Dec 27, 2024', 'age': '28', 'clubName': 'Real Betis Balompié', 'clubID': '150', 'value': '€20.00m'}, {'date': 'Jun 9, 2025', 'age': '29', 'clubName': 'Real Betis Balompié', 'clubID': '150', 'value': '€15.00m'}, {'date': 'Dec 12, 2025', 'age': '29', 'clubName': 'Real Betis Balompié', 'clubID': '150', 'value': '€15.00m'}, {'date': 'Mar 16, 2026', 'age': '29', 'clubName': 'Real Betis Balompié', 'clubID': '150', 'value': '€10.00m'}]}</t>
        </is>
      </c>
      <c r="L167" t="inlineStr">
        <is>
          <t>Italy</t>
        </is>
      </c>
      <c r="M167" t="inlineStr">
        <is>
          <t>1996-04-09</t>
        </is>
      </c>
      <c r="N167" t="inlineStr">
        <is>
          <t>Italy</t>
        </is>
      </c>
      <c r="O167">
        <f>(22+22)/2</f>
        <v/>
      </c>
      <c r="P167">
        <f>(30+27+22+22)/4</f>
        <v/>
      </c>
    </row>
    <row r="168">
      <c r="A168" t="inlineStr">
        <is>
          <t>F. de Jong</t>
        </is>
      </c>
      <c r="B168" t="inlineStr">
        <is>
          <t>Barcelona</t>
        </is>
      </c>
      <c r="C168" t="inlineStr">
        <is>
          <t>Midfielder</t>
        </is>
      </c>
      <c r="D168" t="n">
        <v>523</v>
      </c>
      <c r="E168" t="n">
        <v>6</v>
      </c>
      <c r="F168" t="n">
        <v>0</v>
      </c>
      <c r="G168" t="n">
        <v>0</v>
      </c>
      <c r="H168" t="n">
        <v>69</v>
      </c>
      <c r="I168" t="n">
        <v>31.8</v>
      </c>
      <c r="J168" t="n">
        <v>129046</v>
      </c>
      <c r="K168" t="inlineStr">
        <is>
          <t>{'marketValueHistory': [{'date': 'Feb 9, 2010', 'age': '17', 'clubName': 'KSK Beveren (-2010)', 'clubID': '1073', 'value': '€25k'}, {'date': 'May 26, 2010', 'age': '18', 'clubName': 'KSK Beveren (-2010)', 'clubID': '1073', 'value': '€75k'}, {'date': 'Aug 11, 2014', 'age': '22', 'clubName': 'HSV Hoek', 'clubID': '3943', 'value': '-'}]}</t>
        </is>
      </c>
      <c r="L168" t="inlineStr">
        <is>
          <t>Belgium</t>
        </is>
      </c>
      <c r="M168" t="inlineStr">
        <is>
          <t>1992-03-04</t>
        </is>
      </c>
    </row>
    <row r="169">
      <c r="A169" t="inlineStr">
        <is>
          <t>Morata</t>
        </is>
      </c>
      <c r="B169" t="inlineStr">
        <is>
          <t>Juventus</t>
        </is>
      </c>
      <c r="C169" t="inlineStr">
        <is>
          <t>Forward</t>
        </is>
      </c>
      <c r="D169" t="n">
        <v>520</v>
      </c>
      <c r="E169" t="n">
        <v>7</v>
      </c>
      <c r="F169" t="n">
        <v>2</v>
      </c>
      <c r="G169" t="n">
        <v>0</v>
      </c>
      <c r="H169" t="n">
        <v>60.2</v>
      </c>
      <c r="I169" t="n">
        <v>33.1</v>
      </c>
      <c r="J169" t="n">
        <v>128223</v>
      </c>
      <c r="K169" t="inlineStr">
        <is>
          <t>{'marketValueHistory': [{'date': 'Aug 17, 2012', 'age': '19', 'clubName': 'Real Madrid Castilla', 'clubID': '6767', 'value': '€6.00m'}, {'date': 'Jan 10, 2013', 'age': '20', 'clubName': 'Real Madrid Castilla', 'clubID': '6767', 'value': '€6.00m'}, {'date': 'May 9, 2013', 'age': '20', 'clubName': 'Real Madrid Castilla', 'clubID': '6767', 'value': '€7.50m'}, {'date': 'Jun 12, 2013', 'age': '20', 'clubName': 'Real Madrid Castilla', 'clubID': '6767', 'value': '€9.00m'}, {'date': 'Oct 21, 2013', 'age': '20', 'clubName': 'Real Madrid', 'clubID': '418', 'value': '€12.00m'}, {'date': 'Jan 23, 2014', 'age': '21', 'clubName': 'Real Madrid', 'clubID': '418', 'value': '€12.00m'}, {'date': 'Jul 20, 2014', 'age': '21', 'clubName': 'Juventus FC', 'clubID': '506', 'value': '€18.00m'}, {'date': 'Jan 7, 2015', 'age': '22', 'clubName': 'Juventus FC', 'clubID': '506', 'value': '€18.00m'}, {'date': 'Jul 1, 2015', 'age': '22', 'clubName': 'Juventus FC', 'clubID': '506', 'value': '€25.00m'}, {'date': 'Jan 4, 2016', 'age': '23', 'clubName': 'Juventus FC', 'clubID': '506', 'value': '€23.50m'}, {'date': 'Apr 1, 2016', 'age': '23', 'clubName': 'Juventus FC', 'clubID': '506', 'value': '€25.00m'}, {'date': 'Jun 1, 2016', 'age': '23', 'clubName': 'Juventus FC', 'clubID': '506', 'value': '€30.00m'}, {'date': 'Jul 15, 2016', 'age': '23', 'clubName': 'Real Madrid', 'clubID': '418', 'value': '€40.00m'}, {'date': 'Jan 24, 2017', 'age': '24', 'clubName': 'Real Madrid', 'clubID': '418', 'value': '€40.00m'}, {'date': 'Jun 5, 2017', 'age': '24', 'clubName': 'Real Madrid', 'clubID': '418', 'value': '€40.00m'}, {'date': 'Aug 16, 2017', 'age': '24', 'clubName': 'Chelsea FC', 'clubID': '631', 'value': '€50.00m'}, {'date': 'Jan 2, 2018', 'age': '25', 'clubName': 'Chelsea FC', 'clubID': '631', 'value': '€65.00m'}, {'date': 'May 28, 2018', 'age': '25', 'clubName': 'Chelsea FC', 'clubID': '631', 'value': '€65.00m'}, {'date': 'Oct 17, 2018', 'age': '25', 'clubName': 'Chelsea FC', 'clubID': '631', 'value': '€60.00m'}, {'date': 'Dec 19, 2018', 'age': '26', 'clubName': 'Chelsea FC', 'clubID': '631', 'value': '€50.00m'}, {'date': 'Jun 11, 2019', 'age': '26', 'clubName': 'Atlético de Madrid', 'clubID': '13', 'value': '€50.00m'}, {'date': 'Dec 20, 2019', 'age': '27', 'clubName': 'Atlético de Madrid', 'clubID': '13', 'value': '€50.00m'}, {'date': 'Mar 5, 2020', 'age': '27', 'clubName': 'Atlético de Madrid', 'clubID': '13', 'value': '€45.00m'}, {'date': 'Apr 8, 2020', 'age': '27', 'clubName': 'Atlético de Madrid', 'clubID': '13', 'value': '€36.00m'}, {'date': 'Oct 29, 2020', 'age': '28', 'clubName': 'Juventus FC', 'clubID': '506', 'value': '€40.00m'}, {'date': 'Dec 29, 2020', 'age': '28', 'clubName': 'Juventus FC', 'clubID': '506', 'value': '€50.00m'}, {'date': 'May 31, 2021', 'age': '28', 'clubName': 'Juventus FC', 'clubID': '506', 'value': '€45.00m'}, {'date': 'Dec 28, 2021', 'age': '29', 'clubName': 'Juventus FC', 'clubID': '506', 'value': '€35.00m'}, {'date': 'Mar 15, 2022', 'age': '29', 'clubName': 'Juventus FC', 'clubID': '506', 'value': '€30.00m'}, {'date': 'Jun 7, 2022', 'age': '29', 'clubName': 'Juventus FC', 'clubID': '506', 'value': '€25.00m'}, {'date': 'Nov 7, 2022', 'age': '30', 'clubName': 'Atlético de Madrid', 'clubID': '13', 'value': '€25.00m'}, {'date': 'Jun 13, 2023', 'age': '30', 'clubName': 'Atlético de Madrid', 'clubID': '13', 'value': '€20.00m'}, {'date': 'Dec 22, 2023', 'age': '31', 'clubName': 'Atlético de Madrid', 'clubID': '13', 'value': '€20.00m'}, {'date': 'Jun 7, 2024', 'age': '31', 'clubName': 'Atlético de Madrid', 'clubID': '13', 'value': '€16.00m'}, {'date': 'Dec 18, 2024', 'age': '32', 'clubName': 'AC Milan', 'clubID': '5', 'value': '€13.00m'}, {'date': 'Mar 20, 2025', 'age': '32', 'clubName': 'Galatasaray', 'clubID': '141', 'value': '€13.00m'}, {'date': 'Jun 18, 2025', 'age': '32', 'clubName': 'Galatasaray', 'clubID': '141', 'value': '€11.00m'}, {'date': 'Dec 23, 2025', 'age': '33', 'clubName': 'Como 1907', 'clubID': '1047', 'value': '€8.00m'}]}</t>
        </is>
      </c>
      <c r="L169" t="inlineStr">
        <is>
          <t>Spain</t>
        </is>
      </c>
      <c r="M169" t="inlineStr">
        <is>
          <t>1992-10-23</t>
        </is>
      </c>
      <c r="N169" t="inlineStr">
        <is>
          <t>87</t>
        </is>
      </c>
      <c r="O169">
        <f>(30+25+25)/3</f>
        <v/>
      </c>
      <c r="P169">
        <f>(45+35)/2</f>
        <v/>
      </c>
    </row>
    <row r="170">
      <c r="A170" t="inlineStr">
        <is>
          <t>Bruno Fernandes</t>
        </is>
      </c>
      <c r="B170" t="inlineStr">
        <is>
          <t>Man United</t>
        </is>
      </c>
      <c r="C170" t="inlineStr">
        <is>
          <t>Midfielder</t>
        </is>
      </c>
      <c r="D170" t="n">
        <v>520</v>
      </c>
      <c r="E170" t="n">
        <v>7</v>
      </c>
      <c r="F170" t="n">
        <v>0</v>
      </c>
      <c r="G170" t="n">
        <v>7</v>
      </c>
      <c r="H170" t="n">
        <v>58.4</v>
      </c>
      <c r="I170" t="n">
        <v>32.2</v>
      </c>
      <c r="J170" t="n">
        <v>240306</v>
      </c>
      <c r="K170" t="inlineStr">
        <is>
          <t>{'marketValueHistory': [{'date': 'Oct 25, 2012', 'age': '18', 'clubName': 'Novara Calcio 1908', 'clubID': '6692', 'value': '€50k'}, {'date': 'Dec 25, 2012', 'age': '18', 'clubName': 'Novara Calcio 1908', 'clubID': '6692', 'value': '€75k'}, {'date': 'Feb 25, 2013', 'age': '18', 'clubName': 'Novara Calcio 1908', 'clubID': '6692', 'value': '€100k'}, {'date': 'Jun 25, 2013', 'age': '18', 'clubName': 'Novara Calcio 1908', 'clubID': '6692', 'value': '€3.50m'}, {'date': 'Jan 7, 2014', 'age': '19', 'clubName': 'Udinese Calcio', 'clubID': '410', 'value': '€4.50m'}, {'date': 'Jul 1, 2014', 'age': '19', 'clubName': 'Udinese Calcio', 'clubID': '410', 'value': '€7.00m'}, {'date': 'Jan 7, 2015', 'age': '20', 'clubName': 'Udinese Calcio', 'clubID': '410', 'value': '€7.00m'}, {'date': 'Jul 1, 2015', 'age': '20', 'clubName': 'Udinese Calcio', 'clubID': '410', 'value': '€6.50m'}, {'date': 'Jan 4, 2016', 'age': '21', 'clubName': 'Udinese Calcio', 'clubID': '410', 'value': '€6.50m'}, {'date': 'Jul 15, 2016', 'age': '21', 'clubName': 'Udinese Calcio', 'clubID': '410', 'value': '€6.50m'}, {'date': 'Jan 2, 2017', 'age': '22', 'clubName': 'UC Sampdoria', 'clubID': '1038', 'value': '€7.00m'}, {'date': 'Jun 8, 2017', 'age': '22', 'clubName': 'UC Sampdoria', 'clubID': '1038', 'value': '€7.50m'}, {'date': 'Nov 6, 2017', 'age': '23', 'clubName': 'Sporting CP', 'clubID': '336', 'value': '€12.00m'}, {'date': 'Feb 7, 2018', 'age': '23', 'clubName': 'Sporting CP', 'clubID': '336', 'value': '€17.00m'}, {'date': 'Apr 16, 2018', 'age': '23', 'clubName': 'Sporting CP', 'clubID': '336', 'value': '€20.00m'}, {'date': 'Jun 13, 2018', 'age': '23', 'clubName': 'Sporting CP', 'clubID': '336', 'value': '€30.00m'}, {'date': 'Nov 1, 2018', 'age': '24', 'clubName': 'Sporting CP', 'clubID': '336', 'value': '€26.00m'}, {'date': 'Jan 11, 2019', 'age': '24', 'clubName': 'Sporting CP', 'clubID': '336', 'value': '€30.00m'}, {'date': 'Mar 18, 2019', 'age': '24', 'clubName': 'Sporting CP', 'clubID': '336', 'value': '€35.00m'}, {'date': 'Jun 7, 2019', 'age': '24', 'clubName': 'Sporting CP', 'clubID': '336', 'value': '€55.00m'}, {'date': 'Oct 11, 2019', 'age': '25', 'clubName': 'Sporting CP', 'clubID': '336', 'value': '€60.00m'}, {'date': 'Dec 30, 2019', 'age': '25', 'clubName': 'Sporting CP', 'clubID': '336', 'value': '€60.00m'}, {'date': 'Apr 8, 2020', 'age': '25', 'clubName': 'Manchester United', 'clubID': '985', 'value': '€48.00m'}, {'date': 'Jul 30, 2020', 'age': '25', 'clubName': 'Manchester United', 'clubID': '985', 'value': '€70.00m'}, {'date': 'Oct 13, 2020', 'age': '26', 'clubName': 'Manchester United', 'clubID': '985', 'value': '€80.00m'}, {'date': 'Dec 17, 2020', 'age': '26', 'clubName': 'Manchester United', 'clubID': '985', 'value': '€90.00m'}, {'date': 'Mar 18, 2021', 'age': '26', 'clubName': 'Manchester United', 'clubID': '985', 'value': '€90.00m'}, {'date': 'Jun 1, 2021', 'age': '26', 'clubName': 'Manchester United', 'clubID': '985', 'value': '€90.00m'}, {'date': 'Dec 23, 2021', 'age': '27', 'clubName': 'Manchester United', 'clubID': '985', 'value': '€90.00m'}, {'date': 'Jun 15, 2022', 'age': '27', 'clubName': 'Manchester United', 'clubID': '985', 'value': '€85.00m'}, {'date': 'Nov 3, 2022', 'age': '28', 'clubName': 'Manchester United', 'clubID': '985', 'value': '€75.00m'}, {'date': 'Jun 20, 2023', 'age': '28', 'clubName': 'Manchester United', 'clubID': '985', 'value': '€75.00m'}, {'date': 'Dec 19, 2023', 'age': '29', 'clubName': 'Manchester United', 'clubID': '985', 'value': '€70.00m'}, {'date': 'May 27, 2024', 'age': '29', 'clubName': 'Manchester United', 'clubID': '985', 'value': '€70.00m'}, {'date': 'Oct 1, 2024', 'age': '30', 'clubName': 'Manchester United', 'clubID': '985', 'value': '€65.00m'}, {'date': 'Dec 16, 2024', 'age': '30', 'clubName': 'Manchester United', 'clubID': '985', 'value': '€55.00m'}, {'date': 'May 30, 2025', 'age': '30', 'clubName': 'Manchester United', 'clubID': '985', 'value': '€50.00m'}, {'date': 'Oct 17, 2025', 'age': '31', 'clubName': 'Manchester United', 'clubID': '985', 'value': '€45.00m'}, {'date': 'Dec 9, 2025', 'age': '31', 'clubName': 'Manchester United', 'clubID': '985', 'value': '€40.00m'}]}</t>
        </is>
      </c>
      <c r="L170" t="inlineStr">
        <is>
          <t>Portugal</t>
        </is>
      </c>
      <c r="M170" t="inlineStr">
        <is>
          <t>1994-09-08</t>
        </is>
      </c>
      <c r="N170" t="inlineStr">
        <is>
          <t>Portugal</t>
        </is>
      </c>
      <c r="O170">
        <f>(85+75)/2</f>
        <v/>
      </c>
      <c r="P170">
        <f>(90+90+90)/3</f>
        <v/>
      </c>
    </row>
    <row r="171">
      <c r="A171" t="inlineStr">
        <is>
          <t>Griezmann</t>
        </is>
      </c>
      <c r="B171" t="inlineStr">
        <is>
          <t>Atletico de Madrid</t>
        </is>
      </c>
      <c r="C171" t="inlineStr">
        <is>
          <t>Forward</t>
        </is>
      </c>
      <c r="D171" t="n">
        <v>518</v>
      </c>
      <c r="E171" t="n">
        <v>9</v>
      </c>
      <c r="F171" t="n">
        <v>4</v>
      </c>
      <c r="G171" t="n">
        <v>2</v>
      </c>
      <c r="H171" t="n">
        <v>64.3</v>
      </c>
      <c r="I171" t="n">
        <v>32.2</v>
      </c>
      <c r="J171" t="n">
        <v>125781</v>
      </c>
      <c r="K171" t="inlineStr">
        <is>
          <t>{'marketValueHistory': [{'date': 'Sep 4, 2009', 'age': '18', 'clubName': 'Real Sociedad', 'clubID': '681', 'value': '€100k'}, {'date': 'Nov 23, 2009', 'age': '18', 'clubName': 'Real Sociedad', 'clubID': '681', 'value': '€1.00m'}, {'date': 'Apr 5, 2010', 'age': '19', 'clubName': 'Real Sociedad', 'clubID': '681', 'value': '€2.00m'}, {'date': 'Aug 20, 2010', 'age': '19', 'clubName': 'Real Sociedad', 'clubID': '681', 'value': '€4.00m'}, {'date': 'Dec 10, 2010', 'age': '19', 'clubName': 'Real Sociedad', 'clubID': '681', 'value': '€8.00m'}, {'date': 'Feb 4, 2011', 'age': '19', 'clubName': 'Real Sociedad', 'clubID': '681', 'value': '€8.00m'}, {'date': 'Jul 29, 2011', 'age': '20', 'clubName': 'Real Sociedad', 'clubID': '681', 'value': '€8.00m'}, {'date': 'Feb 5, 2012', 'age': '20', 'clubName': 'Real Sociedad', 'clubID': '681', 'value': '€8.00m'}, {'date': 'Aug 7, 2012', 'age': '21', 'clubName': 'Real Sociedad', 'clubID': '681', 'value': '€12.00m'}, {'date': 'Jan 11, 2013', 'age': '21', 'clubName': 'Real Sociedad', 'clubID': '681', 'value': '€12.00m'}, {'date': 'Jun 12, 2013', 'age': '22', 'clubName': 'Real Sociedad', 'clubID': '681', 'value': '€15.00m'}, {'date': 'Sep 17, 2013', 'age': '22', 'clubName': 'Real Sociedad', 'clubID': '681', 'value': '€20.00m'}, {'date': 'Jan 23, 2014', 'age': '22', 'clubName': 'Real Sociedad', 'clubID': '681', 'value': '€25.00m'}, {'date': 'Jul 20, 2014', 'age': '23', 'clubName': 'Real Sociedad', 'clubID': '681', 'value': '€30.00m'}, {'date': 'Aug 4, 2014', 'age': '23', 'clubName': 'Atlético de Madrid', 'clubID': '13', 'value': '€30.00m'}, {'date': 'Jan 23, 2015', 'age': '23', 'clubName': 'Atlético de Madrid', 'clubID': '13', 'value': '€35.00m'}, {'date': 'Jul 1, 2015', 'age': '24', 'clubName': 'Atlético de Madrid', 'clubID': '13', 'value': '€45.00m'}, {'date': 'Nov 22, 2015', 'age': '24', 'clubName': 'Atlético de Madrid', 'clubID': '13', 'value': '€50.00m'}, {'date': 'Feb 22, 2016', 'age': '24', 'clubName': 'Atlético de Madrid', 'clubID': '13', 'value': '€60.00m'}, {'date': 'Jun 1, 2016', 'age': '25', 'clubName': 'Atlético de Madrid', 'clubID': '13', 'value': '€70.00m'}, {'date': 'Jul 15, 2016', 'age': '25', 'clubName': 'Atlético de Madrid', 'clubID': '13', 'value': '€80.00m'}, {'date': 'Jan 24, 2017', 'age': '25', 'clubName': 'Atlético de Madrid', 'clubID': '13', 'value': '€80.00m'}, {'date': 'Jun 5, 2017', 'age': '26', 'clubName': 'Atlético de Madrid', 'clubID': '13', 'value': '€80.00m'}, {'date': 'Jan 1, 2018', 'age': '26', 'clubName': 'Atlético de Madrid', 'clubID': '13', 'value': '€100.00m'}, {'date': 'May 30, 2018', 'age': '27', 'clubName': 'Atlético de Madrid', 'clubID': '13', 'value': '€100.00m'}, {'date': 'Jul 16, 2018', 'age': '27', 'clubName': 'Atlético de Madrid', 'clubID': '13', 'value': '€120.00m'}, {'date': 'Oct 31, 2018', 'age': '27', 'clubName': 'Atlético de Madrid', 'clubID': '13', 'value': '€150.00m'}, {'date': 'Dec 21, 2018', 'age': '27', 'clubName': 'Atlético de Madrid', 'clubID': '13', 'value': '€150.00m'}, {'date': 'Jun 11, 2019', 'age': '28', 'clubName': 'Atlético de Madrid', 'clubID': '13', 'value': '€130.00m'}, {'date': 'Dec 20, 2019', 'age': '28', 'clubName': 'FC Barcelona', 'clubID': '131', 'value': '€120.00m'}, {'date': 'Apr 8, 2020', 'age': '29', 'clubName': 'FC Barcelona', 'clubID': '131', 'value': '€96.00m'}, {'date': 'Oct 8, 2020', 'age': '29', 'clubName': 'FC Barcelona', 'clubID': '131', 'value': '€80.00m'}, {'date': 'Jan 5, 2021', 'age': '29', 'clubName': 'FC Barcelona', 'clubID': '131', 'value': '€60.00m'}, {'date': 'Jun 1, 2021', 'age': '30', 'clubName': 'FC Barcelona', 'clubID': '131', 'value': '€60.00m'}, {'date': 'Oct 13, 2021', 'age': '30', 'clubName': 'Atlético de Madrid', 'clubID': '13', 'value': '€50.00m'}, {'date': 'Dec 30, 2021', 'age': '30', 'clubName': 'Atlético de Madrid', 'clubID': '13', 'value': '€50.00m'}, {'date': 'Jun 3, 2022', 'age': '31', 'clubName': 'Atlético de Madrid', 'clubID': '13', 'value': '€35.00m'}, {'date': 'Nov 7, 2022', 'age': '31', 'clubName': 'Atlético de Madrid', 'clubID': '13', 'value': '€25.00m'}, {'date': 'Jun 13, 2023', 'age': '32', 'clubName': 'Atlético de Madrid', 'clubID': '13', 'value': '€25.00m'}, {'date': 'Dec 22, 2023', 'age': '32', 'clubName': 'Atlético de Madrid', 'clubID': '13', 'value': '€25.00m'}, {'date': 'Jun 7, 2024', 'age': '33', 'clubName': 'Atlético de Madrid', 'clubID': '13', 'value': '€25.00m'}, {'date': 'Dec 27, 2024', 'age': '33', 'clubName': 'Atlético de Madrid', 'clubID': '13', 'value': '€22.00m'}, {'date': 'Jun 9, 2025', 'age': '34', 'clubName': 'Atlético de Madrid', 'clubID': '13', 'value': '€18.00m'}, {'date': 'Oct 2, 2025', 'age': '34', 'clubName': 'Atlético de Madrid', 'clubID': '13', 'value': '€12.00m'}, {'date': 'Dec 12, 2025', 'age': '34', 'clubName': 'Atlético de Madrid', 'clubID': '13', 'value': '€11.00m'}, {'date': 'Mar 16, 2026', 'age': '34', 'clubName': 'Atlético de Madrid', 'clubID': '13', 'value': '€10.00m'}]}</t>
        </is>
      </c>
      <c r="L171" t="inlineStr">
        <is>
          <t>France</t>
        </is>
      </c>
      <c r="M171" t="inlineStr">
        <is>
          <t>1991-03-21</t>
        </is>
      </c>
      <c r="N171" t="inlineStr">
        <is>
          <t>137</t>
        </is>
      </c>
      <c r="O171">
        <f>(35+25)/2</f>
        <v/>
      </c>
      <c r="P171">
        <f>(60+60+50+50)/4</f>
        <v/>
      </c>
    </row>
    <row r="172">
      <c r="A172" t="inlineStr">
        <is>
          <t>Sucic</t>
        </is>
      </c>
      <c r="B172" t="inlineStr">
        <is>
          <t>Salzburg</t>
        </is>
      </c>
      <c r="C172" t="inlineStr">
        <is>
          <t>Midfielder</t>
        </is>
      </c>
      <c r="D172" t="n">
        <v>516</v>
      </c>
      <c r="E172" t="n">
        <v>8</v>
      </c>
      <c r="F172" t="n">
        <v>1</v>
      </c>
      <c r="G172" t="n">
        <v>0</v>
      </c>
      <c r="H172" t="n">
        <v>65.40000000000001</v>
      </c>
      <c r="I172" t="n">
        <v>31.6</v>
      </c>
      <c r="J172" t="n">
        <v>668207</v>
      </c>
      <c r="K172" t="inlineStr">
        <is>
          <t>{'marketValueHistory': [{'date': 'Jun 14, 2022', 'age': '18', 'clubName': 'GNK Dinamo Zagreb II', 'clubID': '44796', 'value': '€150k'}, {'date': 'Nov 28, 2022', 'age': '19', 'clubName': 'HSK Zrinjski Mostar', 'clubID': '6808', 'value': '€200k'}, {'date': 'Jun 2, 2023', 'age': '19', 'clubName': 'HSK Zrinjski Mostar', 'clubID': '6808', 'value': '€400k'}, {'date': 'Dec 18, 2023', 'age': '20', 'clubName': 'GNK Dinamo Zagreb', 'clubID': '419', 'value': '€1.00m'}, {'date': 'Jun 4, 2024', 'age': '20', 'clubName': 'GNK Dinamo Zagreb', 'clubID': '419', 'value': '€3.00m'}, {'date': 'Dec 23, 2024', 'age': '21', 'clubName': 'GNK Dinamo Zagreb', 'clubID': '419', 'value': '€12.00m'}, {'date': 'Mar 31, 2025', 'age': '21', 'clubName': 'GNK Dinamo Zagreb', 'clubID': '419', 'value': '€14.00m'}, {'date': 'Jun 9, 2025', 'age': '21', 'clubName': 'Inter Milan', 'clubID': '46', 'value': '€14.00m'}, {'date': 'Oct 7, 2025', 'age': '21', 'clubName': 'Inter Milan', 'clubID': '46', 'value': '€20.00m'}, {'date': 'Dec 23, 2025', 'age': '22', 'clubName': 'Inter Milan', 'clubID': '46', 'value': '€30.00m'}]}</t>
        </is>
      </c>
      <c r="L172" t="inlineStr">
        <is>
          <t>Italy</t>
        </is>
      </c>
      <c r="M172" t="inlineStr">
        <is>
          <t>2003-10-25</t>
        </is>
      </c>
      <c r="N172" t="inlineStr">
        <is>
          <t>Croatia</t>
        </is>
      </c>
      <c r="O172">
        <f>(0.15+0.2)/2</f>
        <v/>
      </c>
    </row>
    <row r="173">
      <c r="A173" t="inlineStr">
        <is>
          <t>Sule</t>
        </is>
      </c>
      <c r="B173" t="inlineStr">
        <is>
          <t>Bayern</t>
        </is>
      </c>
      <c r="C173" t="inlineStr">
        <is>
          <t>Defender</t>
        </is>
      </c>
      <c r="D173" t="n">
        <v>515</v>
      </c>
      <c r="E173" t="n">
        <v>7</v>
      </c>
      <c r="F173" t="n">
        <v>0</v>
      </c>
      <c r="G173" t="n">
        <v>0</v>
      </c>
      <c r="H173" t="n">
        <v>61.4</v>
      </c>
      <c r="I173" t="n">
        <v>32.7</v>
      </c>
      <c r="J173" t="n">
        <v>166601</v>
      </c>
      <c r="K173" t="inlineStr">
        <is>
          <t>{'marketValueHistory': [{'date': '15/07/2012', 'age': '16', 'clubName': 'TSG 1899 Hoffenheim II', 'clubID': '983', 'value': '€25k'}, {'date': '27/04/2013', 'age': '17', 'clubName': 'TSG 1899 Hoffenheim II', 'clubID': '983', 'value': '€100k'}, {'date': '30/06/2013', 'age': '17', 'clubName': 'TSG 1899 Hoffenheim II', 'clubID': '983', 'value': '€300k'}, {'date': '08/11/2013', 'age': '18', 'clubName': 'TSG 1899 Hoffenheim', 'clubID': '533', 'value': '€1.00m'}, {'date': '12/02/2014', 'age': '18', 'clubName': 'TSG 1899 Hoffenheim', 'clubID': '533', 'value': '€4.50m'}, {'date': '10/07/2014', 'age': '18', 'clubName': 'TSG 1899 Hoffenheim', 'clubID': '533', 'value': '€5.50m'}, {'date': '04/02/2015', 'age': '19', 'clubName': 'TSG 1899 Hoffenheim', 'clubID': '533', 'value': '€5.50m'}, {'date': '01/07/2015', 'age': '19', 'clubName': 'TSG 1899 Hoffenheim', 'clubID': '533', 'value': '€5.50m'}, {'date': '16/10/2015', 'age': '20', 'clubName': 'TSG 1899 Hoffenheim', 'clubID': '533', 'value': '€8.00m'}, {'date': '15/02/2016', 'age': '20', 'clubName': 'TSG 1899 Hoffenheim', 'clubID': '533', 'value': '€8.00m'}, {'date': '13/04/2016', 'age': '20', 'clubName': 'TSG 1899 Hoffenheim', 'clubID': '533', 'value': '€10.00m'}, {'date': '22/07/2016', 'age': '20', 'clubName': 'TSG 1899 Hoffenheim', 'clubID': '533', 'value': '€12.00m'}, {'date': '07/02/2017', 'age': '21', 'clubName': 'TSG 1899 Hoffenheim', 'clubID': '533', 'value': '€20.00m'}, {'date': '19/06/2017', 'age': '21', 'clubName': 'TSG 1899 Hoffenheim', 'clubID': '533', 'value': '€25.00m'}, {'date': '28/12/2017', 'age': '22', 'clubName': 'Bayern Munich', 'clubID': '27', 'value': '€30.00m'}, {'date': '04/04/2018', 'age': '22', 'clubName': 'Bayern Munich', 'clubID': '27', 'value': '€35.00m'}, {'date': '05/06/2018', 'age': '22', 'clubName': 'Bayern Munich', 'clubID': '27', 'value': '€38.00m'}, {'date': '16/07/2018', 'age': '22', 'clubName': 'Bayern Munich', 'clubID': '27', 'value': '€45.00m'}, {'date': '22/10/2018', 'age': '23', 'clubName': 'Bayern Munich', 'clubID': '27', 'value': '€50.00m'}, {'date': '18/12/2018', 'age': '23', 'clubName': 'Bayern Munich', 'clubID': '27', 'value': '€50.00m'}, {'date': '05/06/2019', 'age': '23', 'clubName': 'Bayern Munich', 'clubID': '27', 'value': '€60.00m'}, {'date': '17/12/2019', 'age': '24', 'clubName': 'Bayern Munich', 'clubID': '27', 'value': '€60.00m'}, {'date': '08/04/2020', 'age': '24', 'clubName': 'Bayern Munich', 'clubID': '27', 'value': '€48.00m'}, {'date': '10/02/2021', 'age': '25', 'clubName': 'Bayern Munich', 'clubID': '27', 'value': '€37.00m'}, {'date': '01/06/2021', 'age': '25', 'clubName': 'Bayern Munich', 'clubID': '27', 'value': '€35.00m'}, {'date': '22/12/2021', 'age': '26', 'clubName': 'Bayern Munich', 'clubID': '27', 'value': '€35.00m'}, {'date': '09/06/2022', 'age': '26', 'clubName': 'Bayern Munich', 'clubID': '27', 'value': '€35.00m'}, {'date': '09/11/2022', 'age': '27', 'clubName': 'Borussia Dortmund', 'clubID': '16', 'value': '€35.00m'}, {'date': '22/06/2023', 'age': '27', 'clubName': 'Borussia Dortmund', 'clubID': '16', 'value': '€35.00m'}, {'date': '18/10/2023', 'age': '28', 'clubName': 'Borussia Dortmund', 'clubID': '16', 'value': '€30.00m'}, {'date': '14/12/2023', 'age': '28', 'clubName': 'Borussia Dortmund', 'clubID': '16', 'value': '€22.00m'}, {'date': '29/05/2024', 'age': '28', 'clubName': 'Borussia Dortmund', 'clubID': '16', 'value': '€15.00m'}, {'date': '20/12/2024', 'age': '29', 'clubName': 'Borussia Dortmund', 'clubID': '16', 'value': '€15.00m'}, {'date': '27/03/2025', 'age': '29', 'clubName': 'Borussia Dortmund', 'clubID': '16', 'value': '€8.00m'}, {'date': '05/06/2025', 'age': '29', 'clubName': 'Borussia Dortmund', 'clubID': '16', 'value': '€8.00m'}, {'date': '19/12/2025', 'age': '30', 'clubName': 'Borussia Dortmund', 'clubID': '16', 'value': '€5.00m'}, {'date': '20/03/2026', 'age': '30', 'clubName': 'Borussia Dortmund', 'clubID': '16', 'value': '€4.00m'}]}</t>
        </is>
      </c>
      <c r="L173" t="inlineStr">
        <is>
          <t>Germany</t>
        </is>
      </c>
      <c r="M173" t="inlineStr">
        <is>
          <t>1995-09-03</t>
        </is>
      </c>
      <c r="N173" t="inlineStr">
        <is>
          <t>49</t>
        </is>
      </c>
      <c r="O173">
        <f>(35+35)/2</f>
        <v/>
      </c>
      <c r="P173">
        <f>(37+35+35)/3</f>
        <v/>
      </c>
    </row>
    <row r="174">
      <c r="A174" t="inlineStr">
        <is>
          <t>Yaremchuk</t>
        </is>
      </c>
      <c r="B174" t="inlineStr">
        <is>
          <t>Benfica</t>
        </is>
      </c>
      <c r="C174" t="inlineStr">
        <is>
          <t>Forward</t>
        </is>
      </c>
      <c r="D174" t="n">
        <v>514</v>
      </c>
      <c r="E174" t="n">
        <v>10</v>
      </c>
      <c r="F174" t="n">
        <v>3</v>
      </c>
      <c r="G174" t="n">
        <v>0</v>
      </c>
      <c r="H174" t="n">
        <v>66.5</v>
      </c>
      <c r="I174" t="n">
        <v>34.6</v>
      </c>
      <c r="J174" t="n">
        <v>221958</v>
      </c>
      <c r="K174" t="inlineStr">
        <is>
          <t>{'id': '221958', 'marketValue': '€4.00m', 'marketValueHistory': [{'age': '18', 'date': 'Oct 20, 2014', 'clubName': 'Dynamo 2 Kyiv', 'value': '€150k', 'clubID': '6249'}, {'age': '20', 'date': 'Jul 21, 2016', 'clubName': 'Dynamo Kyiv II', 'value': '€200k', 'clubID': '21218'}, {'age': '20', 'date': 'Sep 30, 2016', 'clubName': 'FK Oleksandriya', 'value': '€300k', 'clubID': '18303'}, {'age': '21', 'date': 'Jan 3, 2017', 'clubName': 'Dynamo Kyiv', 'value': '€700k', 'clubID': '338'}, {'age': '21', 'date': 'Jun 26, 2017', 'clubName': 'Dynamo Kyiv', 'value': '€800k', 'clubID': '338'}, {'age': '21', 'date': 'Oct 20, 2017', 'clubName': 'KAA Gent', 'value': '€1.50m', 'clubID': '157'}, {'age': '22', 'date': 'Jan 9, 2018', 'clubName': 'KAA Gent', 'value': '€2.20m', 'clubID': '157'}, {'age': '22', 'date': 'Mar 30, 2018', 'clubName': 'KAA Gent', 'value': '€3.50m', 'clubID': '157'}, {'age': '22', 'date': 'Jun 3, 2018', 'clubName': 'KAA Gent', 'value': '€3.50m', 'clubID': '157'}, {'age': '23', 'date': 'Dec 27, 2018', 'clubName': 'KAA Gent', 'value': '€3.50m', 'clubID': '157'}, {'age': '23', 'date': 'Jun 10, 2019', 'clubName': 'KAA Gent', 'value': '€3.80m', 'clubID': '157'}, {'age': '23', 'date': 'Sep 13, 2019', 'clubName': 'KAA Gent', 'value': '€6.50m', 'clubID': '157'}, {'age': '24', 'date': 'Dec 13, 2019', 'clubName': 'KAA Gent', 'value': '€12.00m', 'clubID': '157'}, {'age': '24', 'date': 'Apr 8, 2020', 'clubName': 'KAA Gent', 'value': '€9.50m', 'clubID': '157'}, {'age': '24', 'date': 'Oct 16, 2020', 'clubName': 'KAA Gent', 'value': '€11.00m', 'clubID': '157'}, {'age': '25', 'date': 'Mar 17, 2021', 'clubName': 'KAA Gent', 'value': '€13.00m', 'clubID': '157'}, {'age': '25', 'date': 'May 27, 2021', 'clubName': 'KAA Gent', 'value': '€15.00m', 'clubID': '157'}, {'age': '25', 'date': 'Jul 15, 2021', 'clubName': 'KAA Gent', 'value': '€17.50m', 'clubID': '157'}, {'age': '26', 'date': 'Dec 27, 2021', 'clubName': 'SL Benfica', 'value': '€17.50m', 'clubID': '294'}, {'age': '26', 'date': 'Mar 10, 2022', 'clubName': 'SL Benfica', 'value': '€16.00m', 'clubID': '294'}, {'age': '26', 'date': 'May 31, 2022', 'clubName': 'SL Benfica', 'value': '€15.00m', 'clubID': '294'}, {'age': '26', 'date': 'Nov 4, 2022', 'clubName': 'Club Brugge KV', 'value': '€12.00m', 'clubID': '2282'}, {'age': '27', 'date': 'Mar 22, 2023', 'clubName': 'Club Brugge KV', 'value': '€9.00m', 'clubID': '2282'}, {'age': '27', 'date': 'Jun 9, 2023', 'clubName': 'Club Brugge KV', 'value': '€5.00m', 'clubID': '2282'}, {'age': '27', 'date': 'Oct 13, 2023', 'clubName': 'Valencia CF', 'value': '€4.00m', 'clubID': '1049'}, {'age': '28', 'date': 'Dec 22, 2023', 'clubName': 'Valencia CF', 'value': '€3.00m', 'clubID': '1049'}, {'age': '28', 'date': 'Mar 21, 2024', 'clubName': 'Valencia CF', 'value': '€4.00m', 'clubID': '1049'}], 'ranking': {'Worldwide': '2.272', 'LaLiga': '229', 'Valencia': '13', 'Ukraine': '23', 'Centre-Forward': '331', 'Year 1995': '154'}, 'updatedAt': datetime.datetime(2024, 5, 23, 22, 31, 5, 1940)}</t>
        </is>
      </c>
      <c r="L174" t="inlineStr">
        <is>
          <t>Ukraine</t>
        </is>
      </c>
      <c r="M174" t="inlineStr">
        <is>
          <t>1995-11-27</t>
        </is>
      </c>
      <c r="N174" t="inlineStr">
        <is>
          <t>67</t>
        </is>
      </c>
      <c r="O174">
        <f>(16+15+12)/3</f>
        <v/>
      </c>
      <c r="P174">
        <f>(13+15+17.5+17.5)/4</f>
        <v/>
      </c>
    </row>
    <row r="175">
      <c r="A175" t="inlineStr">
        <is>
          <t>Sarabia</t>
        </is>
      </c>
      <c r="B175" t="inlineStr">
        <is>
          <t>Sporting CP</t>
        </is>
      </c>
      <c r="C175" t="inlineStr">
        <is>
          <t>Forward</t>
        </is>
      </c>
      <c r="D175" t="n">
        <v>510</v>
      </c>
      <c r="E175" t="n">
        <v>8</v>
      </c>
      <c r="F175" t="n">
        <v>2</v>
      </c>
      <c r="G175" t="n">
        <v>0</v>
      </c>
      <c r="H175" t="n">
        <v>66.59999999999999</v>
      </c>
      <c r="I175" t="n">
        <v>31.1</v>
      </c>
      <c r="J175" t="n">
        <v>74230</v>
      </c>
      <c r="K175" t="inlineStr">
        <is>
          <t>{'id': '74230', 'marketValue': '€12.00m', 'marketValueHistory': [{'age': '19', 'date': 'Jul 29, 2011', 'clubName': 'Getafe CF', 'value': '€1.00m', 'clubID': '3709'}, {'age': '19', 'date': 'Feb 5, 2012', 'clubName': 'Getafe CF', 'value': '€2.50m', 'clubID': '3709'}, {'age': '20', 'date': 'Aug 7, 2012', 'clubName': 'Getafe CF', 'value': '€2.50m', 'clubID': '3709'}, {'age': '20', 'date': 'Jan 11, 2013', 'clubName': 'Getafe CF', 'value': '€2.00m', 'clubID': '3709'}, {'age': '21', 'date': 'Jun 12, 2013', 'clubName': 'Getafe CF', 'value': '€1.80m', 'clubID': '3709'}, {'age': '21', 'date': 'Aug 7, 2013', 'clubName': 'Getafe CF', 'value': '€2.50m', 'clubID': '3709'}, {'age': '21', 'date': 'Jan 23, 2014', 'clubName': 'Getafe CF', 'value': '€3.00m', 'clubID': '3709'}, {'age': '22', 'date': 'Jul 20, 2014', 'clubName': 'Getafe CF', 'value': '€4.00m', 'clubID': '3709'}, {'age': '22', 'date': 'Jan 23, 2015', 'clubName': 'Getafe CF', 'value': '€4.00m', 'clubID': '3709'}, {'age': '23', 'date': 'Jul 1, 2015', 'clubName': 'Getafe CF', 'value': '€4.00m', 'clubID': '3709'}, {'age': '23', 'date': 'Feb 22, 2016', 'clubName': 'Getafe CF', 'value': '€5.00m', 'clubID': '3709'}, {'age': '24', 'date': 'Jul 15, 2016', 'clubName': 'Sevilla FC', 'value': '€5.00m', 'clubID': '368'}, {'age': '24', 'date': 'Oct 27, 2016', 'clubName': 'Sevilla FC', 'value': '€7.50m', 'clubID': '368'}, {'age': '24', 'date': 'Jan 24, 2017', 'clubName': 'Sevilla FC', 'value': '€10.00m', 'clubID': '368'}, {'age': '25', 'date': 'Jun 5, 2017', 'clubName': 'Sevilla FC', 'value': '€15.00m', 'clubID': '368'}, {'age': '25', 'date': 'Jan 1, 2018', 'clubName': 'Sevilla FC', 'value': '€18.00m', 'clubID': '368'}, {'age': '25', 'date': 'Mar 22, 2018', 'clubName': 'Sevilla FC', 'value': '€20.00m', 'clubID': '368'}, {'age': '26', 'date': 'May 30, 2018', 'clubName': 'Sevilla FC', 'value': '€20.00m', 'clubID': '368'}, {'age': '26', 'date': 'Aug 11, 2018', 'clubName': 'Sevilla FC', 'value': '€30.00m', 'clubID': '368'}, {'age': '26', 'date': 'Oct 31, 2018', 'clubName': 'Sevilla FC', 'value': '€35.00m', 'clubID': '368'}, {'age': '26', 'date': 'Dec 21, 2018', 'clubName': 'Sevilla FC', 'value': '€40.00m', 'clubID': '368'}, {'age': '27', 'date': 'Jun 11, 2019', 'clubName': 'Sevilla FC', 'value': '€40.00m', 'clubID': '368'}, {'age': '27', 'date': 'Dec 19, 2019', 'clubName': 'Paris Saint-Germain', 'value': '€35.00m', 'clubID': '583'}, {'age': '27', 'date': 'Apr 8, 2020', 'clubName': 'Paris Saint-Germain', 'value': '€28.00m', 'clubID': '583'}, {'age': '28', 'date': 'Oct 15, 2020', 'clubName': 'Paris Saint-Germain', 'value': '€25.00m', 'clubID': '583'}, {'age': '29', 'date': 'May 31, 2021', 'clubName': 'Paris Saint-Germain', 'value': '€22.00m', 'clubID': '583'}, {'age': '29', 'date': 'Jul 15, 2021', 'clubName': 'Paris Saint-Germain', 'value': '€25.00m', 'clubID': '583'}, {'age': '29', 'date': 'Dec 27, 2021', 'clubName': 'Sporting CP', 'value': '€25.00m', 'clubID': '336'}, {'age': '30', 'date': 'May 31, 2022', 'clubName': 'Sporting CP', 'value': '€25.00m', 'clubID': '336'}, {'age': '30', 'date': 'Sep 19, 2022', 'clubName': 'Paris Saint-Germain', 'value': '€22.00m', 'clubID': '583'}, {'age': '30', 'date': 'Nov 2, 2022', 'clubName': 'Paris Saint-Germain', 'value': '€20.00m', 'clubID': '583'}, {'age': '30', 'date': 'Mar 16, 2023', 'clubName': 'Wolverhampton Wanderers', 'value': '€16.00m', 'clubID': '543'}, {'age': '31', 'date': 'Jun 20, 2023', 'clubName': 'Wolverhampton Wanderers', 'value': '€14.00m', 'clubID': '543'}, {'age': '31', 'date': 'Dec 19, 2023', 'clubName': 'Wolverhampton Wanderers', 'value': '€12.00m', 'clubID': '543'}], 'ranking': {'Worldwide': '854', 'Premier League': '287', 'Wolves': '10', 'Spain': '67', 'Right Winger': '70', 'Year 1992': '24'}, 'updatedAt': datetime.datetime(2024, 5, 23, 22, 31, 46, 181045)}</t>
        </is>
      </c>
      <c r="L175" t="inlineStr">
        <is>
          <t>Spain</t>
        </is>
      </c>
      <c r="M175" t="inlineStr">
        <is>
          <t>1992-05-11</t>
        </is>
      </c>
      <c r="N175" t="inlineStr">
        <is>
          <t>27</t>
        </is>
      </c>
      <c r="O175">
        <f>(25+22+20)/3</f>
        <v/>
      </c>
      <c r="P175">
        <f>(22+25+25)/3</f>
        <v/>
      </c>
    </row>
    <row r="176">
      <c r="A176" t="inlineStr">
        <is>
          <t>Matheus Nunes</t>
        </is>
      </c>
      <c r="B176" t="inlineStr">
        <is>
          <t>Sporting CP</t>
        </is>
      </c>
      <c r="C176" t="inlineStr">
        <is>
          <t>Midfielder</t>
        </is>
      </c>
      <c r="D176" t="n">
        <v>509</v>
      </c>
      <c r="E176" t="n">
        <v>6</v>
      </c>
      <c r="F176" t="n">
        <v>0</v>
      </c>
      <c r="G176" t="n">
        <v>2</v>
      </c>
      <c r="H176" t="n">
        <v>64.3</v>
      </c>
      <c r="I176" t="n">
        <v>33</v>
      </c>
      <c r="J176" t="n">
        <v>601883</v>
      </c>
      <c r="K176" t="inlineStr">
        <is>
          <t>{'marketValueHistory': [{'date': '17/08/2020', 'age': '21', 'clubName': 'Sporting CP', 'clubID': '336', 'value': '€3.00m'}, {'date': '28/01/2021', 'age': '22', 'clubName': 'Sporting CP', 'clubID': '336', 'value': '€5.00m'}, {'date': '21/05/2021', 'age': '22', 'clubName': 'Sporting CP', 'clubID': '336', 'value': '€5.00m'}, {'date': '21/09/2021', 'age': '23', 'clubName': 'Sporting CP', 'clubID': '336', 'value': '€10.00m'}, {'date': '27/12/2021', 'age': '23', 'clubName': 'Sporting CP', 'clubID': '336', 'value': '€22.00m'}, {'date': '10/03/2022', 'age': '23', 'clubName': 'Sporting CP', 'clubID': '336', 'value': '€30.00m'}, {'date': '31/05/2022', 'age': '23', 'clubName': 'Sporting CP', 'clubID': '336', 'value': '€35.00m'}, {'date': '15/09/2022', 'age': '24', 'clubName': 'Wolverhampton Wanderers', 'clubID': '543', 'value': '€45.00m'}, {'date': '03/11/2022', 'age': '24', 'clubName': 'Wolverhampton Wanderers', 'clubID': '543', 'value': '€45.00m'}, {'date': '20/06/2023', 'age': '24', 'clubName': 'Wolverhampton Wanderers', 'clubID': '543', 'value': '€45.00m'}, {'date': '09/10/2023', 'age': '25', 'clubName': 'Manchester City', 'clubID': '281', 'value': '€55.00m'}, {'date': '19/12/2023', 'age': '25', 'clubName': 'Manchester City', 'clubID': '281', 'value': '€55.00m'}, {'date': '14/03/2024', 'age': '25', 'clubName': 'Manchester City', 'clubID': '281', 'value': '€50.00m'}, {'date': '27/05/2024', 'age': '25', 'clubName': 'Manchester City', 'clubID': '281', 'value': '€50.00m'}, {'date': '01/10/2024', 'age': '26', 'clubName': 'Manchester City', 'clubID': '281', 'value': '€40.00m'}, {'date': '16/12/2024', 'age': '26', 'clubName': 'Manchester City', 'clubID': '281', 'value': '€40.00m'}, {'date': '18/03/2025', 'age': '26', 'clubName': 'Manchester City', 'clubID': '281', 'value': '€35.00m'}, {'date': '30/05/2025', 'age': '26', 'clubName': 'Manchester City', 'clubID': '281', 'value': '€35.00m'}, {'date': '09/12/2025', 'age': '27', 'clubName': 'Manchester City', 'clubID': '281', 'value': '€38.00m'}, {'date': '09/03/2026', 'age': '27', 'clubName': 'Manchester City', 'clubID': '281', 'value': '€45.00m'}]}</t>
        </is>
      </c>
      <c r="L176" t="inlineStr">
        <is>
          <t>England</t>
        </is>
      </c>
      <c r="M176" t="inlineStr">
        <is>
          <t>1998-01-10</t>
        </is>
      </c>
      <c r="N176" t="inlineStr">
        <is>
          <t>Portugal</t>
        </is>
      </c>
      <c r="O176">
        <f>(30+35+45+45)/4</f>
        <v/>
      </c>
      <c r="P176">
        <f>(5+5+10+22)/4</f>
        <v/>
      </c>
    </row>
    <row r="177">
      <c r="A177" t="inlineStr">
        <is>
          <t>Rodrygo</t>
        </is>
      </c>
      <c r="B177" t="inlineStr">
        <is>
          <t>Real Madrid</t>
        </is>
      </c>
      <c r="C177" t="inlineStr">
        <is>
          <t>Forward</t>
        </is>
      </c>
      <c r="D177" t="n">
        <v>505</v>
      </c>
      <c r="E177" t="n">
        <v>11</v>
      </c>
      <c r="F177" t="n">
        <v>5</v>
      </c>
      <c r="G177" t="n">
        <v>2</v>
      </c>
      <c r="H177" t="n">
        <v>65.8</v>
      </c>
      <c r="I177" t="n">
        <v>33.1</v>
      </c>
      <c r="J177" t="n">
        <v>412363</v>
      </c>
      <c r="K177" t="inlineStr">
        <is>
          <t>{'marketValueHistory': [{'date': 'Dec 7, 2017', 'age': '16', 'clubName': 'Santos FC', 'clubID': '221', 'value': '€100k'}, {'date': 'May 23, 2018', 'age': '17', 'clubName': 'Santos FC', 'clubID': '221', 'value': '€10.00m'}, {'date': 'Feb 18, 2019', 'age': '18', 'clubName': 'Santos FC', 'clubID': '221', 'value': '€40.00m'}, {'date': 'Aug 1, 2019', 'age': '18', 'clubName': 'Real Madrid', 'clubID': '418', 'value': '€40.00m'}, {'date': 'Dec 20, 2019', 'age': '18', 'clubName': 'Real Madrid', 'clubID': '418', 'value': '€50.00m'}, {'date': 'Apr 8, 2020', 'age': '19', 'clubName': 'Real Madrid', 'clubID': '418', 'value': '€45.00m'}, {'date': 'Oct 8, 2020', 'age': '19', 'clubName': 'Real Madrid', 'clubID': '418', 'value': '€45.00m'}, {'date': 'Jan 5, 2021', 'age': '19', 'clubName': 'Real Madrid', 'clubID': '418', 'value': '€45.00m'}, {'date': 'Jun 10, 2021', 'age': '20', 'clubName': 'Real Madrid', 'clubID': '418', 'value': '€35.00m'}, {'date': 'Dec 30, 2021', 'age': '20', 'clubName': 'Real Madrid', 'clubID': '418', 'value': '€40.00m'}, {'date': 'Jun 3, 2022', 'age': '21', 'clubName': 'Real Madrid', 'clubID': '418', 'value': '€60.00m'}, {'date': 'Sep 23, 2022', 'age': '21', 'clubName': 'Real Madrid', 'clubID': '418', 'value': '€70.00m'}, {'date': 'Nov 7, 2022', 'age': '21', 'clubName': 'Real Madrid', 'clubID': '418', 'value': '€80.00m'}, {'date': 'Jun 13, 2023', 'age': '22', 'clubName': 'Real Madrid', 'clubID': '418', 'value': '€100.00m'}, {'date': 'Dec 22, 2023', 'age': '22', 'clubName': 'Real Madrid', 'clubID': '418', 'value': '€100.00m'}, {'date': 'Jun 7, 2024', 'age': '23', 'clubName': 'Real Madrid', 'clubID': '418', 'value': '€110.00m'}, {'date': 'Dec 27, 2024', 'age': '23', 'clubName': 'Real Madrid', 'clubID': '418', 'value': '€100.00m'}, {'date': 'Jun 9, 2025', 'age': '24', 'clubName': 'Real Madrid', 'clubID': '418', 'value': '€90.00m'}, {'date': 'Oct 2, 2025', 'age': '24', 'clubName': 'Real Madrid', 'clubID': '418', 'value': '€80.00m'}, {'date': 'Dec 12, 2025', 'age': '24', 'clubName': 'Real Madrid', 'clubID': '418', 'value': '€60.00m'}, {'date': 'Mar 16, 2026', 'age': '25', 'clubName': 'Real Madrid', 'clubID': '418', 'value': '€50.00m'}]}</t>
        </is>
      </c>
      <c r="L177" t="inlineStr">
        <is>
          <t>Spain</t>
        </is>
      </c>
      <c r="M177" t="inlineStr">
        <is>
          <t>2001-01-09</t>
        </is>
      </c>
      <c r="N177" t="inlineStr">
        <is>
          <t>Brazil</t>
        </is>
      </c>
      <c r="O177">
        <f>(60+70+80)/3</f>
        <v/>
      </c>
      <c r="P177">
        <f>(45+35+40)/3</f>
        <v/>
      </c>
    </row>
    <row r="178">
      <c r="A178" t="inlineStr">
        <is>
          <t>James</t>
        </is>
      </c>
      <c r="B178" t="inlineStr">
        <is>
          <t>Chelsea</t>
        </is>
      </c>
      <c r="C178" t="inlineStr">
        <is>
          <t>Defender</t>
        </is>
      </c>
      <c r="D178" t="n">
        <v>505</v>
      </c>
      <c r="E178" t="n">
        <v>6</v>
      </c>
      <c r="F178" t="n">
        <v>1</v>
      </c>
      <c r="G178" t="n">
        <v>0</v>
      </c>
      <c r="H178" t="n">
        <v>54.6</v>
      </c>
      <c r="I178" t="n">
        <v>33</v>
      </c>
      <c r="J178" t="n">
        <v>88103</v>
      </c>
      <c r="K178" t="inlineStr">
        <is>
          <t>{'id': '88103', 'marketValue': '€4.50m', 'marketValueHistory': [{'age': '17', 'date': 'Mar 12, 2009', 'clubName': 'CA Banfield', 'value': '€250k', 'clubID': '830'}, {'age': '17', 'date': 'May 27, 2009', 'clubName': 'CA Banfield', 'value': '€400k', 'clubID': '830'}, {'age': '18', 'date': 'Oct 6, 2009', 'clubName': 'CA Banfield', 'value': '€1.00m', 'clubID': '830'}, {'age': '18', 'date': 'Jan 21, 2010', 'clubName': 'CA Banfield', 'value': '€2.00m', 'clubID': '830'}, {'age': '18', 'date': 'Apr 20, 2010', 'clubName': 'CA Banfield', 'value': '€2.50m', 'clubID': '830'}, {'age': '19', 'date': 'Jul 14, 2010', 'clubName': 'FC Porto', 'value': '€4.50m', 'clubID': '720'}, {'age': '19', 'date': 'Jun 15, 2011', 'clubName': 'FC Porto', 'value': '€7.00m', 'clubID': '720'}, {'age': '20', 'date': 'Sep 21, 2011', 'clubName': 'FC Porto', 'value': '€9.70m', 'clubID': '720'}, {'age': '20', 'date': 'Feb 2, 2012', 'clubName': 'FC Porto', 'value': '€13.00m', 'clubID': '720'}, {'age': '20', 'date': 'Jul 7, 2012', 'clubName': 'FC Porto', 'value': '€18.00m', 'clubID': '720'}, {'age': '21', 'date': 'Apr 4, 2013', 'clubName': 'FC Porto', 'value': '€23.00m', 'clubID': '720'}, {'age': '21', 'date': 'Jul 2, 2013', 'clubName': 'AS Monaco', 'value': '€32.00m', 'clubID': '162'}, {'age': '22', 'date': 'Jan 14, 2014', 'clubName': 'AS Monaco', 'value': '€35.00m', 'clubID': '162'}, {'age': '23', 'date': 'Jul 22, 2014', 'clubName': 'Real Madrid', 'value': '€60.00m', 'clubID': '418'}, {'age': '23', 'date': 'Jan 23, 2015', 'clubName': 'Real Madrid', 'value': '€60.00m', 'clubID': '418'}, {'age': '23', 'date': 'Jul 1, 2015', 'clubName': 'Real Madrid', 'value': '€80.00m', 'clubID': '418'}, {'age': '24', 'date': 'Feb 22, 2016', 'clubName': 'Real Madrid', 'value': '€80.00m', 'clubID': '418'}, {'age': '24', 'date': 'Apr 7, 2016', 'clubName': 'Real Madrid', 'value': '€70.00m', 'clubID': '418'}, {'age': '25', 'date': 'Jul 15, 2016', 'clubName': 'Real Madrid', 'value': '€70.00m', 'clubID': '418'}, {'age': '25', 'date': 'Jan 24, 2017', 'clubName': 'Real Madrid', 'value': '€50.00m', 'clubID': '418'}, {'age': '25', 'date': 'Jun 5, 2017', 'clubName': 'Real Madrid', 'value': '€50.00m', 'clubID': '418'}, {'age': '26', 'date': 'Dec 28, 2017', 'clubName': 'Bayern Munich', 'value': '€50.00m', 'clubID': '27'}, {'age': '26', 'date': 'Apr 4, 2018', 'clubName': 'Bayern Munich', 'value': '€65.00m', 'clubID': '27'}, {'age': '26', 'date': 'Jun 5, 2018', 'clubName': 'Bayern Munich', 'value': '€70.00m', 'clubID': '27'}, {'age': '27', 'date': 'Jul 16, 2018', 'clubName': 'Bayern Munich', 'value': '€80.00m', 'clubID': '27'}, {'age': '27', 'date': 'Dec 18, 2018', 'clubName': 'Bayern Munich', 'value': '€65.00m', 'clubID': '27'}, {'age': '27', 'date': 'Jun 5, 2019', 'clubName': 'Bayern Munich', 'value': '€50.00m', 'clubID': '27'}, {'age': '28', 'date': 'Dec 20, 2019', 'clubName': 'Real Madrid', 'value': '€40.00m', 'clubID': '418'}, {'age': '28', 'date': 'Apr 8, 2020', 'clubName': 'Real Madrid', 'value': '€32.00m', 'clubID': '418'}, {'age': '29', 'date': 'Oct 13, 2020', 'clubName': 'Everton FC', 'value': '€35.00m', 'clubID': '29'}, {'age': '29', 'date': 'Mar 18, 2021', 'clubName': 'Everton FC', 'value': '€30.00m', 'clubID': '29'}, {'age': '29', 'date': 'Jun 8, 2021', 'clubName': 'Everton FC', 'value': '€28.00m', 'clubID': '29'}, {'age': '30', 'date': 'Oct 5, 2021', 'clubName': 'Al-Rayyan SC', 'value': '€20.00m', 'clubID': '3229'}, {'age': '30', 'date': 'Jan 10, 2022', 'clubName': 'Al-Rayyan SC', 'value': '€15.00m', 'clubID': '3229'}, {'age': '30', 'date': 'May 25, 2022', 'clubName': 'Al-Rayyan SC', 'value': '€13.00m', 'clubID': '3229'}, {'age': '31', 'date': 'Nov 7, 2022', 'clubName': 'Olympiacos Piraeus', 'value': '€9.00m', 'clubID': '683'}, {'age': '31', 'date': 'May 22, 2023', 'clubName': 'Without Club', 'value': '€6.00m', 'clubID': '515'}, {'age': '32', 'date': 'Dec 11, 2023', 'clubName': 'São Paulo Futebol Clube', 'value': '€5.00m', 'clubID': '585'}, {'age': '32', 'date': 'Mar 28, 2024', 'clubName': 'São Paulo Futebol Clube', 'value': '€4.50m', 'clubID': '585'}], 'ranking': {'Worldwide': '2.148', 'Série A': '89', 'São Paulo': '6', 'Colombia': '23', 'Attacking Midfield': '196', 'Year 1991': '36'}, 'updatedAt': datetime.datetime(2024, 5, 23, 22, 17, 19, 663437)}</t>
        </is>
      </c>
      <c r="L178" t="inlineStr">
        <is>
          <t>Spain</t>
        </is>
      </c>
      <c r="M178" t="inlineStr">
        <is>
          <t>1991-07-12</t>
        </is>
      </c>
      <c r="N178" t="inlineStr">
        <is>
          <t>124</t>
        </is>
      </c>
      <c r="O178">
        <f>(15+13+9)/3</f>
        <v/>
      </c>
      <c r="P178">
        <f>(30+28+20)/3</f>
        <v/>
      </c>
    </row>
    <row r="179">
      <c r="A179" t="inlineStr">
        <is>
          <t>Aebischer</t>
        </is>
      </c>
      <c r="B179" t="inlineStr">
        <is>
          <t>Young Boys</t>
        </is>
      </c>
      <c r="C179" t="inlineStr">
        <is>
          <t>Midfielder</t>
        </is>
      </c>
      <c r="D179" t="n">
        <v>504</v>
      </c>
      <c r="E179" t="n">
        <v>6</v>
      </c>
      <c r="F179" t="n">
        <v>0</v>
      </c>
      <c r="G179" t="n">
        <v>1</v>
      </c>
      <c r="H179" t="n">
        <v>53.9</v>
      </c>
      <c r="I179" t="n">
        <v>31.4</v>
      </c>
      <c r="J179" t="n">
        <v>237658</v>
      </c>
      <c r="K179" t="inlineStr">
        <is>
          <t>{'marketValueHistory': [{'date': '20/12/2016', 'age': '19', 'clubName': 'BSC Young Boys U21', 'clubID': '5508', 'value': '€100k'}, {'date': '14/04/2017', 'age': '20', 'clubName': 'BSC Young Boys', 'clubID': '452', 'value': '€400k'}, {'date': '12/07/2017', 'age': '20', 'clubName': 'BSC Young Boys', 'clubID': '452', 'value': '€900k'}, {'date': '08/01/2018', 'age': '21', 'clubName': 'BSC Young Boys', 'clubID': '452', 'value': '€900k'}, {'date': '24/04/2018', 'age': '21', 'clubName': 'BSC Young Boys', 'clubID': '452', 'value': '€900k'}, {'date': '12/07/2018', 'age': '21', 'clubName': 'BSC Young Boys', 'clubID': '452', 'value': '€2.00m'}, {'date': '19/10/2018', 'age': '21', 'clubName': 'BSC Young Boys', 'clubID': '452', 'value': '€2.50m'}, {'date': '21/01/2019', 'age': '22', 'clubName': 'BSC Young Boys', 'clubID': '452', 'value': '€3.00m'}, {'date': '15/04/2019', 'age': '22', 'clubName': 'BSC Young Boys', 'clubID': '452', 'value': '€4.50m'}, {'date': '04/06/2019', 'age': '22', 'clubName': 'BSC Young Boys', 'clubID': '452', 'value': '€4.50m'}, {'date': '06/01/2020', 'age': '23', 'clubName': 'BSC Young Boys', 'clubID': '452', 'value': '€5.50m'}, {'date': '08/04/2020', 'age': '23', 'clubName': 'BSC Young Boys', 'clubID': '452', 'value': '€4.50m'}, {'date': '31/07/2020', 'age': '23', 'clubName': 'BSC Young Boys', 'clubID': '452', 'value': '€4.50m'}, {'date': '28/12/2020', 'age': '23', 'clubName': 'BSC Young Boys', 'clubID': '452', 'value': '€3.50m'}, {'date': '23/06/2021', 'age': '24', 'clubName': 'BSC Young Boys', 'clubID': '452', 'value': '€3.50m'}, {'date': '03/01/2022', 'age': '24', 'clubName': 'BSC Young Boys', 'clubID': '452', 'value': '€3.50m'}, {'date': '07/06/2022', 'age': '25', 'clubName': 'Bologna FC 1909', 'clubID': '1025', 'value': '€3.50m'}, {'date': '11/11/2022', 'age': '25', 'clubName': 'Bologna FC 1909', 'clubID': '1025', 'value': '€3.50m'}, {'date': '15/06/2023', 'age': '26', 'clubName': 'Bologna FC 1909', 'clubID': '1025', 'value': '€4.00m'}, {'date': '20/12/2023', 'age': '26', 'clubName': 'Bologna FC 1909', 'clubID': '1025', 'value': '€6.00m'}, {'date': '05/06/2024', 'age': '27', 'clubName': 'Bologna FC 1909', 'clubID': '1025', 'value': '€9.00m'}, {'date': '18/07/2024', 'age': '27', 'clubName': 'Bologna FC 1909', 'clubID': '1025', 'value': '€11.00m'}, {'date': '18/12/2024', 'age': '27', 'clubName': 'Bologna FC 1909', 'clubID': '1025', 'value': '€10.00m'}, {'date': '17/06/2025', 'age': '28', 'clubName': 'Bologna FC 1909', 'clubID': '1025', 'value': '€7.50m'}, {'date': '07/10/2025', 'age': '28', 'clubName': 'Pisa Sporting Club', 'clubID': '4172', 'value': '€4.50m'}, {'date': '23/12/2025', 'age': '28', 'clubName': 'Pisa Sporting Club', 'clubID': '4172', 'value': '€4.50m'}]}</t>
        </is>
      </c>
      <c r="L179" t="inlineStr">
        <is>
          <t>Switzerland</t>
        </is>
      </c>
      <c r="M179" t="inlineStr">
        <is>
          <t>1997-01-06</t>
        </is>
      </c>
      <c r="N179" t="inlineStr">
        <is>
          <t>Switzerland</t>
        </is>
      </c>
      <c r="O179">
        <f>(3.5+3.5+3.5)/3</f>
        <v/>
      </c>
      <c r="P179">
        <f>3.5</f>
        <v/>
      </c>
    </row>
    <row r="180">
      <c r="A180" t="inlineStr">
        <is>
          <t>Bellingham</t>
        </is>
      </c>
      <c r="B180" t="inlineStr">
        <is>
          <t>Dortmund</t>
        </is>
      </c>
      <c r="C180" t="inlineStr">
        <is>
          <t>Midfielder</t>
        </is>
      </c>
      <c r="D180" t="n">
        <v>503</v>
      </c>
      <c r="E180" t="n">
        <v>6</v>
      </c>
      <c r="F180" t="n">
        <v>1</v>
      </c>
      <c r="G180" t="n">
        <v>3</v>
      </c>
      <c r="H180" t="n">
        <v>62.3</v>
      </c>
      <c r="I180" t="n">
        <v>31.2</v>
      </c>
      <c r="J180" t="n">
        <v>581678</v>
      </c>
      <c r="K180" t="inlineStr">
        <is>
          <t>{'marketValueHistory': [{'date': '17/10/2019', 'age': '16', 'clubName': 'Birmingham City', 'clubID': '337', 'value': '€2.50m'}, {'date': '27/02/2020', 'age': '16', 'clubName': 'Birmingham City', 'clubID': '337', 'value': '€12.00m'}, {'date': '08/04/2020', 'age': '16', 'clubName': 'Birmingham City', 'clubID': '337', 'value': '€11.00m'}, {'date': '16/09/2020', 'age': '17', 'clubName': 'Borussia Dortmund', 'clubID': '16', 'value': '€27.00m'}, {'date': '10/02/2021', 'age': '17', 'clubName': 'Borussia Dortmund', 'clubID': '16', 'value': '€35.00m'}, {'date': '28/05/2021', 'age': '17', 'clubName': 'Borussia Dortmund', 'clubID': '16', 'value': '€55.00m'}, {'date': '07/10/2021', 'age': '18', 'clubName': 'Borussia Dortmund', 'clubID': '16', 'value': '€70.00m'}, {'date': '22/12/2021', 'age': '18', 'clubName': 'Borussia Dortmund', 'clubID': '16', 'value': '€75.00m'}, {'date': '09/06/2022', 'age': '18', 'clubName': 'Borussia Dortmund', 'clubID': '16', 'value': '€80.00m'}, {'date': '21/09/2022', 'age': '19', 'clubName': 'Borussia Dortmund', 'clubID': '16', 'value': '€90.00m'}, {'date': '09/11/2022', 'age': '19', 'clubName': 'Borussia Dortmund', 'clubID': '16', 'value': '€100.00m'}, {'date': '23/12/2022', 'age': '19', 'clubName': 'Borussia Dortmund', 'clubID': '16', 'value': '€110.00m'}, {'date': '29/03/2023', 'age': '19', 'clubName': 'Borussia Dortmund', 'clubID': '16', 'value': '€120.00m'}, {'date': '22/06/2023', 'age': '19', 'clubName': 'Borussia Dortmund', 'clubID': '16', 'value': '€120.00m'}, {'date': '13/10/2023', 'age': '20', 'clubName': 'Real Madrid', 'clubID': '418', 'value': '€150.00m'}, {'date': '22/12/2023', 'age': '20', 'clubName': 'Real Madrid', 'clubID': '418', 'value': '€180.00m'}, {'date': '07/06/2024', 'age': '20', 'clubName': 'Real Madrid', 'clubID': '418', 'value': '€180.00m'}, {'date': '27/12/2024', 'age': '21', 'clubName': 'Real Madrid', 'clubID': '418', 'value': '€180.00m'}, {'date': '09/06/2025', 'age': '21', 'clubName': 'Real Madrid', 'clubID': '418', 'value': '€180.00m'}, {'date': '12/12/2025', 'age': '22', 'clubName': 'Real Madrid', 'clubID': '418', 'value': '€160.00m'}, {'date': '16/03/2026', 'age': '22', 'clubName': 'Real Madrid', 'clubID': '418', 'value': '€140.00m'}]}</t>
        </is>
      </c>
      <c r="L180" t="inlineStr">
        <is>
          <t>Spain</t>
        </is>
      </c>
      <c r="M180" t="inlineStr">
        <is>
          <t>2004-09-06</t>
        </is>
      </c>
      <c r="N180" t="inlineStr">
        <is>
          <t>46</t>
        </is>
      </c>
      <c r="O180">
        <f>(80+90+100+110)/4</f>
        <v/>
      </c>
      <c r="P180">
        <f>(35+55+70+75)/4</f>
        <v/>
      </c>
    </row>
    <row r="181">
      <c r="A181" t="inlineStr">
        <is>
          <t>Zinchenko</t>
        </is>
      </c>
      <c r="B181" t="inlineStr">
        <is>
          <t>Man City</t>
        </is>
      </c>
      <c r="C181" t="inlineStr">
        <is>
          <t>Defender</t>
        </is>
      </c>
      <c r="D181" t="n">
        <v>501</v>
      </c>
      <c r="E181" t="n">
        <v>8</v>
      </c>
      <c r="F181" t="n">
        <v>0</v>
      </c>
      <c r="G181" t="n">
        <v>1</v>
      </c>
      <c r="H181" t="n">
        <v>64.5</v>
      </c>
      <c r="I181" t="n">
        <v>31.7</v>
      </c>
      <c r="J181" t="n">
        <v>203853</v>
      </c>
      <c r="K181" t="inlineStr">
        <is>
          <t>{'marketValueHistory': [{'date': '20/03/2015', 'age': '18', 'clubName': 'FC Ufa', 'clubID': '28095', 'value': '€800k'}, {'date': '18/06/2015', 'age': '18', 'clubName': 'FC Ufa', 'clubID': '28095', 'value': '€650k'}, {'date': '06/01/2016', 'age': '19', 'clubName': 'FC Ufa', 'clubID': '28095', 'value': '€4.00m'}, {'date': '01/06/2016', 'age': '19', 'clubName': 'FC Ufa', 'clubID': '28095', 'value': '€4.00m'}, {'date': '01/08/2016', 'age': '19', 'clubName': 'Manchester City', 'clubID': '281', 'value': '€4.00m'}, {'date': '18/01/2017', 'age': '20', 'clubName': 'PSV Eindhoven', 'clubID': '383', 'value': '€4.50m'}, {'date': '07/06/2017', 'age': '20', 'clubName': 'PSV Eindhoven', 'clubID': '383', 'value': '€4.50m'}, {'date': '02/01/2018', 'age': '21', 'clubName': 'Manchester City', 'clubID': '281', 'value': '€4.50m'}, {'date': '23/03/2018', 'age': '21', 'clubName': 'Manchester City', 'clubID': '281', 'value': '€6.00m'}, {'date': '28/05/2018', 'age': '21', 'clubName': 'Manchester City', 'clubID': '281', 'value': '€7.00m'}, {'date': '10/08/2018', 'age': '21', 'clubName': 'Manchester City', 'clubID': '281', 'value': '€15.00m'}, {'date': '19/12/2018', 'age': '22', 'clubName': 'Manchester City', 'clubID': '281', 'value': '€15.00m'}, {'date': '13/06/2019', 'age': '22', 'clubName': 'Manchester City', 'clubID': '281', 'value': '€20.00m'}, {'date': '12/09/2019', 'age': '22', 'clubName': 'Manchester City', 'clubID': '281', 'value': '€30.00m'}, {'date': '10/12/2019', 'age': '22', 'clubName': 'Manchester City', 'clubID': '281', 'value': '€30.00m'}, {'date': '08/04/2020', 'age': '23', 'clubName': 'Manchester City', 'clubID': '281', 'value': '€24.00m'}, {'date': '13/10/2020', 'age': '23', 'clubName': 'Manchester City', 'clubID': '281', 'value': '€20.00m'}, {'date': '18/03/2021', 'age': '24', 'clubName': 'Manchester City', 'clubID': '281', 'value': '€20.00m'}, {'date': '27/05/2021', 'age': '24', 'clubName': 'Manchester City', 'clubID': '281', 'value': '€25.00m'}, {'date': '15/07/2021', 'age': '24', 'clubName': 'Manchester City', 'clubID': '281', 'value': '€28.00m'}, {'date': '23/12/2021', 'age': '25', 'clubName': 'Manchester City', 'clubID': '281', 'value': '€25.00m'}, {'date': '15/06/2022', 'age': '25', 'clubName': 'Manchester City', 'clubID': '281', 'value': '€25.00m'}, {'date': '15/09/2022', 'age': '25', 'clubName': 'Arsenal FC', 'clubID': '11', 'value': '€32.00m'}, {'date': '03/11/2022', 'age': '25', 'clubName': 'Arsenal FC', 'clubID': '11', 'value': '€32.00m'}, {'date': '16/03/2023', 'age': '26', 'clubName': 'Arsenal FC', 'clubID': '11', 'value': '€40.00m'}, {'date': '20/06/2023', 'age': '26', 'clubName': 'Arsenal FC', 'clubID': '11', 'value': '€42.00m'}, {'date': '19/12/2023', 'age': '27', 'clubName': 'Arsenal FC', 'clubID': '11', 'value': '€42.00m'}, {'date': '27/05/2024', 'age': '27', 'clubName': 'Arsenal FC', 'clubID': '11', 'value': '€38.00m'}, {'date': '01/10/2024', 'age': '27', 'clubName': 'Arsenal FC', 'clubID': '11', 'value': '€35.00m'}, {'date': '16/12/2024', 'age': '28', 'clubName': 'Arsenal FC', 'clubID': '11', 'value': '€30.00m'}, {'date': '18/03/2025', 'age': '28', 'clubName': 'Arsenal FC', 'clubID': '11', 'value': '€22.00m'}, {'date': '30/05/2025', 'age': '28', 'clubName': 'Arsenal FC', 'clubID': '11', 'value': '€20.00m'}, {'date': '17/10/2025', 'age': '28', 'clubName': 'Nottingham Forest', 'clubID': '703', 'value': '€18.00m'}, {'date': '09/12/2025', 'age': '28', 'clubName': 'Nottingham Forest', 'clubID': '703', 'value': '€15.00m'}, {'date': '11/03/2026', 'age': '29', 'clubName': 'Ajax Amsterdam', 'clubID': '610', 'value': '€10.00m'}]}</t>
        </is>
      </c>
      <c r="L181" t="inlineStr">
        <is>
          <t>Ukraine</t>
        </is>
      </c>
      <c r="M181" t="inlineStr">
        <is>
          <t>1996-12-15</t>
        </is>
      </c>
      <c r="N181" t="inlineStr">
        <is>
          <t>Ukraine</t>
        </is>
      </c>
      <c r="O181">
        <f>(25+32+32)/3</f>
        <v/>
      </c>
      <c r="P181">
        <f>(20+25+28+25)/4</f>
        <v/>
      </c>
    </row>
    <row r="182">
      <c r="A182" t="inlineStr">
        <is>
          <t>De Ketelaere</t>
        </is>
      </c>
      <c r="B182" t="inlineStr">
        <is>
          <t>Club Brugge</t>
        </is>
      </c>
      <c r="C182" t="inlineStr">
        <is>
          <t>Forward</t>
        </is>
      </c>
      <c r="D182" t="n">
        <v>500</v>
      </c>
      <c r="E182" t="n">
        <v>6</v>
      </c>
      <c r="F182" t="n">
        <v>0</v>
      </c>
      <c r="G182" t="n">
        <v>1</v>
      </c>
      <c r="H182" t="n">
        <v>58.5</v>
      </c>
      <c r="I182" t="n">
        <v>32.7</v>
      </c>
      <c r="J182" t="n">
        <v>435772</v>
      </c>
      <c r="K182" t="inlineStr">
        <is>
          <t>{'marketValueHistory': [{'date': '13/09/2019', 'age': '18', 'clubName': 'Club Brugge KV', 'clubID': '2282', 'value': '€100k'}, {'date': '13/12/2019', 'age': '18', 'clubName': 'Club Brugge KV', 'clubID': '2282', 'value': '€1.50m'}, {'date': '10/02/2020', 'age': '18', 'clubName': 'Club Brugge KV', 'clubID': '2282', 'value': '€5.00m'}, {'date': '30/03/2020', 'age': '19', 'clubName': 'Club Brugge KV', 'clubID': '2282', 'value': '€8.50m'}, {'date': '08/04/2020', 'age': '19', 'clubName': 'Club Brugge KV', 'clubID': '2282', 'value': '€7.60m'}, {'date': '06/08/2020', 'age': '19', 'clubName': 'Club Brugge KV', 'clubID': '2282', 'value': '€9.00m'}, {'date': '16/10/2020', 'age': '19', 'clubName': 'Club Brugge KV', 'clubID': '2282', 'value': '€12.00m'}, {'date': '04/01/2021', 'age': '19', 'clubName': 'Club Brugge KV', 'clubID': '2282', 'value': '€16.00m'}, {'date': '07/06/2021', 'age': '20', 'clubName': 'Club Brugge KV', 'clubID': '2282', 'value': '€16.00m'}, {'date': '06/10/2021', 'age': '20', 'clubName': 'Club Brugge KV', 'clubID': '2282', 'value': '€25.00m'}, {'date': '06/01/2022', 'age': '20', 'clubName': 'Club Brugge KV', 'clubID': '2282', 'value': '€27.00m'}, {'date': '12/04/2022', 'age': '21', 'clubName': 'Club Brugge KV', 'clubID': '2282', 'value': '€30.00m'}, {'date': '11/11/2022', 'age': '21', 'clubName': 'AC Milan', 'clubID': '5', 'value': '€30.00m'}, {'date': '21/03/2023', 'age': '22', 'clubName': 'AC Milan', 'clubID': '5', 'value': '€27.00m'}, {'date': '15/06/2023', 'age': '22', 'clubName': 'AC Milan', 'clubID': '5', 'value': '€22.00m'}, {'date': '11/10/2023', 'age': '22', 'clubName': 'Atalanta BC', 'clubID': '800', 'value': '€25.00m'}, {'date': '20/12/2023', 'age': '22', 'clubName': 'Atalanta BC', 'clubID': '800', 'value': '€25.00m'}, {'date': '12/03/2024', 'age': '23', 'clubName': 'Atalanta BC', 'clubID': '800', 'value': '€30.00m'}, {'date': '05/06/2024', 'age': '23', 'clubName': 'Atalanta BC', 'clubID': '800', 'value': '€34.00m'}, {'date': '18/12/2024', 'age': '23', 'clubName': 'Atalanta BC', 'clubID': '800', 'value': '€38.00m'}, {'date': '17/06/2025', 'age': '24', 'clubName': 'Atalanta BC', 'clubID': '800', 'value': '€35.00m'}, {'date': '23/12/2025', 'age': '24', 'clubName': 'Atalanta BC', 'clubID': '800', 'value': '€35.00m'}]}</t>
        </is>
      </c>
      <c r="L182" t="inlineStr">
        <is>
          <t>Belgium</t>
        </is>
      </c>
      <c r="M182" t="inlineStr">
        <is>
          <t>2001-03-10</t>
        </is>
      </c>
      <c r="N182" t="inlineStr">
        <is>
          <t>28</t>
        </is>
      </c>
      <c r="O182">
        <f>(27+30+30)/3</f>
        <v/>
      </c>
      <c r="P182">
        <f>(16+16+25)/3</f>
        <v/>
      </c>
    </row>
    <row r="183">
      <c r="A183" t="inlineStr">
        <is>
          <t>Colak</t>
        </is>
      </c>
      <c r="B183" t="inlineStr">
        <is>
          <t>Malmo</t>
        </is>
      </c>
      <c r="C183" t="inlineStr">
        <is>
          <t>Forward</t>
        </is>
      </c>
      <c r="D183" t="n">
        <v>500</v>
      </c>
      <c r="E183" t="n">
        <v>6</v>
      </c>
      <c r="F183" t="n">
        <v>0</v>
      </c>
      <c r="G183" t="n">
        <v>0</v>
      </c>
      <c r="H183" t="n">
        <v>63</v>
      </c>
      <c r="I183" t="n">
        <v>31.1</v>
      </c>
      <c r="J183" t="n">
        <v>77707</v>
      </c>
      <c r="K183" t="inlineStr">
        <is>
          <t>{'id': '77707', 'marketValue': '€50k', 'marketValueHistory': [{'age': '17', 'date': 'Sep 3, 2008', 'clubName': 'Galatasaray SK U21', 'value': '€100k', 'clubID': '11502'}, {'age': '19', 'date': 'Jun 22, 2010', 'clubName': 'Galatasaray', 'value': '€500k', 'clubID': '141'}, {'age': '19', 'date': 'Jan 21, 2011', 'clubName': 'Galatasaray', 'value': '€800k', 'clubID': '141'}, {'age': '20', 'date': 'Jul 1, 2011', 'clubName': 'Galatasaray', 'value': '€1.20m', 'clubID': '141'}, {'age': '20', 'date': 'Jan 9, 2012', 'clubName': 'Galatasaray', 'value': '€2.60m', 'clubID': '141'}, {'age': '21', 'date': 'Jun 19, 2012', 'clubName': 'Galatasaray', 'value': '€4.50m', 'clubID': '141'}, {'age': '21', 'date': 'Jan 6, 2013', 'clubName': 'Galatasaray', 'value': '€4.50m', 'clubID': '141'}, {'age': '22', 'date': 'Jun 15, 2013', 'clubName': 'Galatasaray', 'value': '€4.00m', 'clubID': '141'}, {'age': '22', 'date': 'Jan 27, 2014', 'clubName': 'Galatasaray', 'value': '€3.25m', 'clubID': '141'}, {'age': '23', 'date': 'Aug 11, 2014', 'clubName': 'Galatasaray', 'value': '€2.70m', 'clubID': '141'}, {'age': '23', 'date': 'Jan 26, 2015', 'clubName': 'Galatasaray', 'value': '€4.00m', 'clubID': '141'}, {'age': '24', 'date': 'Jun 25, 2015', 'clubName': 'Galatasaray', 'value': '€5.50m', 'clubID': '141'}, {'age': '24', 'date': 'Oct 8, 2015', 'clubName': 'Galatasaray', 'value': '€4.00m', 'clubID': '141'}, {'age': '24', 'date': 'Jan 18, 2016', 'clubName': 'Galatasaray', 'value': '€3.25m', 'clubID': '141'}, {'age': '25', 'date': 'Jul 15, 2016', 'clubName': 'Deportivo de La Coruña', 'value': '€3.25m', 'clubID': '897'}, {'age': '25', 'date': 'Oct 27, 2016', 'clubName': 'Deportivo de La Coruña', 'value': '€3.50m', 'clubID': '897'}, {'age': '25', 'date': 'Jan 24, 2017', 'clubName': 'Deportivo de La Coruña', 'value': '€5.00m', 'clubID': '897'}, {'age': '26', 'date': 'Jun 5, 2017', 'clubName': 'Deportivo de La Coruña', 'value': '€7.50m', 'clubID': '897'}, {'age': '26', 'date': 'Jan 1, 2018', 'clubName': 'Deportivo de La Coruña', 'value': '€4.00m', 'clubID': '897'}, {'age': '27', 'date': 'May 30, 2018', 'clubName': 'Deportivo de La Coruña', 'value': '€2.00m', 'clubID': '897'}, {'age': '27', 'date': 'Jan 8, 2019', 'clubName': 'Al-Wehda FC', 'value': '€2.20m', 'clubID': '17209'}, {'age': '28', 'date': 'Feb 11, 2020', 'clubName': 'Deportivo de La Coruña', 'value': '€1.80m', 'clubID': '897'}, {'age': '28', 'date': 'Apr 8, 2020', 'clubName': 'Deportivo de La Coruña', 'value': '€1.40m', 'clubID': '897'}, {'age': '29', 'date': 'Jul 23, 2020', 'clubName': 'Without Club', 'value': '€1.00m', 'clubID': '515'}, {'age': '29', 'date': 'Mar 16, 2021', 'clubName': 'Fatih Karagümrük', 'value': '€850k', 'clubID': '6646'}, {'age': '30', 'date': 'May 21, 2021', 'clubName': 'Without Club', 'value': '€450k', 'clubID': '515'}, {'age': '30', 'date': 'Oct 12, 2021', 'clubName': 'Hatayspor', 'value': '€450k', 'clubID': '7775'}, {'age': '30', 'date': 'Mar 31, 2022', 'clubName': 'Basaksehir FK', 'value': '€450k', 'clubID': '6890'}, {'age': '31', 'date': 'Jun 1, 2022', 'clubName': 'Basaksehir FK', 'value': '€400k', 'clubID': '6890'}, {'age': '31', 'date': 'Nov 15, 2022', 'clubName': 'Göztepe', 'value': '€200k', 'clubID': '1467'}, {'age': '31', 'date': 'Feb 13, 2023', 'clubName': 'CF Intercity', 'clubID': '67212'}, {'age': '31', 'date': 'Mar 24, 2023', 'clubName': 'CF Intercity', 'value': '€100k', 'clubID': '67212'}, {'age': '32', 'date': 'Mar 29, 2024', 'clubName': 'Without Club', 'value': '€50k', 'clubID': '515'}], 'updatedAt': datetime.datetime(2024, 5, 23, 22, 26, 7, 876750)}</t>
        </is>
      </c>
      <c r="L183" t="inlineStr">
        <is>
          <t>Turkey</t>
        </is>
      </c>
      <c r="M183" t="inlineStr">
        <is>
          <t>1991-05-20</t>
        </is>
      </c>
      <c r="N183" t="inlineStr">
        <is>
          <t>Turkey</t>
        </is>
      </c>
      <c r="O183">
        <f>(0.45+0.4+0.2)/3</f>
        <v/>
      </c>
      <c r="P183">
        <f>(0.85+0.45+0.45)/3</f>
        <v/>
      </c>
    </row>
    <row r="184">
      <c r="A184" t="inlineStr">
        <is>
          <t>Reus</t>
        </is>
      </c>
      <c r="B184" t="inlineStr">
        <is>
          <t>Dortmund</t>
        </is>
      </c>
      <c r="C184" t="inlineStr">
        <is>
          <t>Midfielder</t>
        </is>
      </c>
      <c r="D184" t="n">
        <v>499</v>
      </c>
      <c r="E184" t="n">
        <v>6</v>
      </c>
      <c r="F184" t="n">
        <v>3</v>
      </c>
      <c r="G184" t="n">
        <v>1</v>
      </c>
      <c r="H184" t="n">
        <v>62.7</v>
      </c>
      <c r="I184" t="n">
        <v>31.6</v>
      </c>
      <c r="J184" t="n">
        <v>7607</v>
      </c>
      <c r="K184" t="inlineStr">
        <is>
          <t>{'marketValueHistory': [{'date': '04/10/2004', 'age': '24', 'clubName': 'FC Barcelona', 'clubID': '131', 'value': '€8.50m'}, {'date': '20/12/2004', 'age': '24', 'clubName': 'FC Barcelona', 'clubID': '131', 'value': '€21.00m'}, {'date': '20/01/2006', 'age': '25', 'clubName': 'FC Barcelona', 'clubID': '131', 'value': '€28.00m'}, {'date': '25/06/2007', 'age': '27', 'clubName': 'FC Barcelona', 'clubID': '131', 'value': '€31.00m'}, {'date': '04/02/2008', 'age': '28', 'clubName': 'FC Barcelona', 'clubID': '131', 'value': '€28.00m'}, {'date': '22/07/2008', 'age': '28', 'clubName': 'FC Barcelona', 'clubID': '131', 'value': '€38.00m'}, {'date': '26/01/2009', 'age': '29', 'clubName': 'FC Barcelona', 'clubID': '131', 'value': '€40.00m'}, {'date': '28/04/2009', 'age': '29', 'clubName': 'FC Barcelona', 'clubID': '131', 'value': '€44.00m'}, {'date': '22/07/2009', 'age': '29', 'clubName': 'FC Barcelona', 'clubID': '131', 'value': '€50.00m'}, {'date': '03/12/2009', 'age': '29', 'clubName': 'FC Barcelona', 'clubID': '131', 'value': '€50.00m'}, {'date': '07/01/2010', 'age': '29', 'clubName': 'FC Barcelona', 'clubID': '131', 'value': '€65.00m'}, {'date': '12/04/2010', 'age': '30', 'clubName': 'FC Barcelona', 'clubID': '131', 'value': '€65.00m'}, {'date': '27/08/2010', 'age': '30', 'clubName': 'FC Barcelona', 'clubID': '131', 'value': '€50.00m'}, {'date': '04/02/2011', 'age': '31', 'clubName': 'FC Barcelona', 'clubID': '131', 'value': '€50.00m'}, {'date': '29/07/2011', 'age': '31', 'clubName': 'FC Barcelona', 'clubID': '131', 'value': '€45.00m'}, {'date': '03/02/2012', 'age': '32', 'clubName': 'FC Barcelona', 'clubID': '131', 'value': '€35.00m'}, {'date': '07/08/2012', 'age': '32', 'clubName': 'FC Barcelona', 'clubID': '131', 'value': '€30.00m'}, {'date': '10/01/2013', 'age': '32', 'clubName': 'FC Barcelona', 'clubID': '131', 'value': '€25.00m'}, {'date': '07/03/2013', 'age': '33', 'clubName': 'FC Barcelona', 'clubID': '131', 'value': '€20.00m'}, {'date': '12/06/2013', 'age': '33', 'clubName': 'FC Barcelona', 'clubID': '131', 'value': '€15.00m'}, {'date': '21/10/2013', 'age': '33', 'clubName': 'FC Barcelona', 'clubID': '131', 'value': '€10.00m'}, {'date': '23/01/2014', 'age': '33', 'clubName': 'FC Barcelona', 'clubID': '131', 'value': '€10.00m'}, {'date': '20/07/2014', 'age': '34', 'clubName': 'FC Barcelona', 'clubID': '131', 'value': '€5.00m'}, {'date': '23/01/2015', 'age': '34', 'clubName': 'FC Barcelona', 'clubID': '131', 'value': '€5.00m'}, {'date': '01/07/2015', 'age': '35', 'clubName': 'Al-Sadd SC', 'clubID': '656', 'value': '€5.00m'}, {'date': '07/02/2016', 'age': '36', 'clubName': 'Al-Sadd SC', 'clubID': '656', 'value': '€4.00m'}, {'date': '21/12/2016', 'age': '36', 'clubName': 'Al-Sadd SC', 'clubID': '656', 'value': '€3.00m'}, {'date': '05/05/2017', 'age': '37', 'clubName': 'Al-Sadd SC', 'clubID': '656', 'value': '€2.00m'}, {'date': '09/05/2018', 'age': '38', 'clubName': 'Al-Sadd SC', 'clubID': '656', 'value': '€2.00m'}, {'date': '03/05/2019', 'age': '39', 'clubName': 'Al-Sadd SC', 'clubID': '656', 'value': '€2.00m'}, {'date': '01/07/2019', 'age': '39', 'clubName': 'Retired', 'clubID': '123', 'value': '-'}]}</t>
        </is>
      </c>
      <c r="L184" t="inlineStr">
        <is>
          <t>Spain</t>
        </is>
      </c>
      <c r="M184" t="inlineStr">
        <is>
          <t>1980-01-25</t>
        </is>
      </c>
      <c r="N184" t="inlineStr">
        <is>
          <t>133</t>
        </is>
      </c>
    </row>
    <row r="185">
      <c r="A185" t="inlineStr">
        <is>
          <t>Rakitskyy</t>
        </is>
      </c>
      <c r="B185" t="inlineStr">
        <is>
          <t>Zenit</t>
        </is>
      </c>
      <c r="C185" t="inlineStr">
        <is>
          <t>Defender</t>
        </is>
      </c>
      <c r="D185" t="n">
        <v>497</v>
      </c>
      <c r="E185" t="n">
        <v>6</v>
      </c>
      <c r="F185" t="n">
        <v>1</v>
      </c>
      <c r="G185" t="n">
        <v>2</v>
      </c>
      <c r="H185" t="n">
        <v>52.3</v>
      </c>
      <c r="I185" t="n">
        <v>31.9</v>
      </c>
      <c r="J185" t="n">
        <v>89222</v>
      </c>
      <c r="K185" t="inlineStr">
        <is>
          <t>{'marketValueHistory': [{'date': '10/10/2008', 'age': '19', 'clubName': 'Shakhtar Donetsk II', 'clubID': '8963', 'value': '€50k'}, {'date': '12/01/2009', 'age': '19', 'clubName': 'Shakhtar Donetsk II', 'clubID': '8963', 'value': '€150k'}, {'date': '04/02/2009', 'age': '19', 'clubName': 'Shakhtar Donetsk II', 'clubID': '8963', 'value': '€100k'}, {'date': '21/09/2009', 'age': '20', 'clubName': 'Shakhtar Donetsk', 'clubID': '660', 'value': '€800k'}, {'date': '16/02/2010', 'age': '20', 'clubName': 'Shakhtar Donetsk', 'clubID': '660', 'value': '€3.25m'}, {'date': '28/08/2010', 'age': '21', 'clubName': 'Shakhtar Donetsk', 'clubID': '660', 'value': '€4.50m'}, {'date': '02/01/2011', 'age': '21', 'clubName': 'Shakhtar Donetsk', 'clubID': '660', 'value': '€5.50m'}, {'date': '11/03/2011', 'age': '21', 'clubName': 'Shakhtar Donetsk', 'clubID': '660', 'value': '€8.00m'}, {'date': '02/07/2012', 'age': '22', 'clubName': 'Shakhtar Donetsk', 'clubID': '660', 'value': '€10.00m'}, {'date': '22/01/2013', 'age': '23', 'clubName': 'Shakhtar Donetsk', 'clubID': '660', 'value': '€12.00m'}, {'date': '30/06/2014', 'age': '24', 'clubName': 'Shakhtar Donetsk', 'clubID': '660', 'value': '€12.00m'}, {'date': '25/12/2014', 'age': '25', 'clubName': 'Shakhtar Donetsk', 'clubID': '660', 'value': '€12.00m'}, {'date': '07/06/2015', 'age': '25', 'clubName': 'Shakhtar Donetsk', 'clubID': '660', 'value': '€10.00m'}, {'date': '18/12/2015', 'age': '26', 'clubName': 'Shakhtar Donetsk', 'clubID': '660', 'value': '€10.00m'}, {'date': '01/06/2016', 'age': '26', 'clubName': 'Shakhtar Donetsk', 'clubID': '660', 'value': '€10.00m'}, {'date': '21/07/2016', 'age': '26', 'clubName': 'Shakhtar Donetsk', 'clubID': '660', 'value': '€10.00m'}, {'date': '03/01/2017', 'age': '27', 'clubName': 'Shakhtar Donetsk', 'clubID': '660', 'value': '€10.00m'}, {'date': '26/06/2017', 'age': '27', 'clubName': 'Shakhtar Donetsk', 'clubID': '660', 'value': '€9.00m'}, {'date': '12/01/2018', 'age': '28', 'clubName': 'Shakhtar Donetsk', 'clubID': '660', 'value': '€8.50m'}, {'date': '06/08/2018', 'age': '29', 'clubName': 'Shakhtar Donetsk', 'clubID': '660', 'value': '€8.50m'}, {'date': '10/12/2018', 'age': '29', 'clubName': 'Shakhtar Donetsk', 'clubID': '660', 'value': '€7.50m'}, {'date': '24/04/2019', 'age': '29', 'clubName': 'Zenit St. Petersburg', 'clubID': '964', 'value': '€8.00m'}, {'date': '14/06/2019', 'age': '29', 'clubName': 'Zenit St. Petersburg', 'clubID': '964', 'value': '€10.00m'}, {'date': '23/12/2019', 'age': '30', 'clubName': 'Zenit St. Petersburg', 'clubID': '964', 'value': '€10.00m'}, {'date': '08/04/2020', 'age': '30', 'clubName': 'Zenit St. Petersburg', 'clubID': '964', 'value': '€8.00m'}, {'date': '29/07/2020', 'age': '30', 'clubName': 'Zenit St. Petersburg', 'clubID': '964', 'value': '€8.00m'}, {'date': '29/12/2020', 'age': '31', 'clubName': 'Zenit St. Petersburg', 'clubID': '964', 'value': '€7.00m'}, {'date': '02/06/2021', 'age': '31', 'clubName': 'Zenit St. Petersburg', 'clubID': '964', 'value': '€6.00m'}, {'date': '29/12/2021', 'age': '32', 'clubName': 'Zenit St. Petersburg', 'clubID': '964', 'value': '€6.00m'}, {'date': '18/05/2022', 'age': '32', 'clubName': 'Without Club', 'clubID': '515', 'value': '€6.00m'}, {'date': '13/09/2022', 'age': '33', 'clubName': 'Adana Demirspor', 'clubID': '3840', 'value': '€4.50m'}, {'date': '27/10/2022', 'age': '33', 'clubName': 'Adana Demirspor', 'clubID': '3840', 'value': '€3.00m'}, {'date': '21/06/2023', 'age': '33', 'clubName': 'Shakhtar Donetsk', 'clubID': '660', 'value': '€2.00m'}, {'date': '11/12/2023', 'age': '34', 'clubName': 'Shakhtar Donetsk', 'clubID': '660', 'value': '€1.50m'}, {'date': '06/06/2024', 'age': '34', 'clubName': 'Shakhtar Donetsk', 'clubID': '660', 'value': '€1.00m'}, {'date': '16/10/2024', 'age': '35', 'clubName': 'Without Club', 'clubID': '515', 'value': '€700k'}, {'date': '28/03/2025', 'age': '35', 'clubName': 'Chornomorets Odesa', 'clubID': '6992', 'value': '€400k'}, {'date': '10/06/2025', 'age': '35', 'clubName': 'Chornomorets Odesa', 'clubID': '6992', 'value': '€300k'}, {'date': '18/12/2025', 'age': '36', 'clubName': 'Chornomorets Odesa', 'clubID': '6992', 'value': '€250k'}, {'date': '09/04/2026', 'age': '36', 'clubName': 'Without Club', 'clubID': '515', 'value': '€200k'}]}</t>
        </is>
      </c>
      <c r="L185" t="inlineStr">
        <is>
          <t>Ukraine</t>
        </is>
      </c>
      <c r="M185" t="inlineStr">
        <is>
          <t>1989-08-03</t>
        </is>
      </c>
      <c r="N185" t="inlineStr">
        <is>
          <t>Ukraine</t>
        </is>
      </c>
      <c r="O185">
        <f>(6+4.5+3)/3</f>
        <v/>
      </c>
      <c r="P185">
        <f>(6+6)/2</f>
        <v/>
      </c>
    </row>
    <row r="186">
      <c r="A186" t="inlineStr">
        <is>
          <t>Barella</t>
        </is>
      </c>
      <c r="B186" t="inlineStr">
        <is>
          <t>Inter</t>
        </is>
      </c>
      <c r="C186" t="inlineStr">
        <is>
          <t>Midfielder</t>
        </is>
      </c>
      <c r="D186" t="n">
        <v>496</v>
      </c>
      <c r="E186" t="n">
        <v>6</v>
      </c>
      <c r="F186" t="n">
        <v>0</v>
      </c>
      <c r="G186" t="n">
        <v>0</v>
      </c>
      <c r="H186" t="n">
        <v>65.40000000000001</v>
      </c>
      <c r="I186" t="n">
        <v>32</v>
      </c>
      <c r="J186" t="n">
        <v>255942</v>
      </c>
      <c r="K186" t="inlineStr">
        <is>
          <t>{'marketValueHistory': [{'date': 'Feb 25, 2013', 'age': '16', 'clubName': 'Cagliari Primavera', 'clubID': '11676', 'value': '€50k'}, {'date': 'Apr 29, 2013', 'age': '16', 'clubName': 'Cagliari Primavera', 'clubID': '11676', 'value': '€150k'}, {'date': 'Oct 30, 2013', 'age': '16', 'clubName': 'Cagliari Primavera', 'clubID': '11676', 'value': '€200k'}, {'date': 'May 8, 2014', 'age': '17', 'clubName': 'Cagliari Primavera', 'clubID': '11676', 'value': '€200k'}, {'date': 'Jan 7, 2015', 'age': '17', 'clubName': 'Cagliari Calcio', 'clubID': '1390', 'value': '€500k'}, {'date': 'Jun 30, 2015', 'age': '18', 'clubName': 'Cagliari Calcio', 'clubID': '1390', 'value': '€800k'}, {'date': 'Dec 28, 2015', 'age': '18', 'clubName': 'Cagliari Calcio', 'clubID': '1390', 'value': '€800k'}, {'date': 'Jun 13, 2016', 'age': '19', 'clubName': 'Calcio Como', 'clubID': '1047', 'value': '€1.30m'}, {'date': 'Oct 14, 2016', 'age': '19', 'clubName': 'Cagliari Calcio', 'clubID': '1390', 'value': '€1.75m'}, {'date': 'Jan 2, 2017', 'age': '19', 'clubName': 'Cagliari Calcio', 'clubID': '1390', 'value': '€2.50m'}, {'date': 'Mar 28, 2017', 'age': '20', 'clubName': 'Cagliari Calcio', 'clubID': '1390', 'value': '€4.00m'}, {'date': 'Jun 8, 2017', 'age': '20', 'clubName': 'Cagliari Calcio', 'clubID': '1390', 'value': '€5.00m'}, {'date': 'Oct 13, 2017', 'age': '20', 'clubName': 'Cagliari Calcio', 'clubID': '1390', 'value': '€8.00m'}, {'date': 'Dec 29, 2017', 'age': '20', 'clubName': 'Cagliari Calcio', 'clubID': '1390', 'value': '€15.00m'}, {'date': 'Mar 24, 2018', 'age': '21', 'clubName': 'Cagliari Calcio', 'clubID': '1390', 'value': '€20.00m'}, {'date': 'Jun 7, 2018', 'age': '21', 'clubName': 'Cagliari Calcio', 'clubID': '1390', 'value': '€25.00m'}, {'date': 'Oct 12, 2018', 'age': '21', 'clubName': 'Cagliari Calcio', 'clubID': '1390', 'value': '€30.00m'}, {'date': 'Dec 20, 2018', 'age': '21', 'clubName': 'Cagliari Calcio', 'clubID': '1390', 'value': '€30.00m'}, {'date': 'Jun 6, 2019', 'age': '22', 'clubName': 'Cagliari Calcio', 'clubID': '1390', 'value': '€36.00m'}, {'date': 'Dec 12, 2019', 'age': '22', 'clubName': 'Inter Milan', 'clubID': '46', 'value': '€45.00m'}, {'date': 'Apr 8, 2020', 'age': '23', 'clubName': 'Inter Milan', 'clubID': '46', 'value': '€36.00m'}, {'date': 'Aug 25, 2020', 'age': '23', 'clubName': 'Inter Milan', 'clubID': '46', 'value': '€50.00m'}, {'date': 'Dec 29, 2020', 'age': '23', 'clubName': 'Inter Milan', 'clubID': '46', 'value': '€55.00m'}, {'date': 'Mar 23, 2021', 'age': '24', 'clubName': 'Inter Milan', 'clubID': '46', 'value': '€60.00m'}, {'date': 'May 25, 2021', 'age': '24', 'clubName': 'Inter Milan', 'clubID': '46', 'value': '€65.00m'}, {'date': 'Dec 28, 2021', 'age': '24', 'clubName': 'Inter Milan', 'clubID': '46', 'value': '€70.00m'}, {'date': 'Jun 7, 2022', 'age': '25', 'clubName': 'Inter Milan', 'clubID': '46', 'value': '€70.00m'}, {'date': 'Nov 11, 2022', 'age': '25', 'clubName': 'Inter Milan', 'clubID': '46', 'value': '€70.00m'}, {'date': 'Jun 15, 2023', 'age': '26', 'clubName': 'Inter Milan', 'clubID': '46', 'value': '€75.00m'}, {'date': 'Dec 20, 2023', 'age': '26', 'clubName': 'Inter Milan', 'clubID': '46', 'value': '€75.00m'}, {'date': 'Jun 5, 2024', 'age': '27', 'clubName': 'Inter Milan', 'clubID': '46', 'value': '€80.00m'}, {'date': 'Dec 18, 2024', 'age': '27', 'clubName': 'Inter Milan', 'clubID': '46', 'value': '€80.00m'}, {'date': 'Jun 17, 2025', 'age': '28', 'clubName': 'Inter Milan', 'clubID': '46', 'value': '€75.00m'}, {'date': 'Oct 7, 2025', 'age': '28', 'clubName': 'Inter Milan', 'clubID': '46', 'value': '€65.00m'}, {'date': 'Dec 23, 2025', 'age': '28', 'clubName': 'Inter Milan', 'clubID': '46', 'value': '€60.00m'}, {'date': 'Mar 24, 2026', 'age': '29', 'clubName': 'Inter Milan', 'clubID': '46', 'value': '€50.00m'}]}</t>
        </is>
      </c>
      <c r="L186" t="inlineStr">
        <is>
          <t>Italy</t>
        </is>
      </c>
      <c r="M186" t="inlineStr">
        <is>
          <t>1997-02-07</t>
        </is>
      </c>
      <c r="N186" t="inlineStr">
        <is>
          <t>70</t>
        </is>
      </c>
      <c r="O186">
        <f>(70+70)/2</f>
        <v/>
      </c>
      <c r="P186">
        <f>(60+65+70)/3</f>
        <v/>
      </c>
    </row>
    <row r="187">
      <c r="A187" t="inlineStr">
        <is>
          <t>Innocent</t>
        </is>
      </c>
      <c r="B187" t="inlineStr">
        <is>
          <t>Malmo</t>
        </is>
      </c>
      <c r="C187" t="inlineStr">
        <is>
          <t>Midfielder</t>
        </is>
      </c>
      <c r="D187" t="n">
        <v>496</v>
      </c>
      <c r="E187" t="n">
        <v>6</v>
      </c>
      <c r="F187" t="n">
        <v>0</v>
      </c>
      <c r="G187" t="n">
        <v>0</v>
      </c>
      <c r="H187" t="n">
        <v>60.1</v>
      </c>
      <c r="I187" t="n">
        <v>30.4</v>
      </c>
      <c r="J187" t="n">
        <v>66022</v>
      </c>
      <c r="K187" t="inlineStr">
        <is>
          <t>{'marketValueHistory': [{'date': 'Jul 23, 2009', 'age': '20', 'clubName': 'FC Winterthur', 'clubID': '242', 'value': '€50k'}, {'date': 'Oct 6, 2009', 'age': '20', 'clubName': 'FC Winterthur', 'clubID': '242', 'value': '€300k'}, {'date': 'Feb 28, 2011', 'age': '21', 'clubName': 'Grasshopper Club Zurich', 'clubID': '504', 'value': '€500k'}, {'date': 'May 25, 2011', 'age': '21', 'clubName': 'Grasshopper Club Zurich', 'clubID': '504', 'value': '€900k'}, {'date': 'Jun 15, 2011', 'age': '22', 'clubName': 'Grasshopper Club Zurich', 'clubID': '504', 'value': '€1.20m'}, {'date': 'Sep 3, 2011', 'age': '22', 'clubName': 'FC Lorient', 'clubID': '1158', 'value': '€2.50m'}, {'date': 'Dec 24, 2011', 'age': '22', 'clubName': 'FC Lorient', 'clubID': '1158', 'value': '€2.50m'}, {'date': 'May 23, 2012', 'age': '22', 'clubName': 'FC Lorient', 'clubID': '1158', 'value': '€2.25m'}, {'date': 'Jan 7, 2013', 'age': '23', 'clubName': 'FC Lorient', 'clubID': '1158', 'value': '€1.50m'}, {'date': 'Apr 9, 2013', 'age': '23', 'clubName': 'AC Siena', 'clubID': '1387', 'value': '€3.00m'}, {'date': 'Jun 19, 2013', 'age': '24', 'clubName': 'AC Siena', 'clubID': '1387', 'value': '€5.00m'}, {'date': 'Jan 7, 2014', 'age': '24', 'clubName': 'AS Livorno', 'clubID': '1210', 'value': '€4.50m'}, {'date': 'Jul 1, 2014', 'age': '25', 'clubName': 'Robur Siena', 'clubID': '1387', 'value': '€3.50m'}, {'date': 'Mar 1, 2015', 'age': '25', 'clubName': 'San Jose Earthquakes', 'clubID': '218', 'value': '€1.50m'}, {'date': 'Mar 1, 2016', 'age': '26', 'clubName': 'San Jose Earthquakes', 'clubID': '218', 'value': '€1.00m'}, {'date': 'May 30, 2016', 'age': '27', 'clubName': 'San Jose Earthquakes', 'clubID': '218', 'value': '€900k'}, {'date': 'Dec 15, 2016', 'age': '27', 'clubName': 'San Jose Earthquakes', 'clubID': '218', 'value': '€700k'}, {'date': 'Nov 13, 2017', 'age': '28', 'clubName': 'Ermis Aradippou', 'clubID': '24326', 'value': '€700k'}, {'date': 'Apr 26, 2018', 'age': '28', 'clubName': 'Ermis Aradippou', 'clubID': '24326', 'value': '€700k'}, {'date': 'Dec 27, 2018', 'age': '29', 'clubName': 'Qarabağ FK', 'clubID': '10625', 'value': '€600k'}, {'date': 'May 25, 2019', 'age': '29', 'clubName': 'Qarabağ FK', 'clubID': '10625', 'value': '€500k'}, {'date': 'Feb 4, 2020', 'age': '30', 'clubName': 'Fatih Karagümrük', 'clubID': '6646', 'value': '€500k'}, {'date': 'Apr 8, 2020', 'age': '30', 'clubName': 'Fatih Karagümrük', 'clubID': '6646', 'value': '€400k'}, {'date': 'Jan 12, 2021', 'age': '31', 'clubName': 'FC Winterthur', 'clubID': '242', 'value': '€100k'}, {'date': 'Jun 23, 2021', 'age': '32', 'clubName': 'FC Winterthur', 'clubID': '242', 'value': '€100k'}, {'date': 'Jul 26, 2021', 'age': '32', 'clubName': 'Retired', 'clubID': '123', 'value': '-'}]}</t>
        </is>
      </c>
      <c r="L187" t="inlineStr">
        <is>
          <t>Switzerland</t>
        </is>
      </c>
      <c r="M187" t="inlineStr">
        <is>
          <t>1989-05-27</t>
        </is>
      </c>
      <c r="N187" t="inlineStr">
        <is>
          <t>Switzerland</t>
        </is>
      </c>
      <c r="P187">
        <f>(0.1+0.1)/2</f>
        <v/>
      </c>
    </row>
    <row r="188">
      <c r="A188" t="inlineStr">
        <is>
          <t>Taremi</t>
        </is>
      </c>
      <c r="B188" t="inlineStr">
        <is>
          <t>FC Porto</t>
        </is>
      </c>
      <c r="C188" t="inlineStr">
        <is>
          <t>Forward</t>
        </is>
      </c>
      <c r="D188" t="n">
        <v>494</v>
      </c>
      <c r="E188" t="n">
        <v>6</v>
      </c>
      <c r="F188" t="n">
        <v>1</v>
      </c>
      <c r="G188" t="n">
        <v>1</v>
      </c>
      <c r="H188" t="n">
        <v>60.6</v>
      </c>
      <c r="I188" t="n">
        <v>31</v>
      </c>
      <c r="J188" t="n">
        <v>307058</v>
      </c>
      <c r="K188" t="inlineStr">
        <is>
          <t>{'marketValueHistory': [{'date': 'Feb 10, 2014', 'age': '21', 'clubName': 'Iranjavan FC', 'clubID': '42187', 'value': '€150k'}, {'date': 'Jun 30, 2014', 'age': '21', 'clubName': 'Iranjavan FC', 'clubID': '42187', 'value': '€175k'}, {'date': 'Jan 10, 2015', 'age': '22', 'clubName': 'Persepolis FC', 'clubID': '6079', 'value': '€400k'}, {'date': 'Jun 30, 2015', 'age': '22', 'clubName': 'Persepolis FC', 'clubID': '6079', 'value': '€800k'}, {'date': 'Jan 1, 2016', 'age': '23', 'clubName': 'Persepolis FC', 'clubID': '6079', 'value': '€1.00m'}, {'date': 'Jun 10, 2016', 'age': '23', 'clubName': 'Persepolis FC', 'clubID': '6079', 'value': '€1.20m'}, {'date': 'Jan 9, 2017', 'age': '24', 'clubName': 'Persepolis FC', 'clubID': '6079', 'value': '€1.20m'}, {'date': 'Jul 10, 2017', 'age': '24', 'clubName': 'Persepolis FC', 'clubID': '6079', 'value': '€2.00m'}, {'date': 'Jan 9, 2018', 'age': '25', 'clubName': 'Persepolis FC', 'clubID': '6079', 'value': '€2.00m'}, {'date': 'May 9, 2018', 'age': '25', 'clubName': 'Al-Gharafa SC', 'clubID': '6297', 'value': '€1.70m'}, {'date': 'May 3, 2019', 'age': '26', 'clubName': 'Al-Gharafa SC', 'clubID': '6297', 'value': '€1.70m'}, {'date': 'Oct 11, 2019', 'age': '27', 'clubName': 'Rio Ave FC', 'clubID': '2425', 'value': '€2.50m'}, {'date': 'Dec 30, 2019', 'age': '27', 'clubName': 'Rio Ave FC', 'clubID': '2425', 'value': '€3.00m'}, {'date': 'Feb 11, 2020', 'age': '27', 'clubName': 'Rio Ave FC', 'clubID': '2425', 'value': '€4.00m'}, {'date': 'Apr 8, 2020', 'age': '27', 'clubName': 'Rio Ave FC', 'clubID': '2425', 'value': '€3.20m'}, {'date': 'Aug 17, 2020', 'age': '28', 'clubName': 'Rio Ave FC', 'clubID': '2425', 'value': '€10.00m'}, {'date': 'Jan 28, 2021', 'age': '28', 'clubName': 'FC Porto', 'clubID': '720', 'value': '€12.00m'}, {'date': 'May 21, 2021', 'age': '28', 'clubName': 'FC Porto', 'clubID': '720', 'value': '€16.00m'}, {'date': 'Dec 27, 2021', 'age': '29', 'clubName': 'FC Porto', 'clubID': '720', 'value': '€15.00m'}, {'date': 'Mar 10, 2022', 'age': '29', 'clubName': 'FC Porto', 'clubID': '720', 'value': '€17.00m'}, {'date': 'May 31, 2022', 'age': '29', 'clubName': 'FC Porto', 'clubID': '720', 'value': '€20.00m'}, {'date': 'Nov 1, 2022', 'age': '30', 'clubName': 'FC Porto', 'clubID': '720', 'value': '€20.00m'}, {'date': 'Jun 16, 2023', 'age': '30', 'clubName': 'FC Porto', 'clubID': '720', 'value': '€18.00m'}, {'date': 'Dec 27, 2023', 'age': '31', 'clubName': 'FC Porto', 'clubID': '720', 'value': '€12.00m'}, {'date': 'Mar 8, 2024', 'age': '31', 'clubName': 'FC Porto', 'clubID': '720', 'value': '€10.00m'}, {'date': 'Jun 6, 2024', 'age': '31', 'clubName': 'FC Porto', 'clubID': '720', 'value': '€10.00m'}, {'date': 'Dec 18, 2024', 'age': '32', 'clubName': 'Inter Milan', 'clubID': '46', 'value': '€8.00m'}, {'date': 'Mar 25, 2025', 'age': '32', 'clubName': 'Inter Milan', 'clubID': '46', 'value': '€5.00m'}, {'date': 'Jun 17, 2025', 'age': '32', 'clubName': 'Inter Milan', 'clubID': '46', 'value': '€3.50m'}, {'date': 'Sep 23, 2025', 'age': '33', 'clubName': 'Olympiacos Piraeus', 'clubID': '683', 'value': '€3.00m'}, {'date': 'Dec 12, 2025', 'age': '33', 'clubName': 'Olympiacos Piraeus', 'clubID': '683', 'value': '€2.50m'}]}</t>
        </is>
      </c>
      <c r="L188" t="inlineStr">
        <is>
          <t>Iran</t>
        </is>
      </c>
      <c r="M188" t="inlineStr">
        <is>
          <t>1992-07-18</t>
        </is>
      </c>
      <c r="N188" t="inlineStr">
        <is>
          <t>102</t>
        </is>
      </c>
      <c r="O188">
        <f>(17+20+20)/3</f>
        <v/>
      </c>
      <c r="P188">
        <f>(12+16+15)/3</f>
        <v/>
      </c>
    </row>
    <row r="189">
      <c r="A189" t="inlineStr">
        <is>
          <t>Joao Mario</t>
        </is>
      </c>
      <c r="B189" t="inlineStr">
        <is>
          <t>Benfica</t>
        </is>
      </c>
      <c r="C189" t="inlineStr">
        <is>
          <t>Midfielder</t>
        </is>
      </c>
      <c r="D189" t="n">
        <v>493</v>
      </c>
      <c r="E189" t="n">
        <v>8</v>
      </c>
      <c r="F189" t="n">
        <v>0</v>
      </c>
      <c r="G189" t="n">
        <v>4</v>
      </c>
      <c r="H189" t="n">
        <v>66</v>
      </c>
      <c r="I189" t="n">
        <v>32.7</v>
      </c>
      <c r="J189" t="n">
        <v>149729</v>
      </c>
      <c r="K189" t="inlineStr">
        <is>
          <t>{'marketValueHistory': [{'date': 'Nov 10, 2012', 'age': '19', 'clubName': 'Sporting CP B', 'clubID': '10949', 'value': '€1.40m'}, {'date': 'Mar 28, 2013', 'age': '20', 'clubName': 'Sporting CP B', 'clubID': '10949', 'value': '€2.00m'}, {'date': 'Jul 25, 2014', 'age': '21', 'clubName': 'Sporting CP', 'clubID': '336', 'value': '€3.00m'}, {'date': 'Feb 17, 2015', 'age': '22', 'clubName': 'Sporting CP', 'clubID': '336', 'value': '€6.50m'}, {'date': 'Jul 1, 2015', 'age': '22', 'clubName': 'Sporting CP', 'clubID': '336', 'value': '€8.00m'}, {'date': 'Feb 24, 2016', 'age': '23', 'clubName': 'Sporting CP', 'clubID': '336', 'value': '€12.00m'}, {'date': 'Jun 1, 2016', 'age': '23', 'clubName': 'Sporting CP', 'clubID': '336', 'value': '€20.00m'}, {'date': 'Jul 29, 2016', 'age': '23', 'clubName': 'Sporting CP', 'clubID': '336', 'value': '€30.00m'}, {'date': 'Oct 14, 2016', 'age': '23', 'clubName': 'Inter Milan', 'clubID': '46', 'value': '€35.00m'}, {'date': 'Jan 2, 2017', 'age': '23', 'clubName': 'Inter Milan', 'clubID': '46', 'value': '€35.00m'}, {'date': 'Jun 8, 2017', 'age': '24', 'clubName': 'Inter Milan', 'clubID': '46', 'value': '€30.00m'}, {'date': 'Dec 29, 2017', 'age': '24', 'clubName': 'Inter Milan', 'clubID': '46', 'value': '€26.00m'}, {'date': 'May 28, 2018', 'age': '25', 'clubName': 'West Ham United', 'clubID': '379', 'value': '€25.00m'}, {'date': 'Jul 16, 2018', 'age': '25', 'clubName': 'Inter Milan', 'clubID': '46', 'value': '€23.00m'}, {'date': 'Oct 12, 2018', 'age': '25', 'clubName': 'Inter Milan', 'clubID': '46', 'value': '€20.00m'}, {'date': 'Dec 20, 2018', 'age': '25', 'clubName': 'Inter Milan', 'clubID': '46', 'value': '€20.00m'}, {'date': 'Jun 6, 2019', 'age': '26', 'clubName': 'Inter Milan', 'clubID': '46', 'value': '€18.00m'}, {'date': 'Dec 23, 2019', 'age': '26', 'clubName': 'Lokomotiv Moscow', 'clubID': '932', 'value': '€18.00m'}, {'date': 'Apr 8, 2020', 'age': '27', 'clubName': 'Lokomotiv Moscow', 'clubID': '932', 'value': '€14.50m'}, {'date': 'Jul 29, 2020', 'age': '27', 'clubName': 'Lokomotiv Moscow', 'clubID': '932', 'value': '€13.00m'}, {'date': 'Jan 28, 2021', 'age': '28', 'clubName': 'Sporting CP', 'clubID': '336', 'value': '€13.00m'}, {'date': 'May 21, 2021', 'age': '28', 'clubName': 'Sporting CP', 'clubID': '336', 'value': '€12.00m'}, {'date': 'Dec 27, 2021', 'age': '28', 'clubName': 'SL Benfica', 'clubID': '294', 'value': '€14.00m'}, {'date': 'Mar 10, 2022', 'age': '29', 'clubName': 'SL Benfica', 'clubID': '294', 'value': '€12.00m'}, {'date': 'May 31, 2022', 'age': '29', 'clubName': 'SL Benfica', 'clubID': '294', 'value': '€10.00m'}, {'date': 'Nov 1, 2022', 'age': '29', 'clubName': 'SL Benfica', 'clubID': '294', 'value': '€12.00m'}, {'date': 'Mar 2, 2023', 'age': '30', 'clubName': 'SL Benfica', 'clubID': '294', 'value': '€14.00m'}, {'date': 'Jun 16, 2023', 'age': '30', 'clubName': 'SL Benfica', 'clubID': '294', 'value': '€14.00m'}, {'date': 'Dec 27, 2023', 'age': '30', 'clubName': 'SL Benfica', 'clubID': '294', 'value': '€9.00m'}, {'date': 'Mar 8, 2024', 'age': '31', 'clubName': 'SL Benfica', 'clubID': '294', 'value': '€6.00m'}, {'date': 'Jun 6, 2024', 'age': '31', 'clubName': 'SL Benfica', 'clubID': '294', 'value': '€4.00m'}, {'date': 'Oct 4, 2024', 'age': '31', 'clubName': 'Besiktas JK', 'clubID': '114', 'value': '€3.80m'}, {'date': 'Dec 23, 2024', 'age': '31', 'clubName': 'Besiktas JK', 'clubID': '114', 'value': '€2.80m'}, {'date': 'Mar 20, 2025', 'age': '32', 'clubName': 'Besiktas JK', 'clubID': '114', 'value': '€2.30m'}, {'date': 'Jun 18, 2025', 'age': '32', 'clubName': 'Besiktas JK', 'clubID': '114', 'value': '€2.10m'}, {'date': 'Dec 12, 2025', 'age': '32', 'clubName': 'AEK Athens', 'clubID': '2441', 'value': '€1.80m'}]}</t>
        </is>
      </c>
      <c r="L189" t="inlineStr">
        <is>
          <t>Portugal</t>
        </is>
      </c>
      <c r="M189" t="inlineStr">
        <is>
          <t>1993-01-19</t>
        </is>
      </c>
      <c r="N189" t="inlineStr">
        <is>
          <t>Portugal</t>
        </is>
      </c>
      <c r="O189">
        <f>(12+10+12)/3</f>
        <v/>
      </c>
      <c r="P189">
        <f>(13+12+14)/3</f>
        <v/>
      </c>
    </row>
    <row r="190">
      <c r="A190" t="inlineStr">
        <is>
          <t>Addo</t>
        </is>
      </c>
      <c r="B190" t="inlineStr">
        <is>
          <t>Sheriff</t>
        </is>
      </c>
      <c r="C190" t="inlineStr">
        <is>
          <t>Midfielder</t>
        </is>
      </c>
      <c r="D190" t="n">
        <v>491</v>
      </c>
      <c r="E190" t="n">
        <v>6</v>
      </c>
      <c r="F190" t="n">
        <v>0</v>
      </c>
      <c r="G190" t="n">
        <v>0</v>
      </c>
      <c r="H190" t="n">
        <v>59.7</v>
      </c>
      <c r="I190" t="n">
        <v>32.5</v>
      </c>
      <c r="J190" t="n">
        <v>708265</v>
      </c>
      <c r="K190" t="inlineStr">
        <is>
          <t>{'marketValueHistory': [{'date': '23/03/2022', 'age': '19', 'clubName': 'Olympique Lyon', 'clubID': '1041', 'value': '€500k'}, {'date': '30/05/2022', 'age': '19', 'clubName': 'Olympique Lyon', 'clubID': '1041', 'value': '€1.00m'}, {'date': '19/09/2022', 'age': '20', 'clubName': 'Olympique Lyon', 'clubID': '1041', 'value': '€2.00m'}, {'date': '02/11/2022', 'age': '20', 'clubName': 'Olympique Lyon', 'clubID': '1041', 'value': '€2.00m'}, {'date': '27/03/2023', 'age': '20', 'clubName': 'Olympique Lyon', 'clubID': '1041', 'value': '€7.00m'}, {'date': '27/06/2023', 'age': '20', 'clubName': 'Olympique Lyon', 'clubID': '1041', 'value': '€18.00m'}, {'date': '16/10/2023', 'age': '21', 'clubName': 'Paris Saint-Germain', 'clubID': '583', 'value': '€35.00m'}, {'date': '18/12/2023', 'age': '21', 'clubName': 'Paris Saint-Germain', 'clubID': '583', 'value': '€30.00m'}, {'date': '19/03/2024', 'age': '21', 'clubName': 'Paris Saint-Germain', 'clubID': '583', 'value': '€40.00m'}, {'date': '03/06/2024', 'age': '21', 'clubName': 'Paris Saint-Germain', 'clubID': '583', 'value': '€50.00m'}, {'date': '07/10/2024', 'age': '22', 'clubName': 'Paris Saint-Germain', 'clubID': '583', 'value': '€65.00m'}, {'date': '10/12/2024', 'age': '22', 'clubName': 'Paris Saint-Germain', 'clubID': '583', 'value': '€65.00m'}, {'date': '24/03/2025', 'age': '22', 'clubName': 'Paris Saint-Germain', 'clubID': '583', 'value': '€70.00m'}, {'date': '03/06/2025', 'age': '22', 'clubName': 'Paris Saint-Germain', 'clubID': '583', 'value': '€70.00m'}, {'date': '15/12/2025', 'age': '23', 'clubName': 'Paris Saint-Germain', 'clubID': '583', 'value': '€70.00m'}]}</t>
        </is>
      </c>
      <c r="L190" t="inlineStr">
        <is>
          <t>France</t>
        </is>
      </c>
      <c r="M190" t="inlineStr">
        <is>
          <t>2002-02-09</t>
        </is>
      </c>
      <c r="N190" t="inlineStr">
        <is>
          <t>France</t>
        </is>
      </c>
      <c r="O190">
        <f>(0.5+1+2+2)/4</f>
        <v/>
      </c>
    </row>
    <row r="191">
      <c r="A191" t="inlineStr">
        <is>
          <t>Tsygankov</t>
        </is>
      </c>
      <c r="B191" t="inlineStr">
        <is>
          <t>Dynamo Kyiv</t>
        </is>
      </c>
      <c r="C191" t="inlineStr">
        <is>
          <t>Midfielder</t>
        </is>
      </c>
      <c r="D191" t="n">
        <v>490</v>
      </c>
      <c r="E191" t="n">
        <v>6</v>
      </c>
      <c r="F191" t="n">
        <v>0</v>
      </c>
      <c r="G191" t="n">
        <v>1</v>
      </c>
      <c r="H191" t="n">
        <v>65.8</v>
      </c>
      <c r="I191" t="n">
        <v>32.1</v>
      </c>
      <c r="J191" t="n">
        <v>264372</v>
      </c>
      <c r="K191" t="inlineStr">
        <is>
          <t>{'marketValueHistory': [{'date': 'Sep 30, 2016', 'age': '18', 'clubName': 'Dynamo Kyiv', 'clubID': '338', 'value': '€700k'}, {'date': 'Jan 3, 2017', 'age': '19', 'clubName': 'Dynamo Kyiv', 'clubID': '338', 'value': '€1.50m'}, {'date': 'Jun 26, 2017', 'age': '19', 'clubName': 'Dynamo Kyiv', 'clubID': '338', 'value': '€2.50m'}, {'date': 'Jan 12, 2018', 'age': '20', 'clubName': 'Dynamo Kyiv', 'clubID': '338', 'value': '€4.00m'}, {'date': 'May 14, 2018', 'age': '20', 'clubName': 'Dynamo Kyiv', 'clubID': '338', 'value': '€8.00m'}, {'date': 'Aug 6, 2018', 'age': '20', 'clubName': 'Dynamo Kyiv', 'clubID': '338', 'value': '€8.00m'}, {'date': 'Dec 10, 2018', 'age': '21', 'clubName': 'Dynamo Kyiv', 'clubID': '338', 'value': '€10.00m'}, {'date': 'Mar 22, 2019', 'age': '21', 'clubName': 'Dynamo Kyiv', 'clubID': '338', 'value': '€13.00m'}, {'date': 'Jun 20, 2019', 'age': '21', 'clubName': 'Dynamo Kyiv', 'clubID': '338', 'value': '€20.00m'}, {'date': 'Jan 8, 2020', 'age': '22', 'clubName': 'Dynamo Kyiv', 'clubID': '338', 'value': '€20.00m'}, {'date': 'Apr 8, 2020', 'age': '22', 'clubName': 'Dynamo Kyiv', 'clubID': '338', 'value': '€16.00m'}, {'date': 'Sep 4, 2020', 'age': '22', 'clubName': 'Dynamo Kyiv', 'clubID': '338', 'value': '€19.00m'}, {'date': 'Jan 14, 2021', 'age': '23', 'clubName': 'Dynamo Kyiv', 'clubID': '338', 'value': '€24.00m'}, {'date': 'May 27, 2021', 'age': '23', 'clubName': 'Dynamo Kyiv', 'clubID': '338', 'value': '€25.00m'}, {'date': 'Dec 20, 2021', 'age': '24', 'clubName': 'Dynamo Kyiv', 'clubID': '338', 'value': '€25.00m'}, {'date': 'May 18, 2022', 'age': '24', 'clubName': 'Dynamo Kyiv', 'clubID': '338', 'value': '€25.00m'}, {'date': 'Dec 6, 2022', 'age': '25', 'clubName': 'Dynamo Kyiv', 'clubID': '338', 'value': '€22.00m'}, {'date': 'Jun 13, 2023', 'age': '25', 'clubName': 'Girona FC', 'clubID': '12321', 'value': '€22.00m'}, {'date': 'Dec 22, 2023', 'age': '26', 'clubName': 'Girona FC', 'clubID': '12321', 'value': '€25.00m'}, {'date': 'Mar 21, 2024', 'age': '26', 'clubName': 'Girona FC', 'clubID': '12321', 'value': '€28.00m'}, {'date': 'Jun 7, 2024', 'age': '26', 'clubName': 'Girona FC', 'clubID': '12321', 'value': '€30.00m'}, {'date': 'Dec 27, 2024', 'age': '27', 'clubName': 'Girona FC', 'clubID': '12321', 'value': '€22.00m'}, {'date': 'Jun 9, 2025', 'age': '27', 'clubName': 'Girona FC', 'clubID': '12321', 'value': '€18.00m'}, {'date': 'Oct 2, 2025', 'age': '27', 'clubName': 'Girona FC', 'clubID': '12321', 'value': '€15.00m'}, {'date': 'Dec 12, 2025', 'age': '28', 'clubName': 'Girona FC', 'clubID': '12321', 'value': '€15.00m'}]}</t>
        </is>
      </c>
      <c r="L191" t="inlineStr">
        <is>
          <t>Spain</t>
        </is>
      </c>
      <c r="M191" t="inlineStr">
        <is>
          <t>1997-11-15</t>
        </is>
      </c>
      <c r="N191" t="inlineStr">
        <is>
          <t>Ukraine</t>
        </is>
      </c>
      <c r="O191">
        <f>(25+22)/2</f>
        <v/>
      </c>
      <c r="P191">
        <f>(24+25+25)/3</f>
        <v/>
      </c>
    </row>
    <row r="192">
      <c r="A192" t="inlineStr">
        <is>
          <t>Elia</t>
        </is>
      </c>
      <c r="B192" t="inlineStr">
        <is>
          <t>Young Boys</t>
        </is>
      </c>
      <c r="C192" t="inlineStr">
        <is>
          <t>Forward</t>
        </is>
      </c>
      <c r="D192" t="n">
        <v>489</v>
      </c>
      <c r="E192" t="n">
        <v>6</v>
      </c>
      <c r="F192" t="n">
        <v>1</v>
      </c>
      <c r="G192" t="n">
        <v>0</v>
      </c>
      <c r="H192" t="n">
        <v>49.1</v>
      </c>
      <c r="I192" t="n">
        <v>35.2</v>
      </c>
      <c r="J192" t="n">
        <v>502670</v>
      </c>
      <c r="K192" t="inlineStr">
        <is>
          <t>{'marketValueHistory': [{'date': '08/12/2017', 'age': '16', 'clubName': 'Dinamo Tbilisi', 'clubID': '663', 'value': '€125k'}, {'date': '09/04/2018', 'age': '17', 'clubName': 'FC Rustavi', 'clubID': '1799', 'value': '€350k'}, {'date': '29/08/2018', 'age': '17', 'clubName': 'FC Rustavi', 'clubID': '1799', 'value': '€400k'}, {'date': '05/01/2019', 'age': '17', 'clubName': 'FC Rustavi', 'clubID': '1799', 'value': '€350k'}, {'date': '24/04/2019', 'age': '18', 'clubName': 'Lokomotiv Moscow', 'clubID': '932', 'value': '€500k'}, {'date': '14/06/2019', 'age': '18', 'clubName': 'Lokomotiv Moscow', 'clubID': '932', 'value': '€900k'}, {'date': '10/09/2019', 'age': '18', 'clubName': 'Rubin Kazan', 'clubID': '2698', 'value': '€1.50m'}, {'date': '23/12/2019', 'age': '18', 'clubName': 'Rubin Kazan', 'clubID': '2698', 'value': '€2.50m'}, {'date': '08/04/2020', 'age': '19', 'clubName': 'Rubin Kazan', 'clubID': '2698', 'value': '€2.30m'}, {'date': '29/07/2020', 'age': '19', 'clubName': 'Rubin Kazan', 'clubID': '2698', 'value': '€4.50m'}, {'date': '19/10/2020', 'age': '19', 'clubName': 'Rubin Kazan', 'clubID': '2698', 'value': '€7.50m'}, {'date': '29/12/2020', 'age': '19', 'clubName': 'Rubin Kazan', 'clubID': '2698', 'value': '€10.00m'}, {'date': '13/04/2021', 'age': '20', 'clubName': 'Rubin Kazan', 'clubID': '2698', 'value': '€15.00m'}, {'date': '02/06/2021', 'age': '20', 'clubName': 'Rubin Kazan', 'clubID': '2698', 'value': '€18.00m'}, {'date': '29/12/2021', 'age': '20', 'clubName': 'Rubin Kazan', 'clubID': '2698', 'value': '€16.00m'}, {'date': '05/05/2022', 'age': '21', 'clubName': 'Dinamo Batumi', 'clubID': '11344', 'value': '€15.00m'}, {'date': '27/09/2022', 'age': '21', 'clubName': 'SSC Napoli', 'clubID': '6195', 'value': '€35.00m'}, {'date': '11/11/2022', 'age': '21', 'clubName': 'SSC Napoli', 'clubID': '6195', 'value': '€60.00m'}, {'date': '21/03/2023', 'age': '22', 'clubName': 'SSC Napoli', 'clubID': '6195', 'value': '€85.00m'}, {'date': '15/06/2023', 'age': '22', 'clubName': 'SSC Napoli', 'clubID': '6195', 'value': '€85.00m'}, {'date': '20/12/2023', 'age': '22', 'clubName': 'SSC Napoli', 'clubID': '6195', 'value': '€80.00m'}, {'date': '05/06/2024', 'age': '23', 'clubName': 'SSC Napoli', 'clubID': '6195', 'value': '€80.00m'}, {'date': '18/12/2024', 'age': '23', 'clubName': 'SSC Napoli', 'clubID': '6195', 'value': '€85.00m'}, {'date': '24/03/2025', 'age': '24', 'clubName': 'Paris Saint-Germain', 'clubID': '583', 'value': '€80.00m'}, {'date': '03/06/2025', 'age': '24', 'clubName': 'Paris Saint-Germain', 'clubID': '583', 'value': '€90.00m'}, {'date': '15/12/2025', 'age': '24', 'clubName': 'Paris Saint-Germain', 'clubID': '583', 'value': '€90.00m'}]}</t>
        </is>
      </c>
      <c r="L192" t="inlineStr">
        <is>
          <t>Georgia</t>
        </is>
      </c>
      <c r="M192" t="inlineStr">
        <is>
          <t>2001-02-12</t>
        </is>
      </c>
      <c r="N192" t="inlineStr">
        <is>
          <t>49</t>
        </is>
      </c>
      <c r="O192">
        <f>(15+35+60)/3</f>
        <v/>
      </c>
      <c r="P192">
        <f>(15+18+16)/3</f>
        <v/>
      </c>
    </row>
    <row r="193">
      <c r="A193" t="inlineStr">
        <is>
          <t>Keita</t>
        </is>
      </c>
      <c r="B193" t="inlineStr">
        <is>
          <t>Liverpool</t>
        </is>
      </c>
      <c r="C193" t="inlineStr">
        <is>
          <t>Midfielder</t>
        </is>
      </c>
      <c r="D193" t="n">
        <v>487</v>
      </c>
      <c r="E193" t="n">
        <v>10</v>
      </c>
      <c r="F193" t="n">
        <v>1</v>
      </c>
      <c r="G193" t="n">
        <v>2</v>
      </c>
      <c r="H193" t="n">
        <v>61.5</v>
      </c>
      <c r="I193" t="n">
        <v>29.6</v>
      </c>
      <c r="J193" t="n">
        <v>302215</v>
      </c>
      <c r="K193" t="inlineStr">
        <is>
          <t>{'marketValueHistory': [{'date': '04/07/2014', 'age': '19', 'clubName': 'Red Bull Salzburg', 'clubID': '409', 'value': '€1.00m'}, {'date': '11/01/2015', 'age': '19', 'clubName': 'Red Bull Salzburg', 'clubID': '409', 'value': '€1.50m'}, {'date': '17/06/2015', 'age': '20', 'clubName': 'Red Bull Salzburg', 'clubID': '409', 'value': '€3.00m'}, {'date': '29/12/2015', 'age': '20', 'clubName': 'Red Bull Salzburg', 'clubID': '409', 'value': '€7.50m'}, {'date': '01/06/2016', 'age': '21', 'clubName': 'Red Bull Salzburg', 'clubID': '409', 'value': '€11.00m'}, {'date': '07/02/2017', 'age': '21', 'clubName': 'RB Leipzig', 'clubID': '23826', 'value': '€18.00m'}, {'date': '22/03/2017', 'age': '22', 'clubName': 'RB Leipzig', 'clubID': '23826', 'value': '€22.00m'}, {'date': '19/06/2017', 'age': '22', 'clubName': 'RB Leipzig', 'clubID': '23826', 'value': '€27.00m'}, {'date': '18/10/2017', 'age': '22', 'clubName': 'RB Leipzig', 'clubID': '23826', 'value': '€50.00m'}, {'date': '28/12/2017', 'age': '22', 'clubName': 'RB Leipzig', 'clubID': '23826', 'value': '€50.00m'}, {'date': '04/04/2018', 'age': '23', 'clubName': 'RB Leipzig', 'clubID': '23826', 'value': '€65.00m'}, {'date': '05/06/2018', 'age': '23', 'clubName': 'RB Leipzig', 'clubID': '23826', 'value': '€65.00m'}, {'date': '19/12/2018', 'age': '23', 'clubName': 'Liverpool FC', 'clubID': '31', 'value': '€65.00m'}, {'date': '13/06/2019', 'age': '24', 'clubName': 'Liverpool FC', 'clubID': '31', 'value': '€60.00m'}, {'date': '12/09/2019', 'age': '24', 'clubName': 'Liverpool FC', 'clubID': '31', 'value': '€50.00m'}, {'date': '10/12/2019', 'age': '24', 'clubName': 'Liverpool FC', 'clubID': '31', 'value': '€42.00m'}, {'date': '08/04/2020', 'age': '25', 'clubName': 'Liverpool FC', 'clubID': '31', 'value': '€33.50m'}, {'date': '30/07/2020', 'age': '25', 'clubName': 'Liverpool FC', 'clubID': '31', 'value': '€40.00m'}, {'date': '13/10/2020', 'age': '25', 'clubName': 'Liverpool FC', 'clubID': '31', 'value': '€40.00m'}, {'date': '18/03/2021', 'age': '26', 'clubName': 'Liverpool FC', 'clubID': '31', 'value': '€38.00m'}, {'date': '08/06/2021', 'age': '26', 'clubName': 'Liverpool FC', 'clubID': '31', 'value': '€32.00m'}, {'date': '23/12/2021', 'age': '26', 'clubName': 'Liverpool FC', 'clubID': '31', 'value': '€30.00m'}, {'date': '15/06/2022', 'age': '27', 'clubName': 'Liverpool FC', 'clubID': '31', 'value': '€25.00m'}, {'date': '03/11/2022', 'age': '27', 'clubName': 'Liverpool FC', 'clubID': '31', 'value': '€20.00m'}, {'date': '16/03/2023', 'age': '28', 'clubName': 'Liverpool FC', 'clubID': '31', 'value': '€17.00m'}, {'date': '20/06/2023', 'age': '28', 'clubName': 'Liverpool FC', 'clubID': '31', 'value': '€12.00m'}, {'date': '18/10/2023', 'age': '28', 'clubName': 'SV Werder Bremen', 'clubID': '86', 'value': '€9.00m'}, {'date': '14/12/2023', 'age': '28', 'clubName': 'SV Werder Bremen', 'clubID': '86', 'value': '€6.00m'}, {'date': '27/03/2024', 'age': '29', 'clubName': 'SV Werder Bremen', 'clubID': '86', 'value': '€4.00m'}, {'date': '29/05/2024', 'age': '29', 'clubName': 'SV Werder Bremen', 'clubID': '86', 'value': '€2.00m'}, {'date': '09/10/2024', 'age': '29', 'clubName': 'SV Werder Bremen', 'clubID': '86', 'value': '€1.00m'}, {'date': '20/12/2024', 'age': '29', 'clubName': 'SV Werder Bremen', 'clubID': '86', 'value': '€1.00m'}, {'date': '28/05/2025', 'age': '30', 'clubName': 'Ferencvárosi TC', 'clubID': '279', 'value': '€1.00m'}, {'date': '08/12/2025', 'age': '30', 'clubName': 'Ferencvárosi TC', 'clubID': '279', 'value': '€1.50m'}]}</t>
        </is>
      </c>
      <c r="L193" t="inlineStr">
        <is>
          <t>Guinea</t>
        </is>
      </c>
      <c r="M193" t="inlineStr">
        <is>
          <t>1995-02-10</t>
        </is>
      </c>
      <c r="N193" t="inlineStr">
        <is>
          <t>58</t>
        </is>
      </c>
      <c r="O193">
        <f>(25+20)/2</f>
        <v/>
      </c>
      <c r="P193">
        <f>(38+32+30)/3</f>
        <v/>
      </c>
    </row>
    <row r="194">
      <c r="A194" t="inlineStr">
        <is>
          <t>De Vrij</t>
        </is>
      </c>
      <c r="B194" t="inlineStr">
        <is>
          <t>Inter</t>
        </is>
      </c>
      <c r="C194" t="inlineStr">
        <is>
          <t>Defender</t>
        </is>
      </c>
      <c r="D194" t="n">
        <v>487</v>
      </c>
      <c r="E194" t="n">
        <v>6</v>
      </c>
      <c r="F194" t="n">
        <v>1</v>
      </c>
      <c r="G194" t="n">
        <v>0</v>
      </c>
      <c r="H194" t="n">
        <v>55.4</v>
      </c>
      <c r="I194" t="n">
        <v>30.4</v>
      </c>
      <c r="J194" t="n">
        <v>111196</v>
      </c>
      <c r="K194" t="inlineStr">
        <is>
          <t>{'marketValueHistory': [{'date': '02/10/2009', 'age': '17', 'clubName': 'Feyenoord Rotterdam', 'clubID': '234', 'value': '€50k'}, {'date': '07/01/2010', 'age': '17', 'clubName': 'Feyenoord Rotterdam', 'clubID': '234', 'value': '€100k'}, {'date': '04/08/2010', 'age': '18', 'clubName': 'Feyenoord Rotterdam', 'clubID': '234', 'value': '€650k'}, {'date': '17/01/2011', 'age': '18', 'clubName': 'Feyenoord Rotterdam', 'clubID': '234', 'value': '€1.00m'}, {'date': '22/06/2011', 'age': '19', 'clubName': 'Feyenoord Rotterdam', 'clubID': '234', 'value': '€2.50m'}, {'date': '10/01/2012', 'age': '19', 'clubName': 'Feyenoord Rotterdam', 'clubID': '234', 'value': '€3.00m'}, {'date': '30/06/2012', 'age': '20', 'clubName': 'Feyenoord Rotterdam', 'clubID': '234', 'value': '€4.00m'}, {'date': '09/01/2013', 'age': '20', 'clubName': 'Feyenoord Rotterdam', 'clubID': '234', 'value': '€5.00m'}, {'date': '28/05/2013', 'age': '21', 'clubName': 'Feyenoord Rotterdam', 'clubID': '234', 'value': '€6.00m'}, {'date': '11/02/2014', 'age': '22', 'clubName': 'Feyenoord Rotterdam', 'clubID': '234', 'value': '€6.00m'}, {'date': '12/08/2014', 'age': '22', 'clubName': 'SS Lazio', 'clubID': '398', 'value': '€10.00m'}, {'date': '07/01/2015', 'age': '22', 'clubName': 'SS Lazio', 'clubID': '398', 'value': '€12.50m'}, {'date': '01/07/2015', 'age': '23', 'clubName': 'SS Lazio', 'clubID': '398', 'value': '€17.00m'}, {'date': '04/01/2016', 'age': '23', 'clubName': 'SS Lazio', 'clubID': '398', 'value': '€17.00m'}, {'date': '15/07/2016', 'age': '24', 'clubName': 'SS Lazio', 'clubID': '398', 'value': '€16.00m'}, {'date': '14/10/2016', 'age': '24', 'clubName': 'SS Lazio', 'clubID': '398', 'value': '€20.00m'}, {'date': '02/01/2017', 'age': '24', 'clubName': 'SS Lazio', 'clubID': '398', 'value': '€20.00m'}, {'date': '08/06/2017', 'age': '25', 'clubName': 'SS Lazio', 'clubID': '398', 'value': '€27.00m'}, {'date': '29/12/2017', 'age': '25', 'clubName': 'SS Lazio', 'clubID': '398', 'value': '€35.00m'}, {'date': '24/03/2018', 'age': '26', 'clubName': 'SS Lazio', 'clubID': '398', 'value': '€40.00m'}, {'date': '07/06/2018', 'age': '26', 'clubName': 'SS Lazio', 'clubID': '398', 'value': '€40.00m'}, {'date': '20/12/2018', 'age': '26', 'clubName': 'Inter Milan', 'clubID': '46', 'value': '€45.00m'}, {'date': '06/06/2019', 'age': '27', 'clubName': 'Inter Milan', 'clubID': '46', 'value': '€50.00m'}, {'date': '12/12/2019', 'age': '27', 'clubName': 'Inter Milan', 'clubID': '46', 'value': '€60.00m'}, {'date': '08/04/2020', 'age': '28', 'clubName': 'Inter Milan', 'clubID': '46', 'value': '€48.00m'}, {'date': '25/08/2020', 'age': '28', 'clubName': 'Inter Milan', 'clubID': '46', 'value': '€60.00m'}, {'date': '29/12/2020', 'age': '28', 'clubName': 'Inter Milan', 'clubID': '46', 'value': '€55.00m'}, {'date': '27/05/2021', 'age': '29', 'clubName': 'Inter Milan', 'clubID': '46', 'value': '€50.00m'}, {'date': '28/12/2021', 'age': '29', 'clubName': 'Inter Milan', 'clubID': '46', 'value': '€45.00m'}, {'date': '15/03/2022', 'age': '30', 'clubName': 'Inter Milan', 'clubID': '46', 'value': '€35.00m'}, {'date': '07/06/2022', 'age': '30', 'clubName': 'Inter Milan', 'clubID': '46', 'value': '€28.00m'}, {'date': '27/09/2022', 'age': '30', 'clubName': 'Inter Milan', 'clubID': '46', 'value': '€20.00m'}, {'date': '11/11/2022', 'age': '30', 'clubName': 'Inter Milan', 'clubID': '46', 'value': '€15.00m'}, {'date': '21/03/2023', 'age': '31', 'clubName': 'Inter Milan', 'clubID': '46', 'value': '€10.00m'}, {'date': '15/06/2023', 'age': '31', 'clubName': 'Inter Milan', 'clubID': '46', 'value': '€8.00m'}, {'date': '20/12/2023', 'age': '31', 'clubName': 'Inter Milan', 'clubID': '46', 'value': '€8.00m'}, {'date': '05/06/2024', 'age': '32', 'clubName': 'Inter Milan', 'clubID': '46', 'value': '€7.00m'}, {'date': '18/12/2024', 'age': '32', 'clubName': 'Inter Milan', 'clubID': '46', 'value': '€7.00m'}, {'date': '17/06/2025', 'age': '33', 'clubName': 'Inter Milan', 'clubID': '46', 'value': '€5.00m'}, {'date': '23/12/2025', 'age': '33', 'clubName': 'Inter Milan', 'clubID': '46', 'value': '€3.50m'}]}</t>
        </is>
      </c>
      <c r="L194" t="inlineStr">
        <is>
          <t>Netherlands</t>
        </is>
      </c>
      <c r="M194" t="inlineStr">
        <is>
          <t>1992-02-05</t>
        </is>
      </c>
      <c r="N194" t="inlineStr">
        <is>
          <t>79</t>
        </is>
      </c>
      <c r="O194">
        <f>(35+28+20+15)/4</f>
        <v/>
      </c>
      <c r="P194">
        <f>(50+45)/2</f>
        <v/>
      </c>
    </row>
    <row r="195">
      <c r="A195" t="inlineStr">
        <is>
          <t>Sergio Busquets</t>
        </is>
      </c>
      <c r="B195" t="inlineStr">
        <is>
          <t>Barcelona</t>
        </is>
      </c>
      <c r="C195" t="inlineStr">
        <is>
          <t>Midfielder</t>
        </is>
      </c>
      <c r="D195" t="n">
        <v>487</v>
      </c>
      <c r="E195" t="n">
        <v>6</v>
      </c>
      <c r="F195" t="n">
        <v>0</v>
      </c>
      <c r="G195" t="n">
        <v>0</v>
      </c>
      <c r="H195" t="n">
        <v>63.9</v>
      </c>
      <c r="I195" t="n">
        <v>29.9</v>
      </c>
      <c r="J195" t="n">
        <v>65230</v>
      </c>
      <c r="K195" t="inlineStr">
        <is>
          <t>{'id': '65230', 'marketValue': '€2.50m', 'marketValueHistory': [{'age': '20', 'date': 'Aug 15, 2008', 'clubName': 'FC Barcelona', 'value': '€300k', 'clubID': '131'}, {'age': '20', 'date': 'Oct 15, 2008', 'clubName': 'FC Barcelona', 'value': '€3.00m', 'clubID': '131'}, {'age': '20', 'date': 'Jan 26, 2009', 'clubName': 'FC Barcelona', 'value': '€5.00m', 'clubID': '131'}, {'age': '21', 'date': 'Jul 22, 2009', 'clubName': 'FC Barcelona', 'value': '€8.00m', 'clubID': '131'}, {'age': '21', 'date': 'Dec 3, 2009', 'clubName': 'FC Barcelona', 'value': '€14.00m', 'clubID': '131'}, {'age': '21', 'date': 'Jan 7, 2010', 'clubName': 'FC Barcelona', 'value': '€18.00m', 'clubID': '131'}, {'age': '21', 'date': 'Apr 12, 2010', 'clubName': 'FC Barcelona', 'value': '€20.00m', 'clubID': '131'}, {'age': '22', 'date': 'Aug 27, 2010', 'clubName': 'FC Barcelona', 'value': '€25.00m', 'clubID': '131'}, {'age': '22', 'date': 'Dec 10, 2010', 'clubName': 'FC Barcelona', 'value': '€30.00m', 'clubID': '131'}, {'age': '22', 'date': 'Feb 4, 2011', 'clubName': 'FC Barcelona', 'value': '€30.00m', 'clubID': '131'}, {'age': '23', 'date': 'Aug 8, 2011', 'clubName': 'FC Barcelona', 'value': '€35.00m', 'clubID': '131'}, {'age': '23', 'date': 'Feb 3, 2012', 'clubName': 'FC Barcelona', 'value': '€35.00m', 'clubID': '131'}, {'age': '24', 'date': 'Aug 7, 2012', 'clubName': 'FC Barcelona', 'value': '€42.00m', 'clubID': '131'}, {'age': '24', 'date': 'Jan 10, 2013', 'clubName': 'FC Barcelona', 'value': '€42.00m', 'clubID': '131'}, {'age': '24', 'date': 'Jun 22, 2013', 'clubName': 'FC Barcelona', 'value': '€45.00m', 'clubID': '131'}, {'age': '25', 'date': 'Jan 23, 2014', 'clubName': 'FC Barcelona', 'value': '€45.00m', 'clubID': '131'}, {'age': '26', 'date': 'Jul 20, 2014', 'clubName': 'FC Barcelona', 'value': '€40.00m', 'clubID': '131'}, {'age': '26', 'date': 'Jan 23, 2015', 'clubName': 'FC Barcelona', 'value': '€35.00m', 'clubID': '131'}, {'age': '26', 'date': 'Jul 1, 2015', 'clubName': 'FC Barcelona', 'value': '€45.00m', 'clubID': '131'}, {'age': '27', 'date': 'Nov 22, 2015', 'clubName': 'FC Barcelona', 'value': '€50.00m', 'clubID': '131'}, {'age': '27', 'date': 'Feb 22, 2016', 'clubName': 'FC Barcelona', 'value': '€50.00m', 'clubID': '131'}, {'age': '27', 'date': 'Jun 1, 2016', 'clubName': 'FC Barcelona', 'value': '€60.00m', 'clubID': '131'}, {'age': '27', 'date': 'Jul 15, 2016', 'clubName': 'FC Barcelona', 'value': '€60.00m', 'clubID': '131'}, {'age': '28', 'date': 'Jan 24, 2017', 'clubName': 'FC Barcelona', 'value': '€60.00m', 'clubID': '131'}, {'age': '28', 'date': 'Jun 5, 2017', 'clubName': 'FC Barcelona', 'value': '€60.00m', 'clubID': '131'}, {'age': '29', 'date': 'Jan 1, 2018', 'clubName': 'FC Barcelona', 'value': '€80.00m', 'clubID': '131'}, {'age': '29', 'date': 'May 30, 2018', 'clubName': 'FC Barcelona', 'value': '€80.00m', 'clubID': '131'}, {'age': '30', 'date': 'Dec 21, 2018', 'clubName': 'FC Barcelona', 'value': '€75.00m', 'clubID': '131'}, {'age': '30', 'date': 'Jun 11, 2019', 'clubName': 'FC Barcelona', 'value': '€50.00m', 'clubID': '131'}, {'age': '31', 'date': 'Dec 20, 2019', 'clubName': 'FC Barcelona', 'value': '€35.00m', 'clubID': '131'}, {'age': '31', 'date': 'Apr 8, 2020', 'clubName': 'FC Barcelona', 'value': '€28.00m', 'clubID': '131'}, {'age': '32', 'date': 'Oct 8, 2020', 'clubName': 'FC Barcelona', 'value': '€15.00m', 'clubID': '131'}, {'age': '32', 'date': 'Jan 5, 2021', 'clubName': 'FC Barcelona', 'value': '€10.00m', 'clubID': '131'}, {'age': '32', 'date': 'May 31, 2021', 'clubName': 'FC Barcelona', 'value': '€9.00m', 'clubID': '131'}, {'age': '33', 'date': 'Dec 30, 2021', 'clubName': 'FC Barcelona', 'value': '€9.00m', 'clubID': '131'}, {'age': '33', 'date': 'Jun 3, 2022', 'clubName': 'FC Barcelona', 'value': '€9.00m', 'clubID': '131'}, {'age': '34', 'date': 'Nov 7, 2022', 'clubName': 'FC Barcelona', 'value': '€5.00m', 'clubID': '131'}, {'age': '34', 'date': 'Jun 13, 2023', 'clubName': 'FC Barcelona', 'value': '€5.00m', 'clubID': '131'}, {'age': '35', 'date': 'Aug 22, 2023', 'clubName': 'Inter Miami CF', 'value': '€3.50m', 'clubID': '69261'}, {'age': '35', 'date': 'Dec 18, 2023', 'clubName': 'Inter Miami CF', 'value': '€3.00m', 'clubID': '69261'}, {'age': '35', 'date': 'Mar 25, 2024', 'clubName': 'Inter Miami CF', 'value': '€2.50m', 'clubID': '69261'}], 'ranking': {'Worldwide': '3.404', 'MLS': '123', 'Miami': '11', 'Spain': '245', 'Defensive Midfield': '301', 'Year 1988': '12'}, 'updatedAt': datetime.datetime(2024, 5, 23, 22, 25, 49, 523808)}</t>
        </is>
      </c>
      <c r="L195" t="inlineStr">
        <is>
          <t>Spain</t>
        </is>
      </c>
      <c r="M195" t="inlineStr">
        <is>
          <t>1988-07-16</t>
        </is>
      </c>
      <c r="N195" t="inlineStr">
        <is>
          <t>Spain</t>
        </is>
      </c>
      <c r="O195">
        <f>(9+5)/2</f>
        <v/>
      </c>
      <c r="P195">
        <f>(10+9+9)/3</f>
        <v/>
      </c>
    </row>
    <row r="196">
      <c r="A196" t="inlineStr">
        <is>
          <t>Shaparenko</t>
        </is>
      </c>
      <c r="B196" t="inlineStr">
        <is>
          <t>Dynamo Kyiv</t>
        </is>
      </c>
      <c r="C196" t="inlineStr">
        <is>
          <t>Midfielder</t>
        </is>
      </c>
      <c r="D196" t="n">
        <v>486</v>
      </c>
      <c r="E196" t="n">
        <v>6</v>
      </c>
      <c r="F196" t="n">
        <v>0</v>
      </c>
      <c r="G196" t="n">
        <v>0</v>
      </c>
      <c r="H196" t="n">
        <v>68.7</v>
      </c>
      <c r="I196" t="n">
        <v>30.4</v>
      </c>
      <c r="J196" t="n">
        <v>368611</v>
      </c>
      <c r="K196" t="inlineStr">
        <is>
          <t>{'marketValueHistory': [{'date': '12/01/2018', 'age': '19', 'clubName': 'Dynamo Kyiv', 'clubID': '338', 'value': '€500k'}, {'date': '14/05/2018', 'age': '19', 'clubName': 'Dynamo Kyiv', 'clubID': '338', 'value': '€1.00m'}, {'date': '06/08/2018', 'age': '19', 'clubName': 'Dynamo Kyiv', 'clubID': '338', 'value': '€1.50m'}, {'date': '10/12/2018', 'age': '20', 'clubName': 'Dynamo Kyiv', 'clubID': '338', 'value': '€2.50m'}, {'date': '22/03/2019', 'age': '20', 'clubName': 'Dynamo Kyiv', 'clubID': '338', 'value': '€3.50m'}, {'date': '20/06/2019', 'age': '20', 'clubName': 'Dynamo Kyiv', 'clubID': '338', 'value': '€3.50m'}, {'date': '08/01/2020', 'age': '21', 'clubName': 'Dynamo Kyiv', 'clubID': '338', 'value': '€3.50m'}, {'date': '08/04/2020', 'age': '21', 'clubName': 'Dynamo Kyiv', 'clubID': '338', 'value': '€3.20m'}, {'date': '04/09/2020', 'age': '21', 'clubName': 'Dynamo Kyiv', 'clubID': '338', 'value': '€3.00m'}, {'date': '14/01/2021', 'age': '22', 'clubName': 'Dynamo Kyiv', 'clubID': '338', 'value': '€5.00m'}, {'date': '27/05/2021', 'age': '22', 'clubName': 'Dynamo Kyiv', 'clubID': '338', 'value': '€8.00m'}, {'date': '20/12/2021', 'age': '23', 'clubName': 'Dynamo Kyiv', 'clubID': '338', 'value': '€10.00m'}, {'date': '18/05/2022', 'age': '23', 'clubName': 'Dynamo Kyiv', 'clubID': '338', 'value': '€10.00m'}, {'date': '06/12/2022', 'age': '24', 'clubName': 'Dynamo Kyiv', 'clubID': '338', 'value': '€9.00m'}, {'date': '21/06/2023', 'age': '24', 'clubName': 'Dynamo Kyiv', 'clubID': '338', 'value': '€8.00m'}, {'date': '14/09/2023', 'age': '24', 'clubName': 'Dynamo Kyiv', 'clubID': '338', 'value': '€7.00m'}, {'date': '11/12/2023', 'age': '25', 'clubName': 'Dynamo Kyiv', 'clubID': '338', 'value': '€6.00m'}, {'date': '06/06/2024', 'age': '25', 'clubName': 'Dynamo Kyiv', 'clubID': '338', 'value': '€9.00m'}, {'date': '12/09/2024', 'age': '25', 'clubName': 'Dynamo Kyiv', 'clubID': '338', 'value': '€10.00m'}, {'date': '17/12/2024', 'age': '26', 'clubName': 'Dynamo Kyiv', 'clubID': '338', 'value': '€10.00m'}, {'date': '10/06/2025', 'age': '26', 'clubName': 'Dynamo Kyiv', 'clubID': '338', 'value': '€11.00m'}, {'date': '18/12/2025', 'age': '27', 'clubName': 'Dynamo Kyiv', 'clubID': '338', 'value': '€8.00m'}]}</t>
        </is>
      </c>
      <c r="L196" t="inlineStr">
        <is>
          <t>Ukraine</t>
        </is>
      </c>
      <c r="M196" t="inlineStr">
        <is>
          <t>1998-10-04</t>
        </is>
      </c>
      <c r="N196" t="inlineStr">
        <is>
          <t>Ukraine</t>
        </is>
      </c>
      <c r="O196">
        <f>(10+9)/2</f>
        <v/>
      </c>
      <c r="P196">
        <f>(5+8+10)/3</f>
        <v/>
      </c>
    </row>
    <row r="197">
      <c r="A197" t="inlineStr">
        <is>
          <t>Mukiele</t>
        </is>
      </c>
      <c r="B197" t="inlineStr">
        <is>
          <t>Leipzig</t>
        </is>
      </c>
      <c r="C197" t="inlineStr">
        <is>
          <t>Defender</t>
        </is>
      </c>
      <c r="D197" t="n">
        <v>484</v>
      </c>
      <c r="E197" t="n">
        <v>6</v>
      </c>
      <c r="F197" t="n">
        <v>1</v>
      </c>
      <c r="G197" t="n">
        <v>1</v>
      </c>
      <c r="H197" t="n">
        <v>57</v>
      </c>
      <c r="I197" t="n">
        <v>36</v>
      </c>
      <c r="J197" t="n">
        <v>348026</v>
      </c>
      <c r="K197" t="inlineStr">
        <is>
          <t>{'marketValueHistory': [{'date': 'Sep 6, 2015', 'age': '17', 'clubName': 'Stade Lavallois', 'clubID': '1080', 'value': '€100k'}, {'date': 'Feb 4, 2016', 'age': '18', 'clubName': 'Stade Lavallois', 'clubID': '1080', 'value': '€500k'}, {'date': 'Jul 13, 2016', 'age': '18', 'clubName': 'Stade Lavallois', 'clubID': '1080', 'value': '€800k'}, {'date': 'Jan 16, 2017', 'age': '19', 'clubName': 'Montpellier HSC', 'clubID': '969', 'value': '€1.50m'}, {'date': 'Jun 1, 2017', 'age': '19', 'clubName': 'Montpellier HSC', 'clubID': '969', 'value': '€1.50m'}, {'date': 'Oct 12, 2017', 'age': '19', 'clubName': 'Montpellier HSC', 'clubID': '969', 'value': '€3.00m'}, {'date': 'Jan 24, 2018', 'age': '20', 'clubName': 'Montpellier HSC', 'clubID': '969', 'value': '€7.00m'}, {'date': 'Mar 20, 2018', 'age': '20', 'clubName': 'Montpellier HSC', 'clubID': '969', 'value': '€8.00m'}, {'date': 'Jun 4, 2018', 'age': '20', 'clubName': 'Montpellier HSC', 'clubID': '969', 'value': '€14.00m'}, {'date': 'Dec 18, 2018', 'age': '21', 'clubName': 'RB Leipzig', 'clubID': '23826', 'value': '€14.00m'}, {'date': 'Jun 5, 2019', 'age': '21', 'clubName': 'RB Leipzig', 'clubID': '23826', 'value': '€15.00m'}, {'date': 'Oct 2, 2019', 'age': '21', 'clubName': 'RB Leipzig', 'clubID': '23826', 'value': '€22.00m'}, {'date': 'Dec 17, 2019', 'age': '22', 'clubName': 'RB Leipzig', 'clubID': '23826', 'value': '€25.00m'}, {'date': 'Apr 8, 2020', 'age': '22', 'clubName': 'RB Leipzig', 'clubID': '23826', 'value': '€20.00m'}, {'date': 'Sep 16, 2020', 'age': '22', 'clubName': 'RB Leipzig', 'clubID': '23826', 'value': '€23.00m'}, {'date': 'Feb 10, 2021', 'age': '23', 'clubName': 'RB Leipzig', 'clubID': '23826', 'value': '€23.00m'}, {'date': 'Jun 9, 2021', 'age': '23', 'clubName': 'RB Leipzig', 'clubID': '23826', 'value': '€25.00m'}, {'date': 'Dec 22, 2021', 'age': '24', 'clubName': 'RB Leipzig', 'clubID': '23826', 'value': '€25.00m'}, {'date': 'Jun 9, 2022', 'age': '24', 'clubName': 'RB Leipzig', 'clubID': '23826', 'value': '€20.00m'}, {'date': 'Nov 2, 2022', 'age': '25', 'clubName': 'Paris Saint-Germain', 'clubID': '583', 'value': '€20.00m'}, {'date': 'Jun 27, 2023', 'age': '25', 'clubName': 'Paris Saint-Germain', 'clubID': '583', 'value': '€18.00m'}, {'date': 'Oct 16, 2023', 'age': '25', 'clubName': 'Paris Saint-Germain', 'clubID': '583', 'value': '€14.00m'}, {'date': 'Dec 18, 2023', 'age': '26', 'clubName': 'Paris Saint-Germain', 'clubID': '583', 'value': '€12.00m'}, {'date': 'Mar 19, 2024', 'age': '26', 'clubName': 'Paris Saint-Germain', 'clubID': '583', 'value': '€10.00m'}, {'date': 'Jun 3, 2024', 'age': '26', 'clubName': 'Paris Saint-Germain', 'clubID': '583', 'value': '€10.00m'}, {'date': 'Dec 20, 2024', 'age': '27', 'clubName': 'Bayer 04 Leverkusen', 'clubID': '15', 'value': '€10.00m'}, {'date': 'Jun 5, 2025', 'age': '27', 'clubName': 'Bayer 04 Leverkusen', 'clubID': '15', 'value': '€10.00m'}, {'date': 'Dec 9, 2025', 'age': '28', 'clubName': 'Sunderland AFC', 'clubID': '289', 'value': '€15.00m'}, {'date': 'Mar 9, 2026', 'age': '28', 'clubName': 'Sunderland AFC', 'clubID': '289', 'value': '€18.00m'}]}</t>
        </is>
      </c>
      <c r="L197" t="inlineStr">
        <is>
          <t>France</t>
        </is>
      </c>
      <c r="M197" t="inlineStr">
        <is>
          <t>1997-11-01</t>
        </is>
      </c>
      <c r="N197" t="inlineStr">
        <is>
          <t>1</t>
        </is>
      </c>
      <c r="O197">
        <f>(20+20)/2</f>
        <v/>
      </c>
      <c r="P197">
        <f>(23+25+25)/3</f>
        <v/>
      </c>
    </row>
    <row r="198">
      <c r="A198" t="inlineStr">
        <is>
          <t>Wendel</t>
        </is>
      </c>
      <c r="B198" t="inlineStr">
        <is>
          <t>Zenit</t>
        </is>
      </c>
      <c r="C198" t="inlineStr">
        <is>
          <t>Midfielder</t>
        </is>
      </c>
      <c r="D198" t="n">
        <v>484</v>
      </c>
      <c r="E198" t="n">
        <v>6</v>
      </c>
      <c r="F198" t="n">
        <v>1</v>
      </c>
      <c r="G198" t="n">
        <v>0</v>
      </c>
      <c r="H198" t="n">
        <v>59.1</v>
      </c>
      <c r="I198" t="n">
        <v>33.2</v>
      </c>
      <c r="J198" t="n">
        <v>228433</v>
      </c>
      <c r="K198" t="inlineStr">
        <is>
          <t>{'marketValueHistory': [{'date': 'Jun 8, 2013', 'age': '19', 'clubName': 'Grêmio Foot-Ball Porto Alegrense', 'clubID': '210', 'value': '€150k'}, {'date': 'Mar 28, 2014', 'age': '20', 'clubName': 'Grêmio Foot-Ball Porto Alegrense', 'clubID': '210', 'value': '€3.00m'}, {'date': 'Jul 10, 2014', 'age': '20', 'clubName': 'Bayer 04 Leverkusen', 'clubID': '15', 'value': '€5.00m'}, {'date': 'Aug 21, 2014', 'age': '21', 'clubName': 'Bayer 04 Leverkusen', 'clubID': '15', 'value': '€6.00m'}, {'date': 'Feb 4, 2015', 'age': '21', 'clubName': 'Bayer 04 Leverkusen', 'clubID': '15', 'value': '€6.00m'}, {'date': 'Jul 1, 2015', 'age': '21', 'clubName': 'Bayer 04 Leverkusen', 'clubID': '15', 'value': '€10.00m'}, {'date': 'Oct 16, 2015', 'age': '22', 'clubName': 'Bayer 04 Leverkusen', 'clubID': '15', 'value': '€15.00m'}, {'date': 'Feb 15, 2016', 'age': '22', 'clubName': 'Bayer 04 Leverkusen', 'clubID': '15', 'value': '€15.00m'}, {'date': 'Jul 22, 2016', 'age': '23', 'clubName': 'Bayer 04 Leverkusen', 'clubID': '15', 'value': '€15.00m'}, {'date': 'Feb 7, 2017', 'age': '23', 'clubName': 'Bayer 04 Leverkusen', 'clubID': '15', 'value': '€13.00m'}, {'date': 'Jun 19, 2017', 'age': '23', 'clubName': 'Bayer 04 Leverkusen', 'clubID': '15', 'value': '€12.00m'}, {'date': 'Dec 28, 2017', 'age': '24', 'clubName': 'Bayer 04 Leverkusen', 'clubID': '15', 'value': '€14.00m'}, {'date': 'Apr 4, 2018', 'age': '24', 'clubName': 'Bayer 04 Leverkusen', 'clubID': '15', 'value': '€18.00m'}, {'date': 'Jun 5, 2018', 'age': '24', 'clubName': 'Bayer 04 Leverkusen', 'clubID': '15', 'value': '€18.00m'}, {'date': 'Oct 22, 2018', 'age': '25', 'clubName': 'Bayer 04 Leverkusen', 'clubID': '15', 'value': '€25.00m'}, {'date': 'Dec 18, 2018', 'age': '25', 'clubName': 'Bayer 04 Leverkusen', 'clubID': '15', 'value': '€20.00m'}, {'date': 'Jun 5, 2019', 'age': '25', 'clubName': 'Bayer 04 Leverkusen', 'clubID': '15', 'value': '€20.00m'}, {'date': 'Dec 17, 2019', 'age': '26', 'clubName': 'Bayer 04 Leverkusen', 'clubID': '15', 'value': '€17.00m'}, {'date': 'Apr 8, 2020', 'age': '26', 'clubName': 'Bayer 04 Leverkusen', 'clubID': '15', 'value': '€13.50m'}, {'date': 'Jul 8, 2020', 'age': '26', 'clubName': 'Bayer 04 Leverkusen', 'clubID': '15', 'value': '€10.00m'}, {'date': 'Nov 26, 2020', 'age': '27', 'clubName': 'Bayer 04 Leverkusen', 'clubID': '15', 'value': '€7.50m'}, {'date': 'Feb 10, 2021', 'age': '27', 'clubName': 'Bayer 04 Leverkusen', 'clubID': '15', 'value': '€6.50m'}, {'date': 'Jun 9, 2021', 'age': '27', 'clubName': 'Bayer 04 Leverkusen', 'clubID': '15', 'value': '€6.50m'}, {'date': 'Dec 27, 2021', 'age': '28', 'clubName': 'FC Porto', 'clubID': '720', 'value': '€6.00m'}, {'date': 'May 31, 2022', 'age': '28', 'clubName': 'FC Porto', 'clubID': '720', 'value': '€5.00m'}, {'date': 'Nov 1, 2022', 'age': '29', 'clubName': 'FC Porto', 'clubID': '720', 'value': '€5.00m'}, {'date': 'Jun 16, 2023', 'age': '29', 'clubName': 'FC Porto', 'clubID': '720', 'value': '€5.00m'}, {'date': 'Dec 27, 2023', 'age': '30', 'clubName': 'FC Porto', 'clubID': '720', 'value': '€5.00m'}, {'date': 'Jun 6, 2024', 'age': '30', 'clubName': 'FC Porto', 'clubID': '720', 'value': '€7.00m'}, {'date': 'Oct 8, 2024', 'age': '31', 'clubName': 'FC Porto', 'clubID': '720', 'value': '€5.00m'}, {'date': 'Dec 19, 2024', 'age': '31', 'clubName': 'FC Porto', 'clubID': '720', 'value': '€4.50m'}, {'date': 'Jun 6, 2025', 'age': '31', 'clubName': 'São Paulo Futebol Clube', 'clubID': '585', 'value': '€3.50m'}, {'date': 'Sep 5, 2025', 'age': '32', 'clubName': 'São Paulo Futebol Clube', 'clubID': '585', 'value': '€3.00m'}, {'date': 'Dec 10, 2025', 'age': '32', 'clubName': 'São Paulo Futebol Clube', 'clubID': '585', 'value': '€2.50m'}, {'date': 'Mar 12, 2026', 'age': '32', 'clubName': 'São Paulo Futebol Clube', 'clubID': '585', 'value': '€2.00m'}]}</t>
        </is>
      </c>
      <c r="L198" t="inlineStr">
        <is>
          <t>Brazil</t>
        </is>
      </c>
      <c r="M198" t="inlineStr">
        <is>
          <t>1993-07-20</t>
        </is>
      </c>
      <c r="N198" t="inlineStr">
        <is>
          <t>6</t>
        </is>
      </c>
      <c r="O198">
        <f>(5+5)/2</f>
        <v/>
      </c>
      <c r="P198">
        <f>(6.5+6.5+6)/3</f>
        <v/>
      </c>
    </row>
    <row r="199">
      <c r="A199" t="inlineStr">
        <is>
          <t>Meunier</t>
        </is>
      </c>
      <c r="B199" t="inlineStr">
        <is>
          <t>Dortmund</t>
        </is>
      </c>
      <c r="C199" t="inlineStr">
        <is>
          <t>Defender</t>
        </is>
      </c>
      <c r="D199" t="n">
        <v>484</v>
      </c>
      <c r="E199" t="n">
        <v>6</v>
      </c>
      <c r="F199" t="n">
        <v>0</v>
      </c>
      <c r="G199" t="n">
        <v>1</v>
      </c>
      <c r="H199" t="n">
        <v>65.59999999999999</v>
      </c>
      <c r="I199" t="n">
        <v>32.6</v>
      </c>
      <c r="J199" t="n">
        <v>100986</v>
      </c>
      <c r="K199" t="inlineStr">
        <is>
          <t>{'marketValueHistory': [{'date': 'Jan 25, 2011', 'age': '19', 'clubName': 'Royal Excelsior Virton', 'clubID': '1199', 'value': '€300k'}, {'date': 'Aug 12, 2011', 'age': '19', 'clubName': 'Club Brugge KV', 'clubID': '2282', 'value': '€700k'}, {'date': 'Jan 5, 2012', 'age': '20', 'clubName': 'Club Brugge KV', 'clubID': '2282', 'value': '€1.50m'}, {'date': 'Oct 16, 2012', 'age': '21', 'clubName': 'Club Brugge KV', 'clubID': '2282', 'value': '€2.00m'}, {'date': 'Jun 25, 2013', 'age': '21', 'clubName': 'Club Brugge KV', 'clubID': '2282', 'value': '€2.20m'}, {'date': 'Feb 10, 2014', 'age': '22', 'clubName': 'Club Brugge KV', 'clubID': '2282', 'value': '€3.50m'}, {'date': 'Jun 28, 2014', 'age': '22', 'clubName': 'Club Brugge KV', 'clubID': '2282', 'value': '€3.50m'}, {'date': 'Jan 7, 2015', 'age': '23', 'clubName': 'Club Brugge KV', 'clubID': '2282', 'value': '€3.50m'}, {'date': 'Mar 24, 2015', 'age': '23', 'clubName': 'Club Brugge KV', 'clubID': '2282', 'value': '€4.50m'}, {'date': 'Jun 24, 2015', 'age': '23', 'clubName': 'Club Brugge KV', 'clubID': '2282', 'value': '€6.00m'}, {'date': 'Oct 22, 2015', 'age': '24', 'clubName': 'Club Brugge KV', 'clubID': '2282', 'value': '€7.00m'}, {'date': 'Feb 7, 2016', 'age': '24', 'clubName': 'Club Brugge KV', 'clubID': '2282', 'value': '€7.00m'}, {'date': 'Apr 14, 2016', 'age': '24', 'clubName': 'Club Brugge KV', 'clubID': '2282', 'value': '€6.00m'}, {'date': 'Jun 1, 2016', 'age': '24', 'clubName': 'Club Brugge KV', 'clubID': '2282', 'value': '€6.00m'}, {'date': 'Jul 13, 2016', 'age': '24', 'clubName': 'Paris Saint-Germain', 'clubID': '583', 'value': '€6.00m'}, {'date': 'Jan 16, 2017', 'age': '25', 'clubName': 'Paris Saint-Germain', 'clubID': '583', 'value': '€7.50m'}, {'date': 'Jun 1, 2017', 'age': '25', 'clubName': 'Paris Saint-Germain', 'clubID': '583', 'value': '€9.00m'}, {'date': 'Jan 24, 2018', 'age': '26', 'clubName': 'Paris Saint-Germain', 'clubID': '583', 'value': '€15.00m'}, {'date': 'Jun 4, 2018', 'age': '26', 'clubName': 'Paris Saint-Germain', 'clubID': '583', 'value': '€15.00m'}, {'date': 'Oct 24, 2018', 'age': '27', 'clubName': 'Paris Saint-Germain', 'clubID': '583', 'value': '€25.00m'}, {'date': 'Dec 17, 2018', 'age': '27', 'clubName': 'Paris Saint-Germain', 'clubID': '583', 'value': '€35.00m'}, {'date': 'Jun 3, 2019', 'age': '27', 'clubName': 'Paris Saint-Germain', 'clubID': '583', 'value': '€30.00m'}, {'date': 'Dec 19, 2019', 'age': '28', 'clubName': 'Paris Saint-Germain', 'clubID': '583', 'value': '€30.00m'}, {'date': 'Apr 8, 2020', 'age': '28', 'clubName': 'Paris Saint-Germain', 'clubID': '583', 'value': '€24.00m'}, {'date': 'Nov 26, 2020', 'age': '29', 'clubName': 'Borussia Dortmund', 'clubID': '16', 'value': '€18.00m'}, {'date': 'Feb 10, 2021', 'age': '29', 'clubName': 'Borussia Dortmund', 'clubID': '16', 'value': '€18.00m'}, {'date': 'Mar 31, 2021', 'age': '29', 'clubName': 'Borussia Dortmund', 'clubID': '16', 'value': '€12.00m'}, {'date': 'May 26, 2021', 'age': '29', 'clubName': 'Borussia Dortmund', 'clubID': '16', 'value': '€12.00m'}, {'date': 'Dec 22, 2021', 'age': '30', 'clubName': 'Borussia Dortmund', 'clubID': '16', 'value': '€9.00m'}, {'date': 'Jun 9, 2022', 'age': '30', 'clubName': 'Borussia Dortmund', 'clubID': '16', 'value': '€6.50m'}, {'date': 'Nov 9, 2022', 'age': '31', 'clubName': 'Borussia Dortmund', 'clubID': '16', 'value': '€6.50m'}, {'date': 'Jun 22, 2023', 'age': '31', 'clubName': 'Borussia Dortmund', 'clubID': '16', 'value': '€5.00m'}, {'date': 'Oct 18, 2023', 'age': '32', 'clubName': 'Borussia Dortmund', 'clubID': '16', 'value': '€3.00m'}, {'date': 'Dec 14, 2023', 'age': '32', 'clubName': 'Borussia Dortmund', 'clubID': '16', 'value': '€2.50m'}, {'date': 'Mar 15, 2024', 'age': '32', 'clubName': 'Trabzonspor', 'clubID': '449', 'value': '€2.50m'}, {'date': 'May 31, 2024', 'age': '32', 'clubName': 'Trabzonspor', 'clubID': '449', 'value': '€2.50m'}, {'date': 'Dec 10, 2024', 'age': '33', 'clubName': 'LOSC Lille', 'clubID': '1082', 'value': '€2.00m'}, {'date': 'Jun 3, 2025', 'age': '33', 'clubName': 'LOSC Lille', 'clubID': '1082', 'value': '€2.00m'}, {'date': 'Dec 15, 2025', 'age': '34', 'clubName': 'LOSC Lille', 'clubID': '1082', 'value': '€1.80m'}]}</t>
        </is>
      </c>
      <c r="L199" t="inlineStr">
        <is>
          <t>Belgium</t>
        </is>
      </c>
      <c r="M199" t="inlineStr">
        <is>
          <t>1991-09-12</t>
        </is>
      </c>
      <c r="N199" t="inlineStr">
        <is>
          <t>Belgium</t>
        </is>
      </c>
      <c r="O199">
        <f>(6.5+6.5)/2</f>
        <v/>
      </c>
      <c r="P199">
        <f>(18+12+12+9)/4</f>
        <v/>
      </c>
    </row>
    <row r="200">
      <c r="A200" t="inlineStr">
        <is>
          <t>De Roon</t>
        </is>
      </c>
      <c r="B200" t="inlineStr">
        <is>
          <t>Atalanta</t>
        </is>
      </c>
      <c r="C200" t="inlineStr">
        <is>
          <t>Midfielder</t>
        </is>
      </c>
      <c r="D200" t="n">
        <v>484</v>
      </c>
      <c r="E200" t="n">
        <v>6</v>
      </c>
      <c r="F200" t="n">
        <v>0</v>
      </c>
      <c r="G200" t="n">
        <v>0</v>
      </c>
      <c r="H200" t="n">
        <v>62.1</v>
      </c>
      <c r="I200" t="n">
        <v>31.1</v>
      </c>
      <c r="J200" t="n">
        <v>133179</v>
      </c>
      <c r="K200" t="inlineStr">
        <is>
          <t>{'marketValueHistory': [{'date': '28/03/2010', 'age': '18', 'clubName': 'Sparta Rotterdam U19', 'clubID': '10703', 'value': '€50k'}, {'date': '29/08/2010', 'age': '19', 'clubName': 'Sparta Rotterdam', 'clubID': '468', 'value': '€75k'}, {'date': '05/01/2011', 'age': '19', 'clubName': 'Sparta Rotterdam', 'clubID': '468', 'value': '€100k'}, {'date': '15/06/2011', 'age': '20', 'clubName': 'Sparta Rotterdam', 'clubID': '468', 'value': '€125k'}, {'date': '09/10/2012', 'age': '21', 'clubName': 'SC Heerenveen', 'clubID': '306', 'value': '€400k'}, {'date': '16/01/2013', 'age': '21', 'clubName': 'SC Heerenveen', 'clubID': '306', 'value': '€600k'}, {'date': '12/06/2013', 'age': '22', 'clubName': 'SC Heerenveen', 'clubID': '306', 'value': '€750k'}, {'date': '11/02/2014', 'age': '22', 'clubName': 'SC Heerenveen', 'clubID': '306', 'value': '€1.00m'}, {'date': '11/08/2014', 'age': '23', 'clubName': 'SC Heerenveen', 'clubID': '306', 'value': '€1.25m'}, {'date': '16/02/2015', 'age': '23', 'clubName': 'SC Heerenveen', 'clubID': '306', 'value': '€1.25m'}, {'date': '01/07/2015', 'age': '24', 'clubName': 'SC Heerenveen', 'clubID': '306', 'value': '€1.25m'}, {'date': '05/11/2015', 'age': '24', 'clubName': 'Atalanta BC', 'clubID': '800', 'value': '€2.00m'}, {'date': '04/01/2016', 'age': '24', 'clubName': 'Atalanta BC', 'clubID': '800', 'value': '€3.50m'}, {'date': '01/04/2016', 'age': '25', 'clubName': 'Atalanta BC', 'clubID': '800', 'value': '€5.00m'}, {'date': '01/08/2016', 'age': '25', 'clubName': 'Middlesbrough FC', 'clubID': '641', 'value': '€10.00m'}, {'date': '20/02/2017', 'age': '25', 'clubName': 'Middlesbrough FC', 'clubID': '641', 'value': '€10.00m'}, {'date': '28/06/2017', 'age': '26', 'clubName': 'Middlesbrough FC', 'clubID': '641', 'value': '€10.00m'}, {'date': '29/12/2017', 'age': '26', 'clubName': 'Atalanta BC', 'clubID': '800', 'value': '€12.00m'}, {'date': '07/06/2018', 'age': '27', 'clubName': 'Atalanta BC', 'clubID': '800', 'value': '€14.00m'}, {'date': '20/12/2018', 'age': '27', 'clubName': 'Atalanta BC', 'clubID': '800', 'value': '€17.00m'}, {'date': '06/06/2019', 'age': '28', 'clubName': 'Atalanta BC', 'clubID': '800', 'value': '€24.00m'}, {'date': '12/12/2019', 'age': '28', 'clubName': 'Atalanta BC', 'clubID': '800', 'value': '€24.00m'}, {'date': '08/04/2020', 'age': '29', 'clubName': 'Atalanta BC', 'clubID': '800', 'value': '€19.00m'}, {'date': '25/08/2020', 'age': '29', 'clubName': 'Atalanta BC', 'clubID': '800', 'value': '€23.00m'}, {'date': '29/12/2020', 'age': '29', 'clubName': 'Atalanta BC', 'clubID': '800', 'value': '€23.00m'}, {'date': '27/05/2021', 'age': '30', 'clubName': 'Atalanta BC', 'clubID': '800', 'value': '€23.00m'}, {'date': '28/12/2021', 'age': '30', 'clubName': 'Atalanta BC', 'clubID': '800', 'value': '€20.00m'}, {'date': '07/06/2022', 'age': '31', 'clubName': 'Atalanta BC', 'clubID': '800', 'value': '€17.00m'}, {'date': '11/11/2022', 'age': '31', 'clubName': 'Atalanta BC', 'clubID': '800', 'value': '€12.00m'}, {'date': '15/06/2023', 'age': '32', 'clubName': 'Atalanta BC', 'clubID': '800', 'value': '€10.00m'}, {'date': '20/12/2023', 'age': '32', 'clubName': 'Atalanta BC', 'clubID': '800', 'value': '€8.00m'}, {'date': '05/06/2024', 'age': '33', 'clubName': 'Atalanta BC', 'clubID': '800', 'value': '€7.00m'}, {'date': '18/12/2024', 'age': '33', 'clubName': 'Atalanta BC', 'clubID': '800', 'value': '€7.00m'}, {'date': '17/06/2025', 'age': '34', 'clubName': 'Atalanta BC', 'clubID': '800', 'value': '€5.00m'}, {'date': '23/12/2025', 'age': '34', 'clubName': 'Atalanta BC', 'clubID': '800', 'value': '€3.50m'}]}</t>
        </is>
      </c>
      <c r="L200" t="inlineStr">
        <is>
          <t>Netherlands</t>
        </is>
      </c>
      <c r="M200" t="inlineStr">
        <is>
          <t>1991-03-29</t>
        </is>
      </c>
      <c r="N200" t="inlineStr">
        <is>
          <t>Netherlands</t>
        </is>
      </c>
      <c r="O200">
        <f>(17+12)/2</f>
        <v/>
      </c>
      <c r="P200">
        <f>(23+20)/2</f>
        <v/>
      </c>
    </row>
    <row r="201">
      <c r="A201" t="inlineStr">
        <is>
          <t>Nsoki</t>
        </is>
      </c>
      <c r="B201" t="inlineStr">
        <is>
          <t>Club Brugge</t>
        </is>
      </c>
      <c r="C201" t="inlineStr">
        <is>
          <t>Defender</t>
        </is>
      </c>
      <c r="D201" t="n">
        <v>484</v>
      </c>
      <c r="E201" t="n">
        <v>6</v>
      </c>
      <c r="F201" t="n">
        <v>0</v>
      </c>
      <c r="G201" t="n">
        <v>0</v>
      </c>
      <c r="H201" t="n">
        <v>56.8</v>
      </c>
      <c r="I201" t="n">
        <v>34.6</v>
      </c>
      <c r="J201" t="n">
        <v>371141</v>
      </c>
      <c r="K201" t="inlineStr">
        <is>
          <t>{'marketValueHistory': [{'date': 'Sep 6, 2018', 'age': '19', 'clubName': 'Paris Saint-Germain', 'clubID': '583', 'value': '€5.00m'}, {'date': 'Dec 17, 2018', 'age': '19', 'clubName': 'Paris Saint-Germain', 'clubID': '583', 'value': '€5.00m'}, {'date': 'Mar 7, 2019', 'age': '19', 'clubName': 'Paris Saint-Germain', 'clubID': '583', 'value': '€8.50m'}, {'date': 'Jun 3, 2019', 'age': '20', 'clubName': 'Paris Saint-Germain', 'clubID': '583', 'value': '€8.50m'}, {'date': 'Dec 19, 2019', 'age': '20', 'clubName': 'OGC Nice', 'clubID': '417', 'value': '€10.00m'}, {'date': 'Mar 13, 2020', 'age': '20', 'clubName': 'OGC Nice', 'clubID': '417', 'value': '€12.00m'}, {'date': 'Apr 8, 2020', 'age': '20', 'clubName': 'OGC Nice', 'clubID': '417', 'value': '€11.00m'}, {'date': 'Oct 15, 2020', 'age': '21', 'clubName': 'OGC Nice', 'clubID': '417', 'value': '€8.00m'}, {'date': 'Jan 7, 2021', 'age': '21', 'clubName': 'OGC Nice', 'clubID': '417', 'value': '€7.00m'}, {'date': 'Apr 9, 2021', 'age': '22', 'clubName': 'OGC Nice', 'clubID': '417', 'value': '€6.50m'}, {'date': 'Jun 4, 2021', 'age': '22', 'clubName': 'OGC Nice', 'clubID': '417', 'value': '€5.00m'}, {'date': 'Oct 6, 2021', 'age': '22', 'clubName': 'Club Brugge KV', 'clubID': '2282', 'value': '€6.00m'}, {'date': 'Jan 6, 2022', 'age': '22', 'clubName': 'Club Brugge KV', 'clubID': '2282', 'value': '€5.00m'}, {'date': 'Apr 12, 2022', 'age': '23', 'clubName': 'Club Brugge KV', 'clubID': '2282', 'value': '€6.50m'}, {'date': 'May 26, 2022', 'age': '23', 'clubName': 'Club Brugge KV', 'clubID': '2282', 'value': '€7.00m'}, {'date': 'Sep 21, 2022', 'age': '23', 'clubName': 'TSG 1899 Hoffenheim', 'clubID': '533', 'value': '€10.00m'}, {'date': 'Nov 9, 2022', 'age': '23', 'clubName': 'TSG 1899 Hoffenheim', 'clubID': '533', 'value': '€8.50m'}, {'date': 'Jun 22, 2023', 'age': '24', 'clubName': 'TSG 1899 Hoffenheim', 'clubID': '533', 'value': '€5.50m'}, {'date': 'Oct 18, 2023', 'age': '24', 'clubName': 'TSG 1899 Hoffenheim', 'clubID': '533', 'value': '€3.00m'}, {'date': 'Dec 14, 2023', 'age': '24', 'clubName': 'TSG 1899 Hoffenheim', 'clubID': '533', 'value': '€3.00m'}, {'date': 'May 29, 2024', 'age': '25', 'clubName': 'TSG 1899 Hoffenheim', 'clubID': '533', 'value': '€2.50m'}, {'date': 'Dec 20, 2024', 'age': '25', 'clubName': 'TSG 1899 Hoffenheim', 'clubID': '533', 'value': '€2.50m'}, {'date': 'Jun 5, 2025', 'age': '26', 'clubName': 'TSG 1899 Hoffenheim', 'clubID': '533', 'value': '€2.50m'}, {'date': 'Dec 19, 2025', 'age': '26', 'clubName': '1.FC Union Berlin', 'clubID': '89', 'value': '€1.80m'}, {'date': 'Mar 20, 2026', 'age': '26', 'clubName': '1.FC Union Berlin', 'clubID': '89', 'value': '€2.00m'}]}</t>
        </is>
      </c>
      <c r="L201" t="inlineStr">
        <is>
          <t>France</t>
        </is>
      </c>
      <c r="M201" t="inlineStr">
        <is>
          <t>1999-04-09</t>
        </is>
      </c>
      <c r="N201" t="inlineStr">
        <is>
          <t>France</t>
        </is>
      </c>
      <c r="O201">
        <f>(5+6.5+7+10+8.5)/5</f>
        <v/>
      </c>
      <c r="P201">
        <f>(7+6.5+5+6)/4</f>
        <v/>
      </c>
    </row>
    <row r="202">
      <c r="A202" t="inlineStr">
        <is>
          <t>Renan Lodi</t>
        </is>
      </c>
      <c r="B202" t="inlineStr">
        <is>
          <t>Atletico de Madrid</t>
        </is>
      </c>
      <c r="C202" t="inlineStr">
        <is>
          <t>Defender</t>
        </is>
      </c>
      <c r="D202" t="n">
        <v>478</v>
      </c>
      <c r="E202" t="n">
        <v>10</v>
      </c>
      <c r="F202" t="n">
        <v>1</v>
      </c>
      <c r="G202" t="n">
        <v>2</v>
      </c>
      <c r="H202" t="n">
        <v>61.7</v>
      </c>
      <c r="I202" t="n">
        <v>31.9</v>
      </c>
      <c r="J202" t="n">
        <v>476352</v>
      </c>
      <c r="K202" t="inlineStr">
        <is>
          <t>{'marketValueHistory': [{'date': 'May 23, 2018', 'age': '20', 'clubName': 'Atlético Paranaense', 'clubID': '679', 'value': '€400k'}, {'date': 'Feb 18, 2019', 'age': '20', 'clubName': 'Club Athletico Paranaense', 'clubID': '679', 'value': '€1.25m'}, {'date': 'May 28, 2019', 'age': '21', 'clubName': 'Club Athletico Paranaense', 'clubID': '679', 'value': '€4.00m'}, {'date': 'Sep 10, 2019', 'age': '21', 'clubName': 'Atlético de Madrid', 'clubID': '13', 'value': '€15.00m'}, {'date': 'Dec 20, 2019', 'age': '21', 'clubName': 'Atlético de Madrid', 'clubID': '13', 'value': '€25.00m'}, {'date': 'Mar 5, 2020', 'age': '21', 'clubName': 'Atlético de Madrid', 'clubID': '13', 'value': '€35.00m'}, {'date': 'Apr 8, 2020', 'age': '22', 'clubName': 'Atlético de Madrid', 'clubID': '13', 'value': '€31.50m'}, {'date': 'Jul 23, 2020', 'age': '22', 'clubName': 'Atlético de Madrid', 'clubID': '13', 'value': '€50.00m'}, {'date': 'Oct 8, 2020', 'age': '22', 'clubName': 'Atlético de Madrid', 'clubID': '13', 'value': '€50.00m'}, {'date': 'Jan 5, 2021', 'age': '22', 'clubName': 'Atlético de Madrid', 'clubID': '13', 'value': '€40.00m'}, {'date': 'Mar 19, 2021', 'age': '22', 'clubName': 'Atlético de Madrid', 'clubID': '13', 'value': '€30.00m'}, {'date': 'Jun 10, 2021', 'age': '23', 'clubName': 'Atlético de Madrid', 'clubID': '13', 'value': '€25.00m'}, {'date': 'Dec 30, 2021', 'age': '23', 'clubName': 'Atlético de Madrid', 'clubID': '13', 'value': '€20.00m'}, {'date': 'Mar 21, 2022', 'age': '23', 'clubName': 'Atlético de Madrid', 'clubID': '13', 'value': '€25.00m'}, {'date': 'Jun 3, 2022', 'age': '24', 'clubName': 'Atlético de Madrid', 'clubID': '13', 'value': '€30.00m'}, {'date': 'Sep 15, 2022', 'age': '24', 'clubName': 'Nottingham Forest', 'clubID': '703', 'value': '€25.00m'}, {'date': 'Nov 3, 2022', 'age': '24', 'clubName': 'Nottingham Forest', 'clubID': '703', 'value': '€20.00m'}, {'date': 'Jun 20, 2023', 'age': '25', 'clubName': 'Nottingham Forest', 'clubID': '703', 'value': '€20.00m'}, {'date': 'Dec 18, 2023', 'age': '25', 'clubName': 'Olympique Marseille', 'clubID': '244', 'value': '€20.00m'}, {'date': 'Jun 4, 2024', 'age': '26', 'clubName': 'Al-Hilal SFC', 'clubID': '1114', 'value': '€18.00m'}, {'date': 'Dec 13, 2024', 'age': '26', 'clubName': 'Al-Hilal SFC', 'clubID': '1114', 'value': '€15.00m'}, {'date': 'May 27, 2025', 'age': '27', 'clubName': 'Al-Hilal SFC', 'clubID': '1114', 'value': '€13.00m'}, {'date': 'Oct 21, 2025', 'age': '27', 'clubName': 'Without Club', 'clubID': '515', 'value': '€12.00m'}]}</t>
        </is>
      </c>
      <c r="L202" t="inlineStr">
        <is>
          <t>Brazil</t>
        </is>
      </c>
      <c r="M202" t="inlineStr">
        <is>
          <t>1998-04-08</t>
        </is>
      </c>
      <c r="N202" t="inlineStr">
        <is>
          <t>19</t>
        </is>
      </c>
      <c r="O202">
        <f>(25+30+25+20)/4</f>
        <v/>
      </c>
      <c r="P202">
        <f>(40+30+25+20)/4</f>
        <v/>
      </c>
    </row>
    <row r="203">
      <c r="A203" t="inlineStr">
        <is>
          <t>Davies</t>
        </is>
      </c>
      <c r="B203" t="inlineStr">
        <is>
          <t>Bayern</t>
        </is>
      </c>
      <c r="C203" t="inlineStr">
        <is>
          <t>Midfielder</t>
        </is>
      </c>
      <c r="D203" t="n">
        <v>477</v>
      </c>
      <c r="E203" t="n">
        <v>7</v>
      </c>
      <c r="F203" t="n">
        <v>0</v>
      </c>
      <c r="G203" t="n">
        <v>2</v>
      </c>
      <c r="H203" t="n">
        <v>61.4</v>
      </c>
      <c r="I203" t="n">
        <v>36.5</v>
      </c>
      <c r="J203" t="n">
        <v>424204</v>
      </c>
      <c r="K203" t="inlineStr">
        <is>
          <t>{'marketValueHistory': [{'date': 'Dec 15, 2016', 'age': '16', 'clubName': 'Vancouver Whitecaps FC', 'clubID': '6321', 'value': '€200k'}, {'date': 'May 24, 2017', 'age': '16', 'clubName': 'Vancouver Whitecaps FC', 'clubID': '6321', 'value': '€450k'}, {'date': 'Dec 5, 2017', 'age': '17', 'clubName': 'Vancouver Whitecaps FC', 'clubID': '6321', 'value': '€700k'}, {'date': 'May 2, 2018', 'age': '17', 'clubName': 'Vancouver Whitecaps FC', 'clubID': '6321', 'value': '€800k'}, {'date': 'Aug 15, 2018', 'age': '17', 'clubName': 'Vancouver Whitecaps FC', 'clubID': '6321', 'value': '€10.00m'}, {'date': 'Dec 15, 2018', 'age': '18', 'clubName': 'Vancouver Whitecaps FC', 'clubID': '6321', 'value': '€10.00m'}, {'date': 'Jun 5, 2019', 'age': '18', 'clubName': 'Bayern Munich', 'clubID': '27', 'value': '€10.00m'}, {'date': 'Oct 2, 2019', 'age': '18', 'clubName': 'Bayern Munich', 'clubID': '27', 'value': '€15.00m'}, {'date': 'Dec 17, 2019', 'age': '19', 'clubName': 'Bayern Munich', 'clubID': '27', 'value': '€25.00m'}, {'date': 'Feb 11, 2020', 'age': '19', 'clubName': 'Bayern Munich', 'clubID': '27', 'value': '€40.00m'}, {'date': 'Mar 11, 2020', 'age': '19', 'clubName': 'Bayern Munich', 'clubID': '27', 'value': '€50.00m'}, {'date': 'Apr 8, 2020', 'age': '19', 'clubName': 'Bayern Munich', 'clubID': '27', 'value': '€45.00m'}, {'date': 'Jul 8, 2020', 'age': '19', 'clubName': 'Bayern Munich', 'clubID': '27', 'value': '€60.00m'}, {'date': 'Sep 16, 2020', 'age': '19', 'clubName': 'Bayern Munich', 'clubID': '27', 'value': '€80.00m'}, {'date': 'Feb 10, 2021', 'age': '20', 'clubName': 'Bayern Munich', 'clubID': '27', 'value': '€75.00m'}, {'date': 'Jun 9, 2021', 'age': '20', 'clubName': 'Bayern Munich', 'clubID': '27', 'value': '€70.00m'}, {'date': 'Dec 22, 2021', 'age': '21', 'clubName': 'Bayern Munich', 'clubID': '27', 'value': '€70.00m'}, {'date': 'Jun 9, 2022', 'age': '21', 'clubName': 'Bayern Munich', 'clubID': '27', 'value': '€70.00m'}, {'date': 'Nov 9, 2022', 'age': '22', 'clubName': 'Bayern Munich', 'clubID': '27', 'value': '€70.00m'}, {'date': 'Jun 22, 2023', 'age': '22', 'clubName': 'Bayern Munich', 'clubID': '27', 'value': '€70.00m'}, {'date': 'Dec 14, 2023', 'age': '23', 'clubName': 'Bayern Munich', 'clubID': '27', 'value': '€70.00m'}, {'date': 'Mar 27, 2024', 'age': '23', 'clubName': 'Bayern Munich', 'clubID': '27', 'value': '€60.00m'}, {'date': 'May 29, 2024', 'age': '23', 'clubName': 'Bayern Munich', 'clubID': '27', 'value': '€50.00m'}, {'date': 'Dec 20, 2024', 'age': '24', 'clubName': 'Bayern Munich', 'clubID': '27', 'value': '€50.00m'}, {'date': 'Jun 5, 2025', 'age': '24', 'clubName': 'Bayern Munich', 'clubID': '27', 'value': '€50.00m'}, {'date': 'Dec 19, 2025', 'age': '25', 'clubName': 'Bayern Munich', 'clubID': '27', 'value': '€50.00m'}, {'date': 'Mar 20, 2026', 'age': '25', 'clubName': 'Bayern Munich', 'clubID': '27', 'value': '€45.00m'}]}</t>
        </is>
      </c>
      <c r="L203" t="inlineStr">
        <is>
          <t>Canada</t>
        </is>
      </c>
      <c r="M203" t="inlineStr">
        <is>
          <t>2000-11-02</t>
        </is>
      </c>
      <c r="N203" t="inlineStr">
        <is>
          <t>Canada</t>
        </is>
      </c>
      <c r="O203">
        <f>(70+70)/2</f>
        <v/>
      </c>
      <c r="P203">
        <f>(75+70+70)/3</f>
        <v/>
      </c>
    </row>
    <row r="204">
      <c r="A204" t="inlineStr">
        <is>
          <t>Maycon</t>
        </is>
      </c>
      <c r="B204" t="inlineStr">
        <is>
          <t>Shakhtar Donetsk</t>
        </is>
      </c>
      <c r="C204" t="inlineStr">
        <is>
          <t>Midfielder</t>
        </is>
      </c>
      <c r="D204" t="n">
        <v>473</v>
      </c>
      <c r="E204" t="n">
        <v>6</v>
      </c>
      <c r="F204" t="n">
        <v>0</v>
      </c>
      <c r="G204" t="n">
        <v>0</v>
      </c>
      <c r="H204" t="n">
        <v>62.9</v>
      </c>
      <c r="I204" t="n">
        <v>29.3</v>
      </c>
      <c r="J204" t="n">
        <v>421935</v>
      </c>
      <c r="K204" t="inlineStr">
        <is>
          <t>{'marketValueHistory': [{'date': '27/05/2016', 'age': '18', 'clubName': 'Sport Club Corinthians Paulista', 'clubID': '199', 'value': '€750k'}, {'date': '28/11/2016', 'age': '19', 'clubName': 'Associação Atlética Ponte Preta', 'clubID': '1134', 'value': '€750k'}, {'date': '30/10/2017', 'age': '20', 'clubName': 'Sport Club Corinthians Paulista', 'clubID': '199', 'value': '€5.00m'}, {'date': '07/12/2017', 'age': '20', 'clubName': 'Sport Club Corinthians Paulista', 'clubID': '199', 'value': '€5.00m'}, {'date': '23/05/2018', 'age': '20', 'clubName': 'Sport Club Corinthians Paulista', 'clubID': '199', 'value': '€5.00m'}, {'date': '06/08/2018', 'age': '21', 'clubName': 'Shakhtar Donetsk', 'clubID': '660', 'value': '€6.50m'}, {'date': '10/12/2018', 'age': '21', 'clubName': 'Shakhtar Donetsk', 'clubID': '660', 'value': '€8.00m'}, {'date': '20/06/2019', 'age': '21', 'clubName': 'Shakhtar Donetsk', 'clubID': '660', 'value': '€8.00m'}, {'date': '08/01/2020', 'age': '22', 'clubName': 'Shakhtar Donetsk', 'clubID': '660', 'value': '€6.00m'}, {'date': '08/04/2020', 'age': '22', 'clubName': 'Shakhtar Donetsk', 'clubID': '660', 'value': '€4.80m'}, {'date': '04/09/2020', 'age': '23', 'clubName': 'Shakhtar Donetsk', 'clubID': '660', 'value': '€4.50m'}, {'date': '14/01/2021', 'age': '23', 'clubName': 'Shakhtar Donetsk', 'clubID': '660', 'value': '€6.00m'}, {'date': '07/06/2021', 'age': '23', 'clubName': 'Shakhtar Donetsk', 'clubID': '660', 'value': '€7.00m'}, {'date': '20/12/2021', 'age': '24', 'clubName': 'Shakhtar Donetsk', 'clubID': '660', 'value': '€7.00m'}, {'date': '19/08/2022', 'age': '25', 'clubName': 'Sport Club Corinthians Paulista', 'clubID': '199', 'value': '€7.00m'}, {'date': '14/11/2022', 'age': '25', 'clubName': 'Sport Club Corinthians Paulista', 'clubID': '199', 'value': '€7.00m'}, {'date': '07/04/2023', 'age': '25', 'clubName': 'Sport Club Corinthians Paulista', 'clubID': '199', 'value': '€6.00m'}, {'date': '25/07/2023', 'age': '26', 'clubName': 'Sport Club Corinthians Paulista', 'clubID': '199', 'value': '€5.00m'}, {'date': '11/12/2023', 'age': '26', 'clubName': 'Sport Club Corinthians Paulista', 'clubID': '199', 'value': '€5.00m'}, {'date': '28/03/2024', 'age': '26', 'clubName': 'Sport Club Corinthians Paulista', 'clubID': '199', 'value': '€5.00m'}, {'date': '17/06/2024', 'age': '26', 'clubName': 'Sport Club Corinthians Paulista', 'clubID': '199', 'value': '€4.50m'}, {'date': '27/09/2024', 'age': '27', 'clubName': 'Sport Club Corinthians Paulista', 'clubID': '199', 'value': '€4.00m'}, {'date': '09/12/2024', 'age': '27', 'clubName': 'Sport Club Corinthians Paulista', 'clubID': '199', 'value': '€3.00m'}, {'date': '06/06/2025', 'age': '27', 'clubName': 'Sport Club Corinthians Paulista', 'clubID': '199', 'value': '€2.00m'}, {'date': '10/12/2025', 'age': '28', 'clubName': 'Sport Club Corinthians Paulista', 'clubID': '199', 'value': '€2.00m'}]}</t>
        </is>
      </c>
      <c r="L204" t="inlineStr">
        <is>
          <t>Brazil</t>
        </is>
      </c>
      <c r="M204" t="inlineStr">
        <is>
          <t>1997-07-15</t>
        </is>
      </c>
      <c r="N204" t="inlineStr">
        <is>
          <t>Brazil</t>
        </is>
      </c>
      <c r="O204">
        <f>(7+7)/2</f>
        <v/>
      </c>
      <c r="P204">
        <f>(6+7+7)/3</f>
        <v/>
      </c>
    </row>
    <row r="205">
      <c r="A205" t="inlineStr">
        <is>
          <t>Carrasco</t>
        </is>
      </c>
      <c r="B205" t="inlineStr">
        <is>
          <t>Atletico de Madrid</t>
        </is>
      </c>
      <c r="C205" t="inlineStr">
        <is>
          <t>Forward</t>
        </is>
      </c>
      <c r="D205" t="n">
        <v>472</v>
      </c>
      <c r="E205" t="n">
        <v>7</v>
      </c>
      <c r="F205" t="n">
        <v>0</v>
      </c>
      <c r="G205" t="n">
        <v>0</v>
      </c>
      <c r="H205" t="n">
        <v>60.1</v>
      </c>
      <c r="I205" t="n">
        <v>33.2</v>
      </c>
      <c r="J205" t="n">
        <v>140776</v>
      </c>
      <c r="K205" t="inlineStr">
        <is>
          <t>{'id': '140776', 'marketValue': '€18.00m', 'marketValueHistory': [{'age': '18', 'date': 'Jul 30, 2012', 'clubName': 'AS Monaco', 'value': '€150k', 'clubID': '162'}, {'age': '19', 'date': 'Sep 5, 2012', 'clubName': 'AS Monaco', 'value': '€400k', 'clubID': '162'}, {'age': '19', 'date': 'Jan 4, 2013', 'clubName': 'AS Monaco', 'value': '€3.00m', 'clubID': '162'}, {'age': '19', 'date': 'May 29, 2013', 'clubName': 'AS Monaco', 'value': '€5.00m', 'clubID': '162'}, {'age': '20', 'date': 'Jan 14, 2014', 'clubName': 'AS Monaco', 'value': '€5.50m', 'clubID': '162'}, {'age': '20', 'date': 'Aug 7, 2014', 'clubName': 'AS Monaco', 'value': '€5.00m', 'clubID': '162'}, {'age': '21', 'date': 'Jan 14, 2015', 'clubName': 'AS Monaco', 'value': '€7.50m', 'clubID': '162'}, {'age': '21', 'date': 'Jun 6, 2015', 'clubName': 'AS Monaco', 'value': '€9.00m', 'clubID': '162'}, {'age': '21', 'date': 'Jul 15, 2015', 'clubName': 'Atlético de Madrid', 'value': '€15.00m', 'clubID': '13'}, {'age': '22', 'date': 'Feb 22, 2016', 'clubName': 'Atlético de Madrid', 'value': '€20.00m', 'clubID': '13'}, {'age': '22', 'date': 'Jun 1, 2016', 'clubName': 'Atlético de Madrid', 'value': '€25.00m', 'clubID': '13'}, {'age': '22', 'date': 'Jul 15, 2016', 'clubName': 'Atlético de Madrid', 'value': '€25.00m', 'clubID': '13'}, {'age': '23', 'date': 'Oct 27, 2016', 'clubName': 'Atlético de Madrid', 'value': '€30.00m', 'clubID': '13'}, {'age': '23', 'date': 'Jan 24, 2017', 'clubName': 'Atlético de Madrid', 'value': '€40.00m', 'clubID': '13'}, {'age': '23', 'date': 'Jun 5, 2017', 'clubName': 'Atlético de Madrid', 'value': '€40.00m', 'clubID': '13'}, {'age': '24', 'date': 'Jan 1, 2018', 'clubName': 'Atlético de Madrid', 'value': '€40.00m', 'clubID': '13'}, {'age': '24', 'date': 'Mar 12, 2018', 'clubName': 'Dalian Yifang', 'value': '€30.00m', 'clubID': '33304'}, {'age': '24', 'date': 'Jun 5, 2018', 'clubName': 'Dalian Yifang', 'value': '€25.00m', 'clubID': '33304'}, {'age': '24', 'date': 'Jul 16, 2018', 'clubName': 'Dalian Yifang', 'value': '€22.00m', 'clubID': '33304'}, {'age': '25', 'date': 'Dec 9, 2018', 'clubName': 'Dalian Yifang', 'value': '€20.00m', 'clubID': '33304'}, {'age': '26', 'date': 'Sep 5, 2019', 'clubName': 'Dalian Professional', 'value': '€28.00m', 'clubID': '33304'}, {'age': '26', 'date': 'Dec 27, 2019', 'clubName': 'Dalian Professional', 'value': '€28.00m', 'clubID': '33304'}, {'age': '26', 'date': 'Apr 8, 2020', 'clubName': 'Atlético de Madrid', 'value': '€22.50m', 'clubID': '13'}, {'age': '27', 'date': 'Oct 8, 2020', 'clubName': 'Atlético de Madrid', 'value': '€25.00m', 'clubID': '13'}, {'age': '27', 'date': 'Jan 5, 2021', 'clubName': 'Atlético de Madrid', 'value': '€30.00m', 'clubID': '13'}, {'age': '27', 'date': 'Mar 19, 2021', 'clubName': 'Atlético de Madrid', 'value': '€35.00m', 'clubID': '13'}, {'age': '27', 'date': 'May 26, 2021', 'clubName': 'Atlético de Madrid', 'value': '€40.00m', 'clubID': '13'}, {'age': '28', 'date': 'Dec 30, 2021', 'clubName': 'Atlético de Madrid', 'value': '€40.00m', 'clubID': '13'}, {'age': '28', 'date': 'Jun 3, 2022', 'clubName': 'Atlético de Madrid', 'value': '€40.00m', 'clubID': '13'}, {'age': '29', 'date': 'Nov 7, 2022', 'clubName': 'Atlético de Madrid', 'value': '€30.00m', 'clubID': '13'}, {'age': '29', 'date': 'Mar 23, 2023', 'clubName': 'Atlético de Madrid', 'value': '€25.00m', 'clubID': '13'}, {'age': '29', 'date': 'Jun 13, 2023', 'clubName': 'Atlético de Madrid', 'value': '€25.00m', 'clubID': '13'}, {'age': '30', 'date': 'Oct 24, 2023', 'clubName': 'Al-Shabab FC', 'value': '€20.00m', 'clubID': '9840'}, {'age': '30', 'date': 'Dec 15, 2023', 'clubName': 'Al-Shabab FC', 'value': '€18.00m', 'clubID': '9840'}], 'ranking': {'Worldwide': '529', 'Saudi Pro League': '16', 'Al-Shabab': '1', 'Belgium': '16', 'Left Winger': '54', 'Year 1993': '12'}, 'updatedAt': datetime.datetime(2024, 5, 23, 22, 25, 30, 885027)}</t>
        </is>
      </c>
      <c r="L205" t="inlineStr">
        <is>
          <t>Belgium</t>
        </is>
      </c>
      <c r="M205" t="inlineStr">
        <is>
          <t>1993-09-04</t>
        </is>
      </c>
      <c r="N205" t="inlineStr">
        <is>
          <t>78</t>
        </is>
      </c>
      <c r="O205">
        <f>(40+30)/2</f>
        <v/>
      </c>
      <c r="P205">
        <f>(30+35+40+40)/4</f>
        <v/>
      </c>
    </row>
    <row r="206">
      <c r="A206" t="inlineStr">
        <is>
          <t>Cuadrado</t>
        </is>
      </c>
      <c r="B206" t="inlineStr">
        <is>
          <t>Juventus</t>
        </is>
      </c>
      <c r="C206" t="inlineStr">
        <is>
          <t>Midfielder</t>
        </is>
      </c>
      <c r="D206" t="n">
        <v>472</v>
      </c>
      <c r="E206" t="n">
        <v>7</v>
      </c>
      <c r="F206" t="n">
        <v>0</v>
      </c>
      <c r="G206" t="n">
        <v>0</v>
      </c>
      <c r="H206" t="n">
        <v>56.2</v>
      </c>
      <c r="I206" t="n">
        <v>37.1</v>
      </c>
      <c r="J206" t="n">
        <v>91970</v>
      </c>
      <c r="K206" t="inlineStr">
        <is>
          <t>{'marketValueHistory': [{'date': '06/08/2009', 'age': '21', 'clubName': 'Udinese Calcio', 'clubID': '410', 'value': '€50k'}, {'date': '27/01/2010', 'age': '21', 'clubName': 'Udinese Calcio', 'clubID': '410', 'value': '€800k'}, {'date': '21/06/2011', 'age': '23', 'clubName': 'Udinese Calcio', 'clubID': '410', 'value': '€800k'}, {'date': '10/01/2012', 'age': '23', 'clubName': 'US Lecce', 'clubID': '1005', 'value': '€1.20m'}, {'date': '07/06/2012', 'age': '24', 'clubName': 'US Lecce', 'clubID': '1005', 'value': '€4.00m'}, {'date': '29/07/2012', 'age': '24', 'clubName': 'ACF Fiorentina', 'clubID': '430', 'value': '€6.00m'}, {'date': '15/01/2013', 'age': '24', 'clubName': 'ACF Fiorentina', 'clubID': '430', 'value': '€10.00m'}, {'date': '19/06/2013', 'age': '25', 'clubName': 'ACF Fiorentina', 'clubID': '430', 'value': '€15.00m'}, {'date': '25/09/2013', 'age': '25', 'clubName': 'ACF Fiorentina', 'clubID': '430', 'value': '€18.00m'}, {'date': '11/11/2013', 'age': '25', 'clubName': 'ACF Fiorentina', 'clubID': '430', 'value': '€24.00m'}, {'date': '07/01/2014', 'age': '25', 'clubName': 'ACF Fiorentina', 'clubID': '430', 'value': '€24.00m'}, {'date': '11/07/2014', 'age': '26', 'clubName': 'ACF Fiorentina', 'clubID': '430', 'value': '€32.00m'}, {'date': '07/01/2015', 'age': '26', 'clubName': 'ACF Fiorentina', 'clubID': '430', 'value': '€32.00m'}, {'date': '01/07/2015', 'age': '27', 'clubName': 'Chelsea FC', 'clubID': '631', 'value': '€30.00m'}, {'date': '04/01/2016', 'age': '27', 'clubName': 'Juventus FC', 'clubID': '506', 'value': '€25.00m'}, {'date': '01/08/2016', 'age': '28', 'clubName': 'Chelsea FC', 'clubID': '631', 'value': '€25.00m'}, {'date': '02/01/2017', 'age': '28', 'clubName': 'Juventus FC', 'clubID': '506', 'value': '€25.00m'}, {'date': '08/06/2017', 'age': '29', 'clubName': 'Juventus FC', 'clubID': '506', 'value': '€25.00m'}, {'date': '29/12/2017', 'age': '29', 'clubName': 'Juventus FC', 'clubID': '506', 'value': '€28.00m'}, {'date': '07/06/2018', 'age': '30', 'clubName': 'Juventus FC', 'clubID': '506', 'value': '€28.00m'}, {'date': '20/12/2018', 'age': '30', 'clubName': 'Juventus FC', 'clubID': '506', 'value': '€25.00m'}, {'date': '06/06/2019', 'age': '31', 'clubName': 'Juventus FC', 'clubID': '506', 'value': '€18.00m'}, {'date': '12/12/2019', 'age': '31', 'clubName': 'Juventus FC', 'clubID': '506', 'value': '€18.00m'}, {'date': '08/04/2020', 'age': '31', 'clubName': 'Juventus FC', 'clubID': '506', 'value': '€14.50m'}, {'date': '25/08/2020', 'age': '32', 'clubName': 'Juventus FC', 'clubID': '506', 'value': '€15.00m'}, {'date': '29/12/2020', 'age': '32', 'clubName': 'Juventus FC', 'clubID': '506', 'value': '€18.00m'}, {'date': '03/06/2021', 'age': '33', 'clubName': 'Juventus FC', 'clubID': '506', 'value': '€16.00m'}, {'date': '28/12/2021', 'age': '33', 'clubName': 'Juventus FC', 'clubID': '506', 'value': '€10.00m'}, {'date': '07/06/2022', 'age': '34', 'clubName': 'Juventus FC', 'clubID': '506', 'value': '€8.00m'}, {'date': '11/11/2022', 'age': '34', 'clubName': 'Juventus FC', 'clubID': '506', 'value': '€5.00m'}, {'date': '15/06/2023', 'age': '35', 'clubName': 'Juventus FC', 'clubID': '506', 'value': '€4.00m'}, {'date': '20/12/2023', 'age': '35', 'clubName': 'Inter Milan', 'clubID': '46', 'value': '€2.00m'}, {'date': '12/03/2024', 'age': '35', 'clubName': 'Inter Milan', 'clubID': '46', 'value': '€1.50m'}, {'date': '05/06/2024', 'age': '36', 'clubName': 'Inter Milan', 'clubID': '46', 'value': '€1.00m'}, {'date': '18/12/2024', 'age': '36', 'clubName': 'Atalanta BC', 'clubID': '800', 'value': '€1.00m'}, {'date': '17/06/2025', 'age': '37', 'clubName': 'Atalanta BC', 'clubID': '800', 'value': '€1.00m'}, {'date': '23/12/2025', 'age': '37', 'clubName': 'Pisa Sporting Club', 'clubID': '4172', 'value': '€1.00m'}]}</t>
        </is>
      </c>
      <c r="L206" t="inlineStr">
        <is>
          <t>Colombia</t>
        </is>
      </c>
      <c r="M206" t="inlineStr">
        <is>
          <t>1988-05-26</t>
        </is>
      </c>
      <c r="N206" t="inlineStr">
        <is>
          <t>116</t>
        </is>
      </c>
      <c r="O206">
        <f>(8+5)/2</f>
        <v/>
      </c>
      <c r="P206">
        <f>(16+10)/2</f>
        <v/>
      </c>
    </row>
    <row r="207">
      <c r="A207" t="inlineStr">
        <is>
          <t>Felipe</t>
        </is>
      </c>
      <c r="B207" t="inlineStr">
        <is>
          <t>Atletico de Madrid</t>
        </is>
      </c>
      <c r="C207" t="inlineStr">
        <is>
          <t>Defender</t>
        </is>
      </c>
      <c r="D207" t="n">
        <v>472</v>
      </c>
      <c r="E207" t="n">
        <v>7</v>
      </c>
      <c r="F207" t="n">
        <v>0</v>
      </c>
      <c r="G207" t="n">
        <v>0</v>
      </c>
      <c r="H207" t="n">
        <v>51.4</v>
      </c>
      <c r="I207" t="n">
        <v>34.5</v>
      </c>
      <c r="J207" t="n">
        <v>159372</v>
      </c>
      <c r="K207" t="inlineStr">
        <is>
          <t>{'marketValueHistory': [{'date': 'Dec 10, 2010', 'age': '17', 'clubName': 'Santos FC', 'clubID': '221', 'value': '€400k'}, {'date': 'May 30, 2011', 'age': '18', 'clubName': 'Santos FC', 'clubID': '221', 'value': '€400k'}, {'date': 'Aug 29, 2011', 'age': '18', 'clubName': 'Santos FC', 'clubID': '221', 'value': '€750k'}, {'date': 'Dec 8, 2011', 'age': '18', 'clubName': 'Santos FC', 'clubID': '221', 'value': '€1.00m'}, {'date': 'May 24, 2012', 'age': '19', 'clubName': 'Santos FC', 'clubID': '221', 'value': '€1.00m'}, {'date': 'Jul 29, 2012', 'age': '19', 'clubName': 'Santos FC', 'clubID': '221', 'value': '€2.00m'}, {'date': 'Dec 5, 2012', 'age': '19', 'clubName': 'Santos FC', 'clubID': '221', 'value': '€6.00m'}, {'date': 'Jul 22, 2013', 'age': '20', 'clubName': 'SS Lazio', 'clubID': '398', 'value': '€8.00m'}, {'date': 'Jan 7, 2014', 'age': '20', 'clubName': 'SS Lazio', 'clubID': '398', 'value': '€7.50m'}, {'date': 'Jul 1, 2014', 'age': '21', 'clubName': 'SS Lazio', 'clubID': '398', 'value': '€6.50m'}, {'date': 'Jan 7, 2015', 'age': '21', 'clubName': 'SS Lazio', 'clubID': '398', 'value': '€9.00m'}, {'date': 'Mar 20, 2015', 'age': '21', 'clubName': 'SS Lazio', 'clubID': '398', 'value': '€15.00m'}, {'date': 'Jul 1, 2015', 'age': '22', 'clubName': 'SS Lazio', 'clubID': '398', 'value': '€20.00m'}, {'date': 'Jan 4, 2016', 'age': '22', 'clubName': 'SS Lazio', 'clubID': '398', 'value': '€20.00m'}, {'date': 'Jul 15, 2016', 'age': '23', 'clubName': 'SS Lazio', 'clubID': '398', 'value': '€19.00m'}, {'date': 'Jan 2, 2017', 'age': '23', 'clubName': 'SS Lazio', 'clubID': '398', 'value': '€24.00m'}, {'date': 'Jun 8, 2017', 'age': '24', 'clubName': 'SS Lazio', 'clubID': '398', 'value': '€25.00m'}, {'date': 'Dec 29, 2017', 'age': '24', 'clubName': 'SS Lazio', 'clubID': '398', 'value': '€25.00m'}, {'date': 'Jun 7, 2018', 'age': '25', 'clubName': 'SS Lazio', 'clubID': '398', 'value': '€30.00m'}, {'date': 'Aug 13, 2018', 'age': '25', 'clubName': 'West Ham United', 'clubID': '379', 'value': '€35.00m'}, {'date': 'Dec 19, 2018', 'age': '25', 'clubName': 'West Ham United', 'clubID': '379', 'value': '€35.00m'}, {'date': 'Mar 5, 2019', 'age': '25', 'clubName': 'West Ham United', 'clubID': '379', 'value': '€40.00m'}, {'date': 'Jun 13, 2019', 'age': '26', 'clubName': 'West Ham United', 'clubID': '379', 'value': '€40.00m'}, {'date': 'Sep 12, 2019', 'age': '26', 'clubName': 'West Ham United', 'clubID': '379', 'value': '€45.00m'}, {'date': 'Dec 10, 2019', 'age': '26', 'clubName': 'West Ham United', 'clubID': '379', 'value': '€45.00m'}, {'date': 'Mar 9, 2020', 'age': '26', 'clubName': 'West Ham United', 'clubID': '379', 'value': '€40.00m'}, {'date': 'Apr 8, 2020', 'age': '26', 'clubName': 'West Ham United', 'clubID': '379', 'value': '€32.00m'}, {'date': 'Jul 30, 2020', 'age': '27', 'clubName': 'West Ham United', 'clubID': '379', 'value': '€25.00m'}, {'date': 'Jan 28, 2021', 'age': '27', 'clubName': 'FC Porto', 'clubID': '720', 'value': '€18.00m'}, {'date': 'Mar 25, 2021', 'age': '27', 'clubName': 'FC Porto', 'clubID': '720', 'value': '€15.00m'}, {'date': 'May 21, 2021', 'age': '28', 'clubName': 'FC Porto', 'clubID': '720', 'value': '€10.00m'}, {'date': 'Dec 28, 2021', 'age': '28', 'clubName': 'SS Lazio', 'clubID': '398', 'value': '€10.00m'}, {'date': 'Mar 15, 2022', 'age': '28', 'clubName': 'SS Lazio', 'clubID': '398', 'value': '€13.00m'}, {'date': 'Jun 7, 2022', 'age': '29', 'clubName': 'SS Lazio', 'clubID': '398', 'value': '€13.00m'}, {'date': 'Nov 11, 2022', 'age': '29', 'clubName': 'SS Lazio', 'clubID': '398', 'value': '€15.00m'}, {'date': 'Jun 15, 2023', 'age': '30', 'clubName': 'SS Lazio', 'clubID': '398', 'value': '€15.00m'}, {'date': 'Dec 20, 2023', 'age': '30', 'clubName': 'SS Lazio', 'clubID': '398', 'value': '€10.00m'}, {'date': 'Jun 5, 2024', 'age': '31', 'clubName': 'SS Lazio', 'clubID': '398', 'value': '€8.00m'}, {'date': 'Sep 27, 2024', 'age': '31', 'clubName': 'Sociedade Esportiva Palmeiras', 'clubID': '1023', 'value': '€7.00m'}, {'date': 'Dec 9, 2024', 'age': '31', 'clubName': 'Sociedade Esportiva Palmeiras', 'clubID': '1023', 'value': '€6.00m'}, {'date': 'Mar 28, 2025', 'age': '31', 'clubName': 'Sociedade Esportiva Palmeiras', 'clubID': '1023', 'value': '€5.00m'}, {'date': 'Jun 6, 2025', 'age': '32', 'clubName': 'Sociedade Esportiva Palmeiras', 'clubID': '1023', 'value': '€4.00m'}, {'date': 'Sep 5, 2025', 'age': '32', 'clubName': 'Sociedade Esportiva Palmeiras', 'clubID': '1023', 'value': '€3.00m'}, {'date': 'Dec 10, 2025', 'age': '32', 'clubName': 'Sociedade Esportiva Palmeiras', 'clubID': '1023', 'value': '€2.50m'}, {'date': 'Mar 12, 2026', 'age': '32', 'clubName': 'Sociedade Esportiva Palmeiras', 'clubID': '1023', 'value': '€2.00m'}]}</t>
        </is>
      </c>
      <c r="L207" t="inlineStr">
        <is>
          <t>Brazil</t>
        </is>
      </c>
      <c r="M207" t="inlineStr">
        <is>
          <t>1993-04-15</t>
        </is>
      </c>
      <c r="N207" t="inlineStr">
        <is>
          <t>Brazil</t>
        </is>
      </c>
      <c r="O207">
        <f>(13+13+15)/3</f>
        <v/>
      </c>
      <c r="P207">
        <f>(18+15+10+10)/4</f>
        <v/>
      </c>
    </row>
    <row r="208">
      <c r="A208" t="inlineStr">
        <is>
          <t>Witsel</t>
        </is>
      </c>
      <c r="B208" t="inlineStr">
        <is>
          <t>Dortmund</t>
        </is>
      </c>
      <c r="C208" t="inlineStr">
        <is>
          <t>Midfielder</t>
        </is>
      </c>
      <c r="D208" t="n">
        <v>471</v>
      </c>
      <c r="E208" t="n">
        <v>6</v>
      </c>
      <c r="F208" t="n">
        <v>0</v>
      </c>
      <c r="G208" t="n">
        <v>0</v>
      </c>
      <c r="H208" t="n">
        <v>59.8</v>
      </c>
      <c r="I208" t="n">
        <v>28.8</v>
      </c>
      <c r="J208" t="n">
        <v>35047</v>
      </c>
      <c r="K208" t="inlineStr">
        <is>
          <t>{'marketValueHistory': [{'date': 'Sep 24, 2006', 'age': '17', 'clubName': 'Standard Liège', 'clubID': '3057', 'value': '€400k'}, {'date': 'Aug 7, 2007', 'age': '18', 'clubName': 'Standard Liège', 'clubID': '3057', 'value': '€1.50m'}, {'date': 'Mar 31, 2008', 'age': '19', 'clubName': 'Standard Liège', 'clubID': '3057', 'value': '€2.50m'}, {'date': 'Jul 15, 2008', 'age': '19', 'clubName': 'Standard Liège', 'clubID': '3057', 'value': '€3.00m'}, {'date': 'Oct 22, 2008', 'age': '19', 'clubName': 'Standard Liège', 'clubID': '3057', 'value': '€4.00m'}, {'date': 'Nov 25, 2008', 'age': '19', 'clubName': 'Standard Liège', 'clubID': '3057', 'value': '€8.00m'}, {'date': 'May 22, 2009', 'age': '20', 'clubName': 'Standard Liège', 'clubID': '3057', 'value': '€8.50m'}, {'date': 'Sep 4, 2009', 'age': '20', 'clubName': 'Standard Liège', 'clubID': '3057', 'value': '€7.50m'}, {'date': 'Jul 28, 2010', 'age': '21', 'clubName': 'Standard Liège', 'clubID': '3057', 'value': '€8.50m'}, {'date': 'Dec 28, 2010', 'age': '21', 'clubName': 'Standard Liège', 'clubID': '3057', 'value': '€8.50m'}, {'date': 'May 24, 2011', 'age': '22', 'clubName': 'Standard Liège', 'clubID': '3057', 'value': '€10.00m'}, {'date': 'Sep 21, 2011', 'age': '22', 'clubName': 'SL Benfica', 'clubID': '294', 'value': '€11.00m'}, {'date': 'Feb 2, 2012', 'age': '23', 'clubName': 'SL Benfica', 'clubID': '294', 'value': '€14.00m'}, {'date': 'Jul 7, 2012', 'age': '23', 'clubName': 'SL Benfica', 'clubID': '294', 'value': '€20.00m'}, {'date': 'Sep 4, 2012', 'age': '23', 'clubName': 'Zenit St. Petersburg', 'clubID': '964', 'value': '€25.00m'}, {'date': 'Sep 9, 2012', 'age': '23', 'clubName': 'Zenit St. Petersburg', 'clubID': '964', 'value': '€30.00m'}, {'date': 'Jan 13, 2013', 'age': '24', 'clubName': 'Zenit St. Petersburg', 'clubID': '964', 'value': '€30.00m'}, {'date': 'Jun 19, 2013', 'age': '24', 'clubName': 'Zenit St. Petersburg', 'clubID': '964', 'value': '€32.00m'}, {'date': 'Mar 3, 2014', 'age': '25', 'clubName': 'Zenit St. Petersburg', 'clubID': '964', 'value': '€35.00m'}, {'date': 'Jul 31, 2014', 'age': '25', 'clubName': 'Zenit St. Petersburg', 'clubID': '964', 'value': '€35.00m'}, {'date': 'Feb 23, 2015', 'age': '26', 'clubName': 'Zenit St. Petersburg', 'clubID': '964', 'value': '€28.00m'}, {'date': 'Jun 18, 2015', 'age': '26', 'clubName': 'Zenit St. Petersburg', 'clubID': '964', 'value': '€28.00m'}, {'date': 'Jan 6, 2016', 'age': '26', 'clubName': 'Zenit St. Petersburg', 'clubID': '964', 'value': '€28.00m'}, {'date': 'Jun 1, 2016', 'age': '27', 'clubName': 'Zenit St. Petersburg', 'clubID': '964', 'value': '€23.00m'}, {'date': 'Dec 27, 2016', 'age': '27', 'clubName': 'Zenit St. Petersburg', 'clubID': '964', 'value': '€20.00m'}, {'date': 'Mar 5, 2017', 'age': '28', 'clubName': 'Tianjin Quanjian', 'clubID': '33714', 'value': '€15.00m'}, {'date': 'Jun 19, 2017', 'age': '28', 'clubName': 'Tianjin Quanjian', 'clubID': '33714', 'value': '€15.00m'}, {'date': 'Dec 1, 2017', 'age': '28', 'clubName': 'Tianjin Quanjian', 'clubID': '33714', 'value': '€17.00m'}, {'date': 'Jun 5, 2018', 'age': '29', 'clubName': 'Tianjin Quanjian', 'clubID': '33714', 'value': '€18.00m'}, {'date': 'Jul 16, 2018', 'age': '29', 'clubName': 'Tianjin Tianhai (-2019)', 'clubID': '33714', 'value': '€20.00m'}, {'date': 'Aug 22, 2018', 'age': '29', 'clubName': 'Borussia Dortmund', 'clubID': '16', 'value': '€25.00m'}, {'date': 'Oct 22, 2018', 'age': '29', 'clubName': 'Borussia Dortmund', 'clubID': '16', 'value': '€30.00m'}, {'date': 'Dec 18, 2018', 'age': '29', 'clubName': 'Borussia Dortmund', 'clubID': '16', 'value': '€40.00m'}, {'date': 'Jun 5, 2019', 'age': '30', 'clubName': 'Borussia Dortmund', 'clubID': '16', 'value': '€32.00m'}, {'date': 'Dec 17, 2019', 'age': '30', 'clubName': 'Borussia Dortmund', 'clubID': '16', 'value': '€27.00m'}, {'date': 'Apr 8, 2020', 'age': '31', 'clubName': 'Borussia Dortmund', 'clubID': '16', 'value': '€21.50m'}, {'date': 'Sep 16, 2020', 'age': '31', 'clubName': 'Borussia Dortmund', 'clubID': '16', 'value': '€17.00m'}, {'date': 'Feb 10, 2021', 'age': '32', 'clubName': 'Borussia Dortmund', 'clubID': '16', 'value': '€12.00m'}, {'date': 'May 26, 2021', 'age': '32', 'clubName': 'Borussia Dortmund', 'clubID': '16', 'value': '€9.00m'}, {'date': 'Dec 22, 2021', 'age': '32', 'clubName': 'Borussia Dortmund', 'clubID': '16', 'value': '€6.00m'}, {'date': 'Mar 24, 2022', 'age': '33', 'clubName': 'Borussia Dortmund', 'clubID': '16', 'value': '€4.00m'}, {'date': 'Jun 9, 2022', 'age': '33', 'clubName': 'Borussia Dortmund', 'clubID': '16', 'value': '€4.00m'}, {'date': 'Sep 23, 2022', 'age': '33', 'clubName': 'Atlético de Madrid', 'clubID': '13', 'value': '€5.00m'}, {'date': 'Nov 7, 2022', 'age': '33', 'clubName': 'Atlético de Madrid', 'clubID': '13', 'value': '€5.00m'}, {'date': 'Jun 13, 2023', 'age': '34', 'clubName': 'Atlético de Madrid', 'clubID': '13', 'value': '€5.00m'}, {'date': 'Dec 22, 2023', 'age': '34', 'clubName': 'Atlético de Madrid', 'clubID': '13', 'value': '€5.00m'}, {'date': 'Mar 21, 2024', 'age': '35', 'clubName': 'Atlético de Madrid', 'clubID': '13', 'value': '€4.00m'}, {'date': 'Jun 7, 2024', 'age': '35', 'clubName': 'Atlético de Madrid', 'clubID': '13', 'value': '€3.50m'}, {'date': 'Dec 27, 2024', 'age': '35', 'clubName': 'Atlético de Madrid', 'clubID': '13', 'value': '€2.50m'}, {'date': 'Jun 9, 2025', 'age': '36', 'clubName': 'Atlético de Madrid', 'clubID': '13', 'value': '€2.00m'}, {'date': 'Oct 2, 2025', 'age': '36', 'clubName': 'Girona FC', 'clubID': '12321', 'value': '€1.50m'}, {'date': 'Dec 12, 2025', 'age': '36', 'clubName': 'Girona FC', 'clubID': '12321', 'value': '€1.40m'}]}</t>
        </is>
      </c>
      <c r="L208" t="inlineStr">
        <is>
          <t>Belgium</t>
        </is>
      </c>
      <c r="M208" t="inlineStr">
        <is>
          <t>1989-01-12</t>
        </is>
      </c>
      <c r="N208" t="inlineStr">
        <is>
          <t>136</t>
        </is>
      </c>
      <c r="O208">
        <f>(4+4+5+5)/4</f>
        <v/>
      </c>
      <c r="P208">
        <f>(12+9+6)/3</f>
        <v/>
      </c>
    </row>
    <row r="209">
      <c r="A209" t="inlineStr">
        <is>
          <t>Neymar</t>
        </is>
      </c>
      <c r="B209" t="inlineStr">
        <is>
          <t>Paris</t>
        </is>
      </c>
      <c r="C209" t="inlineStr">
        <is>
          <t>Forward</t>
        </is>
      </c>
      <c r="D209" t="n">
        <v>468</v>
      </c>
      <c r="E209" t="n">
        <v>6</v>
      </c>
      <c r="F209" t="n">
        <v>0</v>
      </c>
      <c r="G209" t="n">
        <v>1</v>
      </c>
      <c r="H209" t="n">
        <v>55.6</v>
      </c>
      <c r="I209" t="n">
        <v>32.1</v>
      </c>
      <c r="J209" t="n">
        <v>68290</v>
      </c>
      <c r="K209" t="inlineStr">
        <is>
          <t>{'id': '68290', 'marketValue': '€45.00m', 'marketValueHistory': [{'age': '17', 'date': 'Feb 22, 2009', 'clubName': 'Santos FC', 'value': '€1.00m', 'clubID': '221'}, {'age': '17', 'date': 'Jun 5, 2009', 'clubName': 'Santos FC', 'value': '€1.50m', 'clubID': '221'}, {'age': '17', 'date': 'Sep 6, 2009', 'clubName': 'Santos FC', 'value': '€2.50m', 'clubID': '221'}, {'age': '17', 'date': 'Dec 8, 2009', 'clubName': 'Santos FC', 'value': '€6.00m', 'clubID': '221'}, {'age': '18', 'date': 'Apr 15, 2010', 'clubName': 'Santos FC', 'value': '€10.00m', 'clubID': '221'}, {'age': '18', 'date': 'Sep 6, 2010', 'clubName': 'Santos FC', 'value': '€14.00m', 'clubID': '221'}, {'age': '18', 'date': 'Dec 10, 2010', 'clubName': 'Santos FC', 'value': '€18.00m', 'clubID': '221'}, {'age': '19', 'date': 'May 30, 2011', 'clubName': 'Santos FC', 'value': '€25.00m', 'clubID': '221'}, {'age': '19', 'date': 'Aug 12, 2011', 'clubName': 'Santos FC', 'value': '€30.00m', 'clubID': '221'}, {'age': '19', 'date': 'Dec 8, 2011', 'clubName': 'Santos FC', 'value': '€30.00m', 'clubID': '221'}, {'age': '20', 'date': 'May 24, 2012', 'clubName': 'Santos FC', 'value': '€30.00m', 'clubID': '221'}, {'age': '20', 'date': 'Aug 8, 2012', 'clubName': 'Santos FC', 'value': '€40.00m', 'clubID': '221'}, {'age': '20', 'date': 'Dec 5, 2012', 'clubName': 'Santos FC', 'value': '€40.00m', 'clubID': '221'}, {'age': '21', 'date': 'Feb 26, 2013', 'clubName': 'Santos FC', 'value': '€50.00m', 'clubID': '221'}, {'age': '21', 'date': 'Jul 30, 2013', 'clubName': 'FC Barcelona', 'value': '€50.00m', 'clubID': '131'}, {'age': '21', 'date': 'Jan 23, 2014', 'clubName': 'FC Barcelona', 'value': '€60.00m', 'clubID': '131'}, {'age': '22', 'date': 'Jul 20, 2014', 'clubName': 'FC Barcelona', 'value': '€70.00m', 'clubID': '131'}, {'age': '22', 'date': 'Jan 23, 2015', 'clubName': 'FC Barcelona', 'value': '€80.00m', 'clubID': '131'}, {'age': '23', 'date': 'Jul 1, 2015', 'clubName': 'FC Barcelona', 'value': '€80.00m', 'clubID': '131'}, {'age': '23', 'date': 'Nov 22, 2015', 'clubName': 'FC Barcelona', 'value': '€100.00m', 'clubID': '131'}, {'age': '24', 'date': 'Feb 22, 2016', 'clubName': 'FC Barcelona', 'value': '€100.00m', 'clubID': '131'}, {'age': '24', 'date': 'Jul 15, 2016', 'clubName': 'FC Barcelona', 'value': '€100.00m', 'clubID': '131'}, {'age': '24', 'date': 'Jan 24, 2017', 'clubName': 'FC Barcelona', 'value': '€100.00m', 'clubID': '131'}, {'age': '25', 'date': 'Jun 5, 2017', 'clubName': 'FC Barcelona', 'value': '€100.00m', 'clubID': '131'}, {'age': '25', 'date': 'Oct 12, 2017', 'clubName': 'Paris Saint-Germain', 'value': '€150.00m', 'clubID': '583'}, {'age': '25', 'date': 'Jan 24, 2018', 'clubName': 'Paris Saint-Germain', 'value': '€180.00m', 'clubID': '583'}, {'age': '26', 'date': 'Jun 4, 2018', 'clubName': 'Paris Saint-Germain', 'value': '€180.00m', 'clubID': '583'}, {'age': '26', 'date': 'Dec 17, 2018', 'clubName': 'Paris Saint-Germain', 'value': '€180.00m', 'clubID': '583'}, {'age': '27', 'date': 'Jun 3, 2019', 'clubName': 'Paris Saint-Germain', 'value': '€180.00m', 'clubID': '583'}, {'age': '27', 'date': 'Dec 19, 2019', 'clubName': 'Paris Saint-Germain', 'value': '€160.00m', 'clubID': '583'}, {'age': '28', 'date': 'Apr 8, 2020', 'clubName': 'Paris Saint-Germain', 'value': '€128.00m', 'clubID': '583'}, {'age': '28', 'date': 'Oct 15, 2020', 'clubName': 'Paris Saint-Germain', 'value': '€128.00m', 'clubID': '583'}, {'age': '29', 'date': 'Apr 9, 2021', 'clubName': 'Paris Saint-Germain', 'value': '€110.00m', 'clubID': '583'}, {'age': '29', 'date': 'Jun 4, 2021', 'clubName': 'Paris Saint-Germain', 'value': '€100.00m', 'clubID': '583'}, {'age': '29', 'date': 'Dec 16, 2021', 'clubName': 'Paris Saint-Germain', 'value': '€90.00m', 'clubID': '583'}, {'age': '30', 'date': 'May 30, 2022', 'clubName': 'Paris Saint-Germain', 'value': '€75.00m', 'clubID': '583'}, {'age': '30', 'date': 'Nov 2, 2022', 'clubName': 'Paris Saint-Germain', 'value': '€75.00m', 'clubID': '583'}, {'age': '31', 'date': 'Mar 27, 2023', 'clubName': 'Paris Saint-Germain', 'value': '€70.00m', 'clubID': '583'}, {'age': '31', 'date': 'Jun 27, 2023', 'clubName': 'Paris Saint-Germain', 'value': '€60.00m', 'clubID': '583'}, {'age': '31', 'date': 'Oct 24, 2023', 'clubName': 'Al-Hilal SFC', 'value': '€50.00m', 'clubID': '1114'}, {'age': '31', 'date': 'Dec 15, 2023', 'clubName': 'Al-Hilal SFC', 'value': '€45.00m', 'clubID': '1114'}], 'ranking': {'Worldwide': '118', 'Saudi Pro League': '1', 'Al-Hilal': '1', 'Brazil': '14', 'Left Winger': '15', 'Year 1992': '3'}, 'updatedAt': datetime.datetime(2024, 5, 23, 22, 19, 42, 560523)}</t>
        </is>
      </c>
      <c r="L209" t="inlineStr">
        <is>
          <t>Brazil</t>
        </is>
      </c>
      <c r="M209" t="inlineStr">
        <is>
          <t>1992-02-05</t>
        </is>
      </c>
      <c r="N209" t="inlineStr">
        <is>
          <t>Brazil</t>
        </is>
      </c>
      <c r="O209">
        <f>(75+75)/2</f>
        <v/>
      </c>
      <c r="P209">
        <f>(110+100+90)/3</f>
        <v/>
      </c>
    </row>
    <row r="210">
      <c r="A210" t="inlineStr">
        <is>
          <t>Bamba</t>
        </is>
      </c>
      <c r="B210" t="inlineStr">
        <is>
          <t>Lille</t>
        </is>
      </c>
      <c r="C210" t="inlineStr">
        <is>
          <t>Forward</t>
        </is>
      </c>
      <c r="D210" t="n">
        <v>468</v>
      </c>
      <c r="E210" t="n">
        <v>6</v>
      </c>
      <c r="F210" t="n">
        <v>0</v>
      </c>
      <c r="G210" t="n">
        <v>0</v>
      </c>
      <c r="H210" t="n">
        <v>58.2</v>
      </c>
      <c r="I210" t="n">
        <v>32.2</v>
      </c>
      <c r="J210" t="n">
        <v>292818</v>
      </c>
      <c r="K210" t="inlineStr">
        <is>
          <t>{'marketValueHistory': [{'date': 'Aug 7, 2014', 'age': '18', 'clubName': 'AS Saint-Étienne B', 'clubID': '618', 'value': '€150k'}, {'date': 'Sep 6, 2015', 'age': '19', 'clubName': 'AS Saint-Étienne', 'clubID': '618', 'value': '€250k'}, {'date': 'Feb 4, 2016', 'age': '19', 'clubName': 'Paris FC', 'clubID': '10004', 'value': '€600k'}, {'date': 'Jul 13, 2016', 'age': '20', 'clubName': 'AS Saint-Étienne', 'clubID': '618', 'value': '€600k'}, {'date': 'Jan 16, 2017', 'age': '20', 'clubName': 'Angers SCO', 'clubID': '1420', 'value': '€600k'}, {'date': 'Jun 1, 2017', 'age': '21', 'clubName': 'Angers SCO', 'clubID': '1420', 'value': '€1.00m'}, {'date': 'Oct 12, 2017', 'age': '21', 'clubName': 'AS Saint-Étienne', 'clubID': '618', 'value': '€4.00m'}, {'date': 'Jan 24, 2018', 'age': '21', 'clubName': 'AS Saint-Étienne', 'clubID': '618', 'value': '€6.00m'}, {'date': 'Jun 4, 2018', 'age': '22', 'clubName': 'AS Saint-Étienne', 'clubID': '618', 'value': '€8.00m'}, {'date': 'Oct 24, 2018', 'age': '22', 'clubName': 'LOSC Lille', 'clubID': '1082', 'value': '€15.00m'}, {'date': 'Dec 17, 2018', 'age': '22', 'clubName': 'LOSC Lille', 'clubID': '1082', 'value': '€15.00m'}, {'date': 'Jun 3, 2019', 'age': '23', 'clubName': 'LOSC Lille', 'clubID': '1082', 'value': '€17.00m'}, {'date': 'Sep 27, 2019', 'age': '23', 'clubName': 'LOSC Lille', 'clubID': '1082', 'value': '€20.00m'}, {'date': 'Dec 19, 2019', 'age': '23', 'clubName': 'LOSC Lille', 'clubID': '1082', 'value': '€20.00m'}, {'date': 'Apr 8, 2020', 'age': '24', 'clubName': 'LOSC Lille', 'clubID': '1082', 'value': '€16.00m'}, {'date': 'Oct 15, 2020', 'age': '24', 'clubName': 'LOSC Lille', 'clubID': '1082', 'value': '€20.00m'}, {'date': 'Jan 7, 2021', 'age': '24', 'clubName': 'LOSC Lille', 'clubID': '1082', 'value': '€25.00m'}, {'date': 'Jun 4, 2021', 'age': '25', 'clubName': 'LOSC Lille', 'clubID': '1082', 'value': '€25.00m'}, {'date': 'Dec 16, 2021', 'age': '25', 'clubName': 'LOSC Lille', 'clubID': '1082', 'value': '€22.00m'}, {'date': 'Mar 23, 2022', 'age': '25', 'clubName': 'LOSC Lille', 'clubID': '1082', 'value': '€20.00m'}, {'date': 'May 30, 2022', 'age': '26', 'clubName': 'LOSC Lille', 'clubID': '1082', 'value': '€17.00m'}, {'date': 'Sep 19, 2022', 'age': '26', 'clubName': 'LOSC Lille', 'clubID': '1082', 'value': '€18.00m'}, {'date': 'Nov 2, 2022', 'age': '26', 'clubName': 'LOSC Lille', 'clubID': '1082', 'value': '€20.00m'}, {'date': 'Jun 27, 2023', 'age': '27', 'clubName': 'LOSC Lille', 'clubID': '1082', 'value': '€20.00m'}, {'date': 'Dec 22, 2023', 'age': '27', 'clubName': 'Celta de Vigo', 'clubID': '940', 'value': '€14.00m'}, {'date': 'Mar 21, 2024', 'age': '27', 'clubName': 'Celta de Vigo', 'clubID': '940', 'value': '€10.00m'}, {'date': 'Jun 7, 2024', 'age': '28', 'clubName': 'Celta de Vigo', 'clubID': '940', 'value': '€9.00m'}, {'date': 'Oct 11, 2024', 'age': '28', 'clubName': 'Celta de Vigo', 'clubID': '940', 'value': '€6.00m'}, {'date': 'Dec 27, 2024', 'age': '28', 'clubName': 'Celta de Vigo', 'clubID': '940', 'value': '€4.00m'}, {'date': 'Apr 17, 2025', 'age': '29', 'clubName': 'Chicago Fire FC', 'clubID': '432', 'value': '€3.50m'}, {'date': 'Jun 5, 2025', 'age': '29', 'clubName': 'Chicago Fire FC', 'clubID': '432', 'value': '€3.50m'}, {'date': 'Dec 11, 2025', 'age': '29', 'clubName': 'Chicago Fire FC', 'clubID': '432', 'value': '€3.50m'}]}</t>
        </is>
      </c>
      <c r="L210" t="inlineStr">
        <is>
          <t>France</t>
        </is>
      </c>
      <c r="M210" t="inlineStr">
        <is>
          <t>1996-03-26</t>
        </is>
      </c>
      <c r="N210" t="inlineStr">
        <is>
          <t>Ivory Coast</t>
        </is>
      </c>
      <c r="O210">
        <f>(20+17+18+20)/4</f>
        <v/>
      </c>
      <c r="P210">
        <f>(25+25+22)/3</f>
        <v/>
      </c>
    </row>
    <row r="211">
      <c r="A211" t="inlineStr">
        <is>
          <t>Dumfries</t>
        </is>
      </c>
      <c r="B211" t="inlineStr">
        <is>
          <t>Inter</t>
        </is>
      </c>
      <c r="C211" t="inlineStr">
        <is>
          <t>Defender</t>
        </is>
      </c>
      <c r="D211" t="n">
        <v>467</v>
      </c>
      <c r="E211" t="n">
        <v>7</v>
      </c>
      <c r="F211" t="n">
        <v>0</v>
      </c>
      <c r="G211" t="n">
        <v>1</v>
      </c>
      <c r="H211" t="n">
        <v>60.2</v>
      </c>
      <c r="I211" t="n">
        <v>34.8</v>
      </c>
      <c r="J211" t="n">
        <v>321528</v>
      </c>
      <c r="K211" t="inlineStr">
        <is>
          <t>{'marketValueHistory': [{'date': '30/10/2014', 'age': '18', 'clubName': 'Sparta Rotterdam U21', 'clubID': '8621', 'value': '€25k'}, {'date': '21/02/2015', 'age': '18', 'clubName': 'Sparta Rotterdam U21', 'clubID': '8621', 'value': '€50k'}, {'date': '01/07/2015', 'age': '19', 'clubName': 'Sparta Rotterdam', 'clubID': '468', 'value': '€50k'}, {'date': '05/02/2016', 'age': '19', 'clubName': 'Sparta Rotterdam', 'clubID': '468', 'value': '€150k'}, {'date': '15/07/2016', 'age': '20', 'clubName': 'Sparta Rotterdam', 'clubID': '468', 'value': '€250k'}, {'date': '17/10/2016', 'age': '20', 'clubName': 'Sparta Rotterdam', 'clubID': '468', 'value': '€600k'}, {'date': '18/01/2017', 'age': '20', 'clubName': 'Sparta Rotterdam', 'clubID': '468', 'value': '€800k'}, {'date': '07/06/2017', 'age': '21', 'clubName': 'Sparta Rotterdam', 'clubID': '468', 'value': '€1.00m'}, {'date': '26/10/2017', 'age': '21', 'clubName': 'SC Heerenveen', 'clubID': '306', 'value': '€1.50m'}, {'date': '17/01/2018', 'age': '21', 'clubName': 'SC Heerenveen', 'clubID': '306', 'value': '€2.50m'}, {'date': '12/06/2018', 'age': '22', 'clubName': 'SC Heerenveen', 'clubID': '306', 'value': '€4.00m'}, {'date': '04/10/2018', 'age': '22', 'clubName': 'PSV Eindhoven', 'clubID': '383', 'value': '€6.00m'}, {'date': '28/12/2018', 'age': '22', 'clubName': 'PSV Eindhoven', 'clubID': '383', 'value': '€12.00m'}, {'date': '12/06/2019', 'age': '23', 'clubName': 'PSV Eindhoven', 'clubID': '383', 'value': '€15.00m'}, {'date': '18/12/2019', 'age': '23', 'clubName': 'PSV Eindhoven', 'clubID': '383', 'value': '€13.50m'}, {'date': '12/03/2020', 'age': '23', 'clubName': 'PSV Eindhoven', 'clubID': '383', 'value': '€15.00m'}, {'date': '08/04/2020', 'age': '23', 'clubName': 'PSV Eindhoven', 'clubID': '383', 'value': '€12.00m'}, {'date': '14/10/2020', 'age': '24', 'clubName': 'PSV Eindhoven', 'clubID': '383', 'value': '€15.00m'}, {'date': '06/01/2021', 'age': '24', 'clubName': 'PSV Eindhoven', 'clubID': '383', 'value': '€18.00m'}, {'date': '27/05/2021', 'age': '25', 'clubName': 'PSV Eindhoven', 'clubID': '383', 'value': '€16.00m'}, {'date': '28/12/2021', 'age': '25', 'clubName': 'Inter Milan', 'clubID': '46', 'value': '€16.00m'}, {'date': '15/03/2022', 'age': '25', 'clubName': 'Inter Milan', 'clubID': '46', 'value': '€20.00m'}, {'date': '07/06/2022', 'age': '26', 'clubName': 'Inter Milan', 'clubID': '46', 'value': '€25.00m'}, {'date': '11/11/2022', 'age': '26', 'clubName': 'Inter Milan', 'clubID': '46', 'value': '€28.00m'}, {'date': '15/06/2023', 'age': '27', 'clubName': 'Inter Milan', 'clubID': '46', 'value': '€28.00m'}, {'date': '20/12/2023', 'age': '27', 'clubName': 'Inter Milan', 'clubID': '46', 'value': '€30.00m'}, {'date': '12/03/2024', 'age': '27', 'clubName': 'Inter Milan', 'clubID': '46', 'value': '€27.00m'}, {'date': '05/06/2024', 'age': '28', 'clubName': 'Inter Milan', 'clubID': '46', 'value': '€24.00m'}, {'date': '18/10/2024', 'age': '28', 'clubName': 'Inter Milan', 'clubID': '46', 'value': '€20.00m'}, {'date': '18/12/2024', 'age': '28', 'clubName': 'Inter Milan', 'clubID': '46', 'value': '€20.00m'}, {'date': '25/03/2025', 'age': '28', 'clubName': 'Inter Milan', 'clubID': '46', 'value': '€28.00m'}, {'date': '17/06/2025', 'age': '29', 'clubName': 'Inter Milan', 'clubID': '46', 'value': '€35.00m'}, {'date': '23/12/2025', 'age': '29', 'clubName': 'Inter Milan', 'clubID': '46', 'value': '€25.00m'}]}</t>
        </is>
      </c>
      <c r="L211" t="inlineStr">
        <is>
          <t>Netherlands</t>
        </is>
      </c>
      <c r="M211" t="inlineStr">
        <is>
          <t>1996-04-18</t>
        </is>
      </c>
      <c r="N211" t="inlineStr">
        <is>
          <t>71</t>
        </is>
      </c>
      <c r="O211">
        <f>(20+25+28)/3</f>
        <v/>
      </c>
      <c r="P211">
        <f>(18+16+16)/3</f>
        <v/>
      </c>
    </row>
    <row r="212">
      <c r="A212" t="inlineStr">
        <is>
          <t>Goretzka</t>
        </is>
      </c>
      <c r="B212" t="inlineStr">
        <is>
          <t>Bayern</t>
        </is>
      </c>
      <c r="C212" t="inlineStr">
        <is>
          <t>Midfielder</t>
        </is>
      </c>
      <c r="D212" t="n">
        <v>466</v>
      </c>
      <c r="E212" t="n">
        <v>6</v>
      </c>
      <c r="F212" t="n">
        <v>0</v>
      </c>
      <c r="G212" t="n">
        <v>0</v>
      </c>
      <c r="H212" t="n">
        <v>59.3</v>
      </c>
      <c r="I212" t="n">
        <v>32</v>
      </c>
      <c r="J212" t="n">
        <v>153084</v>
      </c>
      <c r="K212" t="inlineStr">
        <is>
          <t>{'marketValueHistory': [{'date': '05/07/2012', 'age': '17', 'clubName': 'VfL Bochum', 'clubID': '80', 'value': '€600k'}, {'date': '26/08/2012', 'age': '17', 'clubName': 'VfL Bochum', 'clubID': '80', 'value': '€1.00m'}, {'date': '04/01/2013', 'age': '17', 'clubName': 'VfL Bochum', 'clubID': '80', 'value': '€3.50m'}, {'date': '29/06/2013', 'age': '18', 'clubName': 'VfL Bochum', 'clubID': '80', 'value': '€4.50m'}, {'date': '10/07/2014', 'age': '19', 'clubName': 'FC Schalke 04', 'clubID': '33', 'value': '€7.50m'}, {'date': '04/02/2015', 'age': '19', 'clubName': 'FC Schalke 04', 'clubID': '33', 'value': '€7.50m'}, {'date': '01/07/2015', 'age': '20', 'clubName': 'FC Schalke 04', 'clubID': '33', 'value': '€7.50m'}, {'date': '16/10/2015', 'age': '20', 'clubName': 'FC Schalke 04', 'clubID': '33', 'value': '€10.00m'}, {'date': '15/02/2016', 'age': '21', 'clubName': 'FC Schalke 04', 'clubID': '33', 'value': '€13.00m'}, {'date': '22/07/2016', 'age': '21', 'clubName': 'FC Schalke 04', 'clubID': '33', 'value': '€15.00m'}, {'date': '07/02/2017', 'age': '22', 'clubName': 'FC Schalke 04', 'clubID': '33', 'value': '€18.00m'}, {'date': '22/03/2017', 'age': '22', 'clubName': 'FC Schalke 04', 'clubID': '33', 'value': '€20.00m'}, {'date': '19/06/2017', 'age': '22', 'clubName': 'FC Schalke 04', 'clubID': '33', 'value': '€23.00m'}, {'date': '28/12/2017', 'age': '22', 'clubName': 'FC Schalke 04', 'clubID': '33', 'value': '€40.00m'}, {'date': '05/06/2018', 'age': '23', 'clubName': 'FC Schalke 04', 'clubID': '33', 'value': '€40.00m'}, {'date': '18/12/2018', 'age': '23', 'clubName': 'Bayern Munich', 'clubID': '27', 'value': '€40.00m'}, {'date': '06/03/2019', 'age': '24', 'clubName': 'Bayern Munich', 'clubID': '27', 'value': '€50.00m'}, {'date': '05/06/2019', 'age': '24', 'clubName': 'Bayern Munich', 'clubID': '27', 'value': '€50.00m'}, {'date': '17/12/2019', 'age': '24', 'clubName': 'Bayern Munich', 'clubID': '27', 'value': '€50.00m'}, {'date': '08/04/2020', 'age': '25', 'clubName': 'Bayern Munich', 'clubID': '27', 'value': '€40.00m'}, {'date': '08/07/2020', 'age': '25', 'clubName': 'Bayern Munich', 'clubID': '27', 'value': '€50.00m'}, {'date': '16/09/2020', 'age': '25', 'clubName': 'Bayern Munich', 'clubID': '27', 'value': '€60.00m'}, {'date': '10/02/2021', 'age': '26', 'clubName': 'Bayern Munich', 'clubID': '27', 'value': '€70.00m'}, {'date': '01/06/2021', 'age': '26', 'clubName': 'Bayern Munich', 'clubID': '27', 'value': '€70.00m'}, {'date': '22/12/2021', 'age': '26', 'clubName': 'Bayern Munich', 'clubID': '27', 'value': '€70.00m'}, {'date': '09/06/2022', 'age': '27', 'clubName': 'Bayern Munich', 'clubID': '27', 'value': '€65.00m'}, {'date': '09/11/2022', 'age': '27', 'clubName': 'Bayern Munich', 'clubID': '27', 'value': '€65.00m'}, {'date': '22/06/2023', 'age': '28', 'clubName': 'Bayern Munich', 'clubID': '27', 'value': '€45.00m'}, {'date': '14/12/2023', 'age': '28', 'clubName': 'Bayern Munich', 'clubID': '27', 'value': '€40.00m'}, {'date': '27/03/2024', 'age': '29', 'clubName': 'Bayern Munich', 'clubID': '27', 'value': '€30.00m'}, {'date': '29/05/2024', 'age': '29', 'clubName': 'Bayern Munich', 'clubID': '27', 'value': '€30.00m'}, {'date': '09/10/2024', 'age': '29', 'clubName': 'Bayern Munich', 'clubID': '27', 'value': '€22.00m'}, {'date': '20/12/2024', 'age': '29', 'clubName': 'Bayern Munich', 'clubID': '27', 'value': '€22.00m'}, {'date': '05/06/2025', 'age': '30', 'clubName': 'Bayern Munich', 'clubID': '27', 'value': '€22.00m'}, {'date': '19/12/2025', 'age': '30', 'clubName': 'Bayern Munich', 'clubID': '27', 'value': '€15.00m'}]}</t>
        </is>
      </c>
      <c r="L212" t="inlineStr">
        <is>
          <t>Germany</t>
        </is>
      </c>
      <c r="M212" t="inlineStr">
        <is>
          <t>1995-02-06</t>
        </is>
      </c>
      <c r="N212" t="inlineStr">
        <is>
          <t>Germany</t>
        </is>
      </c>
      <c r="O212">
        <f>(65+65)/2</f>
        <v/>
      </c>
      <c r="P212">
        <f>(70+70+70)/3</f>
        <v/>
      </c>
    </row>
    <row r="213">
      <c r="A213" t="inlineStr">
        <is>
          <t>Zapata</t>
        </is>
      </c>
      <c r="B213" t="inlineStr">
        <is>
          <t>Atalanta</t>
        </is>
      </c>
      <c r="C213" t="inlineStr">
        <is>
          <t>Forward</t>
        </is>
      </c>
      <c r="D213" t="n">
        <v>464</v>
      </c>
      <c r="E213" t="n">
        <v>6</v>
      </c>
      <c r="F213" t="n">
        <v>3</v>
      </c>
      <c r="G213" t="n">
        <v>3</v>
      </c>
      <c r="H213" t="n">
        <v>50.1</v>
      </c>
      <c r="I213" t="n">
        <v>32.2</v>
      </c>
      <c r="J213" t="n">
        <v>73794</v>
      </c>
      <c r="K213" t="inlineStr">
        <is>
          <t>{'marketValueHistory': [{'date': '05/01/2010', 'age': '18', 'clubName': 'CD América de Cali', 'clubID': '2352', 'value': '€150k'}, {'date': '26/12/2012', 'age': '21', 'clubName': 'Club Estudiantes de La Plata', 'clubID': '288', 'value': '€2.00m'}, {'date': '30/06/2013', 'age': '22', 'clubName': 'Club Estudiantes de La Plata', 'clubID': '288', 'value': '€3.00m'}, {'date': '25/09/2013', 'age': '22', 'clubName': 'SSC Napoli', 'clubID': '6195', 'value': '€7.00m'}, {'date': '07/01/2014', 'age': '22', 'clubName': 'SSC Napoli', 'clubID': '6195', 'value': '€6.50m'}, {'date': '01/07/2014', 'age': '23', 'clubName': 'SSC Napoli', 'clubID': '6195', 'value': '€6.50m'}, {'date': '07/01/2015', 'age': '23', 'clubName': 'SSC Napoli', 'clubID': '6195', 'value': '€7.50m'}, {'date': '01/07/2015', 'age': '24', 'clubName': 'SSC Napoli', 'clubID': '6195', 'value': '€7.50m'}, {'date': '04/01/2016', 'age': '24', 'clubName': 'Udinese Calcio', 'clubID': '410', 'value': '€7.50m'}, {'date': '15/07/2016', 'age': '25', 'clubName': 'Udinese Calcio', 'clubID': '410', 'value': '€7.50m'}, {'date': '02/01/2017', 'age': '25', 'clubName': 'Udinese Calcio', 'clubID': '410', 'value': '€8.00m'}, {'date': '08/06/2017', 'age': '26', 'clubName': 'Udinese Calcio', 'clubID': '410', 'value': '€8.50m'}, {'date': '13/10/2017', 'age': '26', 'clubName': 'UC Sampdoria', 'clubID': '1038', 'value': '€12.50m'}, {'date': '29/12/2017', 'age': '26', 'clubName': 'UC Sampdoria', 'clubID': '1038', 'value': '€15.00m'}, {'date': '07/06/2018', 'age': '27', 'clubName': 'UC Sampdoria', 'clubID': '1038', 'value': '€20.00m'}, {'date': '20/12/2018', 'age': '27', 'clubName': 'Atalanta BC', 'clubID': '800', 'value': '€22.00m'}, {'date': '01/03/2019', 'age': '27', 'clubName': 'Atalanta BC', 'clubID': '800', 'value': '€35.00m'}, {'date': '06/06/2019', 'age': '28', 'clubName': 'Atalanta BC', 'clubID': '800', 'value': '€40.00m'}, {'date': '08/10/2019', 'age': '28', 'clubName': 'Atalanta BC', 'clubID': '800', 'value': '€45.00m'}, {'date': '12/12/2019', 'age': '28', 'clubName': 'Atalanta BC', 'clubID': '800', 'value': '€45.00m'}, {'date': '08/04/2020', 'age': '29', 'clubName': 'Atalanta BC', 'clubID': '800', 'value': '€36.00m'}, {'date': '25/08/2020', 'age': '29', 'clubName': 'Atalanta BC', 'clubID': '800', 'value': '€40.00m'}, {'date': '29/12/2020', 'age': '29', 'clubName': 'Atalanta BC', 'clubID': '800', 'value': '€38.00m'}, {'date': '03/06/2021', 'age': '30', 'clubName': 'Atalanta BC', 'clubID': '800', 'value': '€33.00m'}, {'date': '28/12/2021', 'age': '30', 'clubName': 'Atalanta BC', 'clubID': '800', 'value': '€33.00m'}, {'date': '15/03/2022', 'age': '30', 'clubName': 'Atalanta BC', 'clubID': '800', 'value': '€30.00m'}, {'date': '07/06/2022', 'age': '31', 'clubName': 'Atalanta BC', 'clubID': '800', 'value': '€28.00m'}, {'date': '11/11/2022', 'age': '31', 'clubName': 'Atalanta BC', 'clubID': '800', 'value': '€18.00m'}, {'date': '21/03/2023', 'age': '31', 'clubName': 'Atalanta BC', 'clubID': '800', 'value': '€10.00m'}, {'date': '15/06/2023', 'age': '32', 'clubName': 'Atalanta BC', 'clubID': '800', 'value': '€8.00m'}, {'date': '20/12/2023', 'age': '32', 'clubName': 'Torino FC', 'clubID': '416', 'value': '€8.00m'}, {'date': '05/06/2024', 'age': '33', 'clubName': 'Torino FC', 'clubID': '416', 'value': '€8.00m'}, {'date': '18/10/2024', 'age': '33', 'clubName': 'Torino FC', 'clubID': '416', 'value': '€5.00m'}, {'date': '18/12/2024', 'age': '33', 'clubName': 'Torino FC', 'clubID': '416', 'value': '€4.00m'}, {'date': '17/06/2025', 'age': '34', 'clubName': 'Torino FC', 'clubID': '416', 'value': '€3.50m'}, {'date': '23/12/2025', 'age': '34', 'clubName': 'Torino FC', 'clubID': '416', 'value': '€3.00m'}]}</t>
        </is>
      </c>
      <c r="L213" t="inlineStr">
        <is>
          <t>Colombia</t>
        </is>
      </c>
      <c r="M213" t="inlineStr">
        <is>
          <t>1991-04-01</t>
        </is>
      </c>
      <c r="N213" t="inlineStr">
        <is>
          <t>Colombia</t>
        </is>
      </c>
      <c r="O213">
        <f>(30+28+18)/3</f>
        <v/>
      </c>
      <c r="P213">
        <f>(33+33)/2</f>
        <v/>
      </c>
    </row>
    <row r="214">
      <c r="A214" t="inlineStr">
        <is>
          <t>Coquelin</t>
        </is>
      </c>
      <c r="B214" t="inlineStr">
        <is>
          <t>Villarreal</t>
        </is>
      </c>
      <c r="C214" t="inlineStr">
        <is>
          <t>Midfielder</t>
        </is>
      </c>
      <c r="D214" t="n">
        <v>463</v>
      </c>
      <c r="E214" t="n">
        <v>8</v>
      </c>
      <c r="F214" t="n">
        <v>1</v>
      </c>
      <c r="G214" t="n">
        <v>0</v>
      </c>
      <c r="H214" t="n">
        <v>57.7</v>
      </c>
      <c r="I214" t="n">
        <v>30.7</v>
      </c>
      <c r="J214" t="n">
        <v>74869</v>
      </c>
      <c r="K214" t="inlineStr">
        <is>
          <t>{'marketValueHistory': [{'date': 'Mar 29, 2010', 'age': '18', 'clubName': 'Arsenal FC Reserves', 'clubID': '9249', 'value': '€100k'}, {'date': 'Jul 16, 2010', 'age': '19', 'clubName': 'Arsenal FC Reserves', 'clubID': '9249', 'value': '€200k'}, {'date': 'Dec 28, 2010', 'age': '19', 'clubName': 'FC Lorient', 'clubID': '1158', 'value': '€1.00m'}, {'date': 'May 24, 2011', 'age': '20', 'clubName': 'FC Lorient', 'clubID': '1158', 'value': '€1.30m'}, {'date': 'Feb 6, 2012', 'age': '20', 'clubName': 'Arsenal FC', 'clubID': '11', 'value': '€3.00m'}, {'date': 'Jun 24, 2012', 'age': '21', 'clubName': 'Arsenal FC', 'clubID': '11', 'value': '€3.00m'}, {'date': 'Jan 28, 2013', 'age': '21', 'clubName': 'Arsenal FC', 'clubID': '11', 'value': '€4.00m'}, {'date': 'Jul 2, 2013', 'age': '22', 'clubName': 'Arsenal FC', 'clubID': '11', 'value': '€4.00m'}, {'date': 'Feb 12, 2014', 'age': '22', 'clubName': 'SC Freiburg', 'clubID': '60', 'value': '€3.00m'}, {'date': 'Aug 12, 2014', 'age': '23', 'clubName': 'Arsenal FC', 'clubID': '11', 'value': '€3.00m'}, {'date': 'Feb 12, 2015', 'age': '23', 'clubName': 'Arsenal FC', 'clubID': '11', 'value': '€4.50m'}, {'date': 'Jul 1, 2015', 'age': '24', 'clubName': 'Arsenal FC', 'clubID': '11', 'value': '€7.00m'}, {'date': 'Feb 9, 2016', 'age': '24', 'clubName': 'Arsenal FC', 'clubID': '11', 'value': '€12.00m'}, {'date': 'Aug 1, 2016', 'age': '25', 'clubName': 'Arsenal FC', 'clubID': '11', 'value': '€13.00m'}, {'date': 'Feb 20, 2017', 'age': '25', 'clubName': 'Arsenal FC', 'clubID': '11', 'value': '€15.00m'}, {'date': 'Jun 28, 2017', 'age': '26', 'clubName': 'Arsenal FC', 'clubID': '11', 'value': '€15.00m'}, {'date': 'Jan 2, 2018', 'age': '26', 'clubName': 'Arsenal FC', 'clubID': '11', 'value': '€12.00m'}, {'date': 'May 30, 2018', 'age': '27', 'clubName': 'Valencia CF', 'clubID': '1049', 'value': '€12.00m'}, {'date': 'Dec 21, 2018', 'age': '27', 'clubName': 'Valencia CF', 'clubID': '1049', 'value': '€15.00m'}, {'date': 'Jun 11, 2019', 'age': '28', 'clubName': 'Valencia CF', 'clubID': '1049', 'value': '€17.50m'}, {'date': 'Sep 10, 2019', 'age': '28', 'clubName': 'Valencia CF', 'clubID': '1049', 'value': '€20.00m'}, {'date': 'Dec 20, 2019', 'age': '28', 'clubName': 'Valencia CF', 'clubID': '1049', 'value': '€24.00m'}, {'date': 'Apr 8, 2020', 'age': '28', 'clubName': 'Valencia CF', 'clubID': '1049', 'value': '€19.00m'}, {'date': 'Jul 23, 2020', 'age': '29', 'clubName': 'Valencia CF', 'clubID': '1049', 'value': '€14.00m'}, {'date': 'Oct 8, 2020', 'age': '29', 'clubName': 'Villarreal CF', 'clubID': '1050', 'value': '€8.00m'}, {'date': 'Jan 5, 2021', 'age': '29', 'clubName': 'Villarreal CF', 'clubID': '1050', 'value': '€6.00m'}, {'date': 'Jun 10, 2021', 'age': '30', 'clubName': 'Villarreal CF', 'clubID': '1050', 'value': '€5.00m'}, {'date': 'Dec 30, 2021', 'age': '30', 'clubName': 'Villarreal CF', 'clubID': '1050', 'value': '€5.00m'}, {'date': 'Jun 3, 2022', 'age': '31', 'clubName': 'Villarreal CF', 'clubID': '1050', 'value': '€5.00m'}, {'date': 'Nov 7, 2022', 'age': '31', 'clubName': 'Villarreal CF', 'clubID': '1050', 'value': '€5.00m'}, {'date': 'Jun 13, 2023', 'age': '32', 'clubName': 'Villarreal CF', 'clubID': '1050', 'value': '€3.00m'}, {'date': 'Oct 13, 2023', 'age': '32', 'clubName': 'Villarreal CF', 'clubID': '1050', 'value': '€2.50m'}, {'date': 'Dec 22, 2023', 'age': '32', 'clubName': 'Villarreal CF', 'clubID': '1050', 'value': '€2.00m'}, {'date': 'Jun 7, 2024', 'age': '33', 'clubName': 'Villarreal CF', 'clubID': '1050', 'value': '€1.50m'}, {'date': 'Oct 16, 2024', 'age': '33', 'clubName': 'Without Club', 'clubID': '515', 'value': '€1.00m'}, {'date': 'Jun 3, 2025', 'age': '34', 'clubName': 'FC Nantes', 'clubID': '995', 'value': '€900k'}, {'date': 'Dec 15, 2025', 'age': '34', 'clubName': 'FC Nantes', 'clubID': '995', 'value': '€800k'}]}</t>
        </is>
      </c>
      <c r="L214" t="inlineStr">
        <is>
          <t>France</t>
        </is>
      </c>
      <c r="M214" t="inlineStr">
        <is>
          <t>1991-05-13</t>
        </is>
      </c>
      <c r="N214" t="inlineStr">
        <is>
          <t>France</t>
        </is>
      </c>
      <c r="O214">
        <f>(5+5)/2</f>
        <v/>
      </c>
      <c r="P214">
        <f>(6+5+5)/3</f>
        <v/>
      </c>
    </row>
    <row r="215">
      <c r="A215" t="inlineStr">
        <is>
          <t>Ocampos</t>
        </is>
      </c>
      <c r="B215" t="inlineStr">
        <is>
          <t>Sevilla</t>
        </is>
      </c>
      <c r="C215" t="inlineStr">
        <is>
          <t>Forward</t>
        </is>
      </c>
      <c r="D215" t="n">
        <v>463</v>
      </c>
      <c r="E215" t="n">
        <v>6</v>
      </c>
      <c r="F215" t="n">
        <v>1</v>
      </c>
      <c r="G215" t="n">
        <v>1</v>
      </c>
      <c r="H215" t="n">
        <v>50.6</v>
      </c>
      <c r="I215" t="n">
        <v>33.3</v>
      </c>
      <c r="J215" t="n">
        <v>189441</v>
      </c>
      <c r="K215" t="inlineStr">
        <is>
          <t>{'marketValueHistory': [{'date': 'Dec 19, 2011', 'age': '17', 'clubName': 'CA River Plate', 'clubID': '15108', 'value': '€4.00m'}, {'date': 'Aug 16, 2012', 'age': '18', 'clubName': 'AS Monaco', 'clubID': '162', 'value': '€9.00m'}, {'date': 'Jan 4, 2013', 'age': '18', 'clubName': 'AS Monaco', 'clubID': '162', 'value': '€9.00m'}, {'date': 'May 29, 2013', 'age': '18', 'clubName': 'AS Monaco', 'clubID': '162', 'value': '€9.00m'}, {'date': 'Jan 14, 2014', 'age': '19', 'clubName': 'AS Monaco', 'clubID': '162', 'value': '€10.00m'}, {'date': 'Aug 7, 2014', 'age': '20', 'clubName': 'AS Monaco', 'clubID': '162', 'value': '€8.50m'}, {'date': 'Jan 14, 2015', 'age': '20', 'clubName': 'AS Monaco', 'clubID': '162', 'value': '€6.50m'}, {'date': 'Jun 6, 2015', 'age': '20', 'clubName': 'Olympique Marseille', 'clubID': '244', 'value': '€6.50m'}, {'date': 'Sep 6, 2015', 'age': '21', 'clubName': 'Olympique Marseille', 'clubID': '244', 'value': '€7.50m'}, {'date': 'Feb 4, 2016', 'age': '21', 'clubName': 'Olympique Marseille', 'clubID': '244', 'value': '€6.50m'}, {'date': 'Jul 15, 2016', 'age': '22', 'clubName': 'Genoa CFC', 'clubID': '252', 'value': '€6.00m'}, {'date': 'Jan 2, 2017', 'age': '22', 'clubName': 'Genoa CFC', 'clubID': '252', 'value': '€6.00m'}, {'date': 'Jun 8, 2017', 'age': '22', 'clubName': 'AC Milan', 'clubID': '5', 'value': '€5.50m'}, {'date': 'Jan 24, 2018', 'age': '23', 'clubName': 'Olympique Marseille', 'clubID': '244', 'value': '€7.50m'}, {'date': 'Jun 4, 2018', 'age': '23', 'clubName': 'Olympique Marseille', 'clubID': '244', 'value': '€12.00m'}, {'date': 'Dec 17, 2018', 'age': '24', 'clubName': 'Olympique Marseille', 'clubID': '244', 'value': '€14.00m'}, {'date': 'Jun 3, 2019', 'age': '24', 'clubName': 'Olympique Marseille', 'clubID': '244', 'value': '€15.00m'}, {'date': 'Dec 20, 2019', 'age': '25', 'clubName': 'Sevilla FC', 'clubID': '368', 'value': '€25.00m'}, {'date': 'Mar 5, 2020', 'age': '25', 'clubName': 'Sevilla FC', 'clubID': '368', 'value': '€40.00m'}, {'date': 'Apr 8, 2020', 'age': '25', 'clubName': 'Sevilla FC', 'clubID': '368', 'value': '€32.00m'}, {'date': 'Jul 23, 2020', 'age': '26', 'clubName': 'Sevilla FC', 'clubID': '368', 'value': '€50.00m'}, {'date': 'Oct 8, 2020', 'age': '26', 'clubName': 'Sevilla FC', 'clubID': '368', 'value': '€50.00m'}, {'date': 'Jan 5, 2021', 'age': '26', 'clubName': 'Sevilla FC', 'clubID': '368', 'value': '€45.00m'}, {'date': 'Mar 19, 2021', 'age': '26', 'clubName': 'Sevilla FC', 'clubID': '368', 'value': '€40.00m'}, {'date': 'Jun 10, 2021', 'age': '26', 'clubName': 'Sevilla FC', 'clubID': '368', 'value': '€40.00m'}, {'date': 'Oct 13, 2021', 'age': '27', 'clubName': 'Sevilla FC', 'clubID': '368', 'value': '€30.00m'}, {'date': 'Dec 30, 2021', 'age': '27', 'clubName': 'Sevilla FC', 'clubID': '368', 'value': '€30.00m'}, {'date': 'Jun 3, 2022', 'age': '27', 'clubName': 'Sevilla FC', 'clubID': '368', 'value': '€25.00m'}, {'date': 'Nov 11, 2022', 'age': '28', 'clubName': 'Ajax Amsterdam', 'clubID': '610', 'value': '€18.00m'}, {'date': 'Mar 23, 2023', 'age': '28', 'clubName': 'Sevilla FC', 'clubID': '368', 'value': '€12.00m'}, {'date': 'Jun 13, 2023', 'age': '28', 'clubName': 'Sevilla FC', 'clubID': '368', 'value': '€12.00m'}, {'date': 'Dec 22, 2023', 'age': '29', 'clubName': 'Sevilla FC', 'clubID': '368', 'value': '€12.00m'}, {'date': 'Jun 7, 2024', 'age': '29', 'clubName': 'Sevilla FC', 'clubID': '368', 'value': '€9.00m'}, {'date': 'Oct 10, 2024', 'age': '30', 'clubName': 'CF Monterrey', 'clubID': '2407', 'value': '€7.50m'}, {'date': 'Dec 11, 2024', 'age': '30', 'clubName': 'CF Monterrey', 'clubID': '2407', 'value': '€7.50m'}, {'date': 'Mar 31, 2025', 'age': '30', 'clubName': 'CF Monterrey', 'clubID': '2407', 'value': '€6.50m'}, {'date': 'May 26, 2025', 'age': '30', 'clubName': 'CF Monterrey', 'clubID': '2407', 'value': '€6.00m'}, {'date': 'Sep 22, 2025', 'age': '31', 'clubName': 'CF Monterrey', 'clubID': '2407', 'value': '€5.50m'}, {'date': 'Dec 29, 2025', 'age': '31', 'clubName': 'CF Monterrey', 'clubID': '2407', 'value': '€4.50m'}]}</t>
        </is>
      </c>
      <c r="L215" t="inlineStr">
        <is>
          <t>Argentina</t>
        </is>
      </c>
      <c r="M215" t="inlineStr">
        <is>
          <t>1994-07-11</t>
        </is>
      </c>
      <c r="N215" t="inlineStr">
        <is>
          <t>Argentina</t>
        </is>
      </c>
      <c r="O215">
        <f>(25+18)/2</f>
        <v/>
      </c>
      <c r="P215">
        <f>(45+40+40+30+30)/5</f>
        <v/>
      </c>
    </row>
    <row r="216">
      <c r="A216" t="inlineStr">
        <is>
          <t>Lauper</t>
        </is>
      </c>
      <c r="B216" t="inlineStr">
        <is>
          <t>Young Boys</t>
        </is>
      </c>
      <c r="C216" t="inlineStr">
        <is>
          <t>Midfielder</t>
        </is>
      </c>
      <c r="D216" t="n">
        <v>462</v>
      </c>
      <c r="E216" t="n">
        <v>6</v>
      </c>
      <c r="F216" t="n">
        <v>0</v>
      </c>
      <c r="G216" t="n">
        <v>0</v>
      </c>
      <c r="H216" t="n">
        <v>42.1</v>
      </c>
      <c r="I216" t="n">
        <v>31.8</v>
      </c>
      <c r="J216" t="n">
        <v>254965</v>
      </c>
      <c r="K216" t="inlineStr">
        <is>
          <t>{'marketValueHistory': [{'date': '29/09/2015', 'age': '18', 'clubName': 'FC Thun U21', 'clubID': '10400', 'value': '€100k'}, {'date': '16/07/2016', 'age': '19', 'clubName': 'FC Thun', 'clubID': '938', 'value': '€100k'}, {'date': '19/10/2016', 'age': '19', 'clubName': 'FC Thun', 'clubID': '938', 'value': '€300k'}, {'date': '20/12/2016', 'age': '20', 'clubName': 'FC Thun', 'clubID': '938', 'value': '€300k'}, {'date': '14/04/2017', 'age': '20', 'clubName': 'FC Thun', 'clubID': '938', 'value': '€500k'}, {'date': '12/07/2017', 'age': '20', 'clubName': 'FC Thun', 'clubID': '938', 'value': '€800k'}, {'date': '08/01/2018', 'age': '21', 'clubName': 'FC Thun', 'clubID': '938', 'value': '€800k'}, {'date': '24/04/2018', 'age': '21', 'clubName': 'FC Thun', 'clubID': '938', 'value': '€800k'}, {'date': '12/07/2018', 'age': '21', 'clubName': 'BSC Young Boys', 'clubID': '452', 'value': '€1.50m'}, {'date': '21/01/2019', 'age': '22', 'clubName': 'BSC Young Boys', 'clubID': '452', 'value': '€3.00m'}, {'date': '15/04/2019', 'age': '22', 'clubName': 'BSC Young Boys', 'clubID': '452', 'value': '€3.00m'}, {'date': '04/06/2019', 'age': '22', 'clubName': 'BSC Young Boys', 'clubID': '452', 'value': '€3.00m'}, {'date': '06/01/2020', 'age': '23', 'clubName': 'BSC Young Boys', 'clubID': '452', 'value': '€3.00m'}, {'date': '08/04/2020', 'age': '23', 'clubName': 'BSC Young Boys', 'clubID': '452', 'value': '€2.40m'}, {'date': '31/07/2020', 'age': '23', 'clubName': 'BSC Young Boys', 'clubID': '452', 'value': '€2.40m'}, {'date': '28/12/2020', 'age': '24', 'clubName': 'BSC Young Boys', 'clubID': '452', 'value': '€1.50m'}, {'date': '15/04/2021', 'age': '24', 'clubName': 'BSC Young Boys', 'clubID': '452', 'value': '€2.50m'}, {'date': '23/06/2021', 'age': '24', 'clubName': 'BSC Young Boys', 'clubID': '452', 'value': '€3.00m'}, {'date': '03/01/2022', 'age': '25', 'clubName': 'BSC Young Boys', 'clubID': '452', 'value': '€3.00m'}, {'date': '28/03/2022', 'age': '25', 'clubName': 'BSC Young Boys', 'clubID': '452', 'value': '€2.00m'}, {'date': '08/06/2022', 'age': '25', 'clubName': 'BSC Young Boys', 'clubID': '452', 'value': '€1.50m'}, {'date': '10/11/2022', 'age': '26', 'clubName': 'BSC Young Boys', 'clubID': '452', 'value': '€1.50m'}, {'date': '07/06/2023', 'age': '26', 'clubName': 'BSC Young Boys', 'clubID': '452', 'value': '€1.70m'}, {'date': '19/10/2023', 'age': '26', 'clubName': 'BSC Young Boys', 'clubID': '452', 'value': '€1.50m'}, {'date': '21/12/2023', 'age': '27', 'clubName': 'BSC Young Boys', 'clubID': '452', 'value': '€1.00m'}, {'date': '31/05/2024', 'age': '27', 'clubName': 'BSC Young Boys', 'clubID': '452', 'value': '€800k'}, {'date': '27/09/2024', 'age': '27', 'clubName': 'BSC Young Boys', 'clubID': '452', 'value': '€900k'}, {'date': '23/12/2024', 'age': '28', 'clubName': 'BSC Young Boys', 'clubID': '452', 'value': '€900k'}, {'date': '10/06/2025', 'age': '28', 'clubName': 'BSC Young Boys', 'clubID': '452', 'value': '€900k'}, {'date': '29/12/2025', 'age': '29', 'clubName': 'BSC Young Boys', 'clubID': '452', 'value': '€800k'}]}</t>
        </is>
      </c>
      <c r="L216" t="inlineStr">
        <is>
          <t>Switzerland</t>
        </is>
      </c>
      <c r="M216" t="inlineStr">
        <is>
          <t>1996-10-25</t>
        </is>
      </c>
      <c r="N216" t="inlineStr">
        <is>
          <t>Switzerland</t>
        </is>
      </c>
      <c r="O216">
        <f>(3+2+1.5+1.5)/4</f>
        <v/>
      </c>
      <c r="P216">
        <f>(2.5+3)/2</f>
        <v/>
      </c>
    </row>
    <row r="217">
      <c r="A217" t="inlineStr">
        <is>
          <t>Grealish</t>
        </is>
      </c>
      <c r="B217" t="inlineStr">
        <is>
          <t>Man City</t>
        </is>
      </c>
      <c r="C217" t="inlineStr">
        <is>
          <t>Midfielder</t>
        </is>
      </c>
      <c r="D217" t="n">
        <v>461</v>
      </c>
      <c r="E217" t="n">
        <v>7</v>
      </c>
      <c r="F217" t="n">
        <v>1</v>
      </c>
      <c r="G217" t="n">
        <v>1</v>
      </c>
      <c r="H217" t="n">
        <v>57.2</v>
      </c>
      <c r="I217" t="n">
        <v>33.8</v>
      </c>
      <c r="J217" t="n">
        <v>203460</v>
      </c>
      <c r="K217" t="inlineStr">
        <is>
          <t>{'marketValueHistory': [{'date': '25/07/2013', 'age': '17', 'clubName': 'Aston Villa', 'clubID': '405', 'value': '€150k'}, {'date': '30/12/2013', 'age': '18', 'clubName': 'Notts County', 'clubID': '1045', 'value': '€250k'}, {'date': '05/10/2014', 'age': '19', 'clubName': 'Aston Villa', 'clubID': '405', 'value': '€1.00m'}, {'date': '12/02/2015', 'age': '19', 'clubName': 'Aston Villa', 'clubID': '405', 'value': '€1.00m'}, {'date': '01/07/2015', 'age': '19', 'clubName': 'Aston Villa', 'clubID': '405', 'value': '€4.50m'}, {'date': '09/02/2016', 'age': '20', 'clubName': 'Aston Villa', 'clubID': '405', 'value': '€4.50m'}, {'date': '01/09/2016', 'age': '20', 'clubName': 'Aston Villa', 'clubID': '405', 'value': '€4.50m'}, {'date': '27/02/2017', 'age': '21', 'clubName': 'Aston Villa', 'clubID': '405', 'value': '€5.00m'}, {'date': '18/09/2017', 'age': '22', 'clubName': 'Aston Villa', 'clubID': '405', 'value': '€5.00m'}, {'date': '24/09/2018', 'age': '23', 'clubName': 'Aston Villa', 'clubID': '405', 'value': '€20.00m'}, {'date': '28/06/2019', 'age': '23', 'clubName': 'Aston Villa', 'clubID': '405', 'value': '€25.00m'}, {'date': '10/12/2019', 'age': '24', 'clubName': 'Aston Villa', 'clubID': '405', 'value': '€35.00m'}, {'date': '09/03/2020', 'age': '24', 'clubName': 'Aston Villa', 'clubID': '405', 'value': '€38.00m'}, {'date': '08/04/2020', 'age': '24', 'clubName': 'Aston Villa', 'clubID': '405', 'value': '€30.50m'}, {'date': '30/07/2020', 'age': '24', 'clubName': 'Aston Villa', 'clubID': '405', 'value': '€40.00m'}, {'date': '13/10/2020', 'age': '25', 'clubName': 'Aston Villa', 'clubID': '405', 'value': '€45.00m'}, {'date': '17/12/2020', 'age': '25', 'clubName': 'Aston Villa', 'clubID': '405', 'value': '€50.00m'}, {'date': '18/03/2021', 'age': '25', 'clubName': 'Aston Villa', 'clubID': '405', 'value': '€60.00m'}, {'date': '28/05/2021', 'age': '25', 'clubName': 'Aston Villa', 'clubID': '405', 'value': '€65.00m'}, {'date': '05/10/2021', 'age': '26', 'clubName': 'Manchester City', 'clubID': '281', 'value': '€100.00m'}, {'date': '23/12/2021', 'age': '26', 'clubName': 'Manchester City', 'clubID': '281', 'value': '€80.00m'}, {'date': '15/06/2022', 'age': '26', 'clubName': 'Manchester City', 'clubID': '281', 'value': '€70.00m'}, {'date': '03/11/2022', 'age': '27', 'clubName': 'Manchester City', 'clubID': '281', 'value': '€70.00m'}, {'date': '20/06/2023', 'age': '27', 'clubName': 'Manchester City', 'clubID': '281', 'value': '€75.00m'}, {'date': '19/12/2023', 'age': '28', 'clubName': 'Manchester City', 'clubID': '281', 'value': '€70.00m'}, {'date': '14/03/2024', 'age': '28', 'clubName': 'Manchester City', 'clubID': '281', 'value': '€65.00m'}, {'date': '27/05/2024', 'age': '28', 'clubName': 'Manchester City', 'clubID': '281', 'value': '€60.00m'}, {'date': '01/10/2024', 'age': '29', 'clubName': 'Manchester City', 'clubID': '281', 'value': '€55.00m'}, {'date': '16/12/2024', 'age': '29', 'clubName': 'Manchester City', 'clubID': '281', 'value': '€45.00m'}, {'date': '18/03/2025', 'age': '29', 'clubName': 'Manchester City', 'clubID': '281', 'value': '€35.00m'}, {'date': '30/05/2025', 'age': '29', 'clubName': 'Manchester City', 'clubID': '281', 'value': '€28.00m'}, {'date': '09/12/2025', 'age': '30', 'clubName': 'Everton FC', 'clubID': '29', 'value': '€25.00m'}]}</t>
        </is>
      </c>
      <c r="L217" t="inlineStr">
        <is>
          <t>United Kingdom</t>
        </is>
      </c>
      <c r="M217" t="inlineStr">
        <is>
          <t>1995-09-10</t>
        </is>
      </c>
      <c r="N217" t="inlineStr">
        <is>
          <t>39</t>
        </is>
      </c>
      <c r="O217">
        <f>(70+70)/2</f>
        <v/>
      </c>
      <c r="P217">
        <f>(60+65+100+80)/4</f>
        <v/>
      </c>
    </row>
    <row r="218">
      <c r="A218" t="inlineStr">
        <is>
          <t>Claudinho</t>
        </is>
      </c>
      <c r="B218" t="inlineStr">
        <is>
          <t>Zenit</t>
        </is>
      </c>
      <c r="C218" t="inlineStr">
        <is>
          <t>Midfielder</t>
        </is>
      </c>
      <c r="D218" t="n">
        <v>460</v>
      </c>
      <c r="E218" t="n">
        <v>6</v>
      </c>
      <c r="F218" t="n">
        <v>2</v>
      </c>
      <c r="G218" t="n">
        <v>0</v>
      </c>
      <c r="H218" t="n">
        <v>55.8</v>
      </c>
      <c r="I218" t="n">
        <v>31.4</v>
      </c>
      <c r="J218" t="n">
        <v>403315</v>
      </c>
      <c r="K218" t="inlineStr">
        <is>
          <t>{'marketValueHistory': [{'date': '27/05/2016', 'age': '19', 'clubName': 'Sport Club Corinthians Paulista', 'clubID': '199', 'value': '€100k'}, {'date': '23/07/2016', 'age': '19', 'clubName': 'Clube Atlético Bragantino (SP)', 'clubID': '8793', 'value': '€200k'}, {'date': '28/11/2016', 'age': '19', 'clubName': 'Clube Atlético Bragantino (SP)', 'clubID': '8793', 'value': '€150k'}, {'date': '07/12/2017', 'age': '20', 'clubName': 'Associação Atlética Ponte Preta', 'clubID': '1134', 'value': '€300k'}, {'date': '20/02/2020', 'age': '23', 'clubName': 'Red Bull Bragantino', 'clubID': '8793', 'value': '€900k'}, {'date': '08/04/2020', 'age': '23', 'clubName': 'Red Bull Bragantino', 'clubID': '8793', 'value': '€725k'}, {'date': '09/09/2020', 'age': '23', 'clubName': 'Red Bull Bragantino', 'clubID': '8793', 'value': '€950k'}, {'date': '09/02/2021', 'age': '24', 'clubName': 'Red Bull Bragantino', 'clubID': '8793', 'value': '€8.50m'}, {'date': '28/05/2021', 'age': '24', 'clubName': 'Red Bull Bragantino', 'clubID': '8793', 'value': '€11.00m'}, {'date': '29/12/2021', 'age': '24', 'clubName': 'Zenit St. Petersburg', 'clubID': '964', 'value': '€16.00m'}, {'date': '02/06/2022', 'age': '25', 'clubName': 'Zenit St. Petersburg', 'clubID': '964', 'value': '€18.00m'}, {'date': '21/11/2022', 'age': '25', 'clubName': 'Zenit St. Petersburg', 'clubID': '964', 'value': '€18.00m'}, {'date': '14/06/2023', 'age': '26', 'clubName': 'Zenit St. Petersburg', 'clubID': '964', 'value': '€20.00m'}, {'date': '13/12/2023', 'age': '26', 'clubName': 'Zenit St. Petersburg', 'clubID': '964', 'value': '€18.00m'}, {'date': '04/06/2024', 'age': '27', 'clubName': 'Zenit St. Petersburg', 'clubID': '964', 'value': '€18.00m'}, {'date': '12/12/2024', 'age': '27', 'clubName': 'Zenit St. Petersburg', 'clubID': '964', 'value': '€17.00m'}, {'date': '28/05/2025', 'age': '28', 'clubName': 'Al-Sadd SC', 'clubID': '656', 'value': '€15.00m'}, {'date': '30/12/2025', 'age': '28', 'clubName': 'Al-Sadd SC', 'clubID': '656', 'value': '€13.00m'}]}</t>
        </is>
      </c>
      <c r="L218" t="inlineStr">
        <is>
          <t>Brazil</t>
        </is>
      </c>
      <c r="M218" t="inlineStr">
        <is>
          <t>1997-01-28</t>
        </is>
      </c>
      <c r="N218" t="inlineStr">
        <is>
          <t>Brazil</t>
        </is>
      </c>
      <c r="O218">
        <f>(18+18)/2</f>
        <v/>
      </c>
      <c r="P218">
        <f>(8.5+11+16)/3</f>
        <v/>
      </c>
    </row>
    <row r="219">
      <c r="A219" t="inlineStr">
        <is>
          <t>Otavio</t>
        </is>
      </c>
      <c r="B219" t="inlineStr">
        <is>
          <t>FC Porto</t>
        </is>
      </c>
      <c r="C219" t="inlineStr">
        <is>
          <t>Midfielder</t>
        </is>
      </c>
      <c r="D219" t="n">
        <v>450</v>
      </c>
      <c r="E219" t="n">
        <v>6</v>
      </c>
      <c r="F219" t="n">
        <v>0</v>
      </c>
      <c r="G219" t="n">
        <v>0</v>
      </c>
      <c r="H219" t="n">
        <v>53.8</v>
      </c>
      <c r="I219" t="n">
        <v>30.8</v>
      </c>
      <c r="J219" t="n">
        <v>231289</v>
      </c>
      <c r="K219" t="inlineStr">
        <is>
          <t>{'marketValueHistory': [{'date': 'Jul 29, 2012', 'age': '17', 'clubName': 'Sport Club Internacional', 'clubID': '6600', 'value': '€150k'}, {'date': 'Dec 5, 2012', 'age': '17', 'clubName': 'Sport Club Internacional', 'clubID': '6600', 'value': '€400k'}, {'date': 'Aug 7, 2014', 'age': '19', 'clubName': 'Sport Club Internacional', 'clubID': '6600', 'value': '€2.00m'}, {'date': 'Sep 30, 2014', 'age': '19', 'clubName': 'FC Porto', 'clubID': '720', 'value': '€4.50m'}, {'date': 'Feb 17, 2015', 'age': '20', 'clubName': 'Vitória Guimarães SC', 'clubID': '2420', 'value': '€3.50m'}, {'date': 'Jul 1, 2015', 'age': '20', 'clubName': 'Vitória Guimarães SC', 'clubID': '2420', 'value': '€3.00m'}, {'date': 'Feb 24, 2016', 'age': '21', 'clubName': 'Vitória Guimarães SC', 'clubID': '2420', 'value': '€3.25m'}, {'date': 'Jul 29, 2016', 'age': '21', 'clubName': 'FC Porto', 'clubID': '720', 'value': '€4.00m'}, {'date': 'Oct 31, 2016', 'age': '21', 'clubName': 'FC Porto', 'clubID': '720', 'value': '€7.00m'}, {'date': 'Feb 22, 2017', 'age': '22', 'clubName': 'FC Porto', 'clubID': '720', 'value': '€7.00m'}, {'date': 'Jun 26, 2017', 'age': '22', 'clubName': 'FC Porto', 'clubID': '720', 'value': '€7.00m'}, {'date': 'Feb 7, 2018', 'age': '22', 'clubName': 'FC Porto', 'clubID': '720', 'value': '€5.00m'}, {'date': 'Jun 13, 2018', 'age': '23', 'clubName': 'FC Porto', 'clubID': '720', 'value': '€6.00m'}, {'date': 'Nov 1, 2018', 'age': '23', 'clubName': 'FC Porto', 'clubID': '720', 'value': '€10.00m'}, {'date': 'Jan 11, 2019', 'age': '23', 'clubName': 'FC Porto', 'clubID': '720', 'value': '€13.00m'}, {'date': 'Jun 7, 2019', 'age': '24', 'clubName': 'FC Porto', 'clubID': '720', 'value': '€17.00m'}, {'date': 'Dec 30, 2019', 'age': '24', 'clubName': 'FC Porto', 'clubID': '720', 'value': '€17.00m'}, {'date': 'Apr 8, 2020', 'age': '25', 'clubName': 'FC Porto', 'clubID': '720', 'value': '€13.50m'}, {'date': 'Aug 17, 2020', 'age': '25', 'clubName': 'FC Porto', 'clubID': '720', 'value': '€18.00m'}, {'date': 'Jan 28, 2021', 'age': '25', 'clubName': 'FC Porto', 'clubID': '720', 'value': '€21.00m'}, {'date': 'May 21, 2021', 'age': '26', 'clubName': 'FC Porto', 'clubID': '720', 'value': '€24.00m'}, {'date': 'Dec 27, 2021', 'age': '26', 'clubName': 'FC Porto', 'clubID': '720', 'value': '€25.00m'}, {'date': 'May 31, 2022', 'age': '27', 'clubName': 'FC Porto', 'clubID': '720', 'value': '€30.00m'}, {'date': 'Nov 1, 2022', 'age': '27', 'clubName': 'FC Porto', 'clubID': '720', 'value': '€30.00m'}, {'date': 'Jun 16, 2023', 'age': '28', 'clubName': 'FC Porto', 'clubID': '720', 'value': '€35.00m'}, {'date': 'Dec 15, 2023', 'age': '28', 'clubName': 'Al-Nassr FC', 'clubID': '18544', 'value': '€30.00m'}, {'date': 'Jun 4, 2024', 'age': '29', 'clubName': 'Al-Nassr FC', 'clubID': '18544', 'value': '€25.00m'}, {'date': 'Dec 13, 2024', 'age': '29', 'clubName': 'Al-Nassr FC', 'clubID': '18544', 'value': '€18.00m'}, {'date': 'May 27, 2025', 'age': '30', 'clubName': 'Al-Nassr FC', 'clubID': '18544', 'value': '€15.00m'}, {'date': 'Dec 18, 2025', 'age': '30', 'clubName': 'Al-Qadsiah FC', 'clubID': '26069', 'value': '€12.00m'}]}</t>
        </is>
      </c>
      <c r="L219" t="inlineStr">
        <is>
          <t>Portugal</t>
        </is>
      </c>
      <c r="M219" t="inlineStr">
        <is>
          <t>1995-02-09</t>
        </is>
      </c>
      <c r="N219" t="inlineStr">
        <is>
          <t>Portugal</t>
        </is>
      </c>
      <c r="O219">
        <f>(30+30)/2</f>
        <v/>
      </c>
      <c r="P219">
        <f>(21+24+25)/3</f>
        <v/>
      </c>
    </row>
    <row r="220">
      <c r="A220" t="inlineStr">
        <is>
          <t>Feddal</t>
        </is>
      </c>
      <c r="B220" t="inlineStr">
        <is>
          <t>Sporting CP</t>
        </is>
      </c>
      <c r="C220" t="inlineStr">
        <is>
          <t>Defender</t>
        </is>
      </c>
      <c r="D220" t="n">
        <v>450</v>
      </c>
      <c r="E220" t="n">
        <v>6</v>
      </c>
      <c r="F220" t="n">
        <v>0</v>
      </c>
      <c r="G220" t="n">
        <v>0</v>
      </c>
      <c r="H220" t="n">
        <v>49.2</v>
      </c>
      <c r="I220" t="n">
        <v>29.7</v>
      </c>
      <c r="J220" t="n">
        <v>129386</v>
      </c>
      <c r="K220" t="inlineStr">
        <is>
          <t>{'marketValueHistory': [{'date': 'Sep 12, 2012', 'age': '22', 'clubName': 'FUS Rabat', 'clubID': '6371', 'value': '€600k'}, {'date': 'Dec 19, 2012', 'age': '22', 'clubName': 'FUS Rabat', 'clubID': '6371', 'value': '€750k'}, {'date': 'Aug 26, 2013', 'age': '23', 'clubName': 'Parma FC', 'clubID': '130', 'value': '€800k'}, {'date': 'Jan 29, 2014', 'age': '24', 'clubName': 'AC Siena', 'clubID': '1387', 'value': '€700k'}, {'date': 'Jul 15, 2014', 'age': '24', 'clubName': 'Parma FC', 'clubID': '130', 'value': '€700k'}, {'date': 'Jan 7, 2015', 'age': '25', 'clubName': 'US Palermo', 'clubID': '458', 'value': '€500k'}, {'date': 'Jul 1, 2015', 'age': '25', 'clubName': 'Parma Calcio 1913', 'clubID': '130', 'value': '€600k'}, {'date': 'Jul 16, 2015', 'age': '25', 'clubName': 'Parma Calcio 1913', 'clubID': '130', 'value': '€600k'}, {'date': 'Nov 22, 2015', 'age': '25', 'clubName': 'Levante UD', 'clubID': '3368', 'value': '€1.20m'}, {'date': 'Feb 22, 2016', 'age': '26', 'clubName': 'Levante UD', 'clubID': '3368', 'value': '€1.50m'}, {'date': 'Jul 15, 2016', 'age': '26', 'clubName': 'Levante UD', 'clubID': '3368', 'value': '€1.50m'}, {'date': 'Jan 24, 2017', 'age': '27', 'clubName': 'Deportivo Alavés', 'clubID': '1108', 'value': '€2.00m'}, {'date': 'Jun 5, 2017', 'age': '27', 'clubName': 'Deportivo Alavés', 'clubID': '1108', 'value': '€3.00m'}, {'date': 'Jan 1, 2018', 'age': '28', 'clubName': 'Real Betis Balompié', 'clubID': '150', 'value': '€3.00m'}, {'date': 'May 30, 2018', 'age': '28', 'clubName': 'Real Betis Balompié', 'clubID': '150', 'value': '€3.00m'}, {'date': 'Dec 21, 2018', 'age': '28', 'clubName': 'Real Betis Balompié', 'clubID': '150', 'value': '€2.00m'}, {'date': 'Jun 11, 2019', 'age': '29', 'clubName': 'Real Betis Balompié', 'clubID': '150', 'value': '€5.00m'}, {'date': 'Dec 20, 2019', 'age': '29', 'clubName': 'Real Betis Balompié', 'clubID': '150', 'value': '€5.00m'}, {'date': 'Apr 8, 2020', 'age': '30', 'clubName': 'Real Betis Balompié', 'clubID': '150', 'value': '€4.00m'}, {'date': 'Oct 22, 2020', 'age': '30', 'clubName': 'Sporting CP', 'clubID': '336', 'value': '€4.00m'}, {'date': 'Jan 28, 2021', 'age': '31', 'clubName': 'Sporting CP', 'clubID': '336', 'value': '€4.00m'}, {'date': 'May 21, 2021', 'age': '31', 'clubName': 'Sporting CP', 'clubID': '336', 'value': '€6.00m'}, {'date': 'Dec 27, 2021', 'age': '32', 'clubName': 'Sporting CP', 'clubID': '336', 'value': '€5.00m'}, {'date': 'Mar 10, 2022', 'age': '32', 'clubName': 'Sporting CP', 'clubID': '336', 'value': '€4.00m'}, {'date': 'May 31, 2022', 'age': '32', 'clubName': 'Sporting CP', 'clubID': '336', 'value': '€2.50m'}, {'date': 'Nov 7, 2022', 'age': '32', 'clubName': 'Real Valladolid CF', 'clubID': '366', 'value': '€1.80m'}, {'date': 'Mar 14, 2023', 'age': '33', 'clubName': 'Alanyaspor', 'clubID': '11282', 'value': '€1.50m'}, {'date': 'Jun 8, 2023', 'age': '33', 'clubName': 'Alanyaspor', 'clubID': '11282', 'value': '€1.30m'}, {'date': 'Oct 25, 2023', 'age': '33', 'clubName': 'Without Club', 'clubID': '515', 'value': '€800k'}, {'date': 'Mar 29, 2024', 'age': '34', 'clubName': 'Without Club', 'clubID': '515', 'value': '€400k'}, {'date': 'Aug 21, 2024', 'age': '34', 'clubName': 'Retired', 'clubID': '123', 'value': '-'}]}</t>
        </is>
      </c>
      <c r="L220" t="inlineStr">
        <is>
          <t>Spain</t>
        </is>
      </c>
      <c r="M220" t="inlineStr">
        <is>
          <t>1989-12-23</t>
        </is>
      </c>
      <c r="N220" t="inlineStr">
        <is>
          <t>Morocco</t>
        </is>
      </c>
      <c r="O220">
        <f>(4+2.5+1.8)/3</f>
        <v/>
      </c>
      <c r="P220">
        <f>(4+6+5)/3</f>
        <v/>
      </c>
    </row>
    <row r="221">
      <c r="A221" t="inlineStr">
        <is>
          <t>Palomino</t>
        </is>
      </c>
      <c r="B221" t="inlineStr">
        <is>
          <t>Atalanta</t>
        </is>
      </c>
      <c r="C221" t="inlineStr">
        <is>
          <t>Defender</t>
        </is>
      </c>
      <c r="D221" t="n">
        <v>450</v>
      </c>
      <c r="E221" t="n">
        <v>5</v>
      </c>
      <c r="F221" t="n">
        <v>1</v>
      </c>
      <c r="G221" t="n">
        <v>1</v>
      </c>
      <c r="H221" t="n">
        <v>50.5</v>
      </c>
      <c r="I221" t="n">
        <v>35.1</v>
      </c>
      <c r="J221" t="n">
        <v>125020</v>
      </c>
      <c r="K221" t="inlineStr">
        <is>
          <t>{'marketValueHistory': [{'date': '06/10/2009', 'age': '19', 'clubName': 'CA San Lorenzo de Almagro II', 'clubID': '15879', 'value': '€75k'}, {'date': '01/01/2011', 'age': '20', 'clubName': 'CA San Lorenzo de Almagro', 'clubID': '1775', 'value': '€500k'}, {'date': '30/06/2011', 'age': '21', 'clubName': 'CA San Lorenzo de Almagro', 'clubID': '1775', 'value': '€500k'}, {'date': '23/12/2011', 'age': '21', 'clubName': 'CA San Lorenzo de Almagro', 'clubID': '1775', 'value': '€600k'}, {'date': '02/08/2012', 'age': '22', 'clubName': 'CA San Lorenzo de Almagro', 'clubID': '1775', 'value': '€700k'}, {'date': '10/02/2014', 'age': '24', 'clubName': 'AA Argentinos Juniors', 'clubID': '1030', 'value': '€800k'}, {'date': '07/08/2014', 'age': '24', 'clubName': 'FC Metz', 'clubID': '347', 'value': '€750k'}, {'date': '14/01/2015', 'age': '25', 'clubName': 'FC Metz', 'clubID': '347', 'value': '€800k'}, {'date': '06/06/2015', 'age': '25', 'clubName': 'FC Metz', 'clubID': '347', 'value': '€1.00m'}, {'date': '04/02/2016', 'age': '26', 'clubName': 'FC Metz', 'clubID': '347', 'value': '€1.50m'}, {'date': '01/08/2016', 'age': '26', 'clubName': 'Ludogorets Razgrad', 'clubID': '31614', 'value': '€1.60m'}, {'date': '28/01/2017', 'age': '27', 'clubName': 'Ludogorets Razgrad', 'clubID': '31614', 'value': '€1.70m'}, {'date': '01/07/2017', 'age': '27', 'clubName': 'Atalanta BC', 'clubID': '800', 'value': '€2.50m'}, {'date': '13/10/2017', 'age': '27', 'clubName': 'Atalanta BC', 'clubID': '800', 'value': '€4.00m'}, {'date': '29/12/2017', 'age': '27', 'clubName': 'Atalanta BC', 'clubID': '800', 'value': '€5.00m'}, {'date': '07/06/2018', 'age': '28', 'clubName': 'Atalanta BC', 'clubID': '800', 'value': '€7.50m'}, {'date': '20/12/2018', 'age': '28', 'clubName': 'Atalanta BC', 'clubID': '800', 'value': '€9.00m'}, {'date': '06/06/2019', 'age': '29', 'clubName': 'Atalanta BC', 'clubID': '800', 'value': '€10.00m'}, {'date': '12/12/2019', 'age': '29', 'clubName': 'Atalanta BC', 'clubID': '800', 'value': '€10.00m'}, {'date': '08/04/2020', 'age': '30', 'clubName': 'Atalanta BC', 'clubID': '800', 'value': '€8.00m'}, {'date': '25/08/2020', 'age': '30', 'clubName': 'Atalanta BC', 'clubID': '800', 'value': '€10.00m'}, {'date': '29/12/2020', 'age': '30', 'clubName': 'Atalanta BC', 'clubID': '800', 'value': '€10.00m'}, {'date': '03/06/2021', 'age': '31', 'clubName': 'Atalanta BC', 'clubID': '800', 'value': '€10.00m'}, {'date': '28/12/2021', 'age': '31', 'clubName': 'Atalanta BC', 'clubID': '800', 'value': '€9.00m'}, {'date': '07/06/2022', 'age': '32', 'clubName': 'Atalanta BC', 'clubID': '800', 'value': '€7.50m'}, {'date': '27/09/2022', 'age': '32', 'clubName': 'Atalanta BC', 'clubID': '800', 'value': '€2.50m'}, {'date': '11/11/2022', 'age': '32', 'clubName': 'Atalanta BC', 'clubID': '800', 'value': '€3.50m'}, {'date': '15/06/2023', 'age': '33', 'clubName': 'Atalanta BC', 'clubID': '800', 'value': '€2.50m'}, {'date': '20/12/2023', 'age': '33', 'clubName': 'Atalanta BC', 'clubID': '800', 'value': '€1.00m'}, {'date': '05/06/2024', 'age': '34', 'clubName': 'Atalanta BC', 'clubID': '800', 'value': '€700k'}, {'date': '18/12/2024', 'age': '34', 'clubName': 'Cagliari Calcio', 'clubID': '1390', 'value': '€700k'}, {'date': '17/06/2025', 'age': '35', 'clubName': 'Cagliari Calcio', 'clubID': '1390', 'value': '€700k'}, {'date': '17/12/2025', 'age': '35', 'clubName': 'CA Talleres', 'clubID': '3938', 'value': '€550k'}]}</t>
        </is>
      </c>
      <c r="L221" t="inlineStr">
        <is>
          <t>Argentina</t>
        </is>
      </c>
      <c r="M221" t="inlineStr">
        <is>
          <t>1990-01-05</t>
        </is>
      </c>
      <c r="N221" t="inlineStr">
        <is>
          <t>Argentina</t>
        </is>
      </c>
      <c r="O221">
        <f>(7.5+2.5+3.5)/3</f>
        <v/>
      </c>
      <c r="P221">
        <f>(10+9)/2</f>
        <v/>
      </c>
    </row>
    <row r="222">
      <c r="A222" t="inlineStr">
        <is>
          <t>T. Hernandez</t>
        </is>
      </c>
      <c r="B222" t="inlineStr">
        <is>
          <t>Milan</t>
        </is>
      </c>
      <c r="C222" t="inlineStr">
        <is>
          <t>Defender</t>
        </is>
      </c>
      <c r="D222" t="n">
        <v>450</v>
      </c>
      <c r="E222" t="n">
        <v>5</v>
      </c>
      <c r="F222" t="n">
        <v>0</v>
      </c>
      <c r="G222" t="n">
        <v>1</v>
      </c>
      <c r="H222" t="n">
        <v>51.4</v>
      </c>
      <c r="I222" t="n">
        <v>35</v>
      </c>
      <c r="J222" t="n">
        <v>339808</v>
      </c>
      <c r="K222" t="inlineStr">
        <is>
          <t>{'marketValueHistory': [{'date': 'Aug 4, 2016', 'age': '18', 'clubName': 'Deportivo Alavés', 'clubID': '1108', 'value': '€1.00m'}, {'date': 'Oct 27, 2016', 'age': '19', 'clubName': 'Deportivo Alavés', 'clubID': '1108', 'value': '€5.00m'}, {'date': 'Jan 24, 2017', 'age': '19', 'clubName': 'Deportivo Alavés', 'clubID': '1108', 'value': '€10.00m'}, {'date': 'Jun 5, 2017', 'age': '19', 'clubName': 'Deportivo Alavés', 'clubID': '1108', 'value': '€15.00m'}, {'date': 'Aug 17, 2017', 'age': '19', 'clubName': 'Real Madrid', 'clubID': '418', 'value': '€20.00m'}, {'date': 'Jan 1, 2018', 'age': '20', 'clubName': 'Real Madrid', 'clubID': '418', 'value': '€20.00m'}, {'date': 'Mar 22, 2018', 'age': '20', 'clubName': 'Real Madrid', 'clubID': '418', 'value': '€15.00m'}, {'date': 'May 30, 2018', 'age': '20', 'clubName': 'Real Madrid', 'clubID': '418', 'value': '€15.00m'}, {'date': 'Dec 21, 2018', 'age': '21', 'clubName': 'Real Sociedad', 'clubID': '681', 'value': '€15.00m'}, {'date': 'Jun 11, 2019', 'age': '21', 'clubName': 'Real Sociedad', 'clubID': '681', 'value': '€15.00m'}, {'date': 'Oct 8, 2019', 'age': '22', 'clubName': 'AC Milan', 'clubID': '5', 'value': '€18.00m'}, {'date': 'Dec 12, 2019', 'age': '22', 'clubName': 'AC Milan', 'clubID': '5', 'value': '€25.00m'}, {'date': 'Mar 3, 2020', 'age': '22', 'clubName': 'AC Milan', 'clubID': '5', 'value': '€40.00m'}, {'date': 'Apr 8, 2020', 'age': '22', 'clubName': 'AC Milan', 'clubID': '5', 'value': '€32.00m'}, {'date': 'Aug 25, 2020', 'age': '22', 'clubName': 'AC Milan', 'clubID': '5', 'value': '€45.00m'}, {'date': 'Dec 29, 2020', 'age': '23', 'clubName': 'AC Milan', 'clubID': '5', 'value': '€50.00m'}, {'date': 'Jun 3, 2021', 'age': '23', 'clubName': 'AC Milan', 'clubID': '5', 'value': '€50.00m'}, {'date': 'Dec 28, 2021', 'age': '24', 'clubName': 'AC Milan', 'clubID': '5', 'value': '€48.00m'}, {'date': 'Jun 7, 2022', 'age': '24', 'clubName': 'AC Milan', 'clubID': '5', 'value': '€55.00m'}, {'date': 'Nov 11, 2022', 'age': '25', 'clubName': 'AC Milan', 'clubID': '5', 'value': '€55.00m'}, {'date': 'Dec 23, 2022', 'age': '25', 'clubName': 'AC Milan', 'clubID': '5', 'value': '€60.00m'}, {'date': 'Jun 15, 2023', 'age': '25', 'clubName': 'AC Milan', 'clubID': '5', 'value': '€60.00m'}, {'date': 'Dec 20, 2023', 'age': '26', 'clubName': 'AC Milan', 'clubID': '5', 'value': '€55.00m'}, {'date': 'Mar 12, 2024', 'age': '26', 'clubName': 'AC Milan', 'clubID': '5', 'value': '€60.00m'}, {'date': 'Jun 5, 2024', 'age': '26', 'clubName': 'AC Milan', 'clubID': '5', 'value': '€60.00m'}, {'date': 'Dec 18, 2024', 'age': '27', 'clubName': 'AC Milan', 'clubID': '5', 'value': '€50.00m'}, {'date': 'Mar 25, 2025', 'age': '27', 'clubName': 'AC Milan', 'clubID': '5', 'value': '€40.00m'}, {'date': 'Jun 17, 2025', 'age': '27', 'clubName': 'AC Milan', 'clubID': '5', 'value': '€35.00m'}, {'date': 'Dec 18, 2025', 'age': '28', 'clubName': 'Al-Hilal SFC', 'clubID': '1114', 'value': '€28.00m'}]}</t>
        </is>
      </c>
      <c r="L222" t="inlineStr">
        <is>
          <t>France</t>
        </is>
      </c>
      <c r="M222" t="inlineStr">
        <is>
          <t>1997-10-06</t>
        </is>
      </c>
      <c r="N222" t="inlineStr">
        <is>
          <t>42</t>
        </is>
      </c>
      <c r="O222">
        <f>(55+55+60)/3</f>
        <v/>
      </c>
      <c r="P222">
        <f>(50+48)/2</f>
        <v/>
      </c>
    </row>
    <row r="223">
      <c r="A223" t="inlineStr">
        <is>
          <t>Danilo</t>
        </is>
      </c>
      <c r="B223" t="inlineStr">
        <is>
          <t>Juventus</t>
        </is>
      </c>
      <c r="C223" t="inlineStr">
        <is>
          <t>Defender</t>
        </is>
      </c>
      <c r="D223" t="n">
        <v>450</v>
      </c>
      <c r="E223" t="n">
        <v>5</v>
      </c>
      <c r="F223" t="n">
        <v>0</v>
      </c>
      <c r="G223" t="n">
        <v>1</v>
      </c>
      <c r="H223" t="n">
        <v>49.9</v>
      </c>
      <c r="I223" t="n">
        <v>33.6</v>
      </c>
      <c r="J223" t="n">
        <v>145707</v>
      </c>
      <c r="K223" t="inlineStr">
        <is>
          <t>{'marketValueHistory': [{'date': '18/04/2010', 'age': '18', 'clubName': 'América Futebol Clube (MG)', 'clubID': '2863', 'value': '€600k'}, {'date': '13/07/2010', 'age': '18', 'clubName': 'Santos FC', 'clubID': '221', 'value': '€1.00m'}, {'date': '10/12/2010', 'age': '19', 'clubName': 'Santos FC', 'clubID': '221', 'value': '€2.00m'}, {'date': '21/02/2011', 'age': '19', 'clubName': 'Santos FC', 'clubID': '221', 'value': '€2.50m'}, {'date': '30/05/2011', 'age': '19', 'clubName': 'Santos FC', 'clubID': '221', 'value': '€5.00m'}, {'date': '20/07/2011', 'age': '20', 'clubName': 'Santos FC', 'clubID': '221', 'value': '€6.00m'}, {'date': '25/07/2011', 'age': '20', 'clubName': 'Santos FC', 'clubID': '221', 'value': '€10.00m'}, {'date': '08/12/2011', 'age': '20', 'clubName': 'Santos FC', 'clubID': '221', 'value': '€10.00m'}, {'date': '07/07/2012', 'age': '20', 'clubName': 'FC Porto', 'clubID': '720', 'value': '€10.00m'}, {'date': '27/03/2013', 'age': '21', 'clubName': 'FC Porto', 'clubID': '720', 'value': '€11.00m'}, {'date': '02/07/2013', 'age': '21', 'clubName': 'FC Porto', 'clubID': '720', 'value': '€11.50m'}, {'date': '25/07/2014', 'age': '23', 'clubName': 'FC Porto', 'clubID': '720', 'value': '€14.00m'}, {'date': '17/02/2015', 'age': '23', 'clubName': 'FC Porto', 'clubID': '720', 'value': '€20.00m'}, {'date': '01/07/2015', 'age': '23', 'clubName': 'Real Madrid', 'clubID': '418', 'value': '€25.00m'}, {'date': '22/11/2015', 'age': '24', 'clubName': 'Real Madrid', 'clubID': '418', 'value': '€20.00m'}, {'date': '22/02/2016', 'age': '24', 'clubName': 'Real Madrid', 'clubID': '418', 'value': '€18.00m'}, {'date': '15/07/2016', 'age': '25', 'clubName': 'Real Madrid', 'clubID': '418', 'value': '€18.00m'}, {'date': '24/01/2017', 'age': '25', 'clubName': 'Real Madrid', 'clubID': '418', 'value': '€16.00m'}, {'date': '05/06/2017', 'age': '25', 'clubName': 'Real Madrid', 'clubID': '418', 'value': '€16.00m'}, {'date': '16/08/2017', 'age': '26', 'clubName': 'Manchester City', 'clubID': '281', 'value': '€18.00m'}, {'date': '02/01/2018', 'age': '26', 'clubName': 'Manchester City', 'clubID': '281', 'value': '€18.00m'}, {'date': '28/05/2018', 'age': '26', 'clubName': 'Manchester City', 'clubID': '281', 'value': '€20.00m'}, {'date': '19/12/2018', 'age': '27', 'clubName': 'Manchester City', 'clubID': '281', 'value': '€20.00m'}, {'date': '13/06/2019', 'age': '27', 'clubName': 'Manchester City', 'clubID': '281', 'value': '€20.00m'}, {'date': '12/12/2019', 'age': '28', 'clubName': 'Juventus FC', 'clubID': '506', 'value': '€20.00m'}, {'date': '08/04/2020', 'age': '28', 'clubName': 'Juventus FC', 'clubID': '506', 'value': '€16.00m'}, {'date': '25/08/2020', 'age': '29', 'clubName': 'Juventus FC', 'clubID': '506', 'value': '€15.00m'}, {'date': '29/12/2020', 'age': '29', 'clubName': 'Juventus FC', 'clubID': '506', 'value': '€17.00m'}, {'date': '23/03/2021', 'age': '29', 'clubName': 'Juventus FC', 'clubID': '506', 'value': '€20.00m'}, {'date': '03/06/2021', 'age': '29', 'clubName': 'Juventus FC', 'clubID': '506', 'value': '€20.00m'}, {'date': '28/12/2021', 'age': '30', 'clubName': 'Juventus FC', 'clubID': '506', 'value': '€15.00m'}, {'date': '07/06/2022', 'age': '30', 'clubName': 'Juventus FC', 'clubID': '506', 'value': '€13.00m'}, {'date': '11/11/2022', 'age': '31', 'clubName': 'Juventus FC', 'clubID': '506', 'value': '€12.00m'}, {'date': '15/06/2023', 'age': '31', 'clubName': 'Juventus FC', 'clubID': '506', 'value': '€15.00m'}, {'date': '20/12/2023', 'age': '32', 'clubName': 'Juventus FC', 'clubID': '506', 'value': '€12.00m'}, {'date': '05/06/2024', 'age': '32', 'clubName': 'Juventus FC', 'clubID': '506', 'value': '€10.00m'}, {'date': '18/10/2024', 'age': '33', 'clubName': 'Juventus FC', 'clubID': '506', 'value': '€7.00m'}, {'date': '18/12/2024', 'age': '33', 'clubName': 'Juventus FC', 'clubID': '506', 'value': '€4.00m'}, {'date': '06/06/2025', 'age': '33', 'clubName': 'CR Flamengo', 'clubID': '614', 'value': '€3.50m'}, {'date': '05/09/2025', 'age': '34', 'clubName': 'CR Flamengo', 'clubID': '614', 'value': '€3.00m'}, {'date': '10/12/2025', 'age': '34', 'clubName': 'CR Flamengo', 'clubID': '614', 'value': '€2.50m'}]}</t>
        </is>
      </c>
      <c r="L223" t="inlineStr">
        <is>
          <t>Brazil</t>
        </is>
      </c>
      <c r="M223" t="inlineStr">
        <is>
          <t>1991-07-15</t>
        </is>
      </c>
      <c r="N223" t="inlineStr">
        <is>
          <t>Brazil</t>
        </is>
      </c>
      <c r="O223">
        <f>(13+12)/2</f>
        <v/>
      </c>
      <c r="P223">
        <f>(20+20+15)/3</f>
        <v/>
      </c>
    </row>
    <row r="224">
      <c r="A224" t="inlineStr">
        <is>
          <t>Mykolenko</t>
        </is>
      </c>
      <c r="B224" t="inlineStr">
        <is>
          <t>Dynamo Kyiv</t>
        </is>
      </c>
      <c r="C224" t="inlineStr">
        <is>
          <t>Defender</t>
        </is>
      </c>
      <c r="D224" t="n">
        <v>450</v>
      </c>
      <c r="E224" t="n">
        <v>5</v>
      </c>
      <c r="F224" t="n">
        <v>0</v>
      </c>
      <c r="G224" t="n">
        <v>0</v>
      </c>
      <c r="H224" t="n">
        <v>56.4</v>
      </c>
      <c r="I224" t="n">
        <v>32.7</v>
      </c>
      <c r="J224" t="n">
        <v>404842</v>
      </c>
      <c r="K224" t="inlineStr">
        <is>
          <t>{'marketValueHistory': [{'date': 'Jan 12, 2018', 'age': '18', 'clubName': 'Dynamo Kyiv', 'clubID': '338', 'value': '€200k'}, {'date': 'Aug 6, 2018', 'age': '19', 'clubName': 'Dynamo Kyiv', 'clubID': '338', 'value': '€500k'}, {'date': 'Dec 10, 2018', 'age': '19', 'clubName': 'Dynamo Kyiv', 'clubID': '338', 'value': '€1.00m'}, {'date': 'Mar 22, 2019', 'age': '19', 'clubName': 'Dynamo Kyiv', 'clubID': '338', 'value': '€2.00m'}, {'date': 'Jun 20, 2019', 'age': '20', 'clubName': 'Dynamo Kyiv', 'clubID': '338', 'value': '€6.00m'}, {'date': 'Jan 8, 2020', 'age': '20', 'clubName': 'Dynamo Kyiv', 'clubID': '338', 'value': '€10.00m'}, {'date': 'Apr 8, 2020', 'age': '20', 'clubName': 'Dynamo Kyiv', 'clubID': '338', 'value': '€9.00m'}, {'date': 'Sep 4, 2020', 'age': '21', 'clubName': 'Dynamo Kyiv', 'clubID': '338', 'value': '€13.00m'}, {'date': 'Jan 14, 2021', 'age': '21', 'clubName': 'Dynamo Kyiv', 'clubID': '338', 'value': '€15.00m'}, {'date': 'May 27, 2021', 'age': '21', 'clubName': 'Dynamo Kyiv', 'clubID': '338', 'value': '€17.00m'}, {'date': 'Dec 20, 2021', 'age': '22', 'clubName': 'Dynamo Kyiv', 'clubID': '338', 'value': '€17.00m'}, {'date': 'Mar 29, 2022', 'age': '22', 'clubName': 'Everton FC', 'clubID': '29', 'value': '€18.00m'}, {'date': 'Jun 15, 2022', 'age': '23', 'clubName': 'Everton FC', 'clubID': '29', 'value': '€18.00m'}, {'date': 'Nov 3, 2022', 'age': '23', 'clubName': 'Everton FC', 'clubID': '29', 'value': '€22.00m'}, {'date': 'Jun 20, 2023', 'age': '24', 'clubName': 'Everton FC', 'clubID': '29', 'value': '€25.00m'}, {'date': 'Dec 19, 2023', 'age': '24', 'clubName': 'Everton FC', 'clubID': '29', 'value': '€28.00m'}, {'date': 'May 27, 2024', 'age': '24', 'clubName': 'Everton FC', 'clubID': '29', 'value': '€28.00m'}, {'date': 'Dec 16, 2024', 'age': '25', 'clubName': 'Everton FC', 'clubID': '29', 'value': '€28.00m'}, {'date': 'May 30, 2025', 'age': '26', 'clubName': 'Everton FC', 'clubID': '29', 'value': '€28.00m'}, {'date': 'Oct 17, 2025', 'age': '26', 'clubName': 'Everton FC', 'clubID': '29', 'value': '€25.00m'}, {'date': 'Dec 9, 2025', 'age': '26', 'clubName': 'Everton FC', 'clubID': '29', 'value': '€25.00m'}]}</t>
        </is>
      </c>
      <c r="L224" t="inlineStr">
        <is>
          <t>Ukraine</t>
        </is>
      </c>
      <c r="M224" t="inlineStr">
        <is>
          <t>1999-05-29</t>
        </is>
      </c>
      <c r="N224" t="inlineStr">
        <is>
          <t>Ukraine</t>
        </is>
      </c>
      <c r="O224">
        <f>(18+18+22)/3</f>
        <v/>
      </c>
      <c r="P224">
        <f>(15+17+17)/3</f>
        <v/>
      </c>
    </row>
    <row r="225">
      <c r="A225" t="inlineStr">
        <is>
          <t>Syrota</t>
        </is>
      </c>
      <c r="B225" t="inlineStr">
        <is>
          <t>Dynamo Kyiv</t>
        </is>
      </c>
      <c r="C225" t="inlineStr">
        <is>
          <t>Midfielder</t>
        </is>
      </c>
      <c r="D225" t="n">
        <v>450</v>
      </c>
      <c r="E225" t="n">
        <v>5</v>
      </c>
      <c r="F225" t="n">
        <v>0</v>
      </c>
      <c r="G225" t="n">
        <v>0</v>
      </c>
      <c r="H225" t="n">
        <v>54</v>
      </c>
      <c r="I225" t="n">
        <v>31.4</v>
      </c>
      <c r="J225" t="n">
        <v>505463</v>
      </c>
      <c r="K225" t="inlineStr">
        <is>
          <t>{'marketValueHistory': [{'date': '04/09/2020', 'age': '20', 'clubName': 'Dynamo Kyiv', 'clubID': '338', 'value': '€400k'}, {'date': '16/10/2020', 'age': '20', 'clubName': 'Dynamo Kyiv', 'clubID': '338', 'value': '€800k'}, {'date': '14/01/2021', 'age': '20', 'clubName': 'Dynamo Kyiv', 'clubID': '338', 'value': '€1.00m'}, {'date': '27/05/2021', 'age': '20', 'clubName': 'Dynamo Kyiv', 'clubID': '338', 'value': '€2.00m'}, {'date': '20/12/2021', 'age': '21', 'clubName': 'Dynamo Kyiv', 'clubID': '338', 'value': '€3.00m'}, {'date': '18/05/2022', 'age': '21', 'clubName': 'Dynamo Kyiv', 'clubID': '338', 'value': '€3.00m'}, {'date': '06/12/2022', 'age': '22', 'clubName': 'Dynamo Kyiv', 'clubID': '338', 'value': '€3.00m'}, {'date': '21/06/2023', 'age': '23', 'clubName': 'Dynamo Kyiv', 'clubID': '338', 'value': '€3.00m'}, {'date': '11/12/2023', 'age': '23', 'clubName': 'Dynamo Kyiv', 'clubID': '338', 'value': '€2.50m'}, {'date': '06/06/2024', 'age': '23', 'clubName': 'Dynamo Kyiv', 'clubID': '338', 'value': '€2.00m'}, {'date': '30/12/2024', 'age': '24', 'clubName': 'Maccabi Haifa', 'clubID': '1064', 'value': '€1.50m'}, {'date': '13/06/2025', 'age': '25', 'clubName': 'Maccabi Haifa', 'clubID': '1064', 'value': '€1.30m'}, {'date': '01/10/2025', 'age': '25', 'clubName': 'Kocaelispor', 'clubID': '120', 'value': '€1.20m'}, {'date': '17/12/2025', 'age': '25', 'clubName': 'Kocaelispor', 'clubID': '120', 'value': '€1.00m'}]}</t>
        </is>
      </c>
      <c r="L225" t="inlineStr">
        <is>
          <t>Ukraine</t>
        </is>
      </c>
      <c r="M225" t="inlineStr">
        <is>
          <t>2000-06-11</t>
        </is>
      </c>
      <c r="N225" t="inlineStr">
        <is>
          <t>Ukraine</t>
        </is>
      </c>
      <c r="O225">
        <f>(3+3)/2</f>
        <v/>
      </c>
      <c r="P225">
        <f>(1+2+3)/3</f>
        <v/>
      </c>
    </row>
    <row r="226">
      <c r="A226" t="inlineStr">
        <is>
          <t>Kounde</t>
        </is>
      </c>
      <c r="B226" t="inlineStr">
        <is>
          <t>Sevilla</t>
        </is>
      </c>
      <c r="C226" t="inlineStr">
        <is>
          <t>Defender</t>
        </is>
      </c>
      <c r="D226" t="n">
        <v>450</v>
      </c>
      <c r="E226" t="n">
        <v>5</v>
      </c>
      <c r="F226" t="n">
        <v>0</v>
      </c>
      <c r="G226" t="n">
        <v>0</v>
      </c>
      <c r="H226" t="n">
        <v>53.2</v>
      </c>
      <c r="I226" t="n">
        <v>32.7</v>
      </c>
      <c r="J226" t="n">
        <v>411975</v>
      </c>
      <c r="K226" t="inlineStr">
        <is>
          <t>{'marketValueHistory': [{'date': '24/01/2018', 'age': '19', 'clubName': 'FC Girondins Bordeaux', 'clubID': '40', 'value': '€1.00m'}, {'date': '20/03/2018', 'age': '19', 'clubName': 'FC Girondins Bordeaux', 'clubID': '40', 'value': '€4.00m'}, {'date': '04/06/2018', 'age': '19', 'clubName': 'FC Girondins Bordeaux', 'clubID': '40', 'value': '€7.00m'}, {'date': '24/10/2018', 'age': '19', 'clubName': 'FC Girondins Bordeaux', 'clubID': '40', 'value': '€9.00m'}, {'date': '17/12/2018', 'age': '20', 'clubName': 'FC Girondins Bordeaux', 'clubID': '40', 'value': '€9.00m'}, {'date': '07/03/2019', 'age': '20', 'clubName': 'FC Girondins Bordeaux', 'clubID': '40', 'value': '€12.00m'}, {'date': '03/06/2019', 'age': '20', 'clubName': 'FC Girondins Bordeaux', 'clubID': '40', 'value': '€15.00m'}, {'date': '10/09/2019', 'age': '20', 'clubName': 'Sevilla FC', 'clubID': '368', 'value': '€25.00m'}, {'date': '20/12/2019', 'age': '21', 'clubName': 'Sevilla FC', 'clubID': '368', 'value': '€25.00m'}, {'date': '08/04/2020', 'age': '21', 'clubName': 'Sevilla FC', 'clubID': '368', 'value': '€22.50m'}, {'date': '23/07/2020', 'age': '21', 'clubName': 'Sevilla FC', 'clubID': '368', 'value': '€30.00m'}, {'date': '08/10/2020', 'age': '21', 'clubName': 'Sevilla FC', 'clubID': '368', 'value': '€40.00m'}, {'date': '05/01/2021', 'age': '22', 'clubName': 'Sevilla FC', 'clubID': '368', 'value': '€50.00m'}, {'date': '19/03/2021', 'age': '22', 'clubName': 'Sevilla FC', 'clubID': '368', 'value': '€60.00m'}, {'date': '01/06/2021', 'age': '22', 'clubName': 'Sevilla FC', 'clubID': '368', 'value': '€60.00m'}, {'date': '30/12/2021', 'age': '23', 'clubName': 'Sevilla FC', 'clubID': '368', 'value': '€60.00m'}, {'date': '03/06/2022', 'age': '23', 'clubName': 'Sevilla FC', 'clubID': '368', 'value': '€60.00m'}, {'date': '07/11/2022', 'age': '23', 'clubName': 'FC Barcelona', 'clubID': '131', 'value': '€60.00m'}, {'date': '13/06/2023', 'age': '24', 'clubName': 'FC Barcelona', 'clubID': '131', 'value': '€60.00m'}, {'date': '22/12/2023', 'age': '25', 'clubName': 'FC Barcelona', 'clubID': '131', 'value': '€60.00m'}, {'date': '21/03/2024', 'age': '25', 'clubName': 'FC Barcelona', 'clubID': '131', 'value': '€50.00m'}, {'date': '07/06/2024', 'age': '25', 'clubName': 'FC Barcelona', 'clubID': '131', 'value': '€45.00m'}, {'date': '11/10/2024', 'age': '25', 'clubName': 'FC Barcelona', 'clubID': '131', 'value': '€55.00m'}, {'date': '27/12/2024', 'age': '26', 'clubName': 'FC Barcelona', 'clubID': '131', 'value': '€60.00m'}, {'date': '09/06/2025', 'age': '26', 'clubName': 'FC Barcelona', 'clubID': '131', 'value': '€65.00m'}, {'date': '12/12/2025', 'age': '27', 'clubName': 'FC Barcelona', 'clubID': '131', 'value': '€65.00m'}]}</t>
        </is>
      </c>
      <c r="L226" t="inlineStr">
        <is>
          <t>France</t>
        </is>
      </c>
      <c r="M226" t="inlineStr">
        <is>
          <t>1998-11-12</t>
        </is>
      </c>
      <c r="N226" t="inlineStr">
        <is>
          <t>46</t>
        </is>
      </c>
      <c r="O226">
        <f>(60+60)/2</f>
        <v/>
      </c>
      <c r="P226">
        <f>(50+60+60+60)/4</f>
        <v/>
      </c>
    </row>
    <row r="227">
      <c r="A227" t="inlineStr">
        <is>
          <t>Savic</t>
        </is>
      </c>
      <c r="B227" t="inlineStr">
        <is>
          <t>Atletico de Madrid</t>
        </is>
      </c>
      <c r="C227" t="inlineStr">
        <is>
          <t>Defender</t>
        </is>
      </c>
      <c r="D227" t="n">
        <v>450</v>
      </c>
      <c r="E227" t="n">
        <v>5</v>
      </c>
      <c r="F227" t="n">
        <v>0</v>
      </c>
      <c r="G227" t="n">
        <v>0</v>
      </c>
      <c r="H227" t="n">
        <v>51.6</v>
      </c>
      <c r="I227" t="n">
        <v>32.8</v>
      </c>
      <c r="J227" t="n">
        <v>266302</v>
      </c>
      <c r="K227" t="inlineStr">
        <is>
          <t>{'marketValueHistory': [{'date': '28/05/2013', 'age': '18', 'clubName': 'FK Vojvodina Novi Sad U19', 'clubID': '448', 'value': '€100k'}, {'date': '15/11/2013', 'age': '18', 'clubName': 'FK Vojvodina Novi Sad', 'clubID': '448', 'value': '€400k'}, {'date': '05/10/2014', 'age': '19', 'clubName': 'KRC Genk', 'clubID': '1184', 'value': '€1.00m'}, {'date': '07/01/2015', 'age': '19', 'clubName': 'KRC Genk', 'clubID': '1184', 'value': '€1.50m'}, {'date': '24/03/2015', 'age': '20', 'clubName': 'KRC Genk', 'clubID': '1184', 'value': '€2.50m'}, {'date': '24/06/2015', 'age': '20', 'clubName': 'KRC Genk', 'clubID': '1184', 'value': '€4.00m'}, {'date': '23/09/2015', 'age': '20', 'clubName': 'SS Lazio', 'clubID': '398', 'value': '€6.00m'}, {'date': '05/11/2015', 'age': '20', 'clubName': 'SS Lazio', 'clubID': '398', 'value': '€7.50m'}, {'date': '04/01/2016', 'age': '20', 'clubName': 'SS Lazio', 'clubID': '398', 'value': '€9.00m'}, {'date': '15/07/2016', 'age': '21', 'clubName': 'SS Lazio', 'clubID': '398', 'value': '€9.00m'}, {'date': '02/01/2017', 'age': '21', 'clubName': 'SS Lazio', 'clubID': '398', 'value': '€12.00m'}, {'date': '28/03/2017', 'age': '22', 'clubName': 'SS Lazio', 'clubID': '398', 'value': '€15.00m'}, {'date': '08/06/2017', 'age': '22', 'clubName': 'SS Lazio', 'clubID': '398', 'value': '€22.00m'}, {'date': '13/10/2017', 'age': '22', 'clubName': 'SS Lazio', 'clubID': '398', 'value': '€30.00m'}, {'date': '29/12/2017', 'age': '22', 'clubName': 'SS Lazio', 'clubID': '398', 'value': '€55.00m'}, {'date': '24/03/2018', 'age': '23', 'clubName': 'SS Lazio', 'clubID': '398', 'value': '€70.00m'}, {'date': '07/06/2018', 'age': '23', 'clubName': 'SS Lazio', 'clubID': '398', 'value': '€90.00m'}, {'date': '20/12/2018', 'age': '23', 'clubName': 'SS Lazio', 'clubID': '398', 'value': '€75.00m'}, {'date': '06/06/2019', 'age': '24', 'clubName': 'SS Lazio', 'clubID': '398', 'value': '€65.00m'}, {'date': '12/12/2019', 'age': '24', 'clubName': 'SS Lazio', 'clubID': '398', 'value': '€70.00m'}, {'date': '03/03/2020', 'age': '25', 'clubName': 'SS Lazio', 'clubID': '398', 'value': '€80.00m'}, {'date': '08/04/2020', 'age': '25', 'clubName': 'SS Lazio', 'clubID': '398', 'value': '€64.00m'}, {'date': '25/08/2020', 'age': '25', 'clubName': 'SS Lazio', 'clubID': '398', 'value': '€65.00m'}, {'date': '29/12/2020', 'age': '25', 'clubName': 'SS Lazio', 'clubID': '398', 'value': '€70.00m'}, {'date': '03/06/2021', 'age': '26', 'clubName': 'SS Lazio', 'clubID': '398', 'value': '€70.00m'}, {'date': '28/12/2021', 'age': '26', 'clubName': 'SS Lazio', 'clubID': '398', 'value': '€70.00m'}, {'date': '07/06/2022', 'age': '27', 'clubName': 'SS Lazio', 'clubID': '398', 'value': '€70.00m'}, {'date': '27/09/2022', 'age': '27', 'clubName': 'SS Lazio', 'clubID': '398', 'value': '€60.00m'}, {'date': '11/11/2022', 'age': '27', 'clubName': 'SS Lazio', 'clubID': '398', 'value': '€60.00m'}, {'date': '15/06/2023', 'age': '28', 'clubName': 'SS Lazio', 'clubID': '398', 'value': '€50.00m'}, {'date': '24/10/2023', 'age': '28', 'clubName': 'Al-Hilal SFC', 'clubID': '1114', 'value': '€40.00m'}, {'date': '15/12/2023', 'age': '28', 'clubName': 'Al-Hilal SFC', 'clubID': '1114', 'value': '€35.00m'}, {'date': '04/06/2024', 'age': '29', 'clubName': 'Al-Hilal SFC', 'clubID': '1114', 'value': '€30.00m'}, {'date': '13/12/2024', 'age': '29', 'clubName': 'Al-Hilal SFC', 'clubID': '1114', 'value': '€20.00m'}, {'date': '27/05/2025', 'age': '30', 'clubName': 'Al-Hilal SFC', 'clubID': '1114', 'value': '€17.00m'}, {'date': '18/12/2025', 'age': '30', 'clubName': 'Al-Hilal SFC', 'clubID': '1114', 'value': '€15.00m'}]}</t>
        </is>
      </c>
      <c r="L227" t="inlineStr">
        <is>
          <t>Serbia</t>
        </is>
      </c>
      <c r="M227" t="inlineStr">
        <is>
          <t>1995-02-27</t>
        </is>
      </c>
      <c r="N227" t="inlineStr">
        <is>
          <t>56</t>
        </is>
      </c>
      <c r="O227">
        <f>(70+60+60)/3</f>
        <v/>
      </c>
      <c r="P227">
        <f>(70+70)/2</f>
        <v/>
      </c>
    </row>
    <row r="228">
      <c r="A228" t="inlineStr">
        <is>
          <t>Akanji</t>
        </is>
      </c>
      <c r="B228" t="inlineStr">
        <is>
          <t>Dortmund</t>
        </is>
      </c>
      <c r="C228" t="inlineStr">
        <is>
          <t>Defender</t>
        </is>
      </c>
      <c r="D228" t="n">
        <v>450</v>
      </c>
      <c r="E228" t="n">
        <v>5</v>
      </c>
      <c r="F228" t="n">
        <v>0</v>
      </c>
      <c r="G228" t="n">
        <v>0</v>
      </c>
      <c r="H228" t="n">
        <v>50.6</v>
      </c>
      <c r="I228" t="n">
        <v>31.8</v>
      </c>
      <c r="J228" t="n">
        <v>284730</v>
      </c>
      <c r="K228" t="inlineStr">
        <is>
          <t>{'marketValueHistory': [{'date': '12/09/2014', 'age': '19', 'clubName': 'FC Winterthur', 'clubID': '242', 'value': '€100k'}, {'date': '15/12/2014', 'age': '19', 'clubName': 'FC Winterthur', 'clubID': '242', 'value': '€250k'}, {'date': '18/12/2015', 'age': '20', 'clubName': 'FC Basel 1893', 'clubID': '26', 'value': '€500k'}, {'date': '20/04/2016', 'age': '20', 'clubName': 'FC Basel 1893', 'clubID': '26', 'value': '€750k'}, {'date': '16/07/2016', 'age': '20', 'clubName': 'FC Basel 1893', 'clubID': '26', 'value': '€750k'}, {'date': '20/12/2016', 'age': '21', 'clubName': 'FC Basel 1893', 'clubID': '26', 'value': '€750k'}, {'date': '14/04/2017', 'age': '21', 'clubName': 'FC Basel 1893', 'clubID': '26', 'value': '€1.50m'}, {'date': '12/07/2017', 'age': '21', 'clubName': 'FC Basel 1893', 'clubID': '26', 'value': '€2.25m'}, {'date': '29/09/2017', 'age': '22', 'clubName': 'FC Basel 1893', 'clubID': '26', 'value': '€3.00m'}, {'date': '08/01/2018', 'age': '22', 'clubName': 'FC Basel 1893', 'clubID': '26', 'value': '€5.00m'}, {'date': '04/04/2018', 'age': '22', 'clubName': 'Borussia Dortmund', 'clubID': '16', 'value': '€20.00m'}, {'date': '05/06/2018', 'age': '22', 'clubName': 'Borussia Dortmund', 'clubID': '16', 'value': '€22.00m'}, {'date': '16/07/2018', 'age': '22', 'clubName': 'Borussia Dortmund', 'clubID': '16', 'value': '€28.00m'}, {'date': '22/10/2018', 'age': '23', 'clubName': 'Borussia Dortmund', 'clubID': '16', 'value': '€33.00m'}, {'date': '18/12/2018', 'age': '23', 'clubName': 'Borussia Dortmund', 'clubID': '16', 'value': '€40.00m'}, {'date': '05/06/2019', 'age': '23', 'clubName': 'Borussia Dortmund', 'clubID': '16', 'value': '€40.00m'}, {'date': '17/12/2019', 'age': '24', 'clubName': 'Borussia Dortmund', 'clubID': '16', 'value': '€35.00m'}, {'date': '11/03/2020', 'age': '24', 'clubName': 'Borussia Dortmund', 'clubID': '16', 'value': '€25.00m'}, {'date': '08/04/2020', 'age': '24', 'clubName': 'Borussia Dortmund', 'clubID': '16', 'value': '€20.00m'}, {'date': '26/11/2020', 'age': '25', 'clubName': 'Borussia Dortmund', 'clubID': '16', 'value': '€25.00m'}, {'date': '10/02/2021', 'age': '25', 'clubName': 'Borussia Dortmund', 'clubID': '16', 'value': '€25.00m'}, {'date': '25/05/2021', 'age': '25', 'clubName': 'Borussia Dortmund', 'clubID': '16', 'value': '€30.00m'}, {'date': '22/12/2021', 'age': '26', 'clubName': 'Borussia Dortmund', 'clubID': '16', 'value': '€30.00m'}, {'date': '09/06/2022', 'age': '26', 'clubName': 'Borussia Dortmund', 'clubID': '16', 'value': '€30.00m'}, {'date': '03/11/2022', 'age': '27', 'clubName': 'Manchester City', 'clubID': '281', 'value': '€30.00m'}, {'date': '20/06/2023', 'age': '27', 'clubName': 'Manchester City', 'clubID': '281', 'value': '€38.00m'}, {'date': '19/12/2023', 'age': '28', 'clubName': 'Manchester City', 'clubID': '281', 'value': '€42.00m'}, {'date': '27/05/2024', 'age': '28', 'clubName': 'Manchester City', 'clubID': '281', 'value': '€45.00m'}, {'date': '16/12/2024', 'age': '29', 'clubName': 'Manchester City', 'clubID': '281', 'value': '€40.00m'}, {'date': '18/03/2025', 'age': '29', 'clubName': 'Manchester City', 'clubID': '281', 'value': '€32.00m'}, {'date': '30/05/2025', 'age': '29', 'clubName': 'Manchester City', 'clubID': '281', 'value': '€28.00m'}, {'date': '07/10/2025', 'age': '30', 'clubName': 'Inter Milan', 'clubID': '46', 'value': '€22.00m'}, {'date': '23/12/2025', 'age': '30', 'clubName': 'Inter Milan', 'clubID': '46', 'value': '€22.00m'}, {'date': '24/03/2026', 'age': '30', 'clubName': 'Inter Milan', 'clubID': '46', 'value': '€18.00m'}]}</t>
        </is>
      </c>
      <c r="L228" t="inlineStr">
        <is>
          <t>Switzerland</t>
        </is>
      </c>
      <c r="M228" t="inlineStr">
        <is>
          <t>1995-07-19</t>
        </is>
      </c>
      <c r="N228" t="inlineStr">
        <is>
          <t>79</t>
        </is>
      </c>
      <c r="O228">
        <f>(30+30)/2</f>
        <v/>
      </c>
      <c r="P228">
        <f>(25+30+30)/3</f>
        <v/>
      </c>
    </row>
    <row r="229">
      <c r="A229" t="inlineStr">
        <is>
          <t>L. Nielsen</t>
        </is>
      </c>
      <c r="B229" t="inlineStr">
        <is>
          <t>Malmo</t>
        </is>
      </c>
      <c r="C229" t="inlineStr">
        <is>
          <t>Defender</t>
        </is>
      </c>
      <c r="D229" t="n">
        <v>450</v>
      </c>
      <c r="E229" t="n">
        <v>5</v>
      </c>
      <c r="F229" t="n">
        <v>0</v>
      </c>
      <c r="G229" t="n">
        <v>0</v>
      </c>
      <c r="H229" t="n">
        <v>49.1</v>
      </c>
      <c r="I229" t="n">
        <v>32.7</v>
      </c>
      <c r="J229" t="n">
        <v>42913</v>
      </c>
      <c r="K229" t="inlineStr">
        <is>
          <t>{'marketValueHistory': [{'date': 'Feb 21, 2008', 'age': '20', 'clubName': 'Aalborg BK', 'clubID': '1053', 'value': '€50k'}, {'date': 'Sep 23, 2008', 'age': '20', 'clubName': 'Aalborg BK', 'clubID': '1053', 'value': '€200k'}, {'date': 'Dec 11, 2008', 'age': '20', 'clubName': 'Aalborg BK', 'clubID': '1053', 'value': '€250k'}, {'date': 'Jun 9, 2009', 'age': '21', 'clubName': 'Aalborg BK', 'clubID': '1053', 'value': '€350k'}, {'date': 'Oct 22, 2009', 'age': '21', 'clubName': 'Aalborg BK', 'clubID': '1053', 'value': '€500k'}, {'date': 'Jun 2, 2010', 'age': '22', 'clubName': 'Aalborg BK', 'clubID': '1053', 'value': '€500k'}, {'date': 'Jun 30, 2011', 'age': '23', 'clubName': 'Aalborg BK', 'clubID': '1053', 'value': '€450k'}, {'date': 'Jan 1, 2012', 'age': '23', 'clubName': 'Aalborg BK', 'clubID': '1053', 'value': '€650k'}, {'date': 'Jul 21, 2012', 'age': '24', 'clubName': 'Aalborg BK', 'clubID': '1053', 'value': '€650k'}, {'date': 'Jun 17, 2013', 'age': '25', 'clubName': 'Aalborg BK', 'clubID': '1053', 'value': '€750k'}, {'date': 'Feb 11, 2014', 'age': '26', 'clubName': 'NEC Nijmegen', 'clubID': '467', 'value': '€750k'}, {'date': 'Aug 15, 2014', 'age': '26', 'clubName': 'NEC Nijmegen', 'clubID': '467', 'value': '€600k'}, {'date': 'Jan 7, 2015', 'age': '26', 'clubName': 'KAA Gent', 'clubID': '157', 'value': '€1.20m'}, {'date': 'Jun 24, 2015', 'age': '27', 'clubName': 'KAA Gent', 'clubID': '157', 'value': '€1.50m'}, {'date': 'Oct 22, 2015', 'age': '27', 'clubName': 'KAA Gent', 'clubID': '157', 'value': '€2.20m'}, {'date': 'Feb 7, 2016', 'age': '28', 'clubName': 'KAA Gent', 'clubID': '157', 'value': '€2.50m'}, {'date': 'Jul 15, 2016', 'age': '28', 'clubName': 'KAA Gent', 'clubID': '157', 'value': '€2.50m'}, {'date': 'Jan 21, 2017', 'age': '29', 'clubName': 'Malmö FF', 'clubID': '496', 'value': '€2.00m'}, {'date': 'Jun 20, 2017', 'age': '29', 'clubName': 'Malmö FF', 'clubID': '496', 'value': '€1.60m'}, {'date': 'Nov 17, 2017', 'age': '29', 'clubName': 'Malmö FF', 'clubID': '496', 'value': '€1.50m'}, {'date': 'Jun 20, 2018', 'age': '30', 'clubName': 'Malmö FF', 'clubID': '496', 'value': '€1.25m'}, {'date': 'Jan 16, 2019', 'age': '31', 'clubName': 'Malmö FF', 'clubID': '496', 'value': '€1.25m'}, {'date': 'Jun 28, 2019', 'age': '31', 'clubName': 'Malmö FF', 'clubID': '496', 'value': '€1.10m'}, {'date': 'Nov 20, 2019', 'age': '31', 'clubName': 'Malmö FF', 'clubID': '496', 'value': '€900k'}, {'date': 'Apr 8, 2020', 'age': '32', 'clubName': 'Malmö FF', 'clubID': '496', 'value': '€725k'}, {'date': 'Aug 5, 2020', 'age': '32', 'clubName': 'Malmö FF', 'clubID': '496', 'value': '€700k'}, {'date': 'Dec 10, 2020', 'age': '32', 'clubName': 'Malmö FF', 'clubID': '496', 'value': '€500k'}, {'date': 'Jun 9, 2021', 'age': '33', 'clubName': 'Malmö FF', 'clubID': '496', 'value': '€400k'}, {'date': 'Dec 17, 2021', 'age': '33', 'clubName': 'Malmö FF', 'clubID': '496', 'value': '€300k'}, {'date': 'Jun 24, 2022', 'age': '34', 'clubName': 'Malmö FF', 'clubID': '496', 'value': '€300k'}, {'date': 'Dec 14, 2022', 'age': '34', 'clubName': 'Malmö FF', 'clubID': '496', 'value': '€300k'}, {'date': 'Jun 27, 2023', 'age': '35', 'clubName': 'Malmö FF', 'clubID': '496', 'value': '€300k'}, {'date': 'Oct 20, 2023', 'age': '35', 'clubName': 'Göztepe', 'clubID': '1467', 'value': '€200k'}, {'date': 'Dec 29, 2023', 'age': '35', 'clubName': 'Göztepe', 'clubID': '1467', 'value': '€200k'}, {'date': 'Mar 26, 2024', 'age': '36', 'clubName': 'Göztepe', 'clubID': '1467', 'value': '€100k'}, {'date': 'Jun 13, 2024', 'age': '36', 'clubName': 'Göztepe', 'clubID': '1467', 'value': '€75k'}, {'date': 'Oct 4, 2024', 'age': '36', 'clubName': 'Göztepe', 'clubID': '1467', 'value': '€100k'}, {'date': 'Dec 23, 2024', 'age': '36', 'clubName': 'Göztepe', 'clubID': '1467', 'value': '€75k'}, {'date': 'Mar 20, 2025', 'age': '37', 'clubName': 'Göztepe', 'clubID': '1467', 'value': '€75k'}, {'date': 'Jun 18, 2025', 'age': '37', 'clubName': 'Göztepe', 'clubID': '1467', 'value': '€75k'}, {'date': 'Dec 15, 2025', 'age': '37', 'clubName': 'Vejle Boldklub', 'clubID': '443', 'value': '€50k'}]}</t>
        </is>
      </c>
      <c r="L229" t="inlineStr">
        <is>
          <t>Kingdom of Denmark</t>
        </is>
      </c>
      <c r="M229" t="inlineStr">
        <is>
          <t>1988-01-08</t>
        </is>
      </c>
      <c r="N229" t="inlineStr">
        <is>
          <t>Denmark</t>
        </is>
      </c>
      <c r="O229">
        <f>(0.3+0.3)/2</f>
        <v/>
      </c>
      <c r="P229">
        <f>(0.4+0.3)/2</f>
        <v/>
      </c>
    </row>
    <row r="230">
      <c r="A230" t="inlineStr">
        <is>
          <t>Marlon</t>
        </is>
      </c>
      <c r="B230" t="inlineStr">
        <is>
          <t>Shakhtar Donetsk</t>
        </is>
      </c>
      <c r="C230" t="inlineStr">
        <is>
          <t>Defender</t>
        </is>
      </c>
      <c r="D230" t="n">
        <v>450</v>
      </c>
      <c r="E230" t="n">
        <v>5</v>
      </c>
      <c r="F230" t="n">
        <v>0</v>
      </c>
      <c r="G230" t="n">
        <v>0</v>
      </c>
      <c r="H230" t="n">
        <v>48.8</v>
      </c>
      <c r="I230" t="n">
        <v>32.6</v>
      </c>
      <c r="J230" t="n">
        <v>273236</v>
      </c>
      <c r="K230" t="inlineStr">
        <is>
          <t>{'marketValueHistory': [{'date': '06/08/2014', 'age': '18', 'clubName': 'Fluminense Football Club', 'clubID': '2462', 'value': '€500k'}, {'date': '01/02/2015', 'age': '19', 'clubName': 'Fluminense Football Club', 'clubID': '2462', 'value': '€2.00m'}, {'date': '31/05/2015', 'age': '19', 'clubName': 'Fluminense Football Club', 'clubID': '2462', 'value': '€3.00m'}, {'date': '11/09/2015', 'age': '20', 'clubName': 'Fluminense Football Club', 'clubID': '2462', 'value': '€5.00m'}, {'date': '15/12/2015', 'age': '20', 'clubName': 'Fluminense Football Club', 'clubID': '2462', 'value': '€5.00m'}, {'date': '27/05/2016', 'age': '20', 'clubName': 'Fluminense Football Club', 'clubID': '2462', 'value': '€5.00m'}, {'date': '01/08/2016', 'age': '20', 'clubName': 'FC Barcelona B', 'clubID': '2464', 'value': '€3.50m'}, {'date': '02/02/2017', 'age': '21', 'clubName': 'FC Barcelona B', 'clubID': '2464', 'value': '€3.50m'}, {'date': '30/06/2017', 'age': '21', 'clubName': 'Fluminense Football Club', 'clubID': '2462', 'value': '€5.00m'}, {'date': '24/01/2018', 'age': '22', 'clubName': 'OGC Nice', 'clubID': '417', 'value': '€8.00m'}, {'date': '04/06/2018', 'age': '22', 'clubName': 'OGC Nice', 'clubID': '417', 'value': '€6.00m'}, {'date': '12/07/2018', 'age': '22', 'clubName': 'FC Barcelona', 'clubID': '131', 'value': '€10.00m'}, {'date': '20/12/2018', 'age': '23', 'clubName': 'US Sassuolo', 'clubID': '6574', 'value': '€10.00m'}, {'date': '06/06/2019', 'age': '23', 'clubName': 'US Sassuolo', 'clubID': '6574', 'value': '€10.00m'}, {'date': '12/12/2019', 'age': '24', 'clubName': 'US Sassuolo', 'clubID': '6574', 'value': '€8.00m'}, {'date': '08/04/2020', 'age': '24', 'clubName': 'US Sassuolo', 'clubID': '6574', 'value': '€6.50m'}, {'date': '25/08/2020', 'age': '24', 'clubName': 'US Sassuolo', 'clubID': '6574', 'value': '€6.50m'}, {'date': '29/12/2020', 'age': '25', 'clubName': 'US Sassuolo', 'clubID': '6574', 'value': '€6.50m'}, {'date': '03/06/2021', 'age': '25', 'clubName': 'US Sassuolo', 'clubID': '6574', 'value': '€6.50m'}, {'date': '03/09/2021', 'age': '25', 'clubName': 'Shakhtar Donetsk', 'clubID': '660', 'value': '€10.00m'}, {'date': '20/12/2021', 'age': '26', 'clubName': 'Shakhtar Donetsk', 'clubID': '660', 'value': '€10.00m'}, {'date': '18/05/2022', 'age': '26', 'clubName': 'Shakhtar Donetsk', 'clubID': '660', 'value': '€10.00m'}, {'date': '11/11/2022', 'age': '27', 'clubName': 'AC Monza', 'clubID': '2919', 'value': '€7.50m'}, {'date': '15/06/2023', 'age': '27', 'clubName': 'AC Monza', 'clubID': '2919', 'value': '€6.00m'}, {'date': '11/12/2023', 'age': '28', 'clubName': 'Fluminense Football Club', 'clubID': '2462', 'value': '€5.00m'}, {'date': '28/03/2024', 'age': '28', 'clubName': 'Fluminense Football Club', 'clubID': '2462', 'value': '€5.00m'}, {'date': '17/06/2024', 'age': '28', 'clubName': 'Fluminense Football Club', 'clubID': '2462', 'value': '€5.00m'}, {'date': '26/09/2024', 'age': '29', 'clubName': 'Los Angeles FC', 'clubID': '51828', 'value': '€4.00m'}, {'date': '12/12/2024', 'age': '29', 'clubName': 'Los Angeles FC', 'clubID': '51828', 'value': '€3.50m'}, {'date': '05/06/2025', 'age': '29', 'clubName': 'Los Angeles FC', 'clubID': '51828', 'value': '€3.00m'}, {'date': '18/12/2025', 'age': '30', 'clubName': 'Shakhtar Donetsk', 'clubID': '660', 'value': '€3.00m'}, {'date': '23/03/2026', 'age': '30', 'clubName': 'Shakhtar Donetsk', 'clubID': '660', 'value': '€2.50m'}]}</t>
        </is>
      </c>
      <c r="L230" t="inlineStr">
        <is>
          <t>Brazil</t>
        </is>
      </c>
      <c r="M230" t="inlineStr">
        <is>
          <t>1995-09-07</t>
        </is>
      </c>
      <c r="N230" t="inlineStr">
        <is>
          <t>Brazil</t>
        </is>
      </c>
      <c r="O230">
        <f>(10+7.5)/2</f>
        <v/>
      </c>
      <c r="P230">
        <f>(6.5+10+10)/3</f>
        <v/>
      </c>
    </row>
    <row r="231">
      <c r="A231" t="inlineStr">
        <is>
          <t>Mbemba</t>
        </is>
      </c>
      <c r="B231" t="inlineStr">
        <is>
          <t>FC Porto</t>
        </is>
      </c>
      <c r="C231" t="inlineStr">
        <is>
          <t>Defender</t>
        </is>
      </c>
      <c r="D231" t="n">
        <v>450</v>
      </c>
      <c r="E231" t="n">
        <v>5</v>
      </c>
      <c r="F231" t="n">
        <v>0</v>
      </c>
      <c r="G231" t="n">
        <v>0</v>
      </c>
      <c r="H231" t="n">
        <v>46.5</v>
      </c>
      <c r="I231" t="n">
        <v>33.5</v>
      </c>
      <c r="J231" t="n">
        <v>203348</v>
      </c>
      <c r="K231" t="inlineStr">
        <is>
          <t>{'id': '203348', 'marketValue': '€15.00m', 'marketValueHistory': [{'age': '19', 'date': 'Aug 12, 2013', 'clubName': 'RSC Anderlecht', 'value': '€500k', 'clubID': '58'}, {'age': '19', 'date': 'Oct 8, 2013', 'clubName': 'RSC Anderlecht', 'value': '€1.50m', 'clubID': '58'}, {'age': '19', 'date': 'Feb 10, 2014', 'clubName': 'RSC Anderlecht', 'value': '€4.00m', 'clubID': '58'}, {'age': '19', 'date': 'Jun 28, 2014', 'clubName': 'RSC Anderlecht', 'value': '€4.00m', 'clubID': '58'}, {'age': '20', 'date': 'Jan 7, 2015', 'clubName': 'RSC Anderlecht', 'value': '€6.00m', 'clubID': '58'}, {'age': '20', 'date': 'Jun 24, 2015', 'clubName': 'RSC Anderlecht', 'value': '€8.00m', 'clubID': '58'}, {'age': '21', 'date': 'Oct 14, 2015', 'clubName': 'Newcastle United', 'value': '€10.00m', 'clubID': '762'}, {'age': '21', 'date': 'Feb 9, 2016', 'clubName': 'Newcastle United', 'value': '€10.00m', 'clubID': '762'}, {'age': '22', 'date': 'Sep 1, 2016', 'clubName': 'Newcastle United', 'value': '€10.00m', 'clubID': '762'}, {'age': '22', 'date': 'Feb 27, 2017', 'clubName': 'Newcastle United', 'value': '€8.00m', 'clubID': '762'}, {'age': '22', 'date': 'Jun 28, 2017', 'clubName': 'Newcastle United', 'value': '€7.00m', 'clubID': '762'}, {'age': '23', 'date': 'Jan 2, 2018', 'clubName': 'Newcastle United', 'value': '€7.00m', 'clubID': '762'}, {'age': '23', 'date': 'May 28, 2018', 'clubName': 'Newcastle United', 'value': '€6.00m', 'clubID': '762'}, {'age': '24', 'date': 'Nov 1, 2018', 'clubName': 'FC Porto', 'value': '€4.50m', 'clubID': '720'}, {'age': '24', 'date': 'Jan 11, 2019', 'clubName': 'FC Porto', 'value': '€4.00m', 'clubID': '720'}, {'age': '24', 'date': 'Jun 7, 2019', 'clubName': 'FC Porto', 'value': '€3.50m', 'clubID': '720'}, {'age': '25', 'date': 'Dec 30, 2019', 'clubName': 'FC Porto', 'value': '€4.00m', 'clubID': '720'}, {'age': '25', 'date': 'Apr 8, 2020', 'clubName': 'FC Porto', 'value': '€3.20m', 'clubID': '720'}, {'age': '26', 'date': 'Aug 17, 2020', 'clubName': 'FC Porto', 'value': '€8.00m', 'clubID': '720'}, {'age': '26', 'date': 'Jan 28, 2021', 'clubName': 'FC Porto', 'value': '€11.00m', 'clubID': '720'}, {'age': '26', 'date': 'Mar 25, 2021', 'clubName': 'FC Porto', 'value': '€13.00m', 'clubID': '720'}, {'age': '26', 'date': 'May 21, 2021', 'clubName': 'FC Porto', 'value': '€16.00m', 'clubID': '720'}, {'age': '27', 'date': 'Dec 27, 2021', 'clubName': 'FC Porto', 'value': '€15.00m', 'clubID': '720'}, {'age': '27', 'date': 'May 31, 2022', 'clubName': 'FC Porto', 'value': '€17.00m', 'clubID': '720'}, {'age': '28', 'date': 'Nov 2, 2022', 'clubName': 'Olympique Marseille', 'value': '€17.00m', 'clubID': '244'}, {'age': '28', 'date': 'Mar 27, 2023', 'clubName': 'Olympique Marseille', 'value': '€20.00m', 'clubID': '244'}, {'age': '28', 'date': 'Jun 27, 2023', 'clubName': 'Olympique Marseille', 'value': '€20.00m', 'clubID': '244'}, {'age': '29', 'date': 'Oct 16, 2023', 'clubName': 'Olympique Marseille', 'value': '€15.00m', 'clubID': '244'}, {'age': '29', 'date': 'Dec 18, 2023', 'clubName': 'Olympique Marseille', 'value': '€15.00m', 'clubID': '244'}], 'ranking': {'Worldwide': '644', 'Ligue 1': '57', 'Marseille': '3', 'DR Congo': '3', 'Centre-Back': '116', 'Year 1994': '30'}, 'updatedAt': datetime.datetime(2024, 5, 23, 22, 23, 5, 142989)}</t>
        </is>
      </c>
      <c r="L231" t="inlineStr">
        <is>
          <t>Democratic Republic of the Congo</t>
        </is>
      </c>
      <c r="M231" t="inlineStr">
        <is>
          <t>1994-08-08</t>
        </is>
      </c>
      <c r="N231" t="inlineStr">
        <is>
          <t>Democratic Republic of the Congo</t>
        </is>
      </c>
      <c r="O231">
        <f>(17+17)/2</f>
        <v/>
      </c>
      <c r="P231">
        <f>(11+13+16+15)/4</f>
        <v/>
      </c>
    </row>
    <row r="232">
      <c r="A232" t="inlineStr">
        <is>
          <t>Casteels</t>
        </is>
      </c>
      <c r="B232" t="inlineStr">
        <is>
          <t>Wolfsburg</t>
        </is>
      </c>
      <c r="C232" t="inlineStr">
        <is>
          <t>Goalkeeper</t>
        </is>
      </c>
      <c r="D232" t="n">
        <v>450</v>
      </c>
      <c r="E232" t="n">
        <v>5</v>
      </c>
      <c r="F232" t="n">
        <v>0</v>
      </c>
      <c r="G232" t="n">
        <v>0</v>
      </c>
      <c r="H232" t="n">
        <v>30.8</v>
      </c>
      <c r="I232" t="n">
        <v>27.9</v>
      </c>
      <c r="J232" t="n">
        <v>108880</v>
      </c>
      <c r="K232" t="inlineStr">
        <is>
          <t>{'marketValueHistory': [{'date': 'May 27, 2009', 'age': '16', 'clubName': 'KRC Genk U19', 'clubID': '1184', 'value': '€50k'}, {'date': 'Dec 28, 2010', 'age': '18', 'clubName': 'KRC Genk', 'clubID': '1184', 'value': '€100k'}, {'date': 'Jun 28, 2011', 'age': '19', 'clubName': 'KRC Genk', 'clubID': '1184', 'value': '€300k'}, {'date': 'Jul 18, 2011', 'age': '19', 'clubName': 'KRC Genk', 'clubID': '1184', 'value': '€800k'}, {'date': 'Jan 23, 2012', 'age': '19', 'clubName': 'TSG 1899 Hoffenheim', 'clubID': '533', 'value': '€800k'}, {'date': 'Jun 29, 2012', 'age': '20', 'clubName': 'TSG 1899 Hoffenheim', 'clubID': '533', 'value': '€800k'}, {'date': 'Jan 13, 2013', 'age': '20', 'clubName': 'TSG 1899 Hoffenheim', 'clubID': '533', 'value': '€1.00m'}, {'date': 'Jun 30, 2013', 'age': '21', 'clubName': 'TSG 1899 Hoffenheim', 'clubID': '533', 'value': '€1.75m'}, {'date': 'Aug 27, 2013', 'age': '21', 'clubName': 'TSG 1899 Hoffenheim', 'clubID': '533', 'value': '€2.50m'}, {'date': 'Jul 10, 2014', 'age': '22', 'clubName': 'TSG 1899 Hoffenheim', 'clubID': '533', 'value': '€2.50m'}, {'date': 'Feb 4, 2015', 'age': '22', 'clubName': 'SV Werder Bremen', 'clubID': '86', 'value': '€2.00m'}, {'date': 'Mar 29, 2015', 'age': '22', 'clubName': 'SV Werder Bremen', 'clubID': '86', 'value': '€1.50m'}, {'date': 'Jul 1, 2015', 'age': '23', 'clubName': 'VfL Wolfsburg', 'clubID': '82', 'value': '€1.50m'}, {'date': 'Feb 15, 2016', 'age': '23', 'clubName': 'VfL Wolfsburg', 'clubID': '82', 'value': '€1.50m'}, {'date': 'Jul 22, 2016', 'age': '24', 'clubName': 'VfL Wolfsburg', 'clubID': '82', 'value': '€2.50m'}, {'date': 'Oct 13, 2016', 'age': '24', 'clubName': 'VfL Wolfsburg', 'clubID': '82', 'value': '€3.00m'}, {'date': 'Feb 7, 2017', 'age': '24', 'clubName': 'VfL Wolfsburg', 'clubID': '82', 'value': '€2.00m'}, {'date': 'Jun 19, 2017', 'age': '24', 'clubName': 'VfL Wolfsburg', 'clubID': '82', 'value': '€2.50m'}, {'date': 'Dec 28, 2017', 'age': '25', 'clubName': 'VfL Wolfsburg', 'clubID': '82', 'value': '€3.00m'}, {'date': 'Apr 4, 2018', 'age': '25', 'clubName': 'VfL Wolfsburg', 'clubID': '82', 'value': '€6.00m'}, {'date': 'Jun 5, 2018', 'age': '25', 'clubName': 'VfL Wolfsburg', 'clubID': '82', 'value': '€6.00m'}, {'date': 'Oct 22, 2018', 'age': '26', 'clubName': 'VfL Wolfsburg', 'clubID': '82', 'value': '€10.00m'}, {'date': 'Dec 18, 2018', 'age': '26', 'clubName': 'VfL Wolfsburg', 'clubID': '82', 'value': '€10.00m'}, {'date': 'Mar 6, 2019', 'age': '26', 'clubName': 'VfL Wolfsburg', 'clubID': '82', 'value': '€13.00m'}, {'date': 'Jun 5, 2019', 'age': '26', 'clubName': 'VfL Wolfsburg', 'clubID': '82', 'value': '€13.00m'}, {'date': 'Dec 17, 2019', 'age': '27', 'clubName': 'VfL Wolfsburg', 'clubID': '82', 'value': '€13.00m'}, {'date': 'Apr 8, 2020', 'age': '27', 'clubName': 'VfL Wolfsburg', 'clubID': '82', 'value': '€10.50m'}, {'date': 'Feb 10, 2021', 'age': '28', 'clubName': 'VfL Wolfsburg', 'clubID': '82', 'value': '€11.00m'}, {'date': 'Jun 9, 2021', 'age': '28', 'clubName': 'VfL Wolfsburg', 'clubID': '82', 'value': '€14.00m'}, {'date': 'Dec 22, 2021', 'age': '29', 'clubName': 'VfL Wolfsburg', 'clubID': '82', 'value': '€14.00m'}, {'date': 'Jun 9, 2022', 'age': '29', 'clubName': 'VfL Wolfsburg', 'clubID': '82', 'value': '€11.00m'}, {'date': 'Nov 9, 2022', 'age': '30', 'clubName': 'VfL Wolfsburg', 'clubID': '82', 'value': '€8.00m'}, {'date': 'Jun 22, 2023', 'age': '30', 'clubName': 'VfL Wolfsburg', 'clubID': '82', 'value': '€8.00m'}, {'date': 'Dec 14, 2023', 'age': '31', 'clubName': 'VfL Wolfsburg', 'clubID': '82', 'value': '€8.00m'}, {'date': 'May 29, 2024', 'age': '31', 'clubName': 'VfL Wolfsburg', 'clubID': '82', 'value': '€6.00m'}, {'date': 'Dec 13, 2024', 'age': '32', 'clubName': 'Al-Qadsiah FC', 'clubID': '26069', 'value': '€5.00m'}, {'date': 'May 27, 2025', 'age': '32', 'clubName': 'Al-Qadsiah FC', 'clubID': '26069', 'value': '€4.50m'}, {'date': 'Dec 18, 2025', 'age': '33', 'clubName': 'Al-Qadsiah FC', 'clubID': '26069', 'value': '€4.00m'}]}</t>
        </is>
      </c>
      <c r="L232" t="inlineStr">
        <is>
          <t>Belgium</t>
        </is>
      </c>
      <c r="M232" t="inlineStr">
        <is>
          <t>1992-06-25</t>
        </is>
      </c>
      <c r="N232" t="inlineStr">
        <is>
          <t>Belgium</t>
        </is>
      </c>
      <c r="O232">
        <f>(11+8)/2</f>
        <v/>
      </c>
      <c r="P232">
        <f>(11+14+14)/3</f>
        <v/>
      </c>
    </row>
    <row r="233">
      <c r="A233" t="inlineStr">
        <is>
          <t>Destanoglu</t>
        </is>
      </c>
      <c r="B233" t="inlineStr">
        <is>
          <t>Besiktas</t>
        </is>
      </c>
      <c r="C233" t="inlineStr">
        <is>
          <t>Goalkeeper</t>
        </is>
      </c>
      <c r="D233" t="n">
        <v>450</v>
      </c>
      <c r="E233" t="n">
        <v>5</v>
      </c>
      <c r="F233" t="n">
        <v>0</v>
      </c>
      <c r="G233" t="n">
        <v>0</v>
      </c>
      <c r="H233" t="n">
        <v>29.3</v>
      </c>
      <c r="I233" t="n">
        <v>31.1</v>
      </c>
      <c r="J233" t="n">
        <v>500091</v>
      </c>
      <c r="K233" t="inlineStr">
        <is>
          <t>{'marketValueHistory': [{'date': '08/09/2017', 'age': '16', 'clubName': 'Besiktas JK U21', 'clubID': '4521', 'value': '€50k'}, {'date': '04/07/2018', 'age': '17', 'clubName': 'Besiktas JK', 'clubID': '114', 'value': '€50k'}, {'date': '04/01/2019', 'age': '18', 'clubName': 'Besiktas JK', 'clubID': '114', 'value': '€50k'}, {'date': '04/06/2019', 'age': '18', 'clubName': 'Besiktas JK', 'clubID': '114', 'value': '€50k'}, {'date': '03/01/2020', 'age': '19', 'clubName': 'Besiktas JK', 'clubID': '114', 'value': '€50k'}, {'date': '04/08/2020', 'age': '19', 'clubName': 'Besiktas JK', 'clubID': '114', 'value': '€600k'}, {'date': '12/10/2020', 'age': '19', 'clubName': 'Besiktas JK', 'clubID': '114', 'value': '€1.00m'}, {'date': '23/12/2020', 'age': '19', 'clubName': 'Besiktas JK', 'clubID': '114', 'value': '€1.30m'}, {'date': '16/03/2021', 'age': '20', 'clubName': 'Besiktas JK', 'clubID': '114', 'value': '€3.00m'}, {'date': '21/05/2021', 'age': '20', 'clubName': 'Besiktas JK', 'clubID': '114', 'value': '€5.50m'}, {'date': '12/10/2021', 'age': '20', 'clubName': 'Besiktas JK', 'clubID': '114', 'value': '€8.50m'}, {'date': '04/01/2022', 'age': '21', 'clubName': 'Besiktas JK', 'clubID': '114', 'value': '€9.00m'}, {'date': '31/03/2022', 'age': '21', 'clubName': 'Besiktas JK', 'clubID': '114', 'value': '€10.00m'}, {'date': '01/06/2022', 'age': '21', 'clubName': 'Besiktas JK', 'clubID': '114', 'value': '€10.00m'}, {'date': '27/10/2022', 'age': '21', 'clubName': 'Besiktas JK', 'clubID': '114', 'value': '€9.00m'}, {'date': '14/03/2023', 'age': '22', 'clubName': 'Besiktas JK', 'clubID': '114', 'value': '€6.50m'}, {'date': '08/06/2023', 'age': '22', 'clubName': 'Besiktas JK', 'clubID': '114', 'value': '€5.00m'}, {'date': '27/09/2023', 'age': '22', 'clubName': 'Besiktas JK', 'clubID': '114', 'value': '€3.50m'}, {'date': '21/12/2023', 'age': '22', 'clubName': 'Besiktas JK', 'clubID': '114', 'value': '€3.00m'}, {'date': '15/03/2024', 'age': '23', 'clubName': 'Besiktas JK', 'clubID': '114', 'value': '€2.50m'}, {'date': '31/05/2024', 'age': '23', 'clubName': 'Besiktas JK', 'clubID': '114', 'value': '€2.00m'}, {'date': '04/10/2024', 'age': '23', 'clubName': 'Besiktas JK', 'clubID': '114', 'value': '€2.00m'}, {'date': '23/12/2024', 'age': '23', 'clubName': 'Besiktas JK', 'clubID': '114', 'value': '€2.00m'}, {'date': '20/03/2025', 'age': '24', 'clubName': 'Besiktas JK', 'clubID': '114', 'value': '€2.00m'}, {'date': '18/06/2025', 'age': '24', 'clubName': 'Besiktas JK', 'clubID': '114', 'value': '€1.80m'}, {'date': '17/12/2025', 'age': '24', 'clubName': 'Besiktas JK', 'clubID': '114', 'value': '€2.20m'}, {'date': '05/03/2026', 'age': '25', 'clubName': 'Besiktas JK', 'clubID': '114', 'value': '€2.50m'}]}</t>
        </is>
      </c>
      <c r="L233" t="inlineStr">
        <is>
          <t>Turkey</t>
        </is>
      </c>
      <c r="M233" t="inlineStr">
        <is>
          <t>2001-01-01</t>
        </is>
      </c>
      <c r="N233" t="inlineStr">
        <is>
          <t>Turkey</t>
        </is>
      </c>
      <c r="O233">
        <f>(9+10+10+9)/4</f>
        <v/>
      </c>
      <c r="P233">
        <f>(3+5.5+8.5)/3</f>
        <v/>
      </c>
    </row>
    <row r="234">
      <c r="A234" t="inlineStr">
        <is>
          <t>Donnarumma</t>
        </is>
      </c>
      <c r="B234" t="inlineStr">
        <is>
          <t>Paris</t>
        </is>
      </c>
      <c r="C234" t="inlineStr">
        <is>
          <t>Goalkeeper</t>
        </is>
      </c>
      <c r="D234" t="n">
        <v>450</v>
      </c>
      <c r="E234" t="n">
        <v>5</v>
      </c>
      <c r="F234" t="n">
        <v>0</v>
      </c>
      <c r="G234" t="n">
        <v>0</v>
      </c>
      <c r="H234" t="n">
        <v>27.5</v>
      </c>
      <c r="I234" t="n">
        <v>24.7</v>
      </c>
      <c r="J234" t="n">
        <v>315858</v>
      </c>
      <c r="K234" t="inlineStr">
        <is>
          <t>{'marketValueHistory': [{'date': 'Mar 2, 2015', 'age': '16', 'clubName': 'Milan Primavera', 'clubID': '10958', 'value': '€300k'}, {'date': 'Jun 17, 2015', 'age': '16', 'clubName': 'Milan Primavera', 'clubID': '10958', 'value': '€500k'}, {'date': 'Nov 5, 2015', 'age': '16', 'clubName': 'AC Milan', 'clubID': '5', 'value': '€1.50m'}, {'date': 'Jan 4, 2016', 'age': '16', 'clubName': 'AC Milan', 'clubID': '5', 'value': '€5.00m'}, {'date': 'Apr 1, 2016', 'age': '17', 'clubName': 'AC Milan', 'clubID': '5', 'value': '€8.00m'}, {'date': 'Jul 15, 2016', 'age': '17', 'clubName': 'AC Milan', 'clubID': '5', 'value': '€10.00m'}, {'date': 'Oct 14, 2016', 'age': '17', 'clubName': 'AC Milan', 'clubID': '5', 'value': '€15.00m'}, {'date': 'Jan 2, 2017', 'age': '17', 'clubName': 'AC Milan', 'clubID': '5', 'value': '€20.00m'}, {'date': 'Jun 8, 2017', 'age': '18', 'clubName': 'AC Milan', 'clubID': '5', 'value': '€25.00m'}, {'date': 'Dec 29, 2017', 'age': '18', 'clubName': 'AC Milan', 'clubID': '5', 'value': '€40.00m'}, {'date': 'Jun 7, 2018', 'age': '19', 'clubName': 'AC Milan', 'clubID': '5', 'value': '€40.00m'}, {'date': 'Dec 20, 2018', 'age': '19', 'clubName': 'AC Milan', 'clubID': '5', 'value': '€40.00m'}, {'date': 'Mar 1, 2019', 'age': '20', 'clubName': 'AC Milan', 'clubID': '5', 'value': '€50.00m'}, {'date': 'Jun 6, 2019', 'age': '20', 'clubName': 'AC Milan', 'clubID': '5', 'value': '€55.00m'}, {'date': 'Dec 12, 2019', 'age': '20', 'clubName': 'AC Milan', 'clubID': '5', 'value': '€55.00m'}, {'date': 'Apr 8, 2020', 'age': '21', 'clubName': 'AC Milan', 'clubID': '5', 'value': '€49.50m'}, {'date': 'Aug 25, 2020', 'age': '21', 'clubName': 'AC Milan', 'clubID': '5', 'value': '€60.00m'}, {'date': 'Dec 29, 2020', 'age': '21', 'clubName': 'AC Milan', 'clubID': '5', 'value': '€60.00m'}, {'date': 'May 25, 2021', 'age': '22', 'clubName': 'AC Milan', 'clubID': '5', 'value': '€60.00m'}, {'date': 'Jul 15, 2021', 'age': '22', 'clubName': 'Paris Saint-Germain', 'clubID': '583', 'value': '€65.00m'}, {'date': 'Dec 16, 2021', 'age': '22', 'clubName': 'Paris Saint-Germain', 'clubID': '583', 'value': '€65.00m'}, {'date': 'May 30, 2022', 'age': '23', 'clubName': 'Paris Saint-Germain', 'clubID': '583', 'value': '€50.00m'}, {'date': 'Nov 2, 2022', 'age': '23', 'clubName': 'Paris Saint-Germain', 'clubID': '583', 'value': '€50.00m'}, {'date': 'Jun 27, 2023', 'age': '24', 'clubName': 'Paris Saint-Germain', 'clubID': '583', 'value': '€45.00m'}, {'date': 'Dec 18, 2023', 'age': '24', 'clubName': 'Paris Saint-Germain', 'clubID': '583', 'value': '€40.00m'}, {'date': 'Jun 3, 2024', 'age': '25', 'clubName': 'Paris Saint-Germain', 'clubID': '583', 'value': '€40.00m'}, {'date': 'Dec 10, 2024', 'age': '25', 'clubName': 'Paris Saint-Germain', 'clubID': '583', 'value': '€35.00m'}, {'date': 'Jun 3, 2025', 'age': '26', 'clubName': 'Paris Saint-Germain', 'clubID': '583', 'value': '€40.00m'}, {'date': 'Dec 9, 2025', 'age': '26', 'clubName': 'Manchester City', 'clubID': '281', 'value': '€45.00m'}]}</t>
        </is>
      </c>
      <c r="L234" t="inlineStr">
        <is>
          <t>Italy</t>
        </is>
      </c>
      <c r="M234" t="inlineStr">
        <is>
          <t>1999-02-25</t>
        </is>
      </c>
      <c r="N234" t="inlineStr">
        <is>
          <t>Italy</t>
        </is>
      </c>
      <c r="O234">
        <f>(50+50)/2</f>
        <v/>
      </c>
      <c r="P234">
        <f>(60+65+65)/3</f>
        <v/>
      </c>
    </row>
    <row r="235">
      <c r="A235" t="inlineStr">
        <is>
          <t>Gulacsi</t>
        </is>
      </c>
      <c r="B235" t="inlineStr">
        <is>
          <t>Leipzig</t>
        </is>
      </c>
      <c r="C235" t="inlineStr">
        <is>
          <t>Goalkeeper</t>
        </is>
      </c>
      <c r="D235" t="n">
        <v>450</v>
      </c>
      <c r="E235" t="n">
        <v>5</v>
      </c>
      <c r="F235" t="n">
        <v>0</v>
      </c>
      <c r="G235" t="n">
        <v>0</v>
      </c>
      <c r="H235" t="n">
        <v>27.2</v>
      </c>
      <c r="I235" t="n">
        <v>25</v>
      </c>
      <c r="J235" t="n">
        <v>57071</v>
      </c>
      <c r="K235" t="inlineStr">
        <is>
          <t>{'marketValueHistory': [{'date': '10/06/2013', 'age': '23', 'clubName': 'Liverpool FC', 'clubID': '31', 'value': '€300k'}, {'date': '30/07/2013', 'age': '23', 'clubName': 'Red Bull Salzburg', 'clubID': '409', 'value': '€600k'}, {'date': '16/09/2013', 'age': '23', 'clubName': 'Red Bull Salzburg', 'clubID': '409', 'value': '€1.00m'}, {'date': '27/12/2013', 'age': '23', 'clubName': 'Red Bull Salzburg', 'clubID': '409', 'value': '€1.80m'}, {'date': '20/06/2014', 'age': '24', 'clubName': 'Red Bull Salzburg', 'clubID': '409', 'value': '€2.00m'}, {'date': '11/01/2015', 'age': '24', 'clubName': 'Red Bull Salzburg', 'clubID': '409', 'value': '€1.75m'}, {'date': '17/06/2015', 'age': '25', 'clubName': 'Red Bull Salzburg', 'clubID': '409', 'value': '€1.75m'}, {'date': '22/10/2015', 'age': '25', 'clubName': 'RB Leipzig', 'clubID': '23826', 'value': '€800k'}, {'date': '11/02/2016', 'age': '25', 'clubName': 'RB Leipzig', 'clubID': '23826', 'value': '€500k'}, {'date': '01/06/2016', 'age': '26', 'clubName': 'RB Leipzig', 'clubID': '23826', 'value': '€700k'}, {'date': '22/07/2016', 'age': '26', 'clubName': 'RB Leipzig', 'clubID': '23826', 'value': '€700k'}, {'date': '13/10/2016', 'age': '26', 'clubName': 'RB Leipzig', 'clubID': '23826', 'value': '€1.50m'}, {'date': '07/02/2017', 'age': '26', 'clubName': 'RB Leipzig', 'clubID': '23826', 'value': '€2.50m'}, {'date': '19/06/2017', 'age': '27', 'clubName': 'RB Leipzig', 'clubID': '23826', 'value': '€3.00m'}, {'date': '18/10/2017', 'age': '27', 'clubName': 'RB Leipzig', 'clubID': '23826', 'value': '€4.00m'}, {'date': '28/12/2017', 'age': '27', 'clubName': 'RB Leipzig', 'clubID': '23826', 'value': '€4.50m'}, {'date': '04/04/2018', 'age': '27', 'clubName': 'RB Leipzig', 'clubID': '23826', 'value': '€8.00m'}, {'date': '05/06/2018', 'age': '28', 'clubName': 'RB Leipzig', 'clubID': '23826', 'value': '€8.00m'}, {'date': '18/12/2018', 'age': '28', 'clubName': 'RB Leipzig', 'clubID': '23826', 'value': '€10.00m'}, {'date': '05/06/2019', 'age': '29', 'clubName': 'RB Leipzig', 'clubID': '23826', 'value': '€12.00m'}, {'date': '17/12/2019', 'age': '29', 'clubName': 'RB Leipzig', 'clubID': '23826', 'value': '€12.00m'}, {'date': '08/04/2020', 'age': '29', 'clubName': 'RB Leipzig', 'clubID': '23826', 'value': '€9.50m'}, {'date': '16/09/2020', 'age': '30', 'clubName': 'RB Leipzig', 'clubID': '23826', 'value': '€11.00m'}, {'date': '10/02/2021', 'age': '30', 'clubName': 'RB Leipzig', 'clubID': '23826', 'value': '€12.00m'}, {'date': '01/06/2021', 'age': '31', 'clubName': 'RB Leipzig', 'clubID': '23826', 'value': '€13.00m'}, {'date': '22/12/2021', 'age': '31', 'clubName': 'RB Leipzig', 'clubID': '23826', 'value': '€11.00m'}, {'date': '09/06/2022', 'age': '32', 'clubName': 'RB Leipzig', 'clubID': '23826', 'value': '€8.00m'}, {'date': '09/11/2022', 'age': '32', 'clubName': 'RB Leipzig', 'clubID': '23826', 'value': '€6.00m'}, {'date': '22/06/2023', 'age': '33', 'clubName': 'RB Leipzig', 'clubID': '23826', 'value': '€5.00m'}, {'date': '18/10/2023', 'age': '33', 'clubName': 'RB Leipzig', 'clubID': '23826', 'value': '€3.50m'}, {'date': '14/12/2023', 'age': '33', 'clubName': 'RB Leipzig', 'clubID': '23826', 'value': '€3.50m'}, {'date': '29/05/2024', 'age': '34', 'clubName': 'RB Leipzig', 'clubID': '23826', 'value': '€3.00m'}, {'date': '20/12/2024', 'age': '34', 'clubName': 'RB Leipzig', 'clubID': '23826', 'value': '€2.50m'}, {'date': '05/06/2025', 'age': '35', 'clubName': 'RB Leipzig', 'clubID': '23826', 'value': '€2.00m'}, {'date': '19/12/2025', 'age': '35', 'clubName': 'RB Leipzig', 'clubID': '23826', 'value': '€2.00m'}]}</t>
        </is>
      </c>
      <c r="L235" t="inlineStr">
        <is>
          <t>Hungary</t>
        </is>
      </c>
      <c r="M235" t="inlineStr">
        <is>
          <t>1990-05-06</t>
        </is>
      </c>
      <c r="N235" t="inlineStr">
        <is>
          <t>Hungary</t>
        </is>
      </c>
      <c r="O235">
        <f>(8+6)/2</f>
        <v/>
      </c>
      <c r="P235">
        <f>(12+13+11)/3</f>
        <v/>
      </c>
    </row>
    <row r="236">
      <c r="A236" t="inlineStr">
        <is>
          <t>Bushchan</t>
        </is>
      </c>
      <c r="B236" t="inlineStr">
        <is>
          <t>Dynamo Kyiv</t>
        </is>
      </c>
      <c r="C236" t="inlineStr">
        <is>
          <t>Goalkeeper</t>
        </is>
      </c>
      <c r="D236" t="n">
        <v>450</v>
      </c>
      <c r="E236" t="n">
        <v>5</v>
      </c>
      <c r="F236" t="n">
        <v>0</v>
      </c>
      <c r="G236" t="n">
        <v>0</v>
      </c>
      <c r="H236" t="n">
        <v>25.6</v>
      </c>
      <c r="I236" t="n">
        <v>23.2</v>
      </c>
      <c r="J236" t="n">
        <v>206888</v>
      </c>
      <c r="K236" t="inlineStr">
        <is>
          <t>{'marketValueHistory': [{'date': 'Jan 2, 2014', 'age': '19', 'clubName': 'Dynamo Kyiv II', 'clubID': '21218', 'value': '€100k'}, {'date': 'Oct 20, 2014', 'age': '20', 'clubName': 'Dynamo-2 Kyiv', 'clubID': '6249', 'value': '€200k'}, {'date': 'Oct 14, 2015', 'age': '21', 'clubName': 'Dynamo Kyiv', 'clubID': '338', 'value': '€200k'}, {'date': 'Dec 18, 2015', 'age': '21', 'clubName': 'Dynamo Kyiv', 'clubID': '338', 'value': '€300k'}, {'date': 'Jul 21, 2016', 'age': '22', 'clubName': 'Dynamo Kyiv II', 'clubID': '21218', 'value': '€300k'}, {'date': 'Jun 26, 2017', 'age': '23', 'clubName': 'Dynamo Kyiv', 'clubID': '338', 'value': '€300k'}, {'date': 'Jan 12, 2018', 'age': '23', 'clubName': 'Dynamo Kyiv', 'clubID': '338', 'value': '€800k'}, {'date': 'Aug 6, 2018', 'age': '24', 'clubName': 'Dynamo Kyiv', 'clubID': '338', 'value': '€800k'}, {'date': 'Dec 10, 2018', 'age': '24', 'clubName': 'Dynamo Kyiv', 'clubID': '338', 'value': '€800k'}, {'date': 'Jun 20, 2019', 'age': '25', 'clubName': 'Dynamo Kyiv', 'clubID': '338', 'value': '€1.00m'}, {'date': 'Jan 8, 2020', 'age': '25', 'clubName': 'Dynamo Kyiv', 'clubID': '338', 'value': '€1.80m'}, {'date': 'Apr 8, 2020', 'age': '25', 'clubName': 'Dynamo Kyiv', 'clubID': '338', 'value': '€1.40m'}, {'date': 'Sep 4, 2020', 'age': '26', 'clubName': 'Dynamo Kyiv', 'clubID': '338', 'value': '€2.50m'}, {'date': 'Jan 14, 2021', 'age': '26', 'clubName': 'Dynamo Kyiv', 'clubID': '338', 'value': '€4.00m'}, {'date': 'May 27, 2021', 'age': '26', 'clubName': 'Dynamo Kyiv', 'clubID': '338', 'value': '€5.00m'}, {'date': 'Jul 15, 2021', 'age': '27', 'clubName': 'Dynamo Kyiv', 'clubID': '338', 'value': '€7.50m'}, {'date': 'Dec 20, 2021', 'age': '27', 'clubName': 'Dynamo Kyiv', 'clubID': '338', 'value': '€9.00m'}, {'date': 'May 18, 2022', 'age': '27', 'clubName': 'Dynamo Kyiv', 'clubID': '338', 'value': '€9.00m'}, {'date': 'Sep 6, 2022', 'age': '28', 'clubName': 'Dynamo Kyiv', 'clubID': '338', 'value': '€10.00m'}, {'date': 'Dec 6, 2022', 'age': '28', 'clubName': 'Dynamo Kyiv', 'clubID': '338', 'value': '€10.00m'}, {'date': 'Jun 21, 2023', 'age': '29', 'clubName': 'Dynamo Kyiv', 'clubID': '338', 'value': '€8.00m'}, {'date': 'Sep 14, 2023', 'age': '29', 'clubName': 'Dynamo Kyiv', 'clubID': '338', 'value': '€7.00m'}, {'date': 'Dec 11, 2023', 'age': '29', 'clubName': 'Dynamo Kyiv', 'clubID': '338', 'value': '€7.00m'}, {'date': 'Jun 6, 2024', 'age': '30', 'clubName': 'Dynamo Kyiv', 'clubID': '338', 'value': '€7.00m'}, {'date': 'Dec 17, 2024', 'age': '30', 'clubName': 'Dynamo Kyiv', 'clubID': '338', 'value': '€7.00m'}, {'date': 'Mar 10, 2025', 'age': '30', 'clubName': 'Al-Shabab FC', 'clubID': '9840', 'value': '€6.00m'}, {'date': 'May 27, 2025', 'age': '30', 'clubName': 'Al-Shabab FC', 'clubID': '9840', 'value': '€5.00m'}, {'date': 'Dec 18, 2025', 'age': '31', 'clubName': 'Polissya Zhytomyr', 'clubID': '53646', 'value': '€3.00m'}, {'date': 'Mar 23, 2026', 'age': '31', 'clubName': 'Polissya Zhytomyr', 'clubID': '53646', 'value': '€2.50m'}]}</t>
        </is>
      </c>
      <c r="L236" t="inlineStr">
        <is>
          <t>Ukraine</t>
        </is>
      </c>
      <c r="M236" t="inlineStr">
        <is>
          <t>1994-05-31</t>
        </is>
      </c>
      <c r="N236" t="inlineStr">
        <is>
          <t>Ukraine</t>
        </is>
      </c>
      <c r="O236">
        <f>(9+10+10)/3</f>
        <v/>
      </c>
      <c r="P236">
        <f>(4+5+7.5+9)/4</f>
        <v/>
      </c>
    </row>
    <row r="237">
      <c r="A237" t="inlineStr">
        <is>
          <t>Athanasiadis</t>
        </is>
      </c>
      <c r="B237" t="inlineStr">
        <is>
          <t>Sheriff</t>
        </is>
      </c>
      <c r="C237" t="inlineStr">
        <is>
          <t>Goalkeeper</t>
        </is>
      </c>
      <c r="D237" t="n">
        <v>450</v>
      </c>
      <c r="E237" t="n">
        <v>5</v>
      </c>
      <c r="F237" t="n">
        <v>0</v>
      </c>
      <c r="G237" t="n">
        <v>0</v>
      </c>
      <c r="H237" t="n">
        <v>22.7</v>
      </c>
      <c r="I237" t="n">
        <v>27.8</v>
      </c>
      <c r="J237" t="n">
        <v>45970</v>
      </c>
      <c r="K237" t="inlineStr">
        <is>
          <t>{'marketValueHistory': [{'date': '23/01/2007', 'age': '18', 'clubName': 'PAOK Thessaloniki', 'clubID': '1091', 'value': '€150k'}, {'date': '27/01/2007', 'age': '18', 'clubName': 'PAOK Thessaloniki', 'clubID': '1091', 'value': '€200k'}, {'date': '03/09/2007', 'age': '18', 'clubName': 'PAOK Thessaloniki', 'clubID': '1091', 'value': '€250k'}, {'date': '13/09/2007', 'age': '18', 'clubName': 'PAOK Thessaloniki', 'clubID': '1091', 'value': '€400k'}, {'date': '24/10/2008', 'age': '19', 'clubName': 'PAOK Thessaloniki', 'clubID': '1091', 'value': '€750k'}, {'date': '04/03/2009', 'age': '20', 'clubName': 'PAOK Thessaloniki', 'clubID': '1091', 'value': '€1.00m'}, {'date': '26/12/2009', 'age': '21', 'clubName': 'Panserraikos', 'clubID': '3385', 'value': '€800k'}, {'date': '05/10/2010', 'age': '21', 'clubName': 'PAOK Thessaloniki', 'clubID': '1091', 'value': '€1.00m'}, {'date': '28/02/2011', 'age': '22', 'clubName': 'PAOK Thessaloniki', 'clubID': '1091', 'value': '€1.25m'}, {'date': '11/07/2011', 'age': '22', 'clubName': 'PAOK Thessaloniki', 'clubID': '1091', 'value': '€1.75m'}, {'date': '14/07/2011', 'age': '22', 'clubName': 'PAOK Thessaloniki', 'clubID': '1091', 'value': '€2.00m'}, {'date': '21/11/2011', 'age': '22', 'clubName': 'PAOK Thessaloniki', 'clubID': '1091', 'value': '€2.50m'}, {'date': '26/02/2012', 'age': '23', 'clubName': 'PAOK Thessaloniki', 'clubID': '1091', 'value': '€3.25m'}, {'date': '21/09/2012', 'age': '23', 'clubName': 'PAOK Thessaloniki', 'clubID': '1091', 'value': '€3.50m'}, {'date': '10/02/2013', 'age': '24', 'clubName': 'PAOK Thessaloniki', 'clubID': '1091', 'value': '€4.00m'}, {'date': '28/03/2014', 'age': '25', 'clubName': 'PAOK Thessaloniki', 'clubID': '1091', 'value': '€3.50m'}, {'date': '11/11/2014', 'age': '25', 'clubName': 'PAOK Thessaloniki', 'clubID': '1091', 'value': '€4.50m'}, {'date': '10/05/2015', 'age': '26', 'clubName': 'PAOK Thessaloniki', 'clubID': '1091', 'value': '€4.50m'}, {'date': '27/09/2015', 'age': '26', 'clubName': 'PAOK Thessaloniki', 'clubID': '1091', 'value': '€4.00m'}, {'date': '21/06/2016', 'age': '27', 'clubName': 'PAOK Thessaloniki', 'clubID': '1091', 'value': '€4.00m'}, {'date': '21/12/2016', 'age': '27', 'clubName': 'PAOK Thessaloniki', 'clubID': '1091', 'value': '€3.00m'}, {'date': '11/05/2017', 'age': '28', 'clubName': 'PAOK Thessaloniki', 'clubID': '1091', 'value': '€2.00m'}, {'date': '21/08/2017', 'age': '28', 'clubName': 'PAOK Thessaloniki', 'clubID': '1091', 'value': '€1.50m'}, {'date': '07/12/2018', 'age': '29', 'clubName': 'PAS Giannina', 'clubID': '2671', 'value': '€500k'}, {'date': '21/05/2019', 'age': '30', 'clubName': 'PAS Giannina', 'clubID': '2671', 'value': '€400k'}, {'date': '08/04/2020', 'age': '31', 'clubName': 'Without Club', 'clubID': '515', 'value': '€325k'}, {'date': '08/03/2021', 'age': '32', 'clubName': 'Apollon Larisas', 'clubID': '8699', 'value': '€200k'}, {'date': '21/05/2021', 'age': '32', 'clubName': 'Apollon Larisas', 'clubID': '8699', 'value': '€200k'}, {'date': '28/12/2021', 'age': '33', 'clubName': 'Anagennisi Karditsas', 'clubID': '4585', 'value': '€200k'}, {'date': '27/06/2022', 'age': '33', 'clubName': 'Anagennisi Karditsas', 'clubID': '4585', 'value': '€200k'}, {'date': '27/02/2023', 'age': '34', 'clubName': 'Anagennisi Karditsas', 'clubID': '4585', 'value': '€200k'}, {'date': '19/06/2023', 'age': '34', 'clubName': 'Anagennisi Karditsas', 'clubID': '4585', 'value': '€200k'}, {'date': '21/09/2023', 'age': '34', 'clubName': 'Anagennisi Karditsas', 'clubID': '4585', 'value': '€150k'}, {'date': '28/12/2023', 'age': '35', 'clubName': 'Anagennisi Karditsas', 'clubID': '4585', 'value': '€100k'}, {'date': '13/03/2024', 'age': '35', 'clubName': 'Anagennisi Karditsas', 'clubID': '4585', 'value': '€75k'}, {'date': '23/05/2024', 'age': '35', 'clubName': 'Anagennisi Karditsas', 'clubID': '4585', 'value': '€50k'}, {'date': '01/07/2024', 'age': '35', 'clubName': 'Retired', 'clubID': '123', 'value': '-'}]}</t>
        </is>
      </c>
      <c r="L237" t="inlineStr">
        <is>
          <t>Greece</t>
        </is>
      </c>
      <c r="M237" t="inlineStr">
        <is>
          <t>1988-12-24</t>
        </is>
      </c>
      <c r="N237" t="inlineStr">
        <is>
          <t>Greece</t>
        </is>
      </c>
      <c r="O237">
        <f>0.2</f>
        <v/>
      </c>
      <c r="P237">
        <f>(0.2+0.2+0.2)/3</f>
        <v/>
      </c>
    </row>
    <row r="238">
      <c r="A238" t="inlineStr">
        <is>
          <t>Musiala</t>
        </is>
      </c>
      <c r="B238" t="inlineStr">
        <is>
          <t>Bayern</t>
        </is>
      </c>
      <c r="C238" t="inlineStr">
        <is>
          <t>Midfielder</t>
        </is>
      </c>
      <c r="D238" t="n">
        <v>448</v>
      </c>
      <c r="E238" t="n">
        <v>8</v>
      </c>
      <c r="F238" t="n">
        <v>1</v>
      </c>
      <c r="G238" t="n">
        <v>1</v>
      </c>
      <c r="H238" t="n">
        <v>59</v>
      </c>
      <c r="I238" t="n">
        <v>32.3</v>
      </c>
      <c r="J238" t="n">
        <v>580195</v>
      </c>
      <c r="K238" t="inlineStr">
        <is>
          <t>{'marketValueHistory': [{'date': '01/07/2020', 'age': '17', 'clubName': 'Bayern Munich', 'clubID': '27', 'value': '€1.00m'}, {'date': '26/11/2020', 'age': '17', 'clubName': 'Bayern Munich', 'clubID': '27', 'value': '€10.00m'}, {'date': '10/02/2021', 'age': '17', 'clubName': 'Bayern Munich', 'clubID': '27', 'value': '€24.00m'}, {'date': '01/06/2021', 'age': '18', 'clubName': 'Bayern Munich', 'clubID': '27', 'value': '€38.00m'}, {'date': '07/10/2021', 'age': '18', 'clubName': 'Bayern Munich', 'clubID': '27', 'value': '€50.00m'}, {'date': '22/12/2021', 'age': '18', 'clubName': 'Bayern Munich', 'clubID': '27', 'value': '€55.00m'}, {'date': '09/06/2022', 'age': '19', 'clubName': 'Bayern Munich', 'clubID': '27', 'value': '€65.00m'}, {'date': '21/09/2022', 'age': '19', 'clubName': 'Bayern Munich', 'clubID': '27', 'value': '€80.00m'}, {'date': '09/11/2022', 'age': '19', 'clubName': 'Bayern Munich', 'clubID': '27', 'value': '€100.00m'}, {'date': '29/03/2023', 'age': '20', 'clubName': 'Bayern Munich', 'clubID': '27', 'value': '€110.00m'}, {'date': '22/06/2023', 'age': '20', 'clubName': 'Bayern Munich', 'clubID': '27', 'value': '€110.00m'}, {'date': '14/12/2023', 'age': '20', 'clubName': 'Bayern Munich', 'clubID': '27', 'value': '€110.00m'}, {'date': '29/05/2024', 'age': '21', 'clubName': 'Bayern Munich', 'clubID': '27', 'value': '€120.00m'}, {'date': '18/07/2024', 'age': '21', 'clubName': 'Bayern Munich', 'clubID': '27', 'value': '€130.00m'}, {'date': '20/12/2024', 'age': '21', 'clubName': 'Bayern Munich', 'clubID': '27', 'value': '€140.00m'}, {'date': '05/06/2025', 'age': '22', 'clubName': 'Bayern Munich', 'clubID': '27', 'value': '€140.00m'}, {'date': '19/12/2025', 'age': '22', 'clubName': 'Bayern Munich', 'clubID': '27', 'value': '€130.00m'}, {'date': '20/03/2026', 'age': '23', 'clubName': 'Bayern Munich', 'clubID': '27', 'value': '€120.00m'}]}</t>
        </is>
      </c>
      <c r="L238" t="inlineStr">
        <is>
          <t>United Kingdom</t>
        </is>
      </c>
      <c r="M238" t="inlineStr">
        <is>
          <t>2003-02-26</t>
        </is>
      </c>
      <c r="N238" t="inlineStr">
        <is>
          <t>Germany</t>
        </is>
      </c>
      <c r="O238">
        <f>(65+80+100)/3</f>
        <v/>
      </c>
      <c r="P238">
        <f>(24+38+50+55)/4</f>
        <v/>
      </c>
    </row>
    <row r="239">
      <c r="A239" t="inlineStr">
        <is>
          <t>Brorsson</t>
        </is>
      </c>
      <c r="B239" t="inlineStr">
        <is>
          <t>Malmo</t>
        </is>
      </c>
      <c r="C239" t="inlineStr">
        <is>
          <t>Defender</t>
        </is>
      </c>
      <c r="D239" t="n">
        <v>448</v>
      </c>
      <c r="E239" t="n">
        <v>5</v>
      </c>
      <c r="F239" t="n">
        <v>0</v>
      </c>
      <c r="G239" t="n">
        <v>0</v>
      </c>
      <c r="H239" t="n">
        <v>49.9</v>
      </c>
      <c r="I239" t="n">
        <v>32.9</v>
      </c>
      <c r="J239" t="n">
        <v>271773</v>
      </c>
      <c r="K239" t="inlineStr">
        <is>
          <t>{'marketValueHistory': [{'date': 'Apr 11, 2015', 'age': '19', 'clubName': 'Malmö FF', 'clubID': '496', 'value': '€100k'}, {'date': 'Jun 14, 2015', 'age': '19', 'clubName': 'Malmö FF', 'clubID': '496', 'value': '€100k'}, {'date': 'Nov 29, 2015', 'age': '19', 'clubName': 'Malmö FF', 'clubID': '496', 'value': '€300k'}, {'date': 'Jun 17, 2016', 'age': '20', 'clubName': 'Malmö FF', 'clubID': '496', 'value': '€450k'}, {'date': 'Dec 11, 2016', 'age': '20', 'clubName': 'Malmö FF', 'clubID': '496', 'value': '€600k'}, {'date': 'Jun 20, 2017', 'age': '21', 'clubName': 'Malmö FF', 'clubID': '496', 'value': '€900k'}, {'date': 'Nov 17, 2017', 'age': '21', 'clubName': 'Malmö FF', 'clubID': '496', 'value': '€900k'}, {'date': 'Jun 20, 2018', 'age': '22', 'clubName': 'Malmö FF', 'clubID': '496', 'value': '€1.00m'}, {'date': 'Jan 16, 2019', 'age': '22', 'clubName': 'Malmö FF', 'clubID': '496', 'value': '€1.00m'}, {'date': 'Jun 28, 2019', 'age': '23', 'clubName': 'Malmö FF', 'clubID': '496', 'value': '€750k'}, {'date': 'Nov 20, 2019', 'age': '23', 'clubName': 'Malmö FF', 'clubID': '496', 'value': '€500k'}, {'date': 'Apr 8, 2020', 'age': '24', 'clubName': 'Esbjerg fB', 'clubID': '3426', 'value': '€400k'}, {'date': 'Aug 5, 2020', 'age': '24', 'clubName': 'Malmö FF', 'clubID': '496', 'value': '€400k'}, {'date': 'Dec 10, 2020', 'age': '24', 'clubName': 'Malmö FF', 'clubID': '496', 'value': '€600k'}, {'date': 'Jun 9, 2021', 'age': '25', 'clubName': 'Malmö FF', 'clubID': '496', 'value': '€700k'}, {'date': 'Sep 17, 2021', 'age': '25', 'clubName': 'Malmö FF', 'clubID': '496', 'value': '€800k'}, {'date': 'Dec 17, 2021', 'age': '25', 'clubName': 'Malmö FF', 'clubID': '496', 'value': '€900k'}, {'date': 'Jun 20, 2022', 'age': '26', 'clubName': 'Aris Limassol', 'clubID': '10586', 'value': '€700k'}, {'date': 'Jan 10, 2023', 'age': '26', 'clubName': 'Aris Limassol', 'clubID': '10586', 'value': '€800k'}, {'date': 'May 31, 2023', 'age': '27', 'clubName': 'Aris Limassol', 'clubID': '10586', 'value': '€800k'}, {'date': 'Dec 28, 2023', 'age': '27', 'clubName': 'Aris Limassol', 'clubID': '10586', 'value': '€800k'}, {'date': 'May 17, 2024', 'age': '28', 'clubName': 'Aris Limassol', 'clubID': '10586', 'value': '€750k'}, {'date': 'Dec 18, 2024', 'age': '28', 'clubName': 'Atromitos Athens', 'clubID': '3060', 'value': '€750k'}, {'date': 'May 23, 2025', 'age': '29', 'clubName': 'Atromitos Athens', 'clubID': '3060', 'value': '€750k'}, {'date': 'Oct 8, 2025', 'age': '29', 'clubName': 'APOEL Nicosia', 'clubID': '2784', 'value': '€800k'}, {'date': 'Dec 23, 2025', 'age': '29', 'clubName': 'APOEL Nicosia', 'clubID': '2784', 'value': '€800k'}]}</t>
        </is>
      </c>
      <c r="L239" t="inlineStr">
        <is>
          <t>Sweden</t>
        </is>
      </c>
      <c r="M239" t="inlineStr">
        <is>
          <t>1996-01-30</t>
        </is>
      </c>
      <c r="N239" t="inlineStr">
        <is>
          <t>Sweden</t>
        </is>
      </c>
      <c r="O239">
        <f>0.7</f>
        <v/>
      </c>
      <c r="P239">
        <f>(0.7+0.8+0.9)/3</f>
        <v/>
      </c>
    </row>
    <row r="240">
      <c r="A240" t="inlineStr">
        <is>
          <t>Ziyech</t>
        </is>
      </c>
      <c r="B240" t="inlineStr">
        <is>
          <t>Chelsea</t>
        </is>
      </c>
      <c r="C240" t="inlineStr">
        <is>
          <t>Midfielder</t>
        </is>
      </c>
      <c r="D240" t="n">
        <v>446</v>
      </c>
      <c r="E240" t="n">
        <v>9</v>
      </c>
      <c r="F240" t="n">
        <v>1</v>
      </c>
      <c r="G240" t="n">
        <v>2</v>
      </c>
      <c r="H240" t="n">
        <v>53.5</v>
      </c>
      <c r="I240" t="n">
        <v>30.4</v>
      </c>
      <c r="J240" t="n">
        <v>217111</v>
      </c>
      <c r="K240" t="inlineStr">
        <is>
          <t>{'marketValueHistory': [{'date': '03/08/2012', 'age': '19', 'clubName': 'SC Heerenveen', 'clubID': '306', 'value': '€100k'}, {'date': '12/06/2013', 'age': '20', 'clubName': 'SC Heerenveen', 'clubID': '306', 'value': '€200k'}, {'date': '26/09/2013', 'age': '20', 'clubName': 'SC Heerenveen', 'clubID': '306', 'value': '€600k'}, {'date': '11/02/2014', 'age': '20', 'clubName': 'SC Heerenveen', 'clubID': '306', 'value': '€2.50m'}, {'date': '11/08/2014', 'age': '21', 'clubName': 'SC Heerenveen', 'clubID': '306', 'value': '€5.00m'}, {'date': '16/02/2015', 'age': '21', 'clubName': 'FC Twente Enschede', 'clubID': '317', 'value': '€5.00m'}, {'date': '01/07/2015', 'age': '22', 'clubName': 'FC Twente Enschede', 'clubID': '317', 'value': '€7.00m'}, {'date': '11/11/2015', 'age': '22', 'clubName': 'FC Twente Enschede', 'clubID': '317', 'value': '€8.00m'}, {'date': '05/02/2016', 'age': '22', 'clubName': 'FC Twente Enschede', 'clubID': '317', 'value': '€10.00m'}, {'date': '15/07/2016', 'age': '23', 'clubName': 'FC Twente Enschede', 'clubID': '317', 'value': '€11.00m'}, {'date': '18/01/2017', 'age': '23', 'clubName': 'Ajax Amsterdam', 'clubID': '610', 'value': '€13.00m'}, {'date': '07/06/2017', 'age': '24', 'clubName': 'Ajax Amsterdam', 'clubID': '610', 'value': '€15.00m'}, {'date': '17/01/2018', 'age': '24', 'clubName': 'Ajax Amsterdam', 'clubID': '610', 'value': '€20.00m'}, {'date': '12/06/2018', 'age': '25', 'clubName': 'Ajax Amsterdam', 'clubID': '610', 'value': '€25.00m'}, {'date': '04/10/2018', 'age': '25', 'clubName': 'Ajax Amsterdam', 'clubID': '610', 'value': '€30.00m'}, {'date': '28/12/2018', 'age': '25', 'clubName': 'Ajax Amsterdam', 'clubID': '610', 'value': '€35.00m'}, {'date': '12/06/2019', 'age': '26', 'clubName': 'Ajax Amsterdam', 'clubID': '610', 'value': '€40.00m'}, {'date': '18/12/2019', 'age': '26', 'clubName': 'Ajax Amsterdam', 'clubID': '610', 'value': '€50.00m'}, {'date': '08/04/2020', 'age': '27', 'clubName': 'Ajax Amsterdam', 'clubID': '610', 'value': '€40.00m'}, {'date': '13/10/2020', 'age': '27', 'clubName': 'Chelsea FC', 'clubID': '631', 'value': '€40.00m'}, {'date': '17/12/2020', 'age': '27', 'clubName': 'Chelsea FC', 'clubID': '631', 'value': '€45.00m'}, {'date': '18/03/2021', 'age': '27', 'clubName': 'Chelsea FC', 'clubID': '631', 'value': '€40.00m'}, {'date': '08/06/2021', 'age': '28', 'clubName': 'Chelsea FC', 'clubID': '631', 'value': '€38.00m'}, {'date': '23/12/2021', 'age': '28', 'clubName': 'Chelsea FC', 'clubID': '631', 'value': '€35.00m'}, {'date': '29/03/2022', 'age': '29', 'clubName': 'Chelsea FC', 'clubID': '631', 'value': '€32.00m'}, {'date': '15/06/2022', 'age': '29', 'clubName': 'Chelsea FC', 'clubID': '631', 'value': '€28.00m'}, {'date': '15/09/2022', 'age': '29', 'clubName': 'Chelsea FC', 'clubID': '631', 'value': '€20.00m'}, {'date': '03/11/2022', 'age': '29', 'clubName': 'Chelsea FC', 'clubID': '631', 'value': '€17.00m'}, {'date': '23/12/2022', 'age': '29', 'clubName': 'Chelsea FC', 'clubID': '631', 'value': '€20.00m'}, {'date': '16/03/2023', 'age': '29', 'clubName': 'Chelsea FC', 'clubID': '631', 'value': '€18.00m'}, {'date': '20/06/2023', 'age': '30', 'clubName': 'Chelsea FC', 'clubID': '631', 'value': '€16.00m'}, {'date': '27/09/2023', 'age': '30', 'clubName': 'Galatasaray', 'clubID': '141', 'value': '€15.00m'}, {'date': '21/12/2023', 'age': '30', 'clubName': 'Galatasaray', 'clubID': '141', 'value': '€12.00m'}, {'date': '15/03/2024', 'age': '30', 'clubName': 'Galatasaray', 'clubID': '141', 'value': '€9.50m'}, {'date': '31/05/2024', 'age': '31', 'clubName': 'Galatasaray', 'clubID': '141', 'value': '€9.00m'}, {'date': '04/10/2024', 'age': '31', 'clubName': 'Galatasaray', 'clubID': '141', 'value': '€7.00m'}, {'date': '23/12/2024', 'age': '31', 'clubName': 'Galatasaray', 'clubID': '141', 'value': '€5.00m'}, {'date': '28/05/2025', 'age': '32', 'clubName': 'Al-Duhail SC', 'clubID': '26091', 'value': '€4.50m'}, {'date': '21/10/2025', 'age': '32', 'clubName': 'Without Club', 'clubID': '515', 'value': '€3.50m'}, {'date': '28/11/2025', 'age': '32', 'clubName': 'Wydad Casablanca', 'clubID': '6603', 'value': '€3.00m'}, {'date': '25/03/2026', 'age': '33', 'clubName': 'Wydad Casablanca', 'clubID': '6603', 'value': '€2.50m'}]}</t>
        </is>
      </c>
      <c r="L240" t="inlineStr">
        <is>
          <t>Morocco</t>
        </is>
      </c>
      <c r="M240" t="inlineStr">
        <is>
          <t>1993-03-19</t>
        </is>
      </c>
      <c r="N240" t="inlineStr">
        <is>
          <t>64</t>
        </is>
      </c>
      <c r="O240">
        <f>(32+28+20+17+20)/5</f>
        <v/>
      </c>
      <c r="P240">
        <f>(40+38+35)/3</f>
        <v/>
      </c>
    </row>
    <row r="241">
      <c r="A241" t="inlineStr">
        <is>
          <t>Saelemaekers</t>
        </is>
      </c>
      <c r="B241" t="inlineStr">
        <is>
          <t>Milan</t>
        </is>
      </c>
      <c r="C241" t="inlineStr">
        <is>
          <t>Midfielder</t>
        </is>
      </c>
      <c r="D241" t="n">
        <v>444</v>
      </c>
      <c r="E241" t="n">
        <v>6</v>
      </c>
      <c r="F241" t="n">
        <v>0</v>
      </c>
      <c r="G241" t="n">
        <v>0</v>
      </c>
      <c r="H241" t="n">
        <v>57.3</v>
      </c>
      <c r="I241" t="n">
        <v>31.7</v>
      </c>
      <c r="J241" t="n">
        <v>381950</v>
      </c>
      <c r="K241" t="inlineStr">
        <is>
          <t>{'id': '381950', 'marketValue': '€10.00m', 'marketValueHistory': [{'age': '18', 'date': 'Jun 3, 2018', 'clubName': 'RSC Anderlecht', 'value': '€800k', 'clubID': '58'}, {'age': '19', 'date': 'Sep 11, 2018', 'clubName': 'RSC Anderlecht', 'value': '€2.50m', 'clubID': '58'}, {'age': '19', 'date': 'Dec 27, 2018', 'clubName': 'RSC Anderlecht', 'value': '€3.00m', 'clubID': '58'}, {'age': '19', 'date': 'Mar 4, 2019', 'clubName': 'RSC Anderlecht', 'value': '€3.50m', 'clubID': '58'}, {'age': '19', 'date': 'Jun 10, 2019', 'clubName': 'RSC Anderlecht', 'value': '€3.50m', 'clubID': '58'}, {'age': '20', 'date': 'Sep 6, 2019', 'clubName': 'RSC Anderlecht', 'value': '€4.50m', 'clubID': '58'}, {'age': '20', 'date': 'Dec 13, 2019', 'clubName': 'RSC Anderlecht', 'value': '€7.00m', 'clubID': '58'}, {'age': '20', 'date': 'Apr 8, 2020', 'clubName': 'AC Milan', 'value': '€6.30m', 'clubID': '5'}, {'age': '21', 'date': 'Aug 25, 2020', 'clubName': 'AC Milan', 'value': '€8.00m', 'clubID': '5'}, {'age': '21', 'date': 'Oct 29, 2020', 'clubName': 'AC Milan', 'value': '€15.00m', 'clubID': '5'}, {'age': '21', 'date': 'Dec 29, 2020', 'clubName': 'AC Milan', 'value': '€18.00m', 'clubID': '5'}, {'age': '21', 'date': 'Jun 3, 2021', 'clubName': 'AC Milan', 'value': '€18.00m', 'clubID': '5'}, {'age': '22', 'date': 'Dec 28, 2021', 'clubName': 'AC Milan', 'value': '€20.00m', 'clubID': '5'}, {'age': '22', 'date': 'Jun 7, 2022', 'clubName': 'AC Milan', 'value': '€17.00m', 'clubID': '5'}, {'age': '23', 'date': 'Nov 11, 2022', 'clubName': 'AC Milan', 'value': '€15.00m', 'clubID': '5'}, {'age': '23', 'date': 'Jun 15, 2023', 'clubName': 'AC Milan', 'value': '€15.00m', 'clubID': '5'}, {'age': '24', 'date': 'Oct 11, 2023', 'clubName': 'Bologna FC 1909', 'value': '€10.00m', 'clubID': '1025'}, {'age': '24', 'date': 'Dec 20, 2023', 'clubName': 'Bologna FC 1909', 'value': '€10.00m', 'clubID': '1025'}], 'ranking': {'Worldwide': '987', 'Serie A': '132', 'Bologna': '11', 'Belgium': '30', 'Right Winger': '82', 'Year 1999': '109'}, 'updatedAt': datetime.datetime(2024, 5, 23, 22, 23, 55, 334996)}</t>
        </is>
      </c>
      <c r="L241" t="inlineStr">
        <is>
          <t>Italy</t>
        </is>
      </c>
      <c r="M241" t="inlineStr">
        <is>
          <t>1999-09-11</t>
        </is>
      </c>
      <c r="N241" t="inlineStr">
        <is>
          <t>23</t>
        </is>
      </c>
      <c r="O241">
        <f>(17+15)/2</f>
        <v/>
      </c>
      <c r="P241">
        <f>(18+20)/2</f>
        <v/>
      </c>
    </row>
    <row r="242">
      <c r="A242" t="inlineStr">
        <is>
          <t>Douglas Santos</t>
        </is>
      </c>
      <c r="B242" t="inlineStr">
        <is>
          <t>Zenit</t>
        </is>
      </c>
      <c r="C242" t="inlineStr">
        <is>
          <t>Defender</t>
        </is>
      </c>
      <c r="D242" t="n">
        <v>444</v>
      </c>
      <c r="E242" t="n">
        <v>5</v>
      </c>
      <c r="F242" t="n">
        <v>0</v>
      </c>
      <c r="G242" t="n">
        <v>2</v>
      </c>
      <c r="H242" t="n">
        <v>50.5</v>
      </c>
      <c r="I242" t="n">
        <v>31.9</v>
      </c>
      <c r="J242" t="n">
        <v>220793</v>
      </c>
      <c r="K242" t="inlineStr">
        <is>
          <t>{'marketValueHistory': [{'date': '24/06/2012', 'age': '18', 'clubName': 'Clube Náutico Capibaribe', 'clubID': '2646', 'value': '€50k'}, {'date': '06/12/2012', 'age': '18', 'clubName': 'Clube Náutico Capibaribe', 'clubID': '2646', 'value': '€400k'}, {'date': '09/04/2013', 'age': '19', 'clubName': 'Clube Náutico Capibaribe', 'clubID': '2646', 'value': '€1.50m'}, {'date': '25/07/2013', 'age': '19', 'clubName': 'Granada CF', 'clubID': '16795', 'value': '€2.50m'}, {'date': '07/01/2014', 'age': '19', 'clubName': 'Udinese Calcio', 'clubID': '410', 'value': '€2.50m'}, {'date': '01/07/2014', 'age': '20', 'clubName': 'Udinese Calcio', 'clubID': '410', 'value': '€2.00m'}, {'date': '01/02/2015', 'age': '20', 'clubName': 'Clube Atlético Mineiro', 'clubID': '330', 'value': '€3.00m'}, {'date': '31/05/2015', 'age': '21', 'clubName': 'Clube Atlético Mineiro', 'clubID': '330', 'value': '€3.25m'}, {'date': '11/09/2015', 'age': '21', 'clubName': 'Clube Atlético Mineiro', 'clubID': '330', 'value': '€4.50m'}, {'date': '15/12/2015', 'age': '21', 'clubName': 'Clube Atlético Mineiro', 'clubID': '330', 'value': '€5.00m'}, {'date': '27/05/2016', 'age': '22', 'clubName': 'Clube Atlético Mineiro', 'clubID': '330', 'value': '€6.00m'}, {'date': '07/02/2017', 'age': '22', 'clubName': 'Hamburger SV', 'clubID': '41', 'value': '€6.00m'}, {'date': '19/06/2017', 'age': '23', 'clubName': 'Hamburger SV', 'clubID': '41', 'value': '€5.00m'}, {'date': '28/12/2017', 'age': '23', 'clubName': 'Hamburger SV', 'clubID': '41', 'value': '€5.00m'}, {'date': '05/06/2018', 'age': '24', 'clubName': 'Hamburger SV', 'clubID': '41', 'value': '€5.00m'}, {'date': '08/01/2019', 'age': '24', 'clubName': 'Hamburger SV', 'clubID': '41', 'value': '€7.50m'}, {'date': '12/06/2019', 'age': '25', 'clubName': 'Hamburger SV', 'clubID': '41', 'value': '€10.00m'}, {'date': '10/09/2019', 'age': '25', 'clubName': 'Zenit St. Petersburg', 'clubID': '964', 'value': '€12.00m'}, {'date': '23/12/2019', 'age': '25', 'clubName': 'Zenit St. Petersburg', 'clubID': '964', 'value': '€14.00m'}, {'date': '08/04/2020', 'age': '26', 'clubName': 'Zenit St. Petersburg', 'clubID': '964', 'value': '€11.00m'}, {'date': '29/07/2020', 'age': '26', 'clubName': 'Zenit St. Petersburg', 'clubID': '964', 'value': '€12.00m'}, {'date': '19/10/2020', 'age': '26', 'clubName': 'Zenit St. Petersburg', 'clubID': '964', 'value': '€13.00m'}, {'date': '29/12/2020', 'age': '26', 'clubName': 'Zenit St. Petersburg', 'clubID': '964', 'value': '€14.00m'}, {'date': '02/06/2021', 'age': '27', 'clubName': 'Zenit St. Petersburg', 'clubID': '964', 'value': '€16.00m'}, {'date': '29/12/2021', 'age': '27', 'clubName': 'Zenit St. Petersburg', 'clubID': '964', 'value': '€16.00m'}, {'date': '02/06/2022', 'age': '28', 'clubName': 'Zenit St. Petersburg', 'clubID': '964', 'value': '€16.00m'}, {'date': '21/11/2022', 'age': '28', 'clubName': 'Zenit St. Petersburg', 'clubID': '964', 'value': '€16.00m'}, {'date': '14/06/2023', 'age': '29', 'clubName': 'Zenit St. Petersburg', 'clubID': '964', 'value': '€18.00m'}, {'date': '13/12/2023', 'age': '29', 'clubName': 'Zenit St. Petersburg', 'clubID': '964', 'value': '€15.00m'}, {'date': '04/06/2024', 'age': '30', 'clubName': 'Zenit St. Petersburg', 'clubID': '964', 'value': '€12.00m'}, {'date': '12/12/2024', 'age': '30', 'clubName': 'Zenit St. Petersburg', 'clubID': '964', 'value': '€10.00m'}, {'date': '04/06/2025', 'age': '31', 'clubName': 'Zenit St. Petersburg', 'clubID': '964', 'value': '€9.00m'}, {'date': '16/12/2025', 'age': '31', 'clubName': 'Zenit St. Petersburg', 'clubID': '964', 'value': '€8.00m'}]}</t>
        </is>
      </c>
      <c r="L242" t="inlineStr">
        <is>
          <t>Brazil</t>
        </is>
      </c>
      <c r="M242" t="inlineStr">
        <is>
          <t>1994-03-22</t>
        </is>
      </c>
      <c r="N242" t="inlineStr">
        <is>
          <t>Brazil</t>
        </is>
      </c>
      <c r="O242">
        <f>(16+16)/2</f>
        <v/>
      </c>
      <c r="P242">
        <f>(16+16)/2</f>
        <v/>
      </c>
    </row>
    <row r="243">
      <c r="A243" t="inlineStr">
        <is>
          <t>Chistiakov</t>
        </is>
      </c>
      <c r="B243" t="inlineStr">
        <is>
          <t>Zenit</t>
        </is>
      </c>
      <c r="C243" t="inlineStr">
        <is>
          <t>Defender</t>
        </is>
      </c>
      <c r="D243" t="n">
        <v>444</v>
      </c>
      <c r="E243" t="n">
        <v>5</v>
      </c>
      <c r="F243" t="n">
        <v>0</v>
      </c>
      <c r="G243" t="n">
        <v>0</v>
      </c>
      <c r="H243" t="n">
        <v>50.8</v>
      </c>
      <c r="I243" t="n">
        <v>32.4</v>
      </c>
      <c r="J243" t="n">
        <v>235339</v>
      </c>
      <c r="K243" t="inlineStr">
        <is>
          <t>{'marketValueHistory': [{'date': 'Aug 19, 2012', 'age': '18', 'clubName': 'Zenit St. Petersburg II', 'clubID': '6082', 'value': '€25k'}, {'date': 'Aug 25, 2015', 'age': '21', 'clubName': 'Zenit 2 St. Petersburg', 'clubID': '16950', 'value': '€100k'}, {'date': 'Dec 8, 2015', 'age': '21', 'clubName': 'MIKA Ashtarak', 'clubID': '10639', 'value': '€125k'}, {'date': 'Jul 1, 2016', 'age': '22', 'clubName': 'Shinnik Yaroslavl', 'clubID': '2374', 'value': '€150k'}, {'date': 'Dec 28, 2016', 'age': '22', 'clubName': 'Shinnik Yaroslavl', 'clubID': '2374', 'value': '€250k'}, {'date': 'Jun 1, 2017', 'age': '23', 'clubName': 'Shinnik Yaroslavl', 'clubID': '2374', 'value': '€400k'}, {'date': 'Jun 6, 2018', 'age': '24', 'clubName': 'Shinnik Yaroslavl', 'clubID': '2374', 'value': '€600k'}, {'date': 'Dec 20, 2018', 'age': '24', 'clubName': 'FK Tambov', 'clubID': '41201', 'value': '€600k'}, {'date': 'Jun 14, 2019', 'age': '25', 'clubName': 'FK Tambov', 'clubID': '41201', 'value': '€800k'}, {'date': 'Sep 10, 2019', 'age': '25', 'clubName': 'FC Rostov', 'clubID': '1083', 'value': '€1.50m'}, {'date': 'Dec 23, 2019', 'age': '25', 'clubName': 'FC Rostov', 'clubID': '1083', 'value': '€2.80m'}, {'date': 'Apr 8, 2020', 'age': '26', 'clubName': 'FC Rostov', 'clubID': '1083', 'value': '€2.20m'}, {'date': 'Jul 29, 2020', 'age': '26', 'clubName': 'FC Rostov', 'clubID': '1083', 'value': '€2.50m'}, {'date': 'Dec 29, 2020', 'age': '26', 'clubName': 'Zenit St. Petersburg', 'clubID': '964', 'value': '€2.50m'}, {'date': 'Jun 2, 2021', 'age': '27', 'clubName': 'Zenit St. Petersburg', 'clubID': '964', 'value': '€2.80m'}, {'date': 'Dec 29, 2021', 'age': '27', 'clubName': 'Zenit St. Petersburg', 'clubID': '964', 'value': '€3.50m'}, {'date': 'Jun 2, 2022', 'age': '28', 'clubName': 'Zenit St. Petersburg', 'clubID': '964', 'value': '€4.00m'}, {'date': 'Nov 21, 2022', 'age': '28', 'clubName': 'Zenit St. Petersburg', 'clubID': '964', 'value': '€2.50m'}, {'date': 'Jun 14, 2023', 'age': '29', 'clubName': 'Zenit St. Petersburg', 'clubID': '964', 'value': '€2.50m'}, {'date': 'Dec 13, 2023', 'age': '29', 'clubName': 'Zenit St. Petersburg', 'clubID': '964', 'value': '€2.00m'}, {'date': 'Jun 4, 2024', 'age': '30', 'clubName': 'FC Sochi', 'clubID': '41231', 'value': '€1.80m'}, {'date': 'Sep 18, 2024', 'age': '30', 'clubName': 'Zenit St. Petersburg', 'clubID': '964', 'value': '€1.50m'}, {'date': 'Dec 12, 2024', 'age': '30', 'clubName': 'Zenit St. Petersburg', 'clubID': '964', 'value': '€1.20m'}, {'date': 'Jun 4, 2025', 'age': '31', 'clubName': 'Zenit St. Petersburg', 'clubID': '964', 'value': '€900k'}, {'date': 'Dec 16, 2025', 'age': '31', 'clubName': 'FC Rostov', 'clubID': '1083', 'value': '€800k'}]}</t>
        </is>
      </c>
      <c r="L243" t="inlineStr">
        <is>
          <t>Russia</t>
        </is>
      </c>
      <c r="M243" t="inlineStr">
        <is>
          <t>1994-01-13</t>
        </is>
      </c>
      <c r="N243" t="inlineStr">
        <is>
          <t>Russia</t>
        </is>
      </c>
      <c r="O243">
        <f>(4+2.5)/2</f>
        <v/>
      </c>
      <c r="P243">
        <f>(2.8+3.5)/2</f>
        <v/>
      </c>
    </row>
    <row r="244">
      <c r="A244" t="inlineStr">
        <is>
          <t>Souza</t>
        </is>
      </c>
      <c r="B244" t="inlineStr">
        <is>
          <t>Besiktas</t>
        </is>
      </c>
      <c r="C244" t="inlineStr">
        <is>
          <t>Midfielder</t>
        </is>
      </c>
      <c r="D244" t="n">
        <v>442</v>
      </c>
      <c r="E244" t="n">
        <v>5</v>
      </c>
      <c r="F244" t="n">
        <v>0</v>
      </c>
      <c r="G244" t="n">
        <v>0</v>
      </c>
      <c r="H244" t="n">
        <v>55.5</v>
      </c>
      <c r="I244" t="n">
        <v>30.9</v>
      </c>
      <c r="J244" t="n">
        <v>8564</v>
      </c>
      <c r="K244" t="inlineStr">
        <is>
          <t>{'marketValueHistory': [{'date': '04/10/2004', 'age': '27', 'clubName': 'FC Barcelona', 'clubID': '131', 'value': '€18.75m'}, {'date': '20/12/2004', 'age': '27', 'clubName': 'FC Barcelona', 'clubID': '131', 'value': '€21.00m'}, {'date': '20/01/2006', 'age': '28', 'clubName': 'FC Barcelona', 'clubID': '131', 'value': '€24.25m'}, {'date': '25/06/2007', 'age': '29', 'clubName': 'FC Barcelona', 'clubID': '131', 'value': '€25.00m'}, {'date': '04/02/2008', 'age': '30', 'clubName': 'FC Barcelona', 'clubID': '131', 'value': '€20.00m'}, {'date': '04/04/2008', 'age': '30', 'clubName': 'FC Barcelona', 'clubID': '131', 'value': '€18.00m'}, {'date': '04/07/2008', 'age': '30', 'clubName': 'Chelsea FC', 'clubID': '631', 'value': '€15.00m'}, {'date': '29/06/2009', 'age': '31', 'clubName': 'Chelsea FC', 'clubID': '631', 'value': '€11.00m'}, {'date': '25/01/2010', 'age': '32', 'clubName': 'Chelsea FC', 'clubID': '631', 'value': '€10.00m'}, {'date': '09/08/2010', 'age': '32', 'clubName': 'Fluminense Football Club', 'clubID': '2462', 'value': '€5.00m'}, {'date': '10/12/2010', 'age': '33', 'clubName': 'Fluminense Football Club', 'clubID': '2462', 'value': '€1.60m'}, {'date': '30/05/2011', 'age': '33', 'clubName': 'Fluminense Football Club', 'clubID': '2462', 'value': '€1.50m'}, {'date': '29/08/2011', 'age': '34', 'clubName': 'Fluminense Football Club', 'clubID': '2462', 'value': '€1.25m'}, {'date': '08/12/2011', 'age': '34', 'clubName': 'Fluminense Football Club', 'clubID': '2462', 'value': '€1.00m'}, {'date': '24/05/2012', 'age': '34', 'clubName': 'Fluminense Football Club', 'clubID': '2462', 'value': '€750k'}, {'date': '05/12/2012', 'age': '35', 'clubName': 'Fluminense Football Club', 'clubID': '2462', 'value': '€500k'}, {'date': '27/08/2013', 'age': '36', 'clubName': 'Retired', 'clubID': '123', 'value': '-'}]}</t>
        </is>
      </c>
      <c r="L244" t="inlineStr">
        <is>
          <t>Brazil</t>
        </is>
      </c>
      <c r="M244" t="inlineStr">
        <is>
          <t>1977-10-12</t>
        </is>
      </c>
      <c r="N244" t="inlineStr">
        <is>
          <t>75</t>
        </is>
      </c>
    </row>
    <row r="245">
      <c r="A245" t="inlineStr">
        <is>
          <t>Berget</t>
        </is>
      </c>
      <c r="B245" t="inlineStr">
        <is>
          <t>Malmo</t>
        </is>
      </c>
      <c r="C245" t="inlineStr">
        <is>
          <t>Midfielder</t>
        </is>
      </c>
      <c r="D245" t="n">
        <v>438</v>
      </c>
      <c r="E245" t="n">
        <v>5</v>
      </c>
      <c r="F245" t="n">
        <v>0</v>
      </c>
      <c r="G245" t="n">
        <v>0</v>
      </c>
      <c r="H245" t="n">
        <v>53</v>
      </c>
      <c r="I245" t="n">
        <v>32.3</v>
      </c>
      <c r="J245" t="n">
        <v>73323</v>
      </c>
      <c r="K245" t="inlineStr">
        <is>
          <t>{'marketValueHistory': [{'date': '21/08/2008', 'age': '17', 'clubName': 'Udinese Primavera', 'clubID': '10959', 'value': '€100k'}, {'date': '15/10/2008', 'age': '18', 'clubName': 'Udinese Primavera', 'clubID': '10959', 'value': '€100k'}, {'date': '05/07/2009', 'age': '18', 'clubName': 'Lyn 1896 FK', 'clubID': '175', 'value': '€600k'}, {'date': '03/12/2010', 'age': '20', 'clubName': 'Strømsgodset IF', 'clubID': '2817', 'value': '€1.00m'}, {'date': '29/12/2011', 'age': '21', 'clubName': 'Molde FK', 'clubID': '687', 'value': '€1.00m'}, {'date': '01/07/2012', 'age': '21', 'clubName': 'Molde FK', 'clubID': '687', 'value': '€1.25m'}, {'date': '29/12/2012', 'age': '22', 'clubName': 'Molde FK', 'clubID': '687', 'value': '€1.70m'}, {'date': '22/07/2013', 'age': '22', 'clubName': 'Molde FK', 'clubID': '687', 'value': '€1.70m'}, {'date': '02/01/2014', 'age': '23', 'clubName': 'Molde FK', 'clubID': '687', 'value': '€1.90m'}, {'date': '05/02/2014', 'age': '23', 'clubName': 'Cardiff City', 'clubID': '603', 'value': '€2.00m'}, {'date': '11/04/2015', 'age': '24', 'clubName': 'Malmö FF', 'clubID': '496', 'value': '€2.00m'}, {'date': '14/06/2015', 'age': '24', 'clubName': 'Malmö FF', 'clubID': '496', 'value': '€2.00m'}, {'date': '29/11/2015', 'age': '25', 'clubName': 'Malmö FF', 'clubID': '496', 'value': '€1.80m'}, {'date': '17/06/2016', 'age': '25', 'clubName': 'Malmö FF', 'clubID': '496', 'value': '€1.60m'}, {'date': '11/12/2016', 'age': '26', 'clubName': 'Malmö FF', 'clubID': '496', 'value': '€1.60m'}, {'date': '20/06/2017', 'age': '26', 'clubName': 'Malmö FF', 'clubID': '496', 'value': '€1.40m'}, {'date': '17/11/2017', 'age': '27', 'clubName': 'Malmö FF', 'clubID': '496', 'value': '€1.40m'}, {'date': '02/05/2018', 'age': '27', 'clubName': 'New York City FC', 'clubID': '40058', 'value': '€1.25m'}, {'date': '15/12/2018', 'age': '28', 'clubName': 'New York City FC', 'clubID': '40058', 'value': '€1.00m'}, {'date': '28/06/2019', 'age': '28', 'clubName': 'Malmö FF', 'clubID': '496', 'value': '€1.00m'}, {'date': '20/11/2019', 'age': '29', 'clubName': 'Malmö FF', 'clubID': '496', 'value': '€800k'}, {'date': '08/04/2020', 'age': '29', 'clubName': 'Malmö FF', 'clubID': '496', 'value': '€650k'}, {'date': '05/08/2020', 'age': '29', 'clubName': 'Malmö FF', 'clubID': '496', 'value': '€700k'}, {'date': '10/12/2020', 'age': '30', 'clubName': 'Malmö FF', 'clubID': '496', 'value': '€900k'}, {'date': '09/06/2021', 'age': '30', 'clubName': 'Malmö FF', 'clubID': '496', 'value': '€900k'}, {'date': '17/12/2021', 'age': '31', 'clubName': 'Malmö FF', 'clubID': '496', 'value': '€900k'}, {'date': '24/06/2022', 'age': '31', 'clubName': 'Malmö FF', 'clubID': '496', 'value': '€750k'}, {'date': '14/12/2022', 'age': '32', 'clubName': 'Malmö FF', 'clubID': '496', 'value': '€600k'}, {'date': '28/03/2023', 'age': '32', 'clubName': 'Without Club', 'clubID': '515', 'value': '€400k'}, {'date': '15/12/2023', 'age': '33', 'clubName': 'Sarpsborg 08 FF', 'clubID': '10217', 'value': '€400k'}, {'date': '12/06/2024', 'age': '33', 'clubName': 'Sarpsborg 08 FF', 'clubID': '10217', 'value': '€350k'}, {'date': '12/12/2024', 'age': '34', 'clubName': 'Sarpsborg 08 FF', 'clubID': '10217', 'value': '€300k'}, {'date': '18/06/2025', 'age': '34', 'clubName': 'Sarpsborg 08 FF', 'clubID': '10217', 'value': '€250k'}, {'date': '15/12/2025', 'age': '35', 'clubName': 'Sarpsborg 08 FF', 'clubID': '10217', 'value': '€200k'}]}</t>
        </is>
      </c>
      <c r="L245" t="inlineStr">
        <is>
          <t>Norway</t>
        </is>
      </c>
      <c r="M245" t="inlineStr">
        <is>
          <t>1990-09-11</t>
        </is>
      </c>
      <c r="N245" t="inlineStr">
        <is>
          <t>Norway</t>
        </is>
      </c>
      <c r="O245">
        <f>(0.75+0.6)/2</f>
        <v/>
      </c>
      <c r="P245">
        <f>(0.9+0.9)/2</f>
        <v/>
      </c>
    </row>
    <row r="246">
      <c r="A246" t="inlineStr">
        <is>
          <t>Onguene</t>
        </is>
      </c>
      <c r="B246" t="inlineStr">
        <is>
          <t>Salzburg</t>
        </is>
      </c>
      <c r="C246" t="inlineStr">
        <is>
          <t>Defender</t>
        </is>
      </c>
      <c r="D246" t="n">
        <v>437</v>
      </c>
      <c r="E246" t="n">
        <v>5</v>
      </c>
      <c r="F246" t="n">
        <v>0</v>
      </c>
      <c r="G246" t="n">
        <v>0</v>
      </c>
      <c r="H246" t="n">
        <v>48.3</v>
      </c>
      <c r="I246" t="n">
        <v>31.4</v>
      </c>
      <c r="J246" t="n">
        <v>224083</v>
      </c>
      <c r="L246" t="inlineStr">
        <is>
          <t>Cameroon</t>
        </is>
      </c>
      <c r="M246" t="inlineStr">
        <is>
          <t>1946-06-12</t>
        </is>
      </c>
      <c r="N246" t="inlineStr">
        <is>
          <t>11</t>
        </is>
      </c>
    </row>
    <row r="247">
      <c r="A247" t="inlineStr">
        <is>
          <t>Buyalskyi</t>
        </is>
      </c>
      <c r="B247" t="inlineStr">
        <is>
          <t>Dynamo Kyiv</t>
        </is>
      </c>
      <c r="C247" t="inlineStr">
        <is>
          <t>Midfielder</t>
        </is>
      </c>
      <c r="D247" t="n">
        <v>436</v>
      </c>
      <c r="E247" t="n">
        <v>5</v>
      </c>
      <c r="F247" t="n">
        <v>0</v>
      </c>
      <c r="G247" t="n">
        <v>0</v>
      </c>
      <c r="H247" t="n">
        <v>58.5</v>
      </c>
      <c r="I247" t="n">
        <v>32.4</v>
      </c>
      <c r="J247" t="n">
        <v>167722</v>
      </c>
      <c r="K247" t="inlineStr">
        <is>
          <t>{'marketValueHistory': [{'date': 'Sep 13, 2013', 'age': '20', 'clubName': 'Goverla Uzhgorod (- 2016)', 'clubID': '6996', 'value': '€200k'}, {'date': 'Jan 2, 2014', 'age': '20', 'clubName': 'Goverla Uzhgorod (- 2016)', 'clubID': '6996', 'value': '€400k'}, {'date': 'Dec 25, 2014', 'age': '21', 'clubName': 'Dynamo Kyiv', 'clubID': '338', 'value': '€400k'}, {'date': 'Jun 7, 2015', 'age': '22', 'clubName': 'Dynamo Kyiv', 'clubID': '338', 'value': '€1.00m'}, {'date': 'Dec 18, 2015', 'age': '22', 'clubName': 'Dynamo Kyiv', 'clubID': '338', 'value': '€1.50m'}, {'date': 'Jul 21, 2016', 'age': '23', 'clubName': 'Dynamo Kyiv', 'clubID': '338', 'value': '€1.80m'}, {'date': 'Jan 3, 2017', 'age': '23', 'clubName': 'Dynamo Kyiv', 'clubID': '338', 'value': '€1.80m'}, {'date': 'Jun 26, 2017', 'age': '24', 'clubName': 'Dynamo Kyiv', 'clubID': '338', 'value': '€2.00m'}, {'date': 'Jan 12, 2018', 'age': '25', 'clubName': 'Dynamo Kyiv', 'clubID': '338', 'value': '€3.00m'}, {'date': 'Aug 6, 2018', 'age': '25', 'clubName': 'Dynamo Kyiv', 'clubID': '338', 'value': '€3.00m'}, {'date': 'Dec 10, 2018', 'age': '25', 'clubName': 'Dynamo Kyiv', 'clubID': '338', 'value': '€3.50m'}, {'date': 'Jun 20, 2019', 'age': '26', 'clubName': 'Dynamo Kyiv', 'clubID': '338', 'value': '€3.50m'}, {'date': 'Jan 8, 2020', 'age': '27', 'clubName': 'Dynamo Kyiv', 'clubID': '338', 'value': '€3.50m'}, {'date': 'Apr 8, 2020', 'age': '27', 'clubName': 'Dynamo Kyiv', 'clubID': '338', 'value': '€2.80m'}, {'date': 'Sep 4, 2020', 'age': '27', 'clubName': 'Dynamo Kyiv', 'clubID': '338', 'value': '€3.50m'}, {'date': 'Jan 14, 2021', 'age': '28', 'clubName': 'Dynamo Kyiv', 'clubID': '338', 'value': '€4.00m'}, {'date': 'May 27, 2021', 'age': '28', 'clubName': 'Dynamo Kyiv', 'clubID': '338', 'value': '€5.00m'}, {'date': 'Dec 20, 2021', 'age': '28', 'clubName': 'Dynamo Kyiv', 'clubID': '338', 'value': '€7.00m'}, {'date': 'May 18, 2022', 'age': '29', 'clubName': 'Dynamo Kyiv', 'clubID': '338', 'value': '€7.00m'}, {'date': 'Dec 6, 2022', 'age': '29', 'clubName': 'Dynamo Kyiv', 'clubID': '338', 'value': '€8.00m'}, {'date': 'Jun 21, 2023', 'age': '30', 'clubName': 'Dynamo Kyiv', 'clubID': '338', 'value': '€7.00m'}, {'date': 'Sep 14, 2023', 'age': '30', 'clubName': 'Dynamo Kyiv', 'clubID': '338', 'value': '€6.00m'}, {'date': 'Dec 11, 2023', 'age': '30', 'clubName': 'Dynamo Kyiv', 'clubID': '338', 'value': '€6.00m'}, {'date': 'Jun 6, 2024', 'age': '31', 'clubName': 'Dynamo Kyiv', 'clubID': '338', 'value': '€5.00m'}, {'date': 'Dec 17, 2024', 'age': '31', 'clubName': 'Dynamo Kyiv', 'clubID': '338', 'value': '€4.00m'}, {'date': 'Jun 10, 2025', 'age': '32', 'clubName': 'Dynamo Kyiv', 'clubID': '338', 'value': '€3.50m'}, {'date': 'Dec 18, 2025', 'age': '32', 'clubName': 'Dynamo Kyiv', 'clubID': '338', 'value': '€3.00m'}]}</t>
        </is>
      </c>
      <c r="L247" t="inlineStr">
        <is>
          <t>Ukraine</t>
        </is>
      </c>
      <c r="M247" t="inlineStr">
        <is>
          <t>1993-01-06</t>
        </is>
      </c>
      <c r="N247" t="inlineStr">
        <is>
          <t>Ukraine</t>
        </is>
      </c>
      <c r="O247">
        <f>(7+8)/2</f>
        <v/>
      </c>
      <c r="P247">
        <f>(4+5+7)/3</f>
        <v/>
      </c>
    </row>
    <row r="248">
      <c r="A248" t="inlineStr">
        <is>
          <t>Xeka</t>
        </is>
      </c>
      <c r="B248" t="inlineStr">
        <is>
          <t>Lille</t>
        </is>
      </c>
      <c r="C248" t="inlineStr">
        <is>
          <t>Midfielder</t>
        </is>
      </c>
      <c r="D248" t="n">
        <v>435</v>
      </c>
      <c r="E248" t="n">
        <v>7</v>
      </c>
      <c r="F248" t="n">
        <v>0</v>
      </c>
      <c r="G248" t="n">
        <v>0</v>
      </c>
      <c r="H248" t="n">
        <v>54.1</v>
      </c>
      <c r="I248" t="n">
        <v>31.5</v>
      </c>
      <c r="J248" t="n">
        <v>290256</v>
      </c>
      <c r="K248" t="inlineStr">
        <is>
          <t>{'marketValueHistory': [{'date': '08/11/2013', 'age': '18', 'clubName': 'SC Braga B', 'clubID': '10789', 'value': '€250k'}, {'date': '31/07/2015', 'age': '20', 'clubName': 'SC Covilhã', 'clubID': '10140', 'value': '€150k'}, {'date': '14/03/2016', 'age': '21', 'clubName': 'SC Covilhã', 'clubID': '10140', 'value': '€200k'}, {'date': '30/09/2016', 'age': '21', 'clubName': 'SC Braga B', 'clubID': '10789', 'value': '€300k'}, {'date': '22/02/2017', 'age': '22', 'clubName': 'LOSC Lille', 'clubID': '1082', 'value': '€1.00m'}, {'date': '01/06/2017', 'age': '22', 'clubName': 'LOSC Lille', 'clubID': '1082', 'value': '€1.25m'}, {'date': '12/10/2017', 'age': '22', 'clubName': 'Dijon FCO', 'clubID': '2969', 'value': '€4.00m'}, {'date': '24/01/2018', 'age': '23', 'clubName': 'Dijon FCO', 'clubID': '2969', 'value': '€5.50m'}, {'date': '04/06/2018', 'age': '23', 'clubName': 'Dijon FCO', 'clubID': '2969', 'value': '€5.50m'}, {'date': '17/12/2018', 'age': '24', 'clubName': 'LOSC Lille', 'clubID': '1082', 'value': '€5.50m'}, {'date': '07/03/2019', 'age': '24', 'clubName': 'LOSC Lille', 'clubID': '1082', 'value': '€9.00m'}, {'date': '03/06/2019', 'age': '24', 'clubName': 'LOSC Lille', 'clubID': '1082', 'value': '€10.00m'}, {'date': '19/12/2019', 'age': '25', 'clubName': 'LOSC Lille', 'clubID': '1082', 'value': '€9.00m'}, {'date': '08/04/2020', 'age': '25', 'clubName': 'LOSC Lille', 'clubID': '1082', 'value': '€7.00m'}, {'date': '15/10/2020', 'age': '25', 'clubName': 'LOSC Lille', 'clubID': '1082', 'value': '€7.00m'}, {'date': '04/06/2021', 'age': '26', 'clubName': 'LOSC Lille', 'clubID': '1082', 'value': '€8.00m'}, {'date': '16/12/2021', 'age': '27', 'clubName': 'LOSC Lille', 'clubID': '1082', 'value': '€9.00m'}, {'date': '30/05/2022', 'age': '27', 'clubName': 'LOSC Lille', 'clubID': '1082', 'value': '€9.00m'}, {'date': '02/11/2022', 'age': '27', 'clubName': 'Stade Rennais FC', 'clubID': '273', 'value': '€9.00m'}, {'date': '27/06/2023', 'age': '28', 'clubName': 'Stade Rennais FC', 'clubID': '273', 'value': '€6.00m'}, {'date': '25/10/2023', 'age': '28', 'clubName': 'Without Club', 'clubID': '515', 'value': '€5.00m'}, {'date': '29/03/2024', 'age': '29', 'clubName': 'Without Club', 'clubID': '515', 'value': '€3.00m'}, {'date': '02/05/2024', 'age': '29', 'clubName': 'Al-Sadd SC', 'clubID': '656', 'value': '€3.00m'}, {'date': '19/12/2024', 'age': '30', 'clubName': 'GD Estoril Praia', 'clubID': '1465', 'value': '€2.00m'}, {'date': '30/05/2025', 'age': '30', 'clubName': 'GD Estoril Praia', 'clubID': '1465', 'value': '€2.00m'}, {'date': '18/12/2025', 'age': '31', 'clubName': 'GD Estoril Praia', 'clubID': '1465', 'value': '€1.00m'}]}</t>
        </is>
      </c>
      <c r="L248" t="inlineStr">
        <is>
          <t>Portugal</t>
        </is>
      </c>
      <c r="M248" t="inlineStr">
        <is>
          <t>1994-11-10</t>
        </is>
      </c>
      <c r="N248" t="inlineStr">
        <is>
          <t>Portugal</t>
        </is>
      </c>
      <c r="O248">
        <f>(9+9)/2</f>
        <v/>
      </c>
      <c r="P248">
        <f>(8+9)/2</f>
        <v/>
      </c>
    </row>
    <row r="249">
      <c r="A249" t="inlineStr">
        <is>
          <t>Maehle</t>
        </is>
      </c>
      <c r="B249" t="inlineStr">
        <is>
          <t>Atalanta</t>
        </is>
      </c>
      <c r="C249" t="inlineStr">
        <is>
          <t>Defender</t>
        </is>
      </c>
      <c r="D249" t="n">
        <v>435</v>
      </c>
      <c r="E249" t="n">
        <v>5</v>
      </c>
      <c r="F249" t="n">
        <v>0</v>
      </c>
      <c r="G249" t="n">
        <v>1</v>
      </c>
      <c r="H249" t="n">
        <v>56.4</v>
      </c>
      <c r="I249" t="n">
        <v>33.4</v>
      </c>
      <c r="J249" t="n">
        <v>369674</v>
      </c>
      <c r="K249" t="inlineStr">
        <is>
          <t>{'marketValueHistory': [{'date': 'Aug 12, 2016', 'age': '19', 'clubName': 'Aalborg BK', 'clubID': '1053', 'value': '€50k'}, {'date': 'Dec 12, 2016', 'age': '19', 'clubName': 'Aalborg BK', 'clubID': '1053', 'value': '€250k'}, {'date': 'Mar 27, 2017', 'age': '19', 'clubName': 'Aalborg BK', 'clubID': '1053', 'value': '€350k'}, {'date': 'Jun 21, 2017', 'age': '20', 'clubName': 'Aalborg BK', 'clubID': '1053', 'value': '€1.00m'}, {'date': 'Jan 9, 2018', 'age': '20', 'clubName': 'KRC Genk', 'clubID': '1184', 'value': '€1.50m'}, {'date': 'Jun 3, 2018', 'age': '21', 'clubName': 'KRC Genk', 'clubID': '1184', 'value': '€1.50m'}, {'date': 'Sep 11, 2018', 'age': '21', 'clubName': 'KRC Genk', 'clubID': '1184', 'value': '€2.00m'}, {'date': 'Dec 27, 2018', 'age': '21', 'clubName': 'KRC Genk', 'clubID': '1184', 'value': '€4.00m'}, {'date': 'Mar 4, 2019', 'age': '21', 'clubName': 'KRC Genk', 'clubID': '1184', 'value': '€8.00m'}, {'date': 'Jun 10, 2019', 'age': '22', 'clubName': 'KRC Genk', 'clubID': '1184', 'value': '€9.00m'}, {'date': 'Dec 13, 2019', 'age': '22', 'clubName': 'KRC Genk', 'clubID': '1184', 'value': '€9.00m'}, {'date': 'Mar 30, 2020', 'age': '22', 'clubName': 'KRC Genk', 'clubID': '1184', 'value': '€10.00m'}, {'date': 'Apr 8, 2020', 'age': '22', 'clubName': 'KRC Genk', 'clubID': '1184', 'value': '€8.00m'}, {'date': 'Oct 16, 2020', 'age': '23', 'clubName': 'KRC Genk', 'clubID': '1184', 'value': '€10.00m'}, {'date': 'Jan 4, 2021', 'age': '23', 'clubName': 'Atalanta BC', 'clubID': '800', 'value': '€11.00m'}, {'date': 'May 26, 2021', 'age': '24', 'clubName': 'Atalanta BC', 'clubID': '800', 'value': '€13.00m'}, {'date': 'Jul 15, 2021', 'age': '24', 'clubName': 'Atalanta BC', 'clubID': '800', 'value': '€19.00m'}, {'date': 'Dec 28, 2021', 'age': '24', 'clubName': 'Atalanta BC', 'clubID': '800', 'value': '€17.00m'}, {'date': 'Jun 7, 2022', 'age': '25', 'clubName': 'Atalanta BC', 'clubID': '800', 'value': '€14.00m'}, {'date': 'Nov 11, 2022', 'age': '25', 'clubName': 'Atalanta BC', 'clubID': '800', 'value': '€14.00m'}, {'date': 'Jun 15, 2023', 'age': '26', 'clubName': 'Atalanta BC', 'clubID': '800', 'value': '€14.00m'}, {'date': 'Dec 14, 2023', 'age': '26', 'clubName': 'VfL Wolfsburg', 'clubID': '82', 'value': '€14.00m'}, {'date': 'May 29, 2024', 'age': '27', 'clubName': 'VfL Wolfsburg', 'clubID': '82', 'value': '€14.00m'}, {'date': 'Dec 20, 2024', 'age': '27', 'clubName': 'VfL Wolfsburg', 'clubID': '82', 'value': '€14.00m'}, {'date': 'Jun 5, 2025', 'age': '28', 'clubName': 'VfL Wolfsburg', 'clubID': '82', 'value': '€14.00m'}, {'date': 'Oct 14, 2025', 'age': '28', 'clubName': 'VfL Wolfsburg', 'clubID': '82', 'value': '€12.00m'}, {'date': 'Dec 19, 2025', 'age': '28', 'clubName': 'VfL Wolfsburg', 'clubID': '82', 'value': '€9.00m'}, {'date': 'Mar 20, 2026', 'age': '28', 'clubName': 'VfL Wolfsburg', 'clubID': '82', 'value': '€7.00m'}]}</t>
        </is>
      </c>
      <c r="L249" t="inlineStr">
        <is>
          <t>Kingdom of Denmark</t>
        </is>
      </c>
      <c r="M249" t="inlineStr">
        <is>
          <t>1997-05-20</t>
        </is>
      </c>
      <c r="N249" t="inlineStr">
        <is>
          <t>Denmark</t>
        </is>
      </c>
      <c r="O249">
        <f>(14+14)/2</f>
        <v/>
      </c>
      <c r="P249">
        <f>(11+13+19+17)/4</f>
        <v/>
      </c>
    </row>
    <row r="250">
      <c r="A250" t="inlineStr">
        <is>
          <t>Garcia</t>
        </is>
      </c>
      <c r="B250" t="inlineStr">
        <is>
          <t>Young Boys</t>
        </is>
      </c>
      <c r="C250" t="inlineStr">
        <is>
          <t>Defender</t>
        </is>
      </c>
      <c r="D250" t="n">
        <v>435</v>
      </c>
      <c r="E250" t="n">
        <v>5</v>
      </c>
      <c r="F250" t="n">
        <v>0</v>
      </c>
      <c r="G250" t="n">
        <v>0</v>
      </c>
      <c r="H250" t="n">
        <v>40.2</v>
      </c>
      <c r="I250" t="n">
        <v>31.8</v>
      </c>
      <c r="J250" t="n">
        <v>341264</v>
      </c>
      <c r="K250" t="inlineStr">
        <is>
          <t>{'marketValueHistory': [{'date': 'Nov 23, 2018', 'age': '19', 'clubName': 'Real Madrid Castilla', 'clubID': '6767', 'value': '€150k'}, {'date': 'Feb 19, 2019', 'age': '19', 'clubName': 'Real Madrid Castilla', 'clubID': '6767', 'value': '€200k'}, {'date': 'Jun 29, 2019', 'age': '19', 'clubName': 'Real Madrid Castilla', 'clubID': '6767', 'value': '€250k'}, {'date': 'Sep 10, 2019', 'age': '20', 'clubName': 'Real Madrid Castilla', 'clubID': '6767', 'value': '€250k'}, {'date': 'Feb 11, 2020', 'age': '20', 'clubName': 'Real Madrid Castilla', 'clubID': '6767', 'value': '€250k'}, {'date': 'Oct 8, 2020', 'age': '21', 'clubName': 'Rayo Vallecano', 'clubID': '367', 'value': '€300k'}, {'date': 'Nov 23, 2020', 'age': '21', 'clubName': 'Rayo Vallecano', 'clubID': '367', 'value': '€800k'}, {'date': 'Jan 8, 2021', 'age': '21', 'clubName': 'Rayo Vallecano', 'clubID': '367', 'value': '€1.50m'}, {'date': 'Jun 24, 2021', 'age': '21', 'clubName': 'Rayo Vallecano', 'clubID': '367', 'value': '€3.00m'}, {'date': 'Dec 30, 2021', 'age': '22', 'clubName': 'Rayo Vallecano', 'clubID': '367', 'value': '€3.50m'}, {'date': 'Mar 21, 2022', 'age': '22', 'clubName': 'Rayo Vallecano', 'clubID': '367', 'value': '€5.00m'}, {'date': 'Jun 3, 2022', 'age': '22', 'clubName': 'Rayo Vallecano', 'clubID': '367', 'value': '€7.50m'}, {'date': 'Nov 7, 2022', 'age': '23', 'clubName': 'Rayo Vallecano', 'clubID': '367', 'value': '€8.00m'}, {'date': 'Mar 23, 2023', 'age': '23', 'clubName': 'Rayo Vallecano', 'clubID': '367', 'value': '€10.00m'}, {'date': 'Jun 13, 2023', 'age': '23', 'clubName': 'Rayo Vallecano', 'clubID': '367', 'value': '€12.00m'}, {'date': 'Oct 13, 2023', 'age': '24', 'clubName': 'Real Madrid', 'clubID': '418', 'value': '€15.00m'}, {'date': 'Dec 22, 2023', 'age': '24', 'clubName': 'Real Madrid', 'clubID': '418', 'value': '€15.00m'}, {'date': 'Jun 7, 2024', 'age': '24', 'clubName': 'Real Madrid', 'clubID': '418', 'value': '€15.00m'}, {'date': 'Dec 27, 2024', 'age': '25', 'clubName': 'Real Madrid', 'clubID': '418', 'value': '€15.00m'}, {'date': 'Jun 9, 2025', 'age': '25', 'clubName': 'Real Madrid', 'clubID': '418', 'value': '€18.00m'}, {'date': 'Dec 12, 2025', 'age': '26', 'clubName': 'Real Madrid', 'clubID': '418', 'value': '€15.00m'}, {'date': 'Mar 16, 2026', 'age': '26', 'clubName': 'Real Madrid', 'clubID': '418', 'value': '€12.00m'}]}</t>
        </is>
      </c>
      <c r="L250" t="inlineStr">
        <is>
          <t>Spain</t>
        </is>
      </c>
      <c r="M250" t="inlineStr">
        <is>
          <t>1999-08-14</t>
        </is>
      </c>
      <c r="N250" t="inlineStr">
        <is>
          <t>2</t>
        </is>
      </c>
      <c r="O250">
        <f>(5+7.5+8)/3</f>
        <v/>
      </c>
      <c r="P250">
        <f>(1.5+3+3.5)/3</f>
        <v/>
      </c>
    </row>
    <row r="251">
      <c r="A251" t="inlineStr">
        <is>
          <t>Malcom</t>
        </is>
      </c>
      <c r="B251" t="inlineStr">
        <is>
          <t>Zenit</t>
        </is>
      </c>
      <c r="C251" t="inlineStr">
        <is>
          <t>Forward</t>
        </is>
      </c>
      <c r="D251" t="n">
        <v>434</v>
      </c>
      <c r="E251" t="n">
        <v>6</v>
      </c>
      <c r="F251" t="n">
        <v>0</v>
      </c>
      <c r="G251" t="n">
        <v>1</v>
      </c>
      <c r="H251" t="n">
        <v>48.6</v>
      </c>
      <c r="I251" t="n">
        <v>33.1</v>
      </c>
      <c r="J251" t="n">
        <v>323704</v>
      </c>
      <c r="K251" t="inlineStr">
        <is>
          <t>{'marketValueHistory': [{'date': '06/08/2014', 'age': '17', 'clubName': 'Sport Club Corinthians Paulista', 'clubID': '199', 'value': '€200k'}, {'date': '01/02/2015', 'age': '17', 'clubName': 'Sport Club Corinthians Paulista', 'clubID': '199', 'value': '€4.00m'}, {'date': '31/05/2015', 'age': '18', 'clubName': 'Sport Club Corinthians Paulista', 'clubID': '199', 'value': '€6.00m'}, {'date': '11/09/2015', 'age': '18', 'clubName': 'Sport Club Corinthians Paulista', 'clubID': '199', 'value': '€9.00m'}, {'date': '15/12/2015', 'age': '18', 'clubName': 'Sport Club Corinthians Paulista', 'clubID': '199', 'value': '€10.00m'}, {'date': '04/02/2016', 'age': '18', 'clubName': 'FC Girondins Bordeaux', 'clubID': '40', 'value': '€10.00m'}, {'date': '13/07/2016', 'age': '19', 'clubName': 'FC Girondins Bordeaux', 'clubID': '40', 'value': '€10.00m'}, {'date': '16/01/2017', 'age': '19', 'clubName': 'FC Girondins Bordeaux', 'clubID': '40', 'value': '€10.00m'}, {'date': '01/06/2017', 'age': '20', 'clubName': 'FC Girondins Bordeaux', 'clubID': '40', 'value': '€10.00m'}, {'date': '12/10/2017', 'age': '20', 'clubName': 'FC Girondins Bordeaux', 'clubID': '40', 'value': '€17.00m'}, {'date': '24/01/2018', 'age': '20', 'clubName': 'FC Girondins Bordeaux', 'clubID': '40', 'value': '€30.00m'}, {'date': '20/03/2018', 'age': '21', 'clubName': 'FC Girondins Bordeaux', 'clubID': '40', 'value': '€45.00m'}, {'date': '04/06/2018', 'age': '21', 'clubName': 'FC Girondins Bordeaux', 'clubID': '40', 'value': '€45.00m'}, {'date': '21/12/2018', 'age': '21', 'clubName': 'FC Barcelona', 'clubID': '131', 'value': '€40.00m'}, {'date': '11/06/2019', 'age': '22', 'clubName': 'FC Barcelona', 'clubID': '131', 'value': '€40.00m'}, {'date': '23/12/2019', 'age': '22', 'clubName': 'Zenit St. Petersburg', 'clubID': '964', 'value': '€40.00m'}, {'date': '30/03/2020', 'age': '23', 'clubName': 'Zenit St. Petersburg', 'clubID': '964', 'value': '€38.00m'}, {'date': '08/04/2020', 'age': '23', 'clubName': 'Zenit St. Petersburg', 'clubID': '964', 'value': '€30.50m'}, {'date': '29/07/2020', 'age': '23', 'clubName': 'Zenit St. Petersburg', 'clubID': '964', 'value': '€30.00m'}, {'date': '29/12/2020', 'age': '23', 'clubName': 'Zenit St. Petersburg', 'clubID': '964', 'value': '€24.00m'}, {'date': '02/06/2021', 'age': '24', 'clubName': 'Zenit St. Petersburg', 'clubID': '964', 'value': '€22.00m'}, {'date': '29/12/2021', 'age': '24', 'clubName': 'Zenit St. Petersburg', 'clubID': '964', 'value': '€22.00m'}, {'date': '02/06/2022', 'age': '25', 'clubName': 'Zenit St. Petersburg', 'clubID': '964', 'value': '€22.00m'}, {'date': '21/11/2022', 'age': '25', 'clubName': 'Zenit St. Petersburg', 'clubID': '964', 'value': '€24.00m'}, {'date': '13/04/2023', 'age': '26', 'clubName': 'Zenit St. Petersburg', 'clubID': '964', 'value': '€27.00m'}, {'date': '14/06/2023', 'age': '26', 'clubName': 'Zenit St. Petersburg', 'clubID': '964', 'value': '€30.00m'}, {'date': '15/12/2023', 'age': '26', 'clubName': 'Al-Hilal SFC', 'clubID': '1114', 'value': '€30.00m'}, {'date': '04/06/2024', 'age': '27', 'clubName': 'Al-Hilal SFC', 'clubID': '1114', 'value': '€28.00m'}, {'date': '13/12/2024', 'age': '27', 'clubName': 'Al-Hilal SFC', 'clubID': '1114', 'value': '€25.00m'}, {'date': '27/05/2025', 'age': '28', 'clubName': 'Al-Hilal SFC', 'clubID': '1114', 'value': '€22.00m'}, {'date': '18/12/2025', 'age': '28', 'clubName': 'Al-Hilal SFC', 'clubID': '1114', 'value': '€20.00m'}]}</t>
        </is>
      </c>
      <c r="L251" t="inlineStr">
        <is>
          <t>Brazil</t>
        </is>
      </c>
      <c r="M251" t="inlineStr">
        <is>
          <t>1997-02-26</t>
        </is>
      </c>
      <c r="N251" t="inlineStr">
        <is>
          <t>Brazil</t>
        </is>
      </c>
      <c r="O251">
        <f>(22+24)/2</f>
        <v/>
      </c>
      <c r="P251">
        <f>(22+22)/2</f>
        <v/>
      </c>
    </row>
    <row r="252">
      <c r="A252" t="inlineStr">
        <is>
          <t>Fred</t>
        </is>
      </c>
      <c r="B252" t="inlineStr">
        <is>
          <t>Man United</t>
        </is>
      </c>
      <c r="C252" t="inlineStr">
        <is>
          <t>Midfielder</t>
        </is>
      </c>
      <c r="D252" t="n">
        <v>433</v>
      </c>
      <c r="E252" t="n">
        <v>6</v>
      </c>
      <c r="F252" t="n">
        <v>0</v>
      </c>
      <c r="G252" t="n">
        <v>0</v>
      </c>
      <c r="H252" t="n">
        <v>43.4</v>
      </c>
      <c r="I252" t="n">
        <v>31.4</v>
      </c>
      <c r="J252" t="n">
        <v>274839</v>
      </c>
      <c r="K252" t="inlineStr">
        <is>
          <t>{'marketValueHistory': [{'date': 'Mar 24, 2015', 'age': '18', 'clubName': 'KRC Genk', 'clubID': '1184', 'value': '€200k'}, {'date': 'Jun 24, 2015', 'age': '18', 'clubName': 'KRC Genk', 'clubID': '1184', 'value': '€400k'}, {'date': 'Oct 22, 2015', 'age': '18', 'clubName': 'KRC Genk', 'clubID': '1184', 'value': '€800k'}, {'date': 'Feb 7, 2016', 'age': '19', 'clubName': 'KRC Genk', 'clubID': '1184', 'value': '€1.00m'}, {'date': 'Apr 14, 2016', 'age': '19', 'clubName': 'KRC Genk', 'clubID': '1184', 'value': '€2.00m'}, {'date': 'Jul 15, 2016', 'age': '19', 'clubName': 'KRC Genk', 'clubID': '1184', 'value': '€6.00m'}, {'date': 'Oct 20, 2016', 'age': '19', 'clubName': 'KRC Genk', 'clubID': '1184', 'value': '€8.00m'}, {'date': 'Feb 20, 2017', 'age': '20', 'clubName': 'Leicester City', 'clubID': '1003', 'value': '€14.00m'}, {'date': 'Jun 28, 2017', 'age': '20', 'clubName': 'Leicester City', 'clubID': '1003', 'value': '€14.00m'}, {'date': 'Jan 2, 2018', 'age': '21', 'clubName': 'Leicester City', 'clubID': '1003', 'value': '€18.00m'}, {'date': 'May 28, 2018', 'age': '21', 'clubName': 'Leicester City', 'clubID': '1003', 'value': '€25.00m'}, {'date': 'Oct 17, 2018', 'age': '21', 'clubName': 'Leicester City', 'clubID': '1003', 'value': '€35.00m'}, {'date': 'Dec 19, 2018', 'age': '22', 'clubName': 'Leicester City', 'clubID': '1003', 'value': '€35.00m'}, {'date': 'Jun 13, 2019', 'age': '22', 'clubName': 'Leicester City', 'clubID': '1003', 'value': '€35.00m'}, {'date': 'Dec 10, 2019', 'age': '22', 'clubName': 'Leicester City', 'clubID': '1003', 'value': '€45.00m'}, {'date': 'Apr 8, 2020', 'age': '23', 'clubName': 'Leicester City', 'clubID': '1003', 'value': '€36.00m'}, {'date': 'Jul 30, 2020', 'age': '23', 'clubName': 'Leicester City', 'clubID': '1003', 'value': '€45.00m'}, {'date': 'Oct 13, 2020', 'age': '23', 'clubName': 'Leicester City', 'clubID': '1003', 'value': '€45.00m'}, {'date': 'Mar 18, 2021', 'age': '24', 'clubName': 'Leicester City', 'clubID': '1003', 'value': '€50.00m'}, {'date': 'Jun 8, 2021', 'age': '24', 'clubName': 'Leicester City', 'clubID': '1003', 'value': '€60.00m'}, {'date': 'Dec 23, 2021', 'age': '25', 'clubName': 'Leicester City', 'clubID': '1003', 'value': '€60.00m'}, {'date': 'Jun 15, 2022', 'age': '25', 'clubName': 'Leicester City', 'clubID': '1003', 'value': '€60.00m'}, {'date': 'Sep 15, 2022', 'age': '25', 'clubName': 'Leicester City', 'clubID': '1003', 'value': '€50.00m'}, {'date': 'Nov 3, 2022', 'age': '25', 'clubName': 'Leicester City', 'clubID': '1003', 'value': '€40.00m'}, {'date': 'Mar 16, 2023', 'age': '26', 'clubName': 'Leicester City', 'clubID': '1003', 'value': '€32.00m'}, {'date': 'Jun 20, 2023', 'age': '26', 'clubName': 'Leicester City', 'clubID': '1003', 'value': '€25.00m'}, {'date': 'Oct 27, 2023', 'age': '26', 'clubName': 'Leicester City', 'clubID': '1003', 'value': '€18.00m'}, {'date': 'Dec 21, 2023', 'age': '27', 'clubName': 'Leicester City', 'clubID': '1003', 'value': '€18.00m'}, {'date': 'Mar 7, 2024', 'age': '27', 'clubName': 'Leicester City', 'clubID': '1003', 'value': '€16.00m'}, {'date': 'May 24, 2024', 'age': '27', 'clubName': 'Leicester City', 'clubID': '1003', 'value': '€16.00m'}, {'date': 'Dec 16, 2024', 'age': '28', 'clubName': 'Leicester City', 'clubID': '1003', 'value': '€18.00m'}, {'date': 'May 30, 2025', 'age': '28', 'clubName': 'Leicester City', 'clubID': '1003', 'value': '€15.00m'}, {'date': 'Oct 1, 2025', 'age': '28', 'clubName': 'Besiktas JK', 'clubID': '114', 'value': '€12.00m'}, {'date': 'Dec 17, 2025', 'age': '29', 'clubName': 'Besiktas JK', 'clubID': '114', 'value': '€10.00m'}]}</t>
        </is>
      </c>
      <c r="L252" t="inlineStr">
        <is>
          <t>Nigeria</t>
        </is>
      </c>
      <c r="M252" t="inlineStr">
        <is>
          <t>1996-12-16</t>
        </is>
      </c>
      <c r="N252" t="inlineStr">
        <is>
          <t>Nigeria</t>
        </is>
      </c>
      <c r="O252">
        <f>(60+50+40)/3</f>
        <v/>
      </c>
      <c r="P252">
        <f>(50+60+60)/3</f>
        <v/>
      </c>
    </row>
    <row r="253">
      <c r="A253" t="inlineStr">
        <is>
          <t>Angelino</t>
        </is>
      </c>
      <c r="B253" t="inlineStr">
        <is>
          <t>Leipzig</t>
        </is>
      </c>
      <c r="C253" t="inlineStr">
        <is>
          <t>Defender</t>
        </is>
      </c>
      <c r="D253" t="n">
        <v>432</v>
      </c>
      <c r="E253" t="n">
        <v>5</v>
      </c>
      <c r="F253" t="n">
        <v>0</v>
      </c>
      <c r="G253" t="n">
        <v>3</v>
      </c>
      <c r="H253" t="n">
        <v>50.7</v>
      </c>
      <c r="I253" t="n">
        <v>32.1</v>
      </c>
      <c r="J253" t="n">
        <v>277179</v>
      </c>
      <c r="K253" t="inlineStr">
        <is>
          <t>{'marketValueHistory': [{'date': '24/01/2017', 'age': '20', 'clubName': 'Girona FC', 'clubID': '12321', 'value': '€300k'}, {'date': '29/06/2017', 'age': '20', 'clubName': 'RCD Mallorca', 'clubID': '237', 'value': '€500k'}, {'date': '17/01/2018', 'age': '21', 'clubName': 'NAC Breda', 'clubID': '132', 'value': '€800k'}, {'date': '27/03/2018', 'age': '21', 'clubName': 'NAC Breda', 'clubID': '132', 'value': '€1.25m'}, {'date': '12/06/2018', 'age': '21', 'clubName': 'NAC Breda', 'clubID': '132', 'value': '€3.00m'}, {'date': '04/10/2018', 'age': '21', 'clubName': 'PSV Eindhoven', 'clubID': '383', 'value': '€7.00m'}, {'date': '28/12/2018', 'age': '21', 'clubName': 'PSV Eindhoven', 'clubID': '383', 'value': '€12.00m'}, {'date': '12/06/2019', 'age': '22', 'clubName': 'PSV Eindhoven', 'clubID': '383', 'value': '€16.00m'}, {'date': '10/12/2019', 'age': '22', 'clubName': 'Manchester City', 'clubID': '281', 'value': '€16.00m'}, {'date': '11/03/2020', 'age': '23', 'clubName': 'RB Leipzig', 'clubID': '23826', 'value': '€22.00m'}, {'date': '08/04/2020', 'age': '23', 'clubName': 'RB Leipzig', 'clubID': '23826', 'value': '€17.50m'}, {'date': '08/07/2020', 'age': '23', 'clubName': 'RB Leipzig', 'clubID': '23826', 'value': '€20.00m'}, {'date': '26/11/2020', 'age': '23', 'clubName': 'RB Leipzig', 'clubID': '23826', 'value': '€25.00m'}, {'date': '10/02/2021', 'age': '24', 'clubName': 'RB Leipzig', 'clubID': '23826', 'value': '€35.00m'}, {'date': '09/06/2021', 'age': '24', 'clubName': 'RB Leipzig', 'clubID': '23826', 'value': '€35.00m'}, {'date': '22/12/2021', 'age': '24', 'clubName': 'RB Leipzig', 'clubID': '23826', 'value': '€30.00m'}, {'date': '09/06/2022', 'age': '25', 'clubName': 'RB Leipzig', 'clubID': '23826', 'value': '€30.00m'}, {'date': '21/09/2022', 'age': '25', 'clubName': 'TSG 1899 Hoffenheim', 'clubID': '533', 'value': '€20.00m'}, {'date': '09/11/2022', 'age': '25', 'clubName': 'TSG 1899 Hoffenheim', 'clubID': '533', 'value': '€20.00m'}, {'date': '29/03/2023', 'age': '26', 'clubName': 'TSG 1899 Hoffenheim', 'clubID': '533', 'value': '€14.00m'}, {'date': '22/06/2023', 'age': '26', 'clubName': 'TSG 1899 Hoffenheim', 'clubID': '533', 'value': '€12.00m'}, {'date': '27/09/2023', 'age': '26', 'clubName': 'Galatasaray', 'clubID': '141', 'value': '€11.00m'}, {'date': '21/12/2023', 'age': '26', 'clubName': 'Galatasaray', 'clubID': '141', 'value': '€8.00m'}, {'date': '05/06/2024', 'age': '27', 'clubName': 'AS Roma', 'clubID': '12', 'value': '€8.00m'}, {'date': '18/12/2024', 'age': '27', 'clubName': 'AS Roma', 'clubID': '12', 'value': '€8.00m'}, {'date': '25/03/2025', 'age': '28', 'clubName': 'AS Roma', 'clubID': '12', 'value': '€15.00m'}, {'date': '17/06/2025', 'age': '28', 'clubName': 'AS Roma', 'clubID': '12', 'value': '€20.00m'}, {'date': '23/12/2025', 'age': '28', 'clubName': 'AS Roma', 'clubID': '12', 'value': '€17.00m'}, {'date': '24/03/2026', 'age': '29', 'clubName': 'AS Roma', 'clubID': '12', 'value': '€10.00m'}]}</t>
        </is>
      </c>
      <c r="L253" t="inlineStr">
        <is>
          <t>Spain</t>
        </is>
      </c>
      <c r="M253" t="inlineStr">
        <is>
          <t>1997-01-04</t>
        </is>
      </c>
      <c r="N253" t="inlineStr">
        <is>
          <t>2</t>
        </is>
      </c>
      <c r="O253">
        <f>(30+20+20)/3</f>
        <v/>
      </c>
      <c r="P253">
        <f>(35+35+30)/3</f>
        <v/>
      </c>
    </row>
    <row r="254">
      <c r="A254" t="inlineStr">
        <is>
          <t>Pedraza</t>
        </is>
      </c>
      <c r="B254" t="inlineStr">
        <is>
          <t>Villarreal</t>
        </is>
      </c>
      <c r="C254" t="inlineStr">
        <is>
          <t>Midfielder</t>
        </is>
      </c>
      <c r="D254" t="n">
        <v>431</v>
      </c>
      <c r="E254" t="n">
        <v>10</v>
      </c>
      <c r="F254" t="n">
        <v>0</v>
      </c>
      <c r="G254" t="n">
        <v>1</v>
      </c>
      <c r="H254" t="n">
        <v>55.3</v>
      </c>
      <c r="I254" t="n">
        <v>34.6</v>
      </c>
      <c r="J254" t="n">
        <v>356197</v>
      </c>
      <c r="K254" t="inlineStr">
        <is>
          <t>{'marketValueHistory': [{'date': '23/11/2015', 'age': '19', 'clubName': 'Villarreal CF B', 'clubID': '11972', 'value': '€500k'}, {'date': '22/02/2016', 'age': '19', 'clubName': 'Villarreal CF B', 'clubID': '11972', 'value': '€500k'}, {'date': '15/07/2016', 'age': '20', 'clubName': 'Villarreal CF', 'clubID': '1050', 'value': '€500k'}, {'date': '27/10/2016', 'age': '20', 'clubName': 'CD Lugo', 'clubID': '11000', 'value': '€1.00m'}, {'date': '24/01/2017', 'age': '20', 'clubName': 'CD Lugo', 'clubID': '11000', 'value': '€1.00m'}, {'date': '17/08/2017', 'age': '21', 'clubName': 'Deportivo Alavés', 'clubID': '1108', 'value': '€1.00m'}, {'date': '01/01/2018', 'age': '21', 'clubName': 'Deportivo Alavés', 'clubID': '1108', 'value': '€3.50m'}, {'date': '22/03/2018', 'age': '21', 'clubName': 'Deportivo Alavés', 'clubID': '1108', 'value': '€5.00m'}, {'date': '30/05/2018', 'age': '22', 'clubName': 'Deportivo Alavés', 'clubID': '1108', 'value': '€5.00m'}, {'date': '21/12/2018', 'age': '22', 'clubName': 'Villarreal CF', 'clubID': '1050', 'value': '€7.50m'}, {'date': '28/02/2019', 'age': '22', 'clubName': 'Villarreal CF', 'clubID': '1050', 'value': '€15.00m'}, {'date': '11/06/2019', 'age': '23', 'clubName': 'Villarreal CF', 'clubID': '1050', 'value': '€22.00m'}, {'date': '10/09/2019', 'age': '23', 'clubName': 'Real Betis Balompié', 'clubID': '150', 'value': '€17.50m'}, {'date': '20/12/2019', 'age': '23', 'clubName': 'Real Betis Balompié', 'clubID': '150', 'value': '€12.00m'}, {'date': '08/04/2020', 'age': '23', 'clubName': 'Real Betis Balompié', 'clubID': '150', 'value': '€9.50m'}, {'date': '08/10/2020', 'age': '24', 'clubName': 'Villarreal CF', 'clubID': '1050', 'value': '€10.00m'}, {'date': '05/01/2021', 'age': '24', 'clubName': 'Villarreal CF', 'clubID': '1050', 'value': '€10.00m'}, {'date': '19/03/2021', 'age': '24', 'clubName': 'Villarreal CF', 'clubID': '1050', 'value': '€12.00m'}, {'date': '10/06/2021', 'age': '25', 'clubName': 'Villarreal CF', 'clubID': '1050', 'value': '€20.00m'}, {'date': '30/12/2021', 'age': '25', 'clubName': 'Villarreal CF', 'clubID': '1050', 'value': '€17.00m'}, {'date': '03/06/2022', 'age': '26', 'clubName': 'Villarreal CF', 'clubID': '1050', 'value': '€18.00m'}, {'date': '07/11/2022', 'age': '26', 'clubName': 'Villarreal CF', 'clubID': '1050', 'value': '€18.00m'}, {'date': '23/03/2023', 'age': '26', 'clubName': 'Villarreal CF', 'clubID': '1050', 'value': '€15.00m'}, {'date': '13/06/2023', 'age': '27', 'clubName': 'Villarreal CF', 'clubID': '1050', 'value': '€15.00m'}, {'date': '13/10/2023', 'age': '27', 'clubName': 'Villarreal CF', 'clubID': '1050', 'value': '€12.00m'}, {'date': '22/12/2023', 'age': '27', 'clubName': 'Villarreal CF', 'clubID': '1050', 'value': '€12.00m'}, {'date': '21/03/2024', 'age': '27', 'clubName': 'Villarreal CF', 'clubID': '1050', 'value': '€9.00m'}, {'date': '07/06/2024', 'age': '28', 'clubName': 'Villarreal CF', 'clubID': '1050', 'value': '€5.00m'}, {'date': '27/12/2024', 'age': '28', 'clubName': 'Villarreal CF', 'clubID': '1050', 'value': '€2.50m'}, {'date': '09/06/2025', 'age': '29', 'clubName': 'Villarreal CF', 'clubID': '1050', 'value': '€2.50m'}, {'date': '12/12/2025', 'age': '29', 'clubName': 'Villarreal CF', 'clubID': '1050', 'value': '€2.50m'}]}</t>
        </is>
      </c>
      <c r="L254" t="inlineStr">
        <is>
          <t>Spain</t>
        </is>
      </c>
      <c r="M254" t="inlineStr">
        <is>
          <t>1996-04-09</t>
        </is>
      </c>
      <c r="N254" t="inlineStr">
        <is>
          <t>Spain</t>
        </is>
      </c>
      <c r="O254">
        <f>(18+18)/2</f>
        <v/>
      </c>
      <c r="P254">
        <f>(10+12+20+17)/4</f>
        <v/>
      </c>
    </row>
    <row r="255">
      <c r="A255" t="inlineStr">
        <is>
          <t>Pino</t>
        </is>
      </c>
      <c r="B255" t="inlineStr">
        <is>
          <t>Villarreal</t>
        </is>
      </c>
      <c r="C255" t="inlineStr">
        <is>
          <t>Forward</t>
        </is>
      </c>
      <c r="D255" t="n">
        <v>431</v>
      </c>
      <c r="E255" t="n">
        <v>7</v>
      </c>
      <c r="F255" t="n">
        <v>1</v>
      </c>
      <c r="G255" t="n">
        <v>0</v>
      </c>
      <c r="H255" t="n">
        <v>54.7</v>
      </c>
      <c r="I255" t="n">
        <v>32.1</v>
      </c>
      <c r="J255" t="n">
        <v>568157</v>
      </c>
      <c r="K255" t="inlineStr">
        <is>
          <t>{'marketValueHistory': [{'date': 'Oct 30, 2020', 'age': '18', 'clubName': 'Villarreal CF', 'clubID': '1050', 'value': '€2.50m'}, {'date': 'Jan 5, 2021', 'age': '18', 'clubName': 'Villarreal CF', 'clubID': '1050', 'value': '€5.00m'}, {'date': 'Jun 10, 2021', 'age': '18', 'clubName': 'Villarreal CF', 'clubID': '1050', 'value': '€15.00m'}, {'date': 'Oct 13, 2021', 'age': '18', 'clubName': 'Villarreal CF', 'clubID': '1050', 'value': '€30.00m'}, {'date': 'Dec 30, 2021', 'age': '19', 'clubName': 'Villarreal CF', 'clubID': '1050', 'value': '€30.00m'}, {'date': 'Mar 21, 2022', 'age': '19', 'clubName': 'Villarreal CF', 'clubID': '1050', 'value': '€40.00m'}, {'date': 'Jun 3, 2022', 'age': '19', 'clubName': 'Villarreal CF', 'clubID': '1050', 'value': '€40.00m'}, {'date': 'Nov 7, 2022', 'age': '20', 'clubName': 'Villarreal CF', 'clubID': '1050', 'value': '€38.00m'}, {'date': 'Jun 13, 2023', 'age': '20', 'clubName': 'Villarreal CF', 'clubID': '1050', 'value': '€40.00m'}, {'date': 'Oct 13, 2023', 'age': '20', 'clubName': 'Villarreal CF', 'clubID': '1050', 'value': '€35.00m'}, {'date': 'Dec 22, 2023', 'age': '21', 'clubName': 'Villarreal CF', 'clubID': '1050', 'value': '€30.00m'}, {'date': 'Jun 7, 2024', 'age': '21', 'clubName': 'Villarreal CF', 'clubID': '1050', 'value': '€30.00m'}, {'date': 'Dec 27, 2024', 'age': '22', 'clubName': 'Villarreal CF', 'clubID': '1050', 'value': '€30.00m'}, {'date': 'Jun 9, 2025', 'age': '22', 'clubName': 'Villarreal CF', 'clubID': '1050', 'value': '€30.00m'}, {'date': 'Dec 9, 2025', 'age': '23', 'clubName': 'Crystal Palace', 'clubID': '873', 'value': '€35.00m'}]}</t>
        </is>
      </c>
      <c r="L255" t="inlineStr">
        <is>
          <t>Spain</t>
        </is>
      </c>
      <c r="M255" t="inlineStr">
        <is>
          <t>2002-10-20</t>
        </is>
      </c>
      <c r="N255" t="inlineStr">
        <is>
          <t>Spain</t>
        </is>
      </c>
      <c r="O255">
        <f>(40+40+38)/3</f>
        <v/>
      </c>
      <c r="P255">
        <f>(5+15+30+30)/4</f>
        <v/>
      </c>
    </row>
    <row r="256">
      <c r="A256" t="inlineStr">
        <is>
          <t>Verratti</t>
        </is>
      </c>
      <c r="B256" t="inlineStr">
        <is>
          <t>Paris</t>
        </is>
      </c>
      <c r="C256" t="inlineStr">
        <is>
          <t>Midfielder</t>
        </is>
      </c>
      <c r="D256" t="n">
        <v>431</v>
      </c>
      <c r="E256" t="n">
        <v>5</v>
      </c>
      <c r="F256" t="n">
        <v>0</v>
      </c>
      <c r="G256" t="n">
        <v>0</v>
      </c>
      <c r="H256" t="n">
        <v>55.7</v>
      </c>
      <c r="I256" t="n">
        <v>30.3</v>
      </c>
      <c r="J256" t="n">
        <v>102558</v>
      </c>
      <c r="K256" t="inlineStr">
        <is>
          <t>{'id': '102558', 'marketValue': '€18.00m', 'marketValueHistory': [{'age': '16', 'date': 'Sep 11, 2009', 'clubName': 'Delfino Pescara 1936', 'value': '€100k', 'clubID': '2921'}, {'age': '17', 'date': 'Mar 30, 2010', 'clubName': 'Delfino Pescara 1936', 'value': '€500k', 'clubID': '2921'}, {'age': '17', 'date': 'Apr 7, 2010', 'clubName': 'Delfino Pescara 1936', 'value': '€400k', 'clubID': '2921'}, {'age': '17', 'date': 'Oct 6, 2010', 'clubName': 'Delfino Pescara 1936', 'value': '€900k', 'clubID': '2921'}, {'age': '18', 'date': 'Feb 8, 2011', 'clubName': 'Delfino Pescara 1936', 'value': '€1.00m', 'clubID': '2921'}, {'age': '18', 'date': 'Jun 7, 2011', 'clubName': 'Delfino Pescara 1936', 'value': '€1.40m', 'clubID': '2921'}, {'age': '19', 'date': 'Mar 14, 2012', 'clubName': 'Delfino Pescara 1936', 'value': '€2.00m', 'clubID': '2921'}, {'age': '19', 'date': 'May 14, 2012', 'clubName': 'Delfino Pescara 1936', 'value': '€6.50m', 'clubID': '2921'}, {'age': '19', 'date': 'Jun 6, 2012', 'clubName': 'Delfino Pescara 1936', 'value': '€10.00m', 'clubID': '2921'}, {'age': '19', 'date': 'Jul 25, 2012', 'clubName': 'Paris Saint-Germain', 'value': '€11.00m', 'clubID': '583'}, {'age': '20', 'date': 'Jan 7, 2013', 'clubName': 'Paris Saint-Germain', 'value': '€12.00m', 'clubID': '583'}, {'age': '20', 'date': 'May 30, 2013', 'clubName': 'Paris Saint-Germain', 'value': '€14.00m', 'clubID': '583'}, {'age': '20', 'date': 'Jun 12, 2013', 'clubName': 'Paris Saint-Germain', 'value': '€15.00m', 'clubID': '583'}, {'age': '21', 'date': 'Jan 14, 2014', 'clubName': 'Paris Saint-Germain', 'value': '€20.00m', 'clubID': '583'}, {'age': '21', 'date': 'Aug 1, 2014', 'clubName': 'Paris Saint-Germain', 'value': '€24.00m', 'clubID': '583'}, {'age': '22', 'date': 'Nov 20, 2014', 'clubName': 'Paris Saint-Germain', 'value': '€30.00m', 'clubID': '583'}, {'age': '22', 'date': 'Jan 14, 2015', 'clubName': 'Paris Saint-Germain', 'value': '€30.00m', 'clubID': '583'}, {'age': '22', 'date': 'Jun 6, 2015', 'clubName': 'Paris Saint-Germain', 'value': '€40.00m', 'clubID': '583'}, {'age': '23', 'date': 'Feb 4, 2016', 'clubName': 'Paris Saint-Germain', 'value': '€40.00m', 'clubID': '583'}, {'age': '23', 'date': 'Jul 13, 2016', 'clubName': 'Paris Saint-Germain', 'value': '€40.00m', 'clubID': '583'}, {'age': '24', 'date': 'Jan 16, 2017', 'clubName': 'Paris Saint-Germain', 'value': '€40.00m', 'clubID': '583'}, {'age': '24', 'date': 'Jun 1, 2017', 'clubName': 'Paris Saint-Germain', 'value': '€45.00m', 'clubID': '583'}, {'age': '24', 'date': 'Oct 12, 2017', 'clubName': 'Paris Saint-Germain', 'value': '€60.00m', 'clubID': '583'}, {'age': '25', 'date': 'Jan 24, 2018', 'clubName': 'Paris Saint-Germain', 'value': '€70.00m', 'clubID': '583'}, {'age': '25', 'date': 'Jun 4, 2018', 'clubName': 'Paris Saint-Germain', 'value': '€70.00m', 'clubID': '583'}, {'age': '26', 'date': 'Dec 17, 2018', 'clubName': 'Paris Saint-Germain', 'value': '€70.00m', 'clubID': '583'}, {'age': '26', 'date': 'Mar 7, 2019', 'clubName': 'Paris Saint-Germain', 'value': '€75.00m', 'clubID': '583'}, {'age': '26', 'date': 'Jun 3, 2019', 'clubName': 'Paris Saint-Germain', 'value': '€75.00m', 'clubID': '583'}, {'age': '27', 'date': 'Dec 19, 2019', 'clubName': 'Paris Saint-Germain', 'value': '€75.00m', 'clubID': '583'}, {'age': '27', 'date': 'Apr 8, 2020', 'clubName': 'Paris Saint-Germain', 'value': '€60.00m', 'clubID': '583'}, {'age': '27', 'date': 'Oct 15, 2020', 'clubName': 'Paris Saint-Germain', 'value': '€60.00m', 'clubID': '583'}, {'age': '28', 'date': 'May 25, 2021', 'clubName': 'Paris Saint-Germain', 'value': '€55.00m', 'clubID': '583'}, {'age': '29', 'date': 'Dec 16, 2021', 'clubName': 'Paris Saint-Germain', 'value': '€55.00m', 'clubID': '583'}, {'age': '29', 'date': 'May 30, 2022', 'clubName': 'Paris Saint-Germain', 'value': '€50.00m', 'clubID': '583'}, {'age': '29', 'date': 'Nov 2, 2022', 'clubName': 'Paris Saint-Germain', 'value': '€50.00m', 'clubID': '583'}, {'age': '30', 'date': 'Jun 27, 2023', 'clubName': 'Paris Saint-Germain', 'value': '€40.00m', 'clubID': '583'}, {'age': '31', 'date': 'Nov 27, 2023', 'clubName': 'Al-Arabi SC', 'value': '€25.00m', 'clubID': '1230'}, {'age': '31', 'date': 'May 2, 2024', 'clubName': 'Al-Arabi SC', 'value': '€18.00m', 'clubID': '1230'}], 'ranking': {'Worldwide': '529', 'Stars League': '1', 'Al-Arabi SC': '1', 'Italy': '23', 'Central Midfield': '78', 'Year 1992': '14'}, 'updatedAt': datetime.datetime(2024, 5, 23, 22, 17, 48, 353828)}</t>
        </is>
      </c>
      <c r="L256" t="inlineStr">
        <is>
          <t>Italy</t>
        </is>
      </c>
      <c r="M256" t="inlineStr">
        <is>
          <t>1992-11-05</t>
        </is>
      </c>
      <c r="N256" t="inlineStr">
        <is>
          <t>Italy</t>
        </is>
      </c>
      <c r="O256">
        <f>(50+50)/2</f>
        <v/>
      </c>
      <c r="P256">
        <f>(55+55)/2</f>
        <v/>
      </c>
    </row>
    <row r="257">
      <c r="A257" t="inlineStr">
        <is>
          <t>Guilavogui</t>
        </is>
      </c>
      <c r="B257" t="inlineStr">
        <is>
          <t>Wolfsburg</t>
        </is>
      </c>
      <c r="C257" t="inlineStr">
        <is>
          <t>Midfielder</t>
        </is>
      </c>
      <c r="D257" t="n">
        <v>429</v>
      </c>
      <c r="E257" t="n">
        <v>5</v>
      </c>
      <c r="F257" t="n">
        <v>0</v>
      </c>
      <c r="G257" t="n">
        <v>0</v>
      </c>
      <c r="H257" t="n">
        <v>50.5</v>
      </c>
      <c r="I257" t="n">
        <v>31.6</v>
      </c>
      <c r="J257" t="n">
        <v>93704</v>
      </c>
      <c r="K257" t="inlineStr">
        <is>
          <t>{'marketValueHistory': [{'date': '16/07/2010', 'age': '19', 'clubName': 'AS Saint-Étienne', 'clubID': '618', 'value': '€150k'}, {'date': '28/12/2010', 'age': '20', 'clubName': 'AS Saint-Étienne', 'clubID': '618', 'value': '€750k'}, {'date': '24/05/2011', 'age': '20', 'clubName': 'AS Saint-Étienne', 'clubID': '618', 'value': '€1.20m'}, {'date': '03/09/2011', 'age': '20', 'clubName': 'AS Saint-Étienne', 'clubID': '618', 'value': '€1.75m'}, {'date': '24/12/2011', 'age': '21', 'clubName': 'AS Saint-Étienne', 'clubID': '618', 'value': '€3.00m'}, {'date': '23/05/2012', 'age': '21', 'clubName': 'AS Saint-Étienne', 'clubID': '618', 'value': '€4.00m'}, {'date': '07/01/2013', 'age': '22', 'clubName': 'AS Saint-Étienne', 'clubID': '618', 'value': '€4.50m'}, {'date': '30/05/2013', 'age': '22', 'clubName': 'AS Saint-Étienne', 'clubID': '618', 'value': '€6.50m'}, {'date': '17/09/2013', 'age': '22', 'clubName': 'Atlético de Madrid', 'clubID': '13', 'value': '€10.00m'}, {'date': '23/01/2014', 'age': '23', 'clubName': 'Atlético de Madrid', 'clubID': '13', 'value': '€10.00m'}, {'date': '20/07/2014', 'age': '23', 'clubName': 'Atlético de Madrid', 'clubID': '13', 'value': '€10.00m'}, {'date': '04/02/2015', 'age': '24', 'clubName': 'VfL Wolfsburg', 'clubID': '82', 'value': '€12.00m'}, {'date': '01/07/2015', 'age': '24', 'clubName': 'VfL Wolfsburg', 'clubID': '82', 'value': '€12.00m'}, {'date': '15/02/2016', 'age': '25', 'clubName': 'VfL Wolfsburg', 'clubID': '82', 'value': '€12.00m'}, {'date': '22/07/2016', 'age': '25', 'clubName': 'VfL Wolfsburg', 'clubID': '82', 'value': '€10.00m'}, {'date': '07/02/2017', 'age': '26', 'clubName': 'VfL Wolfsburg', 'clubID': '82', 'value': '€10.00m'}, {'date': '19/06/2017', 'age': '26', 'clubName': 'VfL Wolfsburg', 'clubID': '82', 'value': '€8.00m'}, {'date': '28/12/2017', 'age': '27', 'clubName': 'VfL Wolfsburg', 'clubID': '82', 'value': '€8.00m'}, {'date': '04/04/2018', 'age': '27', 'clubName': 'VfL Wolfsburg', 'clubID': '82', 'value': '€7.00m'}, {'date': '05/06/2018', 'age': '27', 'clubName': 'VfL Wolfsburg', 'clubID': '82', 'value': '€7.00m'}, {'date': '18/12/2018', 'age': '28', 'clubName': 'VfL Wolfsburg', 'clubID': '82', 'value': '€7.00m'}, {'date': '05/06/2019', 'age': '28', 'clubName': 'VfL Wolfsburg', 'clubID': '82', 'value': '€12.00m'}, {'date': '17/12/2019', 'age': '29', 'clubName': 'VfL Wolfsburg', 'clubID': '82', 'value': '€14.00m'}, {'date': '08/04/2020', 'age': '29', 'clubName': 'VfL Wolfsburg', 'clubID': '82', 'value': '€11.00m'}, {'date': '10/02/2021', 'age': '30', 'clubName': 'VfL Wolfsburg', 'clubID': '82', 'value': '€7.00m'}, {'date': '09/06/2021', 'age': '30', 'clubName': 'VfL Wolfsburg', 'clubID': '82', 'value': '€5.00m'}, {'date': '22/12/2021', 'age': '31', 'clubName': 'VfL Wolfsburg', 'clubID': '82', 'value': '€4.00m'}, {'date': '30/05/2022', 'age': '31', 'clubName': 'FC Girondins Bordeaux', 'clubID': '40', 'value': '€3.50m'}, {'date': '09/11/2022', 'age': '32', 'clubName': 'VfL Wolfsburg', 'clubID': '82', 'value': '€3.00m'}, {'date': '22/06/2023', 'age': '32', 'clubName': 'VfL Wolfsburg', 'clubID': '82', 'value': '€2.00m'}, {'date': '14/12/2023', 'age': '33', 'clubName': '1.FSV Mainz 05', 'clubID': '39', 'value': '€1.00m'}, {'date': '29/05/2024', 'age': '33', 'clubName': '1.FSV Mainz 05', 'clubID': '39', 'value': '€700k'}, {'date': '16/10/2024', 'age': '34', 'clubName': 'Without Club', 'clubID': '515', 'value': '€500k'}, {'date': '30/12/2024', 'age': '34', 'clubName': 'Leeds United', 'clubID': '399', 'value': '€400k'}, {'date': '27/05/2025', 'age': '34', 'clubName': 'Leeds United', 'clubID': '399', 'value': '€300k'}, {'date': '21/10/2025', 'age': '35', 'clubName': 'Without Club', 'clubID': '515', 'value': '€250k'}, {'date': '09/04/2026', 'age': '35', 'clubName': 'Without Club', 'clubID': '515', 'value': '€200k'}]}</t>
        </is>
      </c>
      <c r="L257" t="inlineStr">
        <is>
          <t>France</t>
        </is>
      </c>
      <c r="M257" t="inlineStr">
        <is>
          <t>1990-09-19</t>
        </is>
      </c>
      <c r="N257" t="inlineStr">
        <is>
          <t>France</t>
        </is>
      </c>
      <c r="O257">
        <f>(3.5+3)/2</f>
        <v/>
      </c>
      <c r="P257">
        <f>(7+5+4)/3</f>
        <v/>
      </c>
    </row>
    <row r="258">
      <c r="A258" t="inlineStr">
        <is>
          <t>Kante</t>
        </is>
      </c>
      <c r="B258" t="inlineStr">
        <is>
          <t>Chelsea</t>
        </is>
      </c>
      <c r="C258" t="inlineStr">
        <is>
          <t>Midfielder</t>
        </is>
      </c>
      <c r="D258" t="n">
        <v>427</v>
      </c>
      <c r="E258" t="n">
        <v>6</v>
      </c>
      <c r="F258" t="n">
        <v>0</v>
      </c>
      <c r="G258" t="n">
        <v>1</v>
      </c>
      <c r="H258" t="n">
        <v>52.2</v>
      </c>
      <c r="I258" t="n">
        <v>32.4</v>
      </c>
      <c r="J258" t="n">
        <v>225083</v>
      </c>
      <c r="K258" t="inlineStr">
        <is>
          <t>{'id': '225083', 'marketValue': '€10.00m', 'marketValueHistory': [{'age': '21', 'date': 'Mar 21, 2013', 'clubName': 'US Boulogne', 'value': '€50k', 'clubID': '7042'}, {'age': '22', 'date': 'Sep 13, 2013', 'clubName': 'SM Caen', 'value': '€400k', 'clubID': '1162'}, {'age': '22', 'date': 'Jan 13, 2014', 'clubName': 'SM Caen', 'value': '€700k', 'clubID': '1162'}, {'age': '23', 'date': 'Aug 3, 2014', 'clubName': 'SM Caen', 'value': '€1.50m', 'clubID': '1162'}, {'age': '23', 'date': 'Nov 20, 2014', 'clubName': 'SM Caen', 'value': '€2.50m', 'clubID': '1162'}, {'age': '23', 'date': 'Jan 14, 2015', 'clubName': 'SM Caen', 'value': '€2.50m', 'clubID': '1162'}, {'age': '24', 'date': 'Jun 6, 2015', 'clubName': 'SM Caen', 'value': '€4.50m', 'clubID': '1162'}, {'age': '24', 'date': 'Oct 14, 2015', 'clubName': 'Leicester City', 'value': '€7.00m', 'clubID': '1003'}, {'age': '24', 'date': 'Feb 9, 2016', 'clubName': 'Leicester City', 'value': '€10.00m', 'clubID': '1003'}, {'age': '25', 'date': 'Jun 1, 2016', 'clubName': 'Leicester City', 'value': '€20.00m', 'clubID': '1003'}, {'age': '25', 'date': 'Aug 1, 2016', 'clubName': 'Chelsea FC', 'value': '€30.00m', 'clubID': '631'}, {'age': '25', 'date': 'Feb 20, 2017', 'clubName': 'Chelsea FC', 'value': '€40.00m', 'clubID': '631'}, {'age': '26', 'date': 'Jun 28, 2017', 'clubName': 'Chelsea FC', 'value': '€50.00m', 'clubID': '631'}, {'age': '26', 'date': 'Jan 2, 2018', 'clubName': 'Chelsea FC', 'value': '€60.00m', 'clubID': '631'}, {'age': '27', 'date': 'May 28, 2018', 'clubName': 'Chelsea FC', 'value': '€60.00m', 'clubID': '631'}, {'age': '27', 'date': 'Jul 16, 2018', 'clubName': 'Chelsea FC', 'value': '€80.00m', 'clubID': '631'}, {'age': '27', 'date': 'Dec 19, 2018', 'clubName': 'Chelsea FC', 'value': '€100.00m', 'clubID': '631'}, {'age': '28', 'date': 'Jun 13, 2019', 'clubName': 'Chelsea FC', 'value': '€100.00m', 'clubID': '631'}, {'age': '28', 'date': 'Dec 10, 2019', 'clubName': 'Chelsea FC', 'value': '€100.00m', 'clubID': '631'}, {'age': '29', 'date': 'Apr 8, 2020', 'clubName': 'Chelsea FC', 'value': '€80.00m', 'clubID': '631'}, {'age': '29', 'date': 'Oct 13, 2020', 'clubName': 'Chelsea FC', 'value': '€70.00m', 'clubID': '631'}, {'age': '29', 'date': 'Dec 17, 2020', 'clubName': 'Chelsea FC', 'value': '€60.00m', 'clubID': '631'}, {'age': '29', 'date': 'Mar 18, 2021', 'clubName': 'Chelsea FC', 'value': '€55.00m', 'clubID': '631'}, {'age': '30', 'date': 'Jun 1, 2021', 'clubName': 'Chelsea FC', 'value': '€55.00m', 'clubID': '631'}, {'age': '30', 'date': 'Dec 23, 2021', 'clubName': 'Chelsea FC', 'value': '€50.00m', 'clubID': '631'}, {'age': '31', 'date': 'Jun 15, 2022', 'clubName': 'Chelsea FC', 'value': '€40.00m', 'clubID': '631'}, {'age': '31', 'date': 'Nov 3, 2022', 'clubName': 'Chelsea FC', 'value': '€30.00m', 'clubID': '631'}, {'age': '31', 'date': 'Mar 16, 2023', 'clubName': 'Chelsea FC', 'value': '€20.00m', 'clubID': '631'}, {'age': '32', 'date': 'Jun 20, 2023', 'clubName': 'Chelsea FC', 'value': '€15.00m', 'clubID': '631'}, {'age': '32', 'date': 'Oct 24, 2023', 'clubName': 'Al-Ittihad Club', 'value': '€12.00m', 'clubID': '8023'}, {'age': '32', 'date': 'Dec 15, 2023', 'clubName': 'Al-Ittihad Club', 'value': '€10.00m', 'clubID': '8023'}], 'ranking': {'Worldwide': '987', 'Saudi Pro League': '28', 'Al-Ittihad': '4', 'France': '94', 'Defensive Midfield': '86', 'Year 1991': '11'}, 'updatedAt': datetime.datetime(2024, 5, 23, 22, 29, 40, 10014)}</t>
        </is>
      </c>
      <c r="L258" t="inlineStr">
        <is>
          <t>France</t>
        </is>
      </c>
      <c r="M258" t="inlineStr">
        <is>
          <t>1991-03-29</t>
        </is>
      </c>
      <c r="N258" t="inlineStr">
        <is>
          <t>France</t>
        </is>
      </c>
      <c r="O258">
        <f>(40+30)/2</f>
        <v/>
      </c>
      <c r="P258">
        <f>(55+55+50)/3</f>
        <v/>
      </c>
    </row>
    <row r="259">
      <c r="A259" t="inlineStr">
        <is>
          <t>Kovacic</t>
        </is>
      </c>
      <c r="B259" t="inlineStr">
        <is>
          <t>Chelsea</t>
        </is>
      </c>
      <c r="C259" t="inlineStr">
        <is>
          <t>Midfielder</t>
        </is>
      </c>
      <c r="D259" t="n">
        <v>426</v>
      </c>
      <c r="E259" t="n">
        <v>6</v>
      </c>
      <c r="F259" t="n">
        <v>0</v>
      </c>
      <c r="G259" t="n">
        <v>0</v>
      </c>
      <c r="H259" t="n">
        <v>50.3</v>
      </c>
      <c r="I259" t="n">
        <v>34</v>
      </c>
      <c r="J259" t="n">
        <v>51471</v>
      </c>
      <c r="K259" t="inlineStr">
        <is>
          <t>{'marketValueHistory': [{'date': 'Feb 13, 2011', 'age': '16', 'clubName': 'GNK Dinamo Zagreb', 'clubID': '419', 'value': '€500k'}, {'date': 'Aug 29, 2011', 'age': '17', 'clubName': 'GNK Dinamo Zagreb', 'clubID': '419', 'value': '€1.50m'}, {'date': 'Feb 29, 2012', 'age': '17', 'clubName': 'GNK Dinamo Zagreb', 'clubID': '419', 'value': '€3.00m'}, {'date': 'Sep 30, 2012', 'age': '18', 'clubName': 'GNK Dinamo Zagreb', 'clubID': '419', 'value': '€3.00m'}, {'date': 'Feb 12, 2013', 'age': '18', 'clubName': 'Inter Milan', 'clubID': '46', 'value': '€12.00m'}, {'date': 'Jun 19, 2013', 'age': '19', 'clubName': 'Inter Milan', 'clubID': '46', 'value': '€15.00m'}, {'date': 'Jan 7, 2014', 'age': '19', 'clubName': 'Inter Milan', 'clubID': '46', 'value': '€15.00m'}, {'date': 'Jul 11, 2014', 'age': '20', 'clubName': 'Inter Milan', 'clubID': '46', 'value': '€19.00m'}, {'date': 'Nov 8, 2014', 'age': '20', 'clubName': 'Inter Milan', 'clubID': '46', 'value': '€22.00m'}, {'date': 'Jan 7, 2015', 'age': '20', 'clubName': 'Inter Milan', 'clubID': '46', 'value': '€22.00m'}, {'date': 'Jul 1, 2015', 'age': '21', 'clubName': 'Inter Milan', 'clubID': '46', 'value': '€22.00m'}, {'date': 'Aug 25, 2015', 'age': '21', 'clubName': 'Real Madrid', 'clubID': '418', 'value': '€25.00m'}, {'date': 'Nov 22, 2015', 'age': '21', 'clubName': 'Real Madrid', 'clubID': '418', 'value': '€20.00m'}, {'date': 'Feb 22, 2016', 'age': '21', 'clubName': 'Real Madrid', 'clubID': '418', 'value': '€20.00m'}, {'date': 'Jun 1, 2016', 'age': '22', 'clubName': 'Real Madrid', 'clubID': '418', 'value': '€20.00m'}, {'date': 'Jul 15, 2016', 'age': '22', 'clubName': 'Real Madrid', 'clubID': '418', 'value': '€20.00m'}, {'date': 'Jan 24, 2017', 'age': '22', 'clubName': 'Real Madrid', 'clubID': '418', 'value': '€25.00m'}, {'date': 'Jun 5, 2017', 'age': '23', 'clubName': 'Real Madrid', 'clubID': '418', 'value': '€25.00m'}, {'date': 'Jan 1, 2018', 'age': '23', 'clubName': 'Real Madrid', 'clubID': '418', 'value': '€25.00m'}, {'date': 'Mar 22, 2018', 'age': '23', 'clubName': 'Real Madrid', 'clubID': '418', 'value': '€30.00m'}, {'date': 'May 30, 2018', 'age': '24', 'clubName': 'Real Madrid', 'clubID': '418', 'value': '€30.00m'}, {'date': 'Dec 19, 2018', 'age': '24', 'clubName': 'Chelsea FC', 'clubID': '631', 'value': '€35.00m'}, {'date': 'Jun 13, 2019', 'age': '25', 'clubName': 'Chelsea FC', 'clubID': '631', 'value': '€35.00m'}, {'date': 'Dec 10, 2019', 'age': '25', 'clubName': 'Chelsea FC', 'clubID': '631', 'value': '€45.00m'}, {'date': 'Apr 8, 2020', 'age': '25', 'clubName': 'Chelsea FC', 'clubID': '631', 'value': '€36.00m'}, {'date': 'Jul 30, 2020', 'age': '26', 'clubName': 'Chelsea FC', 'clubID': '631', 'value': '€40.00m'}, {'date': 'Oct 13, 2020', 'age': '26', 'clubName': 'Chelsea FC', 'clubID': '631', 'value': '€45.00m'}, {'date': 'Mar 18, 2021', 'age': '26', 'clubName': 'Chelsea FC', 'clubID': '631', 'value': '€45.00m'}, {'date': 'May 28, 2021', 'age': '27', 'clubName': 'Chelsea FC', 'clubID': '631', 'value': '€45.00m'}, {'date': 'Dec 23, 2021', 'age': '27', 'clubName': 'Chelsea FC', 'clubID': '631', 'value': '€45.00m'}, {'date': 'Jun 15, 2022', 'age': '28', 'clubName': 'Chelsea FC', 'clubID': '631', 'value': '€42.00m'}, {'date': 'Nov 3, 2022', 'age': '28', 'clubName': 'Chelsea FC', 'clubID': '631', 'value': '€40.00m'}, {'date': 'Jun 20, 2023', 'age': '29', 'clubName': 'Chelsea FC', 'clubID': '631', 'value': '€38.00m'}, {'date': 'Dec 19, 2023', 'age': '29', 'clubName': 'Manchester City', 'clubID': '281', 'value': '€38.00m'}, {'date': 'Mar 14, 2024', 'age': '29', 'clubName': 'Manchester City', 'clubID': '281', 'value': '€30.00m'}, {'date': 'May 27, 2024', 'age': '30', 'clubName': 'Manchester City', 'clubID': '281', 'value': '€30.00m'}, {'date': 'Dec 16, 2024', 'age': '30', 'clubName': 'Manchester City', 'clubID': '281', 'value': '€28.00m'}, {'date': 'Mar 18, 2025', 'age': '30', 'clubName': 'Manchester City', 'clubID': '281', 'value': '€25.00m'}, {'date': 'May 30, 2025', 'age': '31', 'clubName': 'Manchester City', 'clubID': '281', 'value': '€20.00m'}, {'date': 'Dec 9, 2025', 'age': '31', 'clubName': 'Manchester City', 'clubID': '281', 'value': '€15.00m'}, {'date': 'Mar 9, 2026', 'age': '31', 'clubName': 'Manchester City', 'clubID': '281', 'value': '€12.00m'}]}</t>
        </is>
      </c>
      <c r="L259" t="inlineStr">
        <is>
          <t>Croatia</t>
        </is>
      </c>
      <c r="M259" t="inlineStr">
        <is>
          <t>1994-05-06</t>
        </is>
      </c>
      <c r="N259" t="inlineStr">
        <is>
          <t>Croatia</t>
        </is>
      </c>
      <c r="O259">
        <f>(42+40)/2</f>
        <v/>
      </c>
      <c r="P259">
        <f>(45+45+45)/3</f>
        <v/>
      </c>
    </row>
    <row r="260">
      <c r="A260" t="inlineStr">
        <is>
          <t>Lindelof</t>
        </is>
      </c>
      <c r="B260" t="inlineStr">
        <is>
          <t>Man United</t>
        </is>
      </c>
      <c r="C260" t="inlineStr">
        <is>
          <t>Defender</t>
        </is>
      </c>
      <c r="D260" t="n">
        <v>426</v>
      </c>
      <c r="E260" t="n">
        <v>5</v>
      </c>
      <c r="F260" t="n">
        <v>0</v>
      </c>
      <c r="G260" t="n">
        <v>0</v>
      </c>
      <c r="H260" t="n">
        <v>37.8</v>
      </c>
      <c r="I260" t="n">
        <v>32.4</v>
      </c>
      <c r="J260" t="n">
        <v>184573</v>
      </c>
      <c r="K260" t="inlineStr">
        <is>
          <t>{'marketValueHistory': [{'date': 'Jun 7, 2011', 'age': '16', 'clubName': 'Västerås SK', 'clubID': '5202', 'value': '€75k'}, {'date': 'May 2, 2012', 'age': '17', 'clubName': 'Västerås SK', 'clubID': '5202', 'value': '-'}, {'date': 'Nov 10, 2012', 'age': '18', 'clubName': 'SL Benfica B', 'clubID': '10330', 'value': '€150k'}, {'date': 'Nov 8, 2013', 'age': '19', 'clubName': 'SL Benfica B', 'clubID': '10330', 'value': '€500k'}, {'date': 'Feb 20, 2014', 'age': '19', 'clubName': 'SL Benfica B', 'clubID': '10330', 'value': '€1.00m'}, {'date': 'Jul 1, 2015', 'age': '20', 'clubName': 'SL Benfica', 'clubID': '294', 'value': '€1.50m'}, {'date': 'Feb 24, 2016', 'age': '21', 'clubName': 'SL Benfica', 'clubID': '294', 'value': '€2.50m'}, {'date': 'Jun 1, 2016', 'age': '21', 'clubName': 'SL Benfica', 'clubID': '294', 'value': '€8.00m'}, {'date': 'Jul 29, 2016', 'age': '22', 'clubName': 'SL Benfica', 'clubID': '294', 'value': '€12.00m'}, {'date': 'Feb 22, 2017', 'age': '22', 'clubName': 'SL Benfica', 'clubID': '294', 'value': '€18.00m'}, {'date': 'Jun 26, 2017', 'age': '22', 'clubName': 'SL Benfica', 'clubID': '294', 'value': '€22.00m'}, {'date': 'Jan 2, 2018', 'age': '23', 'clubName': 'Manchester United', 'clubID': '985', 'value': '€25.00m'}, {'date': 'May 28, 2018', 'age': '23', 'clubName': 'Manchester United', 'clubID': '985', 'value': '€25.00m'}, {'date': 'Dec 19, 2018', 'age': '24', 'clubName': 'Manchester United', 'clubID': '985', 'value': '€25.00m'}, {'date': 'Mar 5, 2019', 'age': '24', 'clubName': 'Manchester United', 'clubID': '985', 'value': '€35.00m'}, {'date': 'Jun 13, 2019', 'age': '24', 'clubName': 'Manchester United', 'clubID': '985', 'value': '€35.00m'}, {'date': 'Dec 10, 2019', 'age': '25', 'clubName': 'Manchester United', 'clubID': '985', 'value': '€35.00m'}, {'date': 'Apr 8, 2020', 'age': '25', 'clubName': 'Manchester United', 'clubID': '985', 'value': '€28.00m'}, {'date': 'Oct 13, 2020', 'age': '26', 'clubName': 'Manchester United', 'clubID': '985', 'value': '€24.00m'}, {'date': 'Mar 18, 2021', 'age': '26', 'clubName': 'Manchester United', 'clubID': '985', 'value': '€24.00m'}, {'date': 'May 31, 2021', 'age': '26', 'clubName': 'Manchester United', 'clubID': '985', 'value': '€24.00m'}, {'date': 'Dec 23, 2021', 'age': '27', 'clubName': 'Manchester United', 'clubID': '985', 'value': '€24.00m'}, {'date': 'Jun 15, 2022', 'age': '27', 'clubName': 'Manchester United', 'clubID': '985', 'value': '€22.00m'}, {'date': 'Sep 15, 2022', 'age': '28', 'clubName': 'Manchester United', 'clubID': '985', 'value': '€18.00m'}, {'date': 'Nov 3, 2022', 'age': '28', 'clubName': 'Manchester United', 'clubID': '985', 'value': '€15.00m'}, {'date': 'Jun 20, 2023', 'age': '28', 'clubName': 'Manchester United', 'clubID': '985', 'value': '€18.00m'}, {'date': 'Dec 19, 2023', 'age': '29', 'clubName': 'Manchester United', 'clubID': '985', 'value': '€18.00m'}, {'date': 'Mar 14, 2024', 'age': '29', 'clubName': 'Manchester United', 'clubID': '985', 'value': '€15.00m'}, {'date': 'May 27, 2024', 'age': '29', 'clubName': 'Manchester United', 'clubID': '985', 'value': '€15.00m'}, {'date': 'Dec 16, 2024', 'age': '30', 'clubName': 'Manchester United', 'clubID': '985', 'value': '€10.00m'}, {'date': 'May 30, 2025', 'age': '30', 'clubName': 'Manchester United', 'clubID': '985', 'value': '€8.00m'}, {'date': 'Dec 9, 2025', 'age': '31', 'clubName': 'Aston Villa', 'clubID': '405', 'value': '€6.00m'}]}</t>
        </is>
      </c>
      <c r="L260" t="inlineStr">
        <is>
          <t>Sweden</t>
        </is>
      </c>
      <c r="M260" t="inlineStr">
        <is>
          <t>1994-07-17</t>
        </is>
      </c>
      <c r="N260" t="inlineStr">
        <is>
          <t>Sweden</t>
        </is>
      </c>
      <c r="O260">
        <f>(22+18+15)/3</f>
        <v/>
      </c>
      <c r="P260">
        <f>(24+24+24)/3</f>
        <v/>
      </c>
    </row>
    <row r="261">
      <c r="A261" t="inlineStr">
        <is>
          <t>Hermoso</t>
        </is>
      </c>
      <c r="B261" t="inlineStr">
        <is>
          <t>Atletico de Madrid</t>
        </is>
      </c>
      <c r="C261" t="inlineStr">
        <is>
          <t>Defender</t>
        </is>
      </c>
      <c r="D261" t="n">
        <v>425</v>
      </c>
      <c r="E261" t="n">
        <v>6</v>
      </c>
      <c r="F261" t="n">
        <v>0</v>
      </c>
      <c r="G261" t="n">
        <v>0</v>
      </c>
      <c r="H261" t="n">
        <v>47.7</v>
      </c>
      <c r="I261" t="n">
        <v>32.3</v>
      </c>
      <c r="J261" t="n">
        <v>281769</v>
      </c>
      <c r="K261" t="inlineStr">
        <is>
          <t>{'marketValueHistory': [{'date': 'Mar 7, 2014', 'age': '18', 'clubName': 'Real Madrid U19', 'clubID': '28870', 'value': '€200k'}, {'date': 'Jul 17, 2015', 'age': '20', 'clubName': 'Real Valladolid CF', 'clubID': '366', 'value': '€200k'}, {'date': 'Nov 20, 2015', 'age': '20', 'clubName': 'Real Valladolid CF', 'clubID': '366', 'value': '€500k'}, {'date': 'Feb 22, 2016', 'age': '20', 'clubName': 'Real Valladolid CF', 'clubID': '366', 'value': '€500k'}, {'date': 'Aug 15, 2016', 'age': '21', 'clubName': 'Real Madrid Castilla', 'clubID': '6767', 'value': '€400k'}, {'date': 'Feb 2, 2017', 'age': '21', 'clubName': 'Real Madrid Castilla', 'clubID': '6767', 'value': '€400k'}, {'date': 'Jun 30, 2017', 'age': '22', 'clubName': 'Real Madrid Castilla', 'clubID': '6767', 'value': '€400k'}, {'date': 'Jan 1, 2018', 'age': '22', 'clubName': 'RCD Espanyol Barcelona', 'clubID': '714', 'value': '€1.50m'}, {'date': 'May 30, 2018', 'age': '22', 'clubName': 'RCD Espanyol Barcelona', 'clubID': '714', 'value': '€5.00m'}, {'date': 'Aug 29, 2018', 'age': '23', 'clubName': 'RCD Espanyol Barcelona', 'clubID': '714', 'value': '€15.00m'}, {'date': 'Oct 31, 2018', 'age': '23', 'clubName': 'RCD Espanyol Barcelona', 'clubID': '714', 'value': '€20.00m'}, {'date': 'Dec 21, 2018', 'age': '23', 'clubName': 'RCD Espanyol Barcelona', 'clubID': '714', 'value': '€20.00m'}, {'date': 'Jun 11, 2019', 'age': '23', 'clubName': 'RCD Espanyol Barcelona', 'clubID': '714', 'value': '€25.00m'}, {'date': 'Dec 20, 2019', 'age': '24', 'clubName': 'Atlético de Madrid', 'clubID': '13', 'value': '€25.00m'}, {'date': 'Apr 8, 2020', 'age': '24', 'clubName': 'Atlético de Madrid', 'clubID': '13', 'value': '€20.00m'}, {'date': 'Oct 8, 2020', 'age': '25', 'clubName': 'Atlético de Madrid', 'clubID': '13', 'value': '€20.00m'}, {'date': 'Nov 23, 2020', 'age': '25', 'clubName': 'Atlético de Madrid', 'clubID': '13', 'value': '€25.00m'}, {'date': 'Jan 5, 2021', 'age': '25', 'clubName': 'Atlético de Madrid', 'clubID': '13', 'value': '€30.00m'}, {'date': 'Mar 19, 2021', 'age': '25', 'clubName': 'Atlético de Madrid', 'clubID': '13', 'value': '€35.00m'}, {'date': 'Jun 10, 2021', 'age': '25', 'clubName': 'Atlético de Madrid', 'clubID': '13', 'value': '€35.00m'}, {'date': 'Dec 30, 2021', 'age': '26', 'clubName': 'Atlético de Madrid', 'clubID': '13', 'value': '€30.00m'}, {'date': 'Mar 21, 2022', 'age': '26', 'clubName': 'Atlético de Madrid', 'clubID': '13', 'value': '€25.00m'}, {'date': 'Jun 3, 2022', 'age': '26', 'clubName': 'Atlético de Madrid', 'clubID': '13', 'value': '€20.00m'}, {'date': 'Sep 23, 2022', 'age': '27', 'clubName': 'Atlético de Madrid', 'clubID': '13', 'value': '€18.00m'}, {'date': 'Nov 7, 2022', 'age': '27', 'clubName': 'Atlético de Madrid', 'clubID': '13', 'value': '€14.00m'}, {'date': 'Mar 23, 2023', 'age': '27', 'clubName': 'Atlético de Madrid', 'clubID': '13', 'value': '€18.00m'}, {'date': 'Jun 13, 2023', 'age': '27', 'clubName': 'Atlético de Madrid', 'clubID': '13', 'value': '€20.00m'}, {'date': 'Dec 22, 2023', 'age': '28', 'clubName': 'Atlético de Madrid', 'clubID': '13', 'value': '€25.00m'}, {'date': 'Jun 7, 2024', 'age': '28', 'clubName': 'Atlético de Madrid', 'clubID': '13', 'value': '€25.00m'}, {'date': 'Oct 18, 2024', 'age': '29', 'clubName': 'AS Roma', 'clubID': '12', 'value': '€18.00m'}, {'date': 'Dec 18, 2024', 'age': '29', 'clubName': 'AS Roma', 'clubID': '12', 'value': '€10.00m'}, {'date': 'Jun 5, 2025', 'age': '29', 'clubName': 'Bayer 04 Leverkusen', 'clubID': '15', 'value': '€7.00m'}, {'date': 'Dec 23, 2025', 'age': '30', 'clubName': 'AS Roma', 'clubID': '12', 'value': '€7.00m'}]}</t>
        </is>
      </c>
      <c r="L261" t="inlineStr">
        <is>
          <t>Spain</t>
        </is>
      </c>
      <c r="M261" t="inlineStr">
        <is>
          <t>1995-06-18</t>
        </is>
      </c>
      <c r="N261" t="inlineStr">
        <is>
          <t>Spain</t>
        </is>
      </c>
      <c r="O261">
        <f>(25+20+18+14)/4</f>
        <v/>
      </c>
      <c r="P261">
        <f>(30+35+35+30)/4</f>
        <v/>
      </c>
    </row>
    <row r="262">
      <c r="A262" t="inlineStr">
        <is>
          <t>C. Martins</t>
        </is>
      </c>
      <c r="B262" t="inlineStr">
        <is>
          <t>Young Boys</t>
        </is>
      </c>
      <c r="C262" t="inlineStr">
        <is>
          <t>Midfielder</t>
        </is>
      </c>
      <c r="D262" t="n">
        <v>420</v>
      </c>
      <c r="E262" t="n">
        <v>5</v>
      </c>
      <c r="F262" t="n">
        <v>0</v>
      </c>
      <c r="G262" t="n">
        <v>0</v>
      </c>
      <c r="H262" t="n">
        <v>44.5</v>
      </c>
      <c r="I262" t="n">
        <v>31.9</v>
      </c>
      <c r="J262" t="n">
        <v>248054</v>
      </c>
      <c r="K262" t="inlineStr">
        <is>
          <t>{'marketValueHistory': [{'date': '14/10/2014', 'age': '17', 'clubName': 'Olympique Lyon U19', 'clubID': '1041', 'value': '€100k'}, {'date': '12/10/2017', 'age': '20', 'clubName': 'Olympique Lyon', 'clubID': '1041', 'value': '€400k'}, {'date': '16/05/2018', 'age': '21', 'clubName': 'Football Bourg-en-Bresse Péronnas 01', 'clubID': '2972', 'value': '€400k'}, {'date': '08/01/2019', 'age': '21', 'clubName': 'ESTAC Troyes', 'clubID': '1095', 'value': '€800k'}, {'date': '03/06/2019', 'age': '22', 'clubName': 'ESTAC Troyes', 'clubID': '1095', 'value': '€1.50m'}, {'date': '27/06/2019', 'age': '22', 'clubName': 'ESTAC Troyes', 'clubID': '1095', 'value': '€2.00m'}, {'date': '06/01/2020', 'age': '22', 'clubName': 'BSC Young Boys', 'clubID': '452', 'value': '€2.00m'}, {'date': '08/04/2020', 'age': '23', 'clubName': 'BSC Young Boys', 'clubID': '452', 'value': '€1.60m'}, {'date': '31/07/2020', 'age': '23', 'clubName': 'BSC Young Boys', 'clubID': '452', 'value': '€1.60m'}, {'date': '28/12/2020', 'age': '23', 'clubName': 'BSC Young Boys', 'clubID': '452', 'value': '€2.00m'}, {'date': '23/06/2021', 'age': '24', 'clubName': 'BSC Young Boys', 'clubID': '452', 'value': '€2.00m'}, {'date': '04/10/2021', 'age': '24', 'clubName': 'BSC Young Boys', 'clubID': '452', 'value': '€3.50m'}, {'date': '03/01/2022', 'age': '24', 'clubName': 'BSC Young Boys', 'clubID': '452', 'value': '€3.50m'}, {'date': '02/06/2022', 'age': '25', 'clubName': 'Spartak Moscow', 'clubID': '232', 'value': '€5.00m'}, {'date': '21/11/2022', 'age': '25', 'clubName': 'Spartak Moscow', 'clubID': '232', 'value': '€4.50m'}, {'date': '14/06/2023', 'age': '26', 'clubName': 'Spartak Moscow', 'clubID': '232', 'value': '€4.50m'}, {'date': '13/12/2023', 'age': '26', 'clubName': 'Spartak Moscow', 'clubID': '232', 'value': '€4.50m'}, {'date': '04/06/2024', 'age': '27', 'clubName': 'Spartak Moscow', 'clubID': '232', 'value': '€4.00m'}, {'date': '12/12/2024', 'age': '27', 'clubName': 'Spartak Moscow', 'clubID': '232', 'value': '€5.00m'}, {'date': '19/03/2025', 'age': '28', 'clubName': 'Spartak Moscow', 'clubID': '232', 'value': '€6.00m'}, {'date': '04/06/2025', 'age': '28', 'clubName': 'Spartak Moscow', 'clubID': '232', 'value': '€6.00m'}, {'date': '16/12/2025', 'age': '28', 'clubName': 'Spartak Moscow', 'clubID': '232', 'value': '€5.00m'}, {'date': '25/03/2026', 'age': '29', 'clubName': 'Spartak Moscow', 'clubID': '232', 'value': '€4.50m'}]}</t>
        </is>
      </c>
      <c r="L262" t="inlineStr">
        <is>
          <t>Luxembourg</t>
        </is>
      </c>
      <c r="M262" t="inlineStr">
        <is>
          <t>1997-02-19</t>
        </is>
      </c>
      <c r="N262" t="inlineStr">
        <is>
          <t>Luxembourg</t>
        </is>
      </c>
      <c r="O262">
        <f>(3.5+5+4.5)/3</f>
        <v/>
      </c>
      <c r="P262">
        <f>(2+3.5)/2</f>
        <v/>
      </c>
    </row>
    <row r="263">
      <c r="A263" t="inlineStr">
        <is>
          <t>Hakan Calhanoglu</t>
        </is>
      </c>
      <c r="B263" t="inlineStr">
        <is>
          <t>Inter</t>
        </is>
      </c>
      <c r="C263" t="inlineStr">
        <is>
          <t>Midfielder</t>
        </is>
      </c>
      <c r="D263" t="n">
        <v>419</v>
      </c>
      <c r="E263" t="n">
        <v>6</v>
      </c>
      <c r="F263" t="n">
        <v>0</v>
      </c>
      <c r="G263" t="n">
        <v>0</v>
      </c>
      <c r="H263" t="n">
        <v>55.2</v>
      </c>
      <c r="I263" t="n">
        <v>31.9</v>
      </c>
      <c r="J263" t="n">
        <v>126414</v>
      </c>
      <c r="K263" t="inlineStr">
        <is>
          <t>{'marketValueHistory': [{'date': 'Feb 6, 2012', 'age': '17', 'clubName': 'Karlsruher SC', 'clubID': '48', 'value': '€150k'}, {'date': 'Mar 5, 2012', 'age': '18', 'clubName': 'Karlsruher SC', 'clubID': '48', 'value': '€300k'}, {'date': 'Jun 24, 2012', 'age': '18', 'clubName': 'Karlsruher SC', 'clubID': '48', 'value': '€1.00m'}, {'date': 'Aug 26, 2012', 'age': '18', 'clubName': 'Karlsruher SC', 'clubID': '48', 'value': '€2.00m'}, {'date': 'Oct 23, 2012', 'age': '18', 'clubName': 'Karlsruher SC', 'clubID': '48', 'value': '€2.50m'}, {'date': 'Jun 28, 2013', 'age': '19', 'clubName': 'Karlsruher SC', 'clubID': '48', 'value': '€3.00m'}, {'date': 'Nov 5, 2013', 'age': '19', 'clubName': 'Hamburger SV', 'clubID': '41', 'value': '€4.00m'}, {'date': 'Feb 12, 2014', 'age': '20', 'clubName': 'Hamburger SV', 'clubID': '41', 'value': '€7.00m'}, {'date': 'Jul 10, 2014', 'age': '20', 'clubName': 'Bayer 04 Leverkusen', 'clubID': '15', 'value': '€12.00m'}, {'date': 'Aug 21, 2014', 'age': '20', 'clubName': 'Bayer 04 Leverkusen', 'clubID': '15', 'value': '€15.00m'}, {'date': 'Feb 4, 2015', 'age': '20', 'clubName': 'Bayer 04 Leverkusen', 'clubID': '15', 'value': '€18.00m'}, {'date': 'Jul 1, 2015', 'age': '21', 'clubName': 'Bayer 04 Leverkusen', 'clubID': '15', 'value': '€18.00m'}, {'date': 'Feb 15, 2016', 'age': '22', 'clubName': 'Bayer 04 Leverkusen', 'clubID': '15', 'value': '€18.00m'}, {'date': 'Jun 1, 2016', 'age': '22', 'clubName': 'Bayer 04 Leverkusen', 'clubID': '15', 'value': '€18.00m'}, {'date': 'Jul 22, 2016', 'age': '22', 'clubName': 'Bayer 04 Leverkusen', 'clubID': '15', 'value': '€18.00m'}, {'date': 'Feb 7, 2017', 'age': '22', 'clubName': 'Bayer 04 Leverkusen', 'clubID': '15', 'value': '€20.00m'}, {'date': 'Jun 19, 2017', 'age': '23', 'clubName': 'Bayer 04 Leverkusen', 'clubID': '15', 'value': '€20.00m'}, {'date': 'Dec 29, 2017', 'age': '23', 'clubName': 'AC Milan', 'clubID': '5', 'value': '€17.50m'}, {'date': 'Mar 24, 2018', 'age': '24', 'clubName': 'AC Milan', 'clubID': '5', 'value': '€22.00m'}, {'date': 'Jun 7, 2018', 'age': '24', 'clubName': 'AC Milan', 'clubID': '5', 'value': '€27.00m'}, {'date': 'Dec 20, 2018', 'age': '24', 'clubName': 'AC Milan', 'clubID': '5', 'value': '€22.00m'}, {'date': 'Jun 6, 2019', 'age': '25', 'clubName': 'AC Milan', 'clubID': '5', 'value': '€20.00m'}, {'date': 'Oct 8, 2019', 'age': '25', 'clubName': 'AC Milan', 'clubID': '5', 'value': '€18.00m'}, {'date': 'Dec 12, 2019', 'age': '25', 'clubName': 'AC Milan', 'clubID': '5', 'value': '€18.00m'}, {'date': 'Apr 8, 2020', 'age': '26', 'clubName': 'AC Milan', 'clubID': '5', 'value': '€14.50m'}, {'date': 'Aug 25, 2020', 'age': '26', 'clubName': 'AC Milan', 'clubID': '5', 'value': '€23.00m'}, {'date': 'Oct 29, 2020', 'age': '26', 'clubName': 'AC Milan', 'clubID': '5', 'value': '€30.00m'}, {'date': 'Dec 29, 2020', 'age': '26', 'clubName': 'AC Milan', 'clubID': '5', 'value': '€35.00m'}, {'date': 'May 25, 2021', 'age': '27', 'clubName': 'AC Milan', 'clubID': '5', 'value': '€35.00m'}, {'date': 'Oct 14, 2021', 'age': '27', 'clubName': 'Inter Milan', 'clubID': '46', 'value': '€30.00m'}, {'date': 'Dec 28, 2021', 'age': '27', 'clubName': 'Inter Milan', 'clubID': '46', 'value': '€35.00m'}, {'date': 'Jun 7, 2022', 'age': '28', 'clubName': 'Inter Milan', 'clubID': '46', 'value': '€35.00m'}, {'date': 'Nov 11, 2022', 'age': '28', 'clubName': 'Inter Milan', 'clubID': '46', 'value': '€35.00m'}, {'date': 'Jun 15, 2023', 'age': '29', 'clubName': 'Inter Milan', 'clubID': '46', 'value': '€40.00m'}, {'date': 'Dec 20, 2023', 'age': '29', 'clubName': 'Inter Milan', 'clubID': '46', 'value': '€40.00m'}, {'date': 'Jun 5, 2024', 'age': '30', 'clubName': 'Inter Milan', 'clubID': '46', 'value': '€45.00m'}, {'date': 'Dec 18, 2024', 'age': '30', 'clubName': 'Inter Milan', 'clubID': '46', 'value': '€40.00m'}, {'date': 'Mar 25, 2025', 'age': '31', 'clubName': 'Inter Milan', 'clubID': '46', 'value': '€35.00m'}, {'date': 'Jun 17, 2025', 'age': '31', 'clubName': 'Inter Milan', 'clubID': '46', 'value': '€30.00m'}, {'date': 'Oct 7, 2025', 'age': '31', 'clubName': 'Inter Milan', 'clubID': '46', 'value': '€25.00m'}, {'date': 'Dec 23, 2025', 'age': '31', 'clubName': 'Inter Milan', 'clubID': '46', 'value': '€22.00m'}, {'date': 'Mar 24, 2026', 'age': '32', 'clubName': 'Inter Milan', 'clubID': '46', 'value': '€18.00m'}]}</t>
        </is>
      </c>
      <c r="L263" t="inlineStr">
        <is>
          <t>Turkey</t>
        </is>
      </c>
      <c r="M263" t="inlineStr">
        <is>
          <t>1994-02-08</t>
        </is>
      </c>
      <c r="N263" t="inlineStr">
        <is>
          <t>104</t>
        </is>
      </c>
      <c r="O263">
        <f>(35+35)/2</f>
        <v/>
      </c>
      <c r="P263">
        <f>(35+30+35)/3</f>
        <v/>
      </c>
    </row>
    <row r="264">
      <c r="A264" t="inlineStr">
        <is>
          <t>Wan-Bissaka</t>
        </is>
      </c>
      <c r="B264" t="inlineStr">
        <is>
          <t>Man United</t>
        </is>
      </c>
      <c r="C264" t="inlineStr">
        <is>
          <t>Defender</t>
        </is>
      </c>
      <c r="D264" t="n">
        <v>419</v>
      </c>
      <c r="E264" t="n">
        <v>6</v>
      </c>
      <c r="F264" t="n">
        <v>0</v>
      </c>
      <c r="G264" t="n">
        <v>0</v>
      </c>
      <c r="H264" t="n">
        <v>45.9</v>
      </c>
      <c r="I264" t="n">
        <v>33.1</v>
      </c>
      <c r="J264" t="n">
        <v>477758</v>
      </c>
      <c r="K264" t="inlineStr">
        <is>
          <t>{'marketValueHistory': [{'date': 'May 28, 2018', 'age': '20', 'clubName': 'Crystal Palace', 'clubID': '873', 'value': '€1.00m'}, {'date': 'Oct 17, 2018', 'age': '20', 'clubName': 'Crystal Palace', 'clubID': '873', 'value': '€5.00m'}, {'date': 'Dec 19, 2018', 'age': '21', 'clubName': 'Crystal Palace', 'clubID': '873', 'value': '€10.00m'}, {'date': 'Mar 5, 2019', 'age': '21', 'clubName': 'Crystal Palace', 'clubID': '873', 'value': '€25.00m'}, {'date': 'Jun 13, 2019', 'age': '21', 'clubName': 'Crystal Palace', 'clubID': '873', 'value': '€35.00m'}, {'date': 'Sep 12, 2019', 'age': '21', 'clubName': 'Manchester United', 'clubID': '985', 'value': '€40.00m'}, {'date': 'Dec 10, 2019', 'age': '22', 'clubName': 'Manchester United', 'clubID': '985', 'value': '€40.00m'}, {'date': 'Apr 8, 2020', 'age': '22', 'clubName': 'Manchester United', 'clubID': '985', 'value': '€32.00m'}, {'date': 'Jul 30, 2020', 'age': '22', 'clubName': 'Manchester United', 'clubID': '985', 'value': '€40.00m'}, {'date': 'Oct 13, 2020', 'age': '22', 'clubName': 'Manchester United', 'clubID': '985', 'value': '€40.00m'}, {'date': 'Mar 18, 2021', 'age': '23', 'clubName': 'Manchester United', 'clubID': '985', 'value': '€40.00m'}, {'date': 'Jun 8, 2021', 'age': '23', 'clubName': 'Manchester United', 'clubID': '985', 'value': '€40.00m'}, {'date': 'Dec 23, 2021', 'age': '24', 'clubName': 'Manchester United', 'clubID': '985', 'value': '€38.00m'}, {'date': 'Mar 29, 2022', 'age': '24', 'clubName': 'Manchester United', 'clubID': '985', 'value': '€30.00m'}, {'date': 'Jun 15, 2022', 'age': '24', 'clubName': 'Manchester United', 'clubID': '985', 'value': '€25.00m'}, {'date': 'Sep 15, 2022', 'age': '24', 'clubName': 'Manchester United', 'clubID': '985', 'value': '€18.00m'}, {'date': 'Nov 3, 2022', 'age': '24', 'clubName': 'Manchester United', 'clubID': '985', 'value': '€18.00m'}, {'date': 'Mar 16, 2023', 'age': '25', 'clubName': 'Manchester United', 'clubID': '985', 'value': '€22.00m'}, {'date': 'Jun 20, 2023', 'age': '25', 'clubName': 'Manchester United', 'clubID': '985', 'value': '€25.00m'}, {'date': 'Dec 19, 2023', 'age': '26', 'clubName': 'Manchester United', 'clubID': '985', 'value': '€20.00m'}, {'date': 'May 27, 2024', 'age': '26', 'clubName': 'Manchester United', 'clubID': '985', 'value': '€20.00m'}, {'date': 'Dec 16, 2024', 'age': '27', 'clubName': 'West Ham United', 'clubID': '379', 'value': '€22.00m'}, {'date': 'May 30, 2025', 'age': '27', 'clubName': 'West Ham United', 'clubID': '379', 'value': '€24.00m'}, {'date': 'Dec 9, 2025', 'age': '28', 'clubName': 'West Ham United', 'clubID': '379', 'value': '€22.00m'}]}</t>
        </is>
      </c>
      <c r="L264" t="inlineStr">
        <is>
          <t>United Kingdom</t>
        </is>
      </c>
      <c r="M264" t="inlineStr">
        <is>
          <t>1997-11-26</t>
        </is>
      </c>
      <c r="N264" t="inlineStr">
        <is>
          <t>England</t>
        </is>
      </c>
      <c r="O264">
        <f>(30+25+18+18)/4</f>
        <v/>
      </c>
      <c r="P264">
        <f>(40+40+38)/3</f>
        <v/>
      </c>
    </row>
    <row r="265">
      <c r="A265" t="inlineStr">
        <is>
          <t>Tomori</t>
        </is>
      </c>
      <c r="B265" t="inlineStr">
        <is>
          <t>Milan</t>
        </is>
      </c>
      <c r="C265" t="inlineStr">
        <is>
          <t>Defender</t>
        </is>
      </c>
      <c r="D265" t="n">
        <v>418</v>
      </c>
      <c r="E265" t="n">
        <v>5</v>
      </c>
      <c r="F265" t="n">
        <v>1</v>
      </c>
      <c r="G265" t="n">
        <v>0</v>
      </c>
      <c r="H265" t="n">
        <v>45.4</v>
      </c>
      <c r="I265" t="n">
        <v>38.2</v>
      </c>
      <c r="J265" t="n">
        <v>303254</v>
      </c>
      <c r="K265" t="inlineStr">
        <is>
          <t>{'marketValueHistory': [{'date': '27/02/2017', 'age': '19', 'clubName': 'Brighton &amp; Hove Albion', 'clubID': '1237', 'value': '€250k'}, {'date': '18/09/2017', 'age': '19', 'clubName': 'Hull City', 'clubID': '3008', 'value': '€500k'}, {'date': '27/02/2018', 'age': '20', 'clubName': 'Hull City', 'clubID': '3008', 'value': '€1.00m'}, {'date': '24/09/2018', 'age': '20', 'clubName': 'Derby County', 'clubID': '22', 'value': '€2.50m'}, {'date': '27/02/2019', 'age': '21', 'clubName': 'Derby County', 'clubID': '22', 'value': '€7.00m'}, {'date': '12/09/2019', 'age': '21', 'clubName': 'Chelsea FC', 'clubID': '631', 'value': '€10.00m'}, {'date': '10/12/2019', 'age': '21', 'clubName': 'Chelsea FC', 'clubID': '631', 'value': '€20.00m'}, {'date': '08/04/2020', 'age': '22', 'clubName': 'Chelsea FC', 'clubID': '631', 'value': '€16.00m'}, {'date': '13/10/2020', 'age': '22', 'clubName': 'Chelsea FC', 'clubID': '631', 'value': '€20.00m'}, {'date': '17/12/2020', 'age': '22', 'clubName': 'Chelsea FC', 'clubID': '631', 'value': '€17.00m'}, {'date': '23/03/2021', 'age': '23', 'clubName': 'AC Milan', 'clubID': '5', 'value': '€20.00m'}, {'date': '03/06/2021', 'age': '23', 'clubName': 'AC Milan', 'clubID': '5', 'value': '€28.00m'}, {'date': '14/10/2021', 'age': '23', 'clubName': 'AC Milan', 'clubID': '5', 'value': '€40.00m'}, {'date': '28/12/2021', 'age': '24', 'clubName': 'AC Milan', 'clubID': '5', 'value': '€45.00m'}, {'date': '07/06/2022', 'age': '24', 'clubName': 'AC Milan', 'clubID': '5', 'value': '€50.00m'}, {'date': '11/11/2022', 'age': '24', 'clubName': 'AC Milan', 'clubID': '5', 'value': '€50.00m'}, {'date': '21/03/2023', 'age': '25', 'clubName': 'AC Milan', 'clubID': '5', 'value': '€45.00m'}, {'date': '15/06/2023', 'age': '25', 'clubName': 'AC Milan', 'clubID': '5', 'value': '€40.00m'}, {'date': '20/12/2023', 'age': '26', 'clubName': 'AC Milan', 'clubID': '5', 'value': '€40.00m'}, {'date': '05/06/2024', 'age': '26', 'clubName': 'AC Milan', 'clubID': '5', 'value': '€40.00m'}, {'date': '18/10/2024', 'age': '26', 'clubName': 'AC Milan', 'clubID': '5', 'value': '€32.00m'}, {'date': '18/12/2024', 'age': '26', 'clubName': 'AC Milan', 'clubID': '5', 'value': '€22.00m'}, {'date': '25/03/2025', 'age': '27', 'clubName': 'AC Milan', 'clubID': '5', 'value': '€20.00m'}, {'date': '17/06/2025', 'age': '27', 'clubName': 'AC Milan', 'clubID': '5', 'value': '€20.00m'}, {'date': '23/12/2025', 'age': '28', 'clubName': 'AC Milan', 'clubID': '5', 'value': '€20.00m'}]}</t>
        </is>
      </c>
      <c r="L265" t="inlineStr">
        <is>
          <t>United Kingdom</t>
        </is>
      </c>
      <c r="M265" t="inlineStr">
        <is>
          <t>1997-12-19</t>
        </is>
      </c>
      <c r="N265" t="inlineStr">
        <is>
          <t>6</t>
        </is>
      </c>
      <c r="O265">
        <f>(50+50)/2</f>
        <v/>
      </c>
      <c r="P265">
        <f>(20+28+40+45)/4</f>
        <v/>
      </c>
    </row>
    <row r="266">
      <c r="A266" t="inlineStr">
        <is>
          <t>Botman</t>
        </is>
      </c>
      <c r="B266" t="inlineStr">
        <is>
          <t>Lille</t>
        </is>
      </c>
      <c r="C266" t="inlineStr">
        <is>
          <t>Defender</t>
        </is>
      </c>
      <c r="D266" t="n">
        <v>418</v>
      </c>
      <c r="E266" t="n">
        <v>5</v>
      </c>
      <c r="F266" t="n">
        <v>0</v>
      </c>
      <c r="G266" t="n">
        <v>0</v>
      </c>
      <c r="H266" t="n">
        <v>47.4</v>
      </c>
      <c r="I266" t="n">
        <v>39.2</v>
      </c>
      <c r="J266" t="n">
        <v>361093</v>
      </c>
      <c r="K266" t="inlineStr">
        <is>
          <t>{'marketValueHistory': [{'date': '21/01/2019', 'age': '19', 'clubName': 'Ajax Amsterdam U21', 'clubID': '610', 'value': '€300k'}, {'date': '03/07/2019', 'age': '19', 'clubName': 'Ajax Amsterdam U21', 'clubID': '610', 'value': '€300k'}, {'date': '19/09/2019', 'age': '19', 'clubName': 'SC Heerenveen', 'clubID': '306', 'value': '€600k'}, {'date': '18/12/2019', 'age': '19', 'clubName': 'SC Heerenveen', 'clubID': '306', 'value': '€1.25m'}, {'date': '12/03/2020', 'age': '20', 'clubName': 'SC Heerenveen', 'clubID': '306', 'value': '€1.50m'}, {'date': '08/04/2020', 'age': '20', 'clubName': 'SC Heerenveen', 'clubID': '306', 'value': '€1.30m'}, {'date': '03/08/2020', 'age': '20', 'clubName': 'LOSC Lille', 'clubID': '1082', 'value': '€6.00m'}, {'date': '15/10/2020', 'age': '20', 'clubName': 'LOSC Lille', 'clubID': '1082', 'value': '€10.00m'}, {'date': '07/01/2021', 'age': '20', 'clubName': 'LOSC Lille', 'clubID': '1082', 'value': '€25.00m'}, {'date': '09/04/2021', 'age': '21', 'clubName': 'LOSC Lille', 'clubID': '1082', 'value': '€28.00m'}, {'date': '04/06/2021', 'age': '21', 'clubName': 'LOSC Lille', 'clubID': '1082', 'value': '€28.00m'}, {'date': '16/12/2021', 'age': '21', 'clubName': 'LOSC Lille', 'clubID': '1082', 'value': '€30.00m'}, {'date': '30/05/2022', 'age': '22', 'clubName': 'LOSC Lille', 'clubID': '1082', 'value': '€30.00m'}, {'date': '15/09/2022', 'age': '22', 'clubName': 'Newcastle United', 'clubID': '762', 'value': '€35.00m'}, {'date': '03/11/2022', 'age': '22', 'clubName': 'Newcastle United', 'clubID': '762', 'value': '€38.00m'}, {'date': '16/03/2023', 'age': '23', 'clubName': 'Newcastle United', 'clubID': '762', 'value': '€45.00m'}, {'date': '20/06/2023', 'age': '23', 'clubName': 'Newcastle United', 'clubID': '762', 'value': '€45.00m'}, {'date': '19/12/2023', 'age': '23', 'clubName': 'Newcastle United', 'clubID': '762', 'value': '€45.00m'}, {'date': '27/05/2024', 'age': '24', 'clubName': 'Newcastle United', 'clubID': '762', 'value': '€45.00m'}, {'date': '16/12/2024', 'age': '24', 'clubName': 'Newcastle United', 'clubID': '762', 'value': '€45.00m'}, {'date': '30/05/2025', 'age': '25', 'clubName': 'Newcastle United', 'clubID': '762', 'value': '€42.00m'}, {'date': '17/10/2025', 'age': '25', 'clubName': 'Newcastle United', 'clubID': '762', 'value': '€40.00m'}, {'date': '09/12/2025', 'age': '25', 'clubName': 'Newcastle United', 'clubID': '762', 'value': '€35.00m'}]}</t>
        </is>
      </c>
      <c r="L266" t="inlineStr">
        <is>
          <t>England</t>
        </is>
      </c>
      <c r="M266" t="inlineStr">
        <is>
          <t>2000-12-01</t>
        </is>
      </c>
      <c r="N266" t="inlineStr">
        <is>
          <t>0</t>
        </is>
      </c>
      <c r="O266">
        <f>(30+35+38)/3</f>
        <v/>
      </c>
      <c r="P266">
        <f>(25+28+28+30)/4</f>
        <v/>
      </c>
    </row>
    <row r="267">
      <c r="A267" t="inlineStr">
        <is>
          <t>Rits</t>
        </is>
      </c>
      <c r="B267" t="inlineStr">
        <is>
          <t>Club Brugge</t>
        </is>
      </c>
      <c r="C267" t="inlineStr">
        <is>
          <t>Midfielder</t>
        </is>
      </c>
      <c r="D267" t="n">
        <v>417</v>
      </c>
      <c r="E267" t="n">
        <v>6</v>
      </c>
      <c r="F267" t="n">
        <v>2</v>
      </c>
      <c r="G267" t="n">
        <v>0</v>
      </c>
      <c r="H267" t="n">
        <v>53.9</v>
      </c>
      <c r="I267" t="n">
        <v>31.8</v>
      </c>
      <c r="J267" t="n">
        <v>42710</v>
      </c>
      <c r="K267" t="inlineStr">
        <is>
          <t>{'marketValueHistory': [{'date': 'Oct 23, 2008', 'age': '19', 'clubName': 'Ajax Amsterdam U21', 'clubID': '41580', 'value': '€50k'}, {'date': 'Feb 5, 2009', 'age': '19', 'clubName': 'Ajax Amsterdam', 'clubID': '610', 'value': '€250k'}, {'date': 'May 22, 2009', 'age': '20', 'clubName': 'Ajax Amsterdam', 'clubID': '610', 'value': '€450k'}, {'date': 'Sep 8, 2009', 'age': '20', 'clubName': 'Ajax Amsterdam', 'clubID': '610', 'value': '€1.50m'}, {'date': 'Dec 30, 2009', 'age': '20', 'clubName': 'Ajax Amsterdam', 'clubID': '610', 'value': '€2.50m'}, {'date': 'Aug 1, 2010', 'age': '21', 'clubName': 'Ajax Amsterdam', 'clubID': '610', 'value': '€5.00m'}, {'date': 'Jun 15, 2011', 'age': '22', 'clubName': 'Ajax Amsterdam', 'clubID': '610', 'value': '€7.00m'}, {'date': 'Jan 5, 2012', 'age': '22', 'clubName': 'Ajax Amsterdam', 'clubID': '610', 'value': '€8.00m'}, {'date': 'Jun 30, 2012', 'age': '23', 'clubName': 'Ajax Amsterdam', 'clubID': '610', 'value': '€10.00m'}, {'date': 'May 28, 2013', 'age': '24', 'clubName': 'Ajax Amsterdam', 'clubID': '610', 'value': '€10.00m'}, {'date': 'Sep 17, 2013', 'age': '24', 'clubName': 'Atlético de Madrid', 'clubID': '13', 'value': '€10.00m'}, {'date': 'Jan 23, 2014', 'age': '24', 'clubName': 'Atlético de Madrid', 'clubID': '13', 'value': '€10.00m'}, {'date': 'Jul 20, 2014', 'age': '25', 'clubName': 'Atlético de Madrid', 'clubID': '13', 'value': '€10.00m'}, {'date': 'Feb 12, 2015', 'age': '25', 'clubName': 'Southampton FC', 'clubID': '180', 'value': '€11.00m'}, {'date': 'Jul 1, 2015', 'age': '26', 'clubName': 'Atlético de Madrid', 'clubID': '13', 'value': '€15.00m'}, {'date': 'Feb 9, 2016', 'age': '26', 'clubName': 'Tottenham Hotspur', 'clubID': '148', 'value': '€22.00m'}, {'date': 'Jun 1, 2016', 'age': '27', 'clubName': 'Tottenham Hotspur', 'clubID': '148', 'value': '€27.00m'}, {'date': 'Aug 1, 2016', 'age': '27', 'clubName': 'Tottenham Hotspur', 'clubID': '148', 'value': '€27.00m'}, {'date': 'Feb 20, 2017', 'age': '27', 'clubName': 'Tottenham Hotspur', 'clubID': '148', 'value': '€30.00m'}, {'date': 'Jun 28, 2017', 'age': '28', 'clubName': 'Tottenham Hotspur', 'clubID': '148', 'value': '€35.00m'}, {'date': 'Jan 2, 2018', 'age': '28', 'clubName': 'Tottenham Hotspur', 'clubID': '148', 'value': '€35.00m'}, {'date': 'Mar 23, 2018', 'age': '29', 'clubName': 'Tottenham Hotspur', 'clubID': '148', 'value': '€40.00m'}, {'date': 'May 28, 2018', 'age': '29', 'clubName': 'Tottenham Hotspur', 'clubID': '148', 'value': '€40.00m'}, {'date': 'Dec 19, 2018', 'age': '29', 'clubName': 'Tottenham Hotspur', 'clubID': '148', 'value': '€40.00m'}, {'date': 'Jun 13, 2019', 'age': '30', 'clubName': 'Tottenham Hotspur', 'clubID': '148', 'value': '€40.00m'}, {'date': 'Dec 10, 2019', 'age': '30', 'clubName': 'Tottenham Hotspur', 'clubID': '148', 'value': '€35.00m'}, {'date': 'Mar 9, 2020', 'age': '31', 'clubName': 'Tottenham Hotspur', 'clubID': '148', 'value': '€30.00m'}, {'date': 'Apr 8, 2020', 'age': '31', 'clubName': 'Tottenham Hotspur', 'clubID': '148', 'value': '€24.00m'}, {'date': 'Oct 13, 2020', 'age': '31', 'clubName': 'Tottenham Hotspur', 'clubID': '148', 'value': '€20.00m'}, {'date': 'Mar 18, 2021', 'age': '32', 'clubName': 'Tottenham Hotspur', 'clubID': '148', 'value': '€15.00m'}, {'date': 'May 26, 2021', 'age': '32', 'clubName': 'Tottenham Hotspur', 'clubID': '148', 'value': '€11.00m'}, {'date': 'Aug 13, 2021', 'age': '32', 'clubName': 'Al-Duhail SC', 'clubID': '26091', 'value': '€10.00m'}, {'date': 'Jan 10, 2022', 'age': '32', 'clubName': 'Al-Duhail SC', 'clubID': '26091', 'value': '€8.00m'}, {'date': 'May 25, 2022', 'age': '33', 'clubName': 'Al-Duhail SC', 'clubID': '26091', 'value': '€7.00m'}, {'date': 'Sep 7, 2022', 'age': '33', 'clubName': 'Royal Antwerp FC', 'clubID': '1096', 'value': '€5.00m'}, {'date': 'Nov 4, 2022', 'age': '33', 'clubName': 'Royal Antwerp FC', 'clubID': '1096', 'value': '€4.00m'}, {'date': 'Jun 9, 2023', 'age': '34', 'clubName': 'Royal Antwerp FC', 'clubID': '1096', 'value': '€3.50m'}, {'date': 'Dec 19, 2023', 'age': '34', 'clubName': 'Royal Antwerp FC', 'clubID': '1096', 'value': '€3.00m'}, {'date': 'Jun 4, 2024', 'age': '35', 'clubName': 'Royal Antwerp FC', 'clubID': '1096', 'value': '€2.80m'}, {'date': 'Dec 11, 2024', 'age': '35', 'clubName': 'Royal Antwerp FC', 'clubID': '1096', 'value': '€2.20m'}, {'date': 'Jun 12, 2025', 'age': '36', 'clubName': 'Royal Antwerp FC', 'clubID': '1096', 'value': '€2.00m'}, {'date': 'Jul 1, 2025', 'age': '36', 'clubName': 'Retired', 'clubID': '123', 'value': '-'}]}</t>
        </is>
      </c>
      <c r="L267" t="inlineStr">
        <is>
          <t>Belgium</t>
        </is>
      </c>
      <c r="M267" t="inlineStr">
        <is>
          <t>1989-03-02</t>
        </is>
      </c>
      <c r="N267" t="inlineStr">
        <is>
          <t>127</t>
        </is>
      </c>
      <c r="O267">
        <f>(8+7+5+4)/4</f>
        <v/>
      </c>
      <c r="P267">
        <f>(15+11+10)/3</f>
        <v/>
      </c>
    </row>
    <row r="268">
      <c r="A268" t="inlineStr">
        <is>
          <t>Baku</t>
        </is>
      </c>
      <c r="B268" t="inlineStr">
        <is>
          <t>Wolfsburg</t>
        </is>
      </c>
      <c r="C268" t="inlineStr">
        <is>
          <t>Midfielder</t>
        </is>
      </c>
      <c r="D268" t="n">
        <v>413</v>
      </c>
      <c r="E268" t="n">
        <v>6</v>
      </c>
      <c r="F268" t="n">
        <v>1</v>
      </c>
      <c r="G268" t="n">
        <v>0</v>
      </c>
      <c r="H268" t="n">
        <v>48.6</v>
      </c>
      <c r="I268" t="n">
        <v>33.1</v>
      </c>
      <c r="J268" t="n">
        <v>331726</v>
      </c>
      <c r="K268" t="inlineStr">
        <is>
          <t>{'marketValueHistory': [{'date': '01/09/2016', 'age': '18', 'clubName': 'Bristol City', 'clubID': '698', 'value': '€1.00m'}, {'date': '27/02/2017', 'age': '19', 'clubName': 'Bristol City', 'clubID': '698', 'value': '€5.00m'}, {'date': '28/06/2017', 'age': '19', 'clubName': 'Chelsea FC U23', 'clubID': '9250', 'value': '€8.00m'}, {'date': '23/10/2017', 'age': '20', 'clubName': 'Swansea City', 'clubID': '2288', 'value': '€10.00m'}, {'date': '02/01/2018', 'age': '20', 'clubName': 'Swansea City', 'clubID': '2288', 'value': '€10.00m'}, {'date': '28/05/2018', 'age': '20', 'clubName': 'Swansea City', 'clubID': '2288', 'value': '€10.00m'}, {'date': '27/02/2019', 'age': '21', 'clubName': 'Aston Villa', 'clubID': '405', 'value': '€15.00m'}, {'date': '13/06/2019', 'age': '21', 'clubName': 'Chelsea FC', 'clubID': '631', 'value': '€20.00m'}, {'date': '12/09/2019', 'age': '21', 'clubName': 'Chelsea FC', 'clubID': '631', 'value': '€32.00m'}, {'date': '10/12/2019', 'age': '22', 'clubName': 'Chelsea FC', 'clubID': '631', 'value': '€50.00m'}, {'date': '08/04/2020', 'age': '22', 'clubName': 'Chelsea FC', 'clubID': '631', 'value': '€40.00m'}, {'date': '13/10/2020', 'age': '23', 'clubName': 'Chelsea FC', 'clubID': '631', 'value': '€40.00m'}, {'date': '18/03/2021', 'age': '23', 'clubName': 'Chelsea FC', 'clubID': '631', 'value': '€40.00m'}, {'date': '08/06/2021', 'age': '23', 'clubName': 'Chelsea FC', 'clubID': '631', 'value': '€38.00m'}, {'date': '28/12/2021', 'age': '24', 'clubName': 'AS Roma', 'clubID': '12', 'value': '€38.00m'}, {'date': '15/03/2022', 'age': '24', 'clubName': 'AS Roma', 'clubID': '12', 'value': '€45.00m'}, {'date': '07/06/2022', 'age': '24', 'clubName': 'AS Roma', 'clubID': '12', 'value': '€50.00m'}, {'date': '11/11/2022', 'age': '25', 'clubName': 'AS Roma', 'clubID': '12', 'value': '€45.00m'}, {'date': '15/06/2023', 'age': '25', 'clubName': 'AS Roma', 'clubID': '12', 'value': '€40.00m'}, {'date': '11/10/2023', 'age': '26', 'clubName': 'AS Roma', 'clubID': '12', 'value': '€35.00m'}, {'date': '20/12/2023', 'age': '26', 'clubName': 'AS Roma', 'clubID': '12', 'value': '€35.00m'}, {'date': '05/06/2024', 'age': '26', 'clubName': 'AS Roma', 'clubID': '12', 'value': '€30.00m'}, {'date': '18/10/2024', 'age': '27', 'clubName': 'AC Milan', 'clubID': '5', 'value': '€25.00m'}, {'date': '18/12/2024', 'age': '27', 'clubName': 'AC Milan', 'clubID': '5', 'value': '€20.00m'}, {'date': '25/03/2025', 'age': '27', 'clubName': 'AC Milan', 'clubID': '5', 'value': '€15.00m'}, {'date': '17/06/2025', 'age': '27', 'clubName': 'AC Milan', 'clubID': '5', 'value': '€15.00m'}, {'date': '17/12/2025', 'age': '28', 'clubName': 'Besiktas JK', 'clubID': '114', 'value': '€14.00m'}, {'date': '09/03/2026', 'age': '28', 'clubName': 'Aston Villa', 'clubID': '405', 'value': '€20.00m'}]}</t>
        </is>
      </c>
      <c r="L268" t="inlineStr">
        <is>
          <t>United Kingdom</t>
        </is>
      </c>
      <c r="M268" t="inlineStr">
        <is>
          <t>1997-10-02</t>
        </is>
      </c>
      <c r="N268" t="inlineStr">
        <is>
          <t>England</t>
        </is>
      </c>
      <c r="O268">
        <f>(45+50+45)/3</f>
        <v/>
      </c>
      <c r="P268">
        <f>(40+38+38)/3</f>
        <v/>
      </c>
    </row>
    <row r="269">
      <c r="A269" t="inlineStr">
        <is>
          <t>Ahmedhodzic</t>
        </is>
      </c>
      <c r="B269" t="inlineStr">
        <is>
          <t>Malmo</t>
        </is>
      </c>
      <c r="C269" t="inlineStr">
        <is>
          <t>Defender</t>
        </is>
      </c>
      <c r="D269" t="n">
        <v>413</v>
      </c>
      <c r="E269" t="n">
        <v>5</v>
      </c>
      <c r="F269" t="n">
        <v>0</v>
      </c>
      <c r="G269" t="n">
        <v>0</v>
      </c>
      <c r="H269" t="n">
        <v>46.3</v>
      </c>
      <c r="I269" t="n">
        <v>32.2</v>
      </c>
      <c r="J269" t="n">
        <v>377468</v>
      </c>
      <c r="K269" t="inlineStr">
        <is>
          <t>{'marketValueHistory': [{'date': 'Jun 28, 2019', 'age': '20', 'clubName': 'Malmö FF', 'clubID': '496', 'value': '€100k'}, {'date': 'Sep 9, 2019', 'age': '20', 'clubName': 'Hobro IK', 'clubID': '5818', 'value': '€350k'}, {'date': 'Dec 22, 2019', 'age': '20', 'clubName': 'Hobro IK', 'clubID': '5818', 'value': '€450k'}, {'date': 'Apr 8, 2020', 'age': '21', 'clubName': 'Malmö FF', 'clubID': '496', 'value': '€400k'}, {'date': 'Aug 5, 2020', 'age': '21', 'clubName': 'Malmö FF', 'clubID': '496', 'value': '€1.20m'}, {'date': 'Dec 10, 2020', 'age': '21', 'clubName': 'Malmö FF', 'clubID': '496', 'value': '€3.00m'}, {'date': 'Jun 9, 2021', 'age': '22', 'clubName': 'Malmö FF', 'clubID': '496', 'value': '€4.00m'}, {'date': 'Sep 17, 2021', 'age': '22', 'clubName': 'Malmö FF', 'clubID': '496', 'value': '€6.00m'}, {'date': 'Dec 17, 2021', 'age': '22', 'clubName': 'Malmö FF', 'clubID': '496', 'value': '€7.00m'}, {'date': 'May 30, 2022', 'age': '23', 'clubName': 'FC Girondins Bordeaux', 'clubID': '40', 'value': '€6.00m'}, {'date': 'Oct 27, 2022', 'age': '23', 'clubName': 'Sheffield United', 'clubID': '350', 'value': '€10.00m'}, {'date': 'Mar 24, 2023', 'age': '23', 'clubName': 'Sheffield United', 'clubID': '350', 'value': '€16.00m'}, {'date': 'Jun 1, 2023', 'age': '24', 'clubName': 'Sheffield United', 'clubID': '350', 'value': '€20.00m'}, {'date': 'Dec 19, 2023', 'age': '24', 'clubName': 'Sheffield United', 'clubID': '350', 'value': '€18.00m'}, {'date': 'May 27, 2024', 'age': '25', 'clubName': 'Sheffield United', 'clubID': '350', 'value': '€18.00m'}, {'date': 'Dec 30, 2024', 'age': '25', 'clubName': 'Sheffield United', 'clubID': '350', 'value': '€18.00m'}, {'date': 'May 27, 2025', 'age': '26', 'clubName': 'Sheffield United', 'clubID': '350', 'value': '€18.00m'}, {'date': 'Dec 2, 2025', 'age': '26', 'clubName': 'Feyenoord Rotterdam', 'clubID': '234', 'value': '€16.00m'}, {'date': 'Mar 11, 2026', 'age': '26', 'clubName': 'Feyenoord Rotterdam', 'clubID': '234', 'value': '€12.00m'}]}</t>
        </is>
      </c>
      <c r="L269" t="inlineStr">
        <is>
          <t>Sweden</t>
        </is>
      </c>
      <c r="M269" t="inlineStr">
        <is>
          <t>1999-03-26</t>
        </is>
      </c>
      <c r="N269" t="inlineStr">
        <is>
          <t>Bosnia-Herzegovina</t>
        </is>
      </c>
      <c r="O269">
        <f>(6+10)/2</f>
        <v/>
      </c>
      <c r="P269">
        <f>(4+6+7)/3</f>
        <v/>
      </c>
    </row>
    <row r="270">
      <c r="A270" t="inlineStr">
        <is>
          <t>Andre Silva</t>
        </is>
      </c>
      <c r="B270" t="inlineStr">
        <is>
          <t>Leipzig</t>
        </is>
      </c>
      <c r="C270" t="inlineStr">
        <is>
          <t>Forward</t>
        </is>
      </c>
      <c r="D270" t="n">
        <v>410</v>
      </c>
      <c r="E270" t="n">
        <v>6</v>
      </c>
      <c r="F270" t="n">
        <v>3</v>
      </c>
      <c r="G270" t="n">
        <v>2</v>
      </c>
      <c r="H270" t="n">
        <v>47.2</v>
      </c>
      <c r="I270" t="n">
        <v>32.2</v>
      </c>
      <c r="J270" t="n">
        <v>198008</v>
      </c>
      <c r="K270" t="inlineStr">
        <is>
          <t>{'marketValueHistory': [{'date': 'Feb 20, 2014', 'age': '18', 'clubName': 'FC Porto B', 'clubID': '10331', 'value': '€700k'}, {'date': 'Jul 31, 2015', 'age': '19', 'clubName': 'FC Porto B', 'clubID': '10331', 'value': '€850k'}, {'date': 'Mar 14, 2016', 'age': '20', 'clubName': 'FC Porto B', 'clubID': '10331', 'value': '€2.00m'}, {'date': 'Jul 29, 2016', 'age': '20', 'clubName': 'FC Porto', 'clubID': '720', 'value': '€4.00m'}, {'date': 'Oct 31, 2016', 'age': '20', 'clubName': 'FC Porto', 'clubID': '720', 'value': '€10.00m'}, {'date': 'Feb 22, 2017', 'age': '21', 'clubName': 'FC Porto', 'clubID': '720', 'value': '€16.00m'}, {'date': 'Jun 26, 2017', 'age': '21', 'clubName': 'FC Porto', 'clubID': '720', 'value': '€22.00m'}, {'date': 'Oct 13, 2017', 'age': '21', 'clubName': 'AC Milan', 'clubID': '5', 'value': '€25.00m'}, {'date': 'Dec 29, 2017', 'age': '22', 'clubName': 'AC Milan', 'clubID': '5', 'value': '€25.00m'}, {'date': 'Jun 7, 2018', 'age': '22', 'clubName': 'AC Milan', 'clubID': '5', 'value': '€22.00m'}, {'date': 'Oct 31, 2018', 'age': '22', 'clubName': 'Sevilla FC', 'clubID': '368', 'value': '€30.00m'}, {'date': 'Dec 21, 2018', 'age': '23', 'clubName': 'Sevilla FC', 'clubID': '368', 'value': '€35.00m'}, {'date': 'Jun 11, 2019', 'age': '23', 'clubName': 'Sevilla FC', 'clubID': '368', 'value': '€22.00m'}, {'date': 'Dec 17, 2019', 'age': '24', 'clubName': 'Eintracht Frankfurt', 'clubID': '24', 'value': '€20.00m'}, {'date': 'Apr 8, 2020', 'age': '24', 'clubName': 'Eintracht Frankfurt', 'clubID': '24', 'value': '€16.00m'}, {'date': 'Jul 8, 2020', 'age': '24', 'clubName': 'Eintracht Frankfurt', 'clubID': '24', 'value': '€24.00m'}, {'date': 'Nov 26, 2020', 'age': '25', 'clubName': 'Eintracht Frankfurt', 'clubID': '24', 'value': '€28.00m'}, {'date': 'Feb 10, 2021', 'age': '25', 'clubName': 'Eintracht Frankfurt', 'clubID': '24', 'value': '€37.00m'}, {'date': 'Mar 31, 2021', 'age': '25', 'clubName': 'Eintracht Frankfurt', 'clubID': '24', 'value': '€42.00m'}, {'date': 'Jun 1, 2021', 'age': '25', 'clubName': 'Eintracht Frankfurt', 'clubID': '24', 'value': '€45.00m'}, {'date': 'Oct 7, 2021', 'age': '25', 'clubName': 'RB Leipzig', 'clubID': '23826', 'value': '€40.00m'}, {'date': 'Dec 22, 2021', 'age': '26', 'clubName': 'RB Leipzig', 'clubID': '23826', 'value': '€38.00m'}, {'date': 'Jun 9, 2022', 'age': '26', 'clubName': 'RB Leipzig', 'clubID': '23826', 'value': '€32.00m'}, {'date': 'Sep 21, 2022', 'age': '26', 'clubName': 'RB Leipzig', 'clubID': '23826', 'value': '€27.00m'}, {'date': 'Nov 9, 2022', 'age': '27', 'clubName': 'RB Leipzig', 'clubID': '23826', 'value': '€24.00m'}, {'date': 'Mar 29, 2023', 'age': '27', 'clubName': 'RB Leipzig', 'clubID': '23826', 'value': '€20.00m'}, {'date': 'Jun 22, 2023', 'age': '27', 'clubName': 'RB Leipzig', 'clubID': '23826', 'value': '€15.00m'}, {'date': 'Oct 13, 2023', 'age': '27', 'clubName': 'Real Sociedad', 'clubID': '681', 'value': '€12.00m'}, {'date': 'Dec 22, 2023', 'age': '28', 'clubName': 'Real Sociedad', 'clubID': '681', 'value': '€7.50m'}, {'date': 'Jun 7, 2024', 'age': '28', 'clubName': 'Real Sociedad', 'clubID': '681', 'value': '€6.00m'}, {'date': 'Dec 20, 2024', 'age': '29', 'clubName': 'RB Leipzig', 'clubID': '23826', 'value': '€5.00m'}, {'date': 'Jun 5, 2025', 'age': '29', 'clubName': 'SV Werder Bremen', 'clubID': '86', 'value': '€4.00m'}, {'date': 'Oct 2, 2025', 'age': '29', 'clubName': 'Elche CF', 'clubID': '1531', 'value': '€3.00m'}, {'date': 'Dec 12, 2025', 'age': '30', 'clubName': 'Elche CF', 'clubID': '1531', 'value': '€3.00m'}]}</t>
        </is>
      </c>
      <c r="L270" t="inlineStr">
        <is>
          <t>Portugal</t>
        </is>
      </c>
      <c r="M270" t="inlineStr">
        <is>
          <t>1995-11-06</t>
        </is>
      </c>
      <c r="N270" t="inlineStr">
        <is>
          <t>53</t>
        </is>
      </c>
      <c r="O270">
        <f>(32+27+24)/3</f>
        <v/>
      </c>
      <c r="P270">
        <f>(37+42+45+40+38)/5</f>
        <v/>
      </c>
    </row>
    <row r="271">
      <c r="A271" t="inlineStr">
        <is>
          <t>Vidal</t>
        </is>
      </c>
      <c r="B271" t="inlineStr">
        <is>
          <t>Inter</t>
        </is>
      </c>
      <c r="C271" t="inlineStr">
        <is>
          <t>Midfielder</t>
        </is>
      </c>
      <c r="D271" t="n">
        <v>409</v>
      </c>
      <c r="E271" t="n">
        <v>7</v>
      </c>
      <c r="F271" t="n">
        <v>1</v>
      </c>
      <c r="G271" t="n">
        <v>2</v>
      </c>
      <c r="H271" t="n">
        <v>53.2</v>
      </c>
      <c r="I271" t="n">
        <v>31.2</v>
      </c>
      <c r="J271" t="n">
        <v>37666</v>
      </c>
      <c r="K271" t="inlineStr">
        <is>
          <t>{'marketValueHistory': [{'date': '02/05/2007', 'age': '19', 'clubName': 'CSD Colo-Colo', 'clubID': '2433', 'value': '€5.00m'}, {'date': '01/01/2008', 'age': '20', 'clubName': 'Bayer 04 Leverkusen', 'clubID': '15', 'value': '€7.50m'}, {'date': '26/03/2010', 'age': '22', 'clubName': 'Bayer 04 Leverkusen', 'clubID': '15', 'value': '€9.00m'}, {'date': '16/07/2010', 'age': '23', 'clubName': 'Bayer 04 Leverkusen', 'clubID': '15', 'value': '€11.00m'}, {'date': '23/11/2010', 'age': '23', 'clubName': 'Bayer 04 Leverkusen', 'clubID': '15', 'value': '€14.00m'}, {'date': '12/01/2011', 'age': '23', 'clubName': 'Bayer 04 Leverkusen', 'clubID': '15', 'value': '€17.00m'}, {'date': '29/06/2011', 'age': '24', 'clubName': 'Bayer 04 Leverkusen', 'clubID': '15', 'value': '€20.00m'}, {'date': '11/01/2012', 'age': '24', 'clubName': 'Juventus FC', 'clubID': '506', 'value': '€20.00m'}, {'date': '08/06/2012', 'age': '25', 'clubName': 'Juventus FC', 'clubID': '506', 'value': '€24.00m'}, {'date': '07/11/2012', 'age': '25', 'clubName': 'Juventus FC', 'clubID': '506', 'value': '€28.00m'}, {'date': '15/01/2013', 'age': '25', 'clubName': 'Juventus FC', 'clubID': '506', 'value': '€30.00m'}, {'date': '19/06/2013', 'age': '26', 'clubName': 'Juventus FC', 'clubID': '506', 'value': '€35.00m'}, {'date': '25/09/2013', 'age': '26', 'clubName': 'Juventus FC', 'clubID': '506', 'value': '€40.00m'}, {'date': '07/01/2014', 'age': '26', 'clubName': 'Juventus FC', 'clubID': '506', 'value': '€44.00m'}, {'date': '11/07/2014', 'age': '27', 'clubName': 'Juventus FC', 'clubID': '506', 'value': '€45.00m'}, {'date': '07/01/2015', 'age': '27', 'clubName': 'Juventus FC', 'clubID': '506', 'value': '€42.00m'}, {'date': '01/07/2015', 'age': '28', 'clubName': 'Juventus FC', 'clubID': '506', 'value': '€42.00m'}, {'date': '15/02/2016', 'age': '28', 'clubName': 'Bayern Munich', 'clubID': '27', 'value': '€37.00m'}, {'date': '22/07/2016', 'age': '29', 'clubName': 'Bayern Munich', 'clubID': '27', 'value': '€40.00m'}, {'date': '07/02/2017', 'age': '29', 'clubName': 'Bayern Munich', 'clubID': '27', 'value': '€37.00m'}, {'date': '19/06/2017', 'age': '30', 'clubName': 'Bayern Munich', 'clubID': '27', 'value': '€35.00m'}, {'date': '28/12/2017', 'age': '30', 'clubName': 'Bayern Munich', 'clubID': '27', 'value': '€35.00m'}, {'date': '05/06/2018', 'age': '31', 'clubName': 'Bayern Munich', 'clubID': '27', 'value': '€35.00m'}, {'date': '31/10/2018', 'age': '31', 'clubName': 'FC Barcelona', 'clubID': '131', 'value': '€25.00m'}, {'date': '21/12/2018', 'age': '31', 'clubName': 'FC Barcelona', 'clubID': '131', 'value': '€20.00m'}, {'date': '28/02/2019', 'age': '31', 'clubName': 'FC Barcelona', 'clubID': '131', 'value': '€18.00m'}, {'date': '11/06/2019', 'age': '32', 'clubName': 'FC Barcelona', 'clubID': '131', 'value': '€15.00m'}, {'date': '20/12/2019', 'age': '32', 'clubName': 'FC Barcelona', 'clubID': '131', 'value': '€14.00m'}, {'date': '08/04/2020', 'age': '32', 'clubName': 'FC Barcelona', 'clubID': '131', 'value': '€11.00m'}, {'date': '29/10/2020', 'age': '33', 'clubName': 'Inter Milan', 'clubID': '46', 'value': '€10.00m'}, {'date': '29/12/2020', 'age': '33', 'clubName': 'Inter Milan', 'clubID': '46', 'value': '€8.00m'}, {'date': '23/03/2021', 'age': '33', 'clubName': 'Inter Milan', 'clubID': '46', 'value': '€6.00m'}, {'date': '03/06/2021', 'age': '34', 'clubName': 'Inter Milan', 'clubID': '46', 'value': '€3.50m'}, {'date': '28/12/2021', 'age': '34', 'clubName': 'Inter Milan', 'clubID': '46', 'value': '€2.50m'}, {'date': '07/06/2022', 'age': '35', 'clubName': 'Inter Milan', 'clubID': '46', 'value': '€2.00m'}, {'date': '19/08/2022', 'age': '35', 'clubName': 'CR Flamengo', 'clubID': '614', 'value': '€2.00m'}, {'date': '14/11/2022', 'age': '35', 'clubName': 'CR Flamengo', 'clubID': '614', 'value': '€1.70m'}, {'date': '07/04/2023', 'age': '35', 'clubName': 'CR Flamengo', 'clubID': '614', 'value': '€1.20m'}, {'date': '25/07/2023', 'age': '36', 'clubName': 'Club Athletico Paranaense', 'clubID': '679', 'value': '€700k'}, {'date': '11/12/2023', 'age': '36', 'clubName': 'Club Athletico Paranaense', 'clubID': '679', 'value': '€600k'}, {'date': '29/03/2024', 'age': '36', 'clubName': 'CSD Colo-Colo', 'clubID': '2433', 'value': '€400k'}, {'date': '13/06/2024', 'age': '37', 'clubName': 'CSD Colo-Colo', 'clubID': '2433', 'value': '€300k'}, {'date': '12/11/2024', 'age': '37', 'clubName': 'CSD Colo-Colo', 'clubID': '2433', 'value': '€300k'}, {'date': '30/06/2025', 'age': '38', 'clubName': 'CSD Colo-Colo', 'clubID': '2433', 'value': '€250k'}, {'date': '10/12/2025', 'age': '38', 'clubName': 'CSD Colo-Colo', 'clubID': '2433', 'value': '€175k'}]}</t>
        </is>
      </c>
      <c r="L271" t="inlineStr">
        <is>
          <t>Chile</t>
        </is>
      </c>
      <c r="M271" t="inlineStr">
        <is>
          <t>1987-05-22</t>
        </is>
      </c>
      <c r="N271" t="inlineStr">
        <is>
          <t>Chile</t>
        </is>
      </c>
      <c r="O271">
        <f>(2+2+1.7)/3</f>
        <v/>
      </c>
      <c r="P271">
        <f>(6+3.5+2.5)/3</f>
        <v/>
      </c>
    </row>
    <row r="272">
      <c r="A272" t="inlineStr">
        <is>
          <t>Balanta</t>
        </is>
      </c>
      <c r="B272" t="inlineStr">
        <is>
          <t>Club Brugge</t>
        </is>
      </c>
      <c r="C272" t="inlineStr">
        <is>
          <t>Defender</t>
        </is>
      </c>
      <c r="D272" t="n">
        <v>407</v>
      </c>
      <c r="E272" t="n">
        <v>5</v>
      </c>
      <c r="F272" t="n">
        <v>0</v>
      </c>
      <c r="G272" t="n">
        <v>0</v>
      </c>
      <c r="H272" t="n">
        <v>50.7</v>
      </c>
      <c r="I272" t="n">
        <v>31.5</v>
      </c>
      <c r="J272" t="n">
        <v>265127</v>
      </c>
      <c r="K272" t="inlineStr">
        <is>
          <t>{'id': '265127', 'marketValue': '€1.50m', 'marketValueHistory': [{'age': '20', 'date': 'Jun 22, 2013', 'clubName': 'CA River Plate', 'value': '€200k', 'clubID': '15108'}, {'age': '20', 'date': 'Jun 30, 2013', 'clubName': 'CA River Plate', 'value': '€1.50m', 'clubID': '15108'}, {'age': '20', 'date': 'Feb 10, 2014', 'clubName': 'CA River Plate', 'value': '€3.00m', 'clubID': '15108'}, {'age': '21', 'date': 'Jan 10, 2015', 'clubName': 'CA River Plate', 'value': '€6.00m', 'clubID': '15108'}, {'age': '22', 'date': 'Jul 14, 2015', 'clubName': 'CA River Plate', 'value': '€5.00m', 'clubID': '15108'}, {'age': '22', 'date': 'Feb 6, 2016', 'clubName': 'CA River Plate', 'value': '€4.00m', 'clubID': '15108'}, {'age': '23', 'date': 'Dec 20, 2016', 'clubName': 'FC Basel 1893', 'value': '€4.00m', 'clubID': '26'}, {'age': '24', 'date': 'Apr 14, 2017', 'clubName': 'FC Basel 1893', 'value': '€3.00m', 'clubID': '26'}, {'age': '24', 'date': 'Jul 12, 2017', 'clubName': 'FC Basel 1893', 'value': '€2.25m', 'clubID': '26'}, {'age': '24', 'date': 'Jan 8, 2018', 'clubName': 'FC Basel 1893', 'value': '€3.50m', 'clubID': '26'}, {'age': '25', 'date': 'Apr 24, 2018', 'clubName': 'FC Basel 1893', 'value': '€3.50m', 'clubID': '26'}, {'age': '25', 'date': 'Jul 12, 2018', 'clubName': 'FC Basel 1893', 'value': '€4.50m', 'clubID': '26'}, {'age': '25', 'date': 'Jan 21, 2019', 'clubName': 'FC Basel 1893', 'value': '€4.50m', 'clubID': '26'}, {'age': '26', 'date': 'Apr 15, 2019', 'clubName': 'FC Basel 1893', 'value': '€4.50m', 'clubID': '26'}, {'age': '26', 'date': 'Jun 4, 2019', 'clubName': 'FC Basel 1893', 'value': '€4.50m', 'clubID': '26'}, {'age': '26', 'date': 'Dec 13, 2019', 'clubName': 'Club Brugge KV', 'value': '€4.50m', 'clubID': '2282'}, {'age': '27', 'date': 'Mar 30, 2020', 'clubName': 'Club Brugge KV', 'value': '€6.00m', 'clubID': '2282'}, {'age': '27', 'date': 'Apr 8, 2020', 'clubName': 'Club Brugge KV', 'value': '€4.80m', 'clubID': '2282'}, {'age': '27', 'date': 'Oct 16, 2020', 'clubName': 'Club Brugge KV', 'value': '€4.00m', 'clubID': '2282'}, {'age': '28', 'date': 'Jun 7, 2021', 'clubName': 'Club Brugge KV', 'value': '€4.50m', 'clubID': '2282'}, {'age': '28', 'date': 'Oct 6, 2021', 'clubName': 'Club Brugge KV', 'value': '€6.00m', 'clubID': '2282'}, {'age': '28', 'date': 'Jan 6, 2022', 'clubName': 'Club Brugge KV', 'value': '€6.50m', 'clubID': '2282'}, {'age': '29', 'date': 'Apr 12, 2022', 'clubName': 'Club Brugge KV', 'value': '€5.00m', 'clubID': '2282'}, {'age': '29', 'date': 'Sep 7, 2022', 'clubName': 'Club Brugge KV', 'value': '€3.70m', 'clubID': '2282'}, {'age': '29', 'date': 'Nov 4, 2022', 'clubName': 'Club Brugge KV', 'value': '€3.00m', 'clubID': '2282'}, {'age': '30', 'date': 'Jun 22, 2023', 'clubName': 'FC Schalke 04', 'value': '€2.00m', 'clubID': '33'}, {'age': '30', 'date': 'Dec 19, 2023', 'clubName': 'Club Brugge KV', 'value': '€1.50m', 'clubID': '2282'}], 'ranking': {'Worldwide': '5.054', 'Jupiler Pro League': '169', 'Club Brugge': '18', 'Colombia': '86', 'Defensive Midfield': '437', 'Year 1993': '267'}, 'updatedAt': datetime.datetime(2024, 5, 23, 22, 33, 4, 296492)}</t>
        </is>
      </c>
      <c r="L272" t="inlineStr">
        <is>
          <t>Colombia</t>
        </is>
      </c>
      <c r="M272" t="inlineStr">
        <is>
          <t>1993-02-28</t>
        </is>
      </c>
      <c r="N272" t="inlineStr">
        <is>
          <t>Colombia</t>
        </is>
      </c>
      <c r="O272">
        <f>(6.5+5+3.7+3)/4</f>
        <v/>
      </c>
      <c r="P272">
        <f>(4.5+6)/2</f>
        <v/>
      </c>
    </row>
    <row r="273">
      <c r="A273" t="inlineStr">
        <is>
          <t>Renato Sanches</t>
        </is>
      </c>
      <c r="B273" t="inlineStr">
        <is>
          <t>Lille</t>
        </is>
      </c>
      <c r="C273" t="inlineStr">
        <is>
          <t>Midfielder</t>
        </is>
      </c>
      <c r="D273" t="n">
        <v>407</v>
      </c>
      <c r="E273" t="n">
        <v>5</v>
      </c>
      <c r="F273" t="n">
        <v>0</v>
      </c>
      <c r="G273" t="n">
        <v>0</v>
      </c>
      <c r="H273" t="n">
        <v>49.2</v>
      </c>
      <c r="I273" t="n">
        <v>33.7</v>
      </c>
      <c r="J273" t="n">
        <v>258027</v>
      </c>
      <c r="K273" t="inlineStr">
        <is>
          <t>{'marketValueHistory': [{'date': '31/07/2015', 'age': '17', 'clubName': 'SL Benfica B', 'clubID': '10330', 'value': '€800k'}, {'date': '24/02/2016', 'age': '18', 'clubName': 'SL Benfica', 'clubID': '294', 'value': '€10.00m'}, {'date': '01/06/2016', 'age': '18', 'clubName': 'SL Benfica', 'clubID': '294', 'value': '€20.00m'}, {'date': '22/07/2016', 'age': '18', 'clubName': 'Bayern Munich', 'clubID': '27', 'value': '€30.00m'}, {'date': '07/02/2017', 'age': '19', 'clubName': 'Bayern Munich', 'clubID': '27', 'value': '€30.00m'}, {'date': '19/06/2017', 'age': '19', 'clubName': 'Bayern Munich', 'clubID': '27', 'value': '€22.00m'}, {'date': '02/01/2018', 'age': '20', 'clubName': 'Swansea City', 'clubID': '2288', 'value': '€22.00m'}, {'date': '28/05/2018', 'age': '20', 'clubName': 'Swansea City', 'clubID': '2288', 'value': '€20.00m'}, {'date': '18/12/2018', 'age': '21', 'clubName': 'Bayern Munich', 'clubID': '27', 'value': '€20.00m'}, {'date': '05/06/2019', 'age': '21', 'clubName': 'Bayern Munich', 'clubID': '27', 'value': '€18.00m'}, {'date': '19/12/2019', 'age': '22', 'clubName': 'LOSC Lille', 'clubID': '1082', 'value': '€18.00m'}, {'date': '13/03/2020', 'age': '22', 'clubName': 'LOSC Lille', 'clubID': '1082', 'value': '€20.00m'}, {'date': '08/04/2020', 'age': '22', 'clubName': 'LOSC Lille', 'clubID': '1082', 'value': '€16.00m'}, {'date': '03/08/2020', 'age': '22', 'clubName': 'LOSC Lille', 'clubID': '1082', 'value': '€20.00m'}, {'date': '15/10/2020', 'age': '23', 'clubName': 'LOSC Lille', 'clubID': '1082', 'value': '€20.00m'}, {'date': '07/01/2021', 'age': '23', 'clubName': 'LOSC Lille', 'clubID': '1082', 'value': '€28.00m'}, {'date': '01/06/2021', 'age': '23', 'clubName': 'LOSC Lille', 'clubID': '1082', 'value': '€30.00m'}, {'date': '16/12/2021', 'age': '24', 'clubName': 'LOSC Lille', 'clubID': '1082', 'value': '€30.00m'}, {'date': '30/05/2022', 'age': '24', 'clubName': 'LOSC Lille', 'clubID': '1082', 'value': '€28.00m'}, {'date': '02/11/2022', 'age': '25', 'clubName': 'Paris Saint-Germain', 'clubID': '583', 'value': '€25.00m'}, {'date': '27/03/2023', 'age': '25', 'clubName': 'Paris Saint-Germain', 'clubID': '583', 'value': '€20.00m'}, {'date': '27/06/2023', 'age': '25', 'clubName': 'Paris Saint-Germain', 'clubID': '583', 'value': '€15.00m'}, {'date': '11/10/2023', 'age': '26', 'clubName': 'AS Roma', 'clubID': '12', 'value': '€14.00m'}, {'date': '20/12/2023', 'age': '26', 'clubName': 'AS Roma', 'clubID': '12', 'value': '€10.00m'}, {'date': '12/03/2024', 'age': '26', 'clubName': 'AS Roma', 'clubID': '12', 'value': '€8.00m'}, {'date': '05/06/2024', 'age': '26', 'clubName': 'AS Roma', 'clubID': '12', 'value': '€6.50m'}, {'date': '19/12/2024', 'age': '27', 'clubName': 'SL Benfica', 'clubID': '294', 'value': '€5.00m'}, {'date': '31/03/2025', 'age': '27', 'clubName': 'SL Benfica', 'clubID': '294', 'value': '€4.00m'}, {'date': '30/05/2025', 'age': '27', 'clubName': 'SL Benfica', 'clubID': '294', 'value': '€3.00m'}, {'date': '12/12/2025', 'age': '28', 'clubName': 'Panathinaikos', 'clubID': '265', 'value': '€2.50m'}, {'date': '06/03/2026', 'age': '28', 'clubName': 'Panathinaikos', 'clubID': '265', 'value': '€2.00m'}]}</t>
        </is>
      </c>
      <c r="L273" t="inlineStr">
        <is>
          <t>Portugal</t>
        </is>
      </c>
      <c r="M273" t="inlineStr">
        <is>
          <t>1997-08-18</t>
        </is>
      </c>
      <c r="N273" t="inlineStr">
        <is>
          <t>Portugal</t>
        </is>
      </c>
      <c r="O273">
        <f>(28+25)/2</f>
        <v/>
      </c>
      <c r="P273">
        <f>(28+30+30)/3</f>
        <v/>
      </c>
    </row>
    <row r="274">
      <c r="A274" t="inlineStr">
        <is>
          <t>Zappacosta</t>
        </is>
      </c>
      <c r="B274" t="inlineStr">
        <is>
          <t>Atalanta</t>
        </is>
      </c>
      <c r="C274" t="inlineStr">
        <is>
          <t>Defender</t>
        </is>
      </c>
      <c r="D274" t="n">
        <v>405</v>
      </c>
      <c r="E274" t="n">
        <v>6</v>
      </c>
      <c r="F274" t="n">
        <v>0</v>
      </c>
      <c r="G274" t="n">
        <v>1</v>
      </c>
      <c r="H274" t="n">
        <v>51</v>
      </c>
      <c r="I274" t="n">
        <v>33.1</v>
      </c>
      <c r="J274" t="n">
        <v>173859</v>
      </c>
      <c r="K274" t="inlineStr">
        <is>
          <t>{'marketValueHistory': [{'date': 'Jun 10, 2011', 'age': '18', 'clubName': 'Atalanta Primavera', 'clubID': '11998', 'value': '€75k'}, {'date': 'Dec 15, 2011', 'age': '19', 'clubName': 'AS Avellino 1912', 'clubID': '2331', 'value': '€100k'}, {'date': 'Apr 29, 2012', 'age': '19', 'clubName': 'AS Avellino 1912', 'clubID': '2331', 'value': '€225k'}, {'date': 'Mar 1, 2013', 'age': '20', 'clubName': 'AS Avellino 1912', 'clubID': '2331', 'value': '€275k'}, {'date': 'Jun 23, 2013', 'age': '21', 'clubName': 'AS Avellino 1912', 'clubID': '2331', 'value': '€325k'}, {'date': 'Jan 29, 2014', 'age': '21', 'clubName': 'AS Avellino 1912', 'clubID': '2331', 'value': '€1.30m'}, {'date': 'Jul 15, 2014', 'age': '22', 'clubName': 'Atalanta BC', 'clubID': '800', 'value': '€1.50m'}, {'date': 'Nov 8, 2014', 'age': '22', 'clubName': 'Atalanta BC', 'clubID': '800', 'value': '€3.00m'}, {'date': 'Jan 7, 2015', 'age': '22', 'clubName': 'Atalanta BC', 'clubID': '800', 'value': '€3.00m'}, {'date': 'Mar 20, 2015', 'age': '22', 'clubName': 'Atalanta BC', 'clubID': '800', 'value': '€4.50m'}, {'date': 'Jul 1, 2015', 'age': '23', 'clubName': 'Atalanta BC', 'clubID': '800', 'value': '€5.50m'}, {'date': 'Jan 4, 2016', 'age': '23', 'clubName': 'Torino FC', 'clubID': '416', 'value': '€5.00m'}, {'date': 'Jul 15, 2016', 'age': '24', 'clubName': 'Torino FC', 'clubID': '416', 'value': '€4.50m'}, {'date': 'Jan 2, 2017', 'age': '24', 'clubName': 'Torino FC', 'clubID': '416', 'value': '€6.00m'}, {'date': 'Jun 8, 2017', 'age': '24', 'clubName': 'Torino FC', 'clubID': '416', 'value': '€8.50m'}, {'date': 'Oct 23, 2017', 'age': '25', 'clubName': 'Chelsea FC', 'clubID': '631', 'value': '€15.00m'}, {'date': 'Jan 2, 2018', 'age': '25', 'clubName': 'Chelsea FC', 'clubID': '631', 'value': '€20.00m'}, {'date': 'May 28, 2018', 'age': '25', 'clubName': 'Chelsea FC', 'clubID': '631', 'value': '€20.00m'}, {'date': 'Dec 19, 2018', 'age': '26', 'clubName': 'Chelsea FC', 'clubID': '631', 'value': '€18.00m'}, {'date': 'Jun 13, 2019', 'age': '27', 'clubName': 'Chelsea FC', 'clubID': '631', 'value': '€15.00m'}, {'date': 'Dec 12, 2019', 'age': '27', 'clubName': 'AS Roma', 'clubID': '12', 'value': '€15.00m'}, {'date': 'Apr 8, 2020', 'age': '27', 'clubName': 'AS Roma', 'clubID': '12', 'value': '€12.00m'}, {'date': 'Aug 25, 2020', 'age': '28', 'clubName': 'Chelsea FC', 'clubID': '631', 'value': '€10.00m'}, {'date': 'Dec 29, 2020', 'age': '28', 'clubName': 'Genoa CFC', 'clubID': '252', 'value': '€7.00m'}, {'date': 'Mar 23, 2021', 'age': '28', 'clubName': 'Genoa CFC', 'clubID': '252', 'value': '€8.00m'}, {'date': 'Jun 3, 2021', 'age': '28', 'clubName': 'Genoa CFC', 'clubID': '252', 'value': '€8.00m'}, {'date': 'Oct 14, 2021', 'age': '29', 'clubName': 'Atalanta BC', 'clubID': '800', 'value': '€10.00m'}, {'date': 'Dec 28, 2021', 'age': '29', 'clubName': 'Atalanta BC', 'clubID': '800', 'value': '€10.00m'}, {'date': 'Jun 7, 2022', 'age': '29', 'clubName': 'Atalanta BC', 'clubID': '800', 'value': '€9.00m'}, {'date': 'Nov 11, 2022', 'age': '30', 'clubName': 'Atalanta BC', 'clubID': '800', 'value': '€7.00m'}, {'date': 'Jun 15, 2023', 'age': '31', 'clubName': 'Atalanta BC', 'clubID': '800', 'value': '€7.00m'}, {'date': 'Dec 20, 2023', 'age': '31', 'clubName': 'Atalanta BC', 'clubID': '800', 'value': '€6.00m'}, {'date': 'Jun 5, 2024', 'age': '31', 'clubName': 'Atalanta BC', 'clubID': '800', 'value': '€6.00m'}, {'date': 'Dec 18, 2024', 'age': '32', 'clubName': 'Atalanta BC', 'clubID': '800', 'value': '€6.00m'}, {'date': 'Jun 17, 2025', 'age': '33', 'clubName': 'Atalanta BC', 'clubID': '800', 'value': '€5.00m'}, {'date': 'Oct 7, 2025', 'age': '33', 'clubName': 'Atalanta BC', 'clubID': '800', 'value': '€3.50m'}, {'date': 'Dec 23, 2025', 'age': '33', 'clubName': 'Atalanta BC', 'clubID': '800', 'value': '€3.50m'}]}</t>
        </is>
      </c>
      <c r="L274" t="inlineStr">
        <is>
          <t>Italy</t>
        </is>
      </c>
      <c r="M274" t="inlineStr">
        <is>
          <t>1992-06-11</t>
        </is>
      </c>
      <c r="N274" t="inlineStr">
        <is>
          <t>Italy</t>
        </is>
      </c>
      <c r="O274">
        <f>(9+7)/2</f>
        <v/>
      </c>
      <c r="P274">
        <f>(8+8+10+10)/4</f>
        <v/>
      </c>
    </row>
    <row r="275">
      <c r="A275" t="inlineStr">
        <is>
          <t>Laimer</t>
        </is>
      </c>
      <c r="B275" t="inlineStr">
        <is>
          <t>Leipzig</t>
        </is>
      </c>
      <c r="C275" t="inlineStr">
        <is>
          <t>Midfielder</t>
        </is>
      </c>
      <c r="D275" t="n">
        <v>405</v>
      </c>
      <c r="E275" t="n">
        <v>6</v>
      </c>
      <c r="F275" t="n">
        <v>0</v>
      </c>
      <c r="G275" t="n">
        <v>1</v>
      </c>
      <c r="H275" t="n">
        <v>49.1</v>
      </c>
      <c r="I275" t="n">
        <v>34.5</v>
      </c>
      <c r="J275" t="n">
        <v>223967</v>
      </c>
      <c r="K275" t="inlineStr">
        <is>
          <t>{'marketValueHistory': [{'date': 'Apr 17, 2014', 'age': '16', 'clubName': 'AKA Red Bull Salzburg U18', 'clubID': '11263', 'value': '€50k'}, {'date': 'Jun 24, 2014', 'age': '17', 'clubName': 'AKA Red Bull Salzburg U18', 'clubID': '11263', 'value': '€75k'}, {'date': 'Nov 22, 2014', 'age': '17', 'clubName': 'FC Liefering', 'clubID': '37024', 'value': '€350k'}, {'date': 'Jan 11, 2015', 'age': '17', 'clubName': 'Red Bull Salzburg', 'clubID': '409', 'value': '€500k'}, {'date': 'Jun 17, 2015', 'age': '18', 'clubName': 'Red Bull Salzburg', 'clubID': '409', 'value': '€800k'}, {'date': 'Oct 2, 2015', 'age': '18', 'clubName': 'Red Bull Salzburg', 'clubID': '409', 'value': '€700k'}, {'date': 'Dec 29, 2015', 'age': '18', 'clubName': 'Red Bull Salzburg', 'clubID': '409', 'value': '€700k'}, {'date': 'Jun 1, 2016', 'age': '19', 'clubName': 'Red Bull Salzburg', 'clubID': '409', 'value': '€1.00m'}, {'date': 'Oct 6, 2016', 'age': '19', 'clubName': 'Red Bull Salzburg', 'clubID': '409', 'value': '€2.00m'}, {'date': 'Dec 22, 2016', 'age': '19', 'clubName': 'Red Bull Salzburg', 'clubID': '409', 'value': '€3.00m'}, {'date': 'Jun 2, 2017', 'age': '20', 'clubName': 'Red Bull Salzburg', 'clubID': '409', 'value': '€8.00m'}, {'date': 'Dec 28, 2017', 'age': '20', 'clubName': 'RB Leipzig', 'clubID': '23826', 'value': '€7.00m'}, {'date': 'Jun 5, 2018', 'age': '21', 'clubName': 'RB Leipzig', 'clubID': '23826', 'value': '€8.00m'}, {'date': 'Dec 18, 2018', 'age': '21', 'clubName': 'RB Leipzig', 'clubID': '23826', 'value': '€8.00m'}, {'date': 'Mar 6, 2019', 'age': '21', 'clubName': 'RB Leipzig', 'clubID': '23826', 'value': '€14.00m'}, {'date': 'Jun 5, 2019', 'age': '22', 'clubName': 'RB Leipzig', 'clubID': '23826', 'value': '€17.00m'}, {'date': 'Dec 17, 2019', 'age': '22', 'clubName': 'RB Leipzig', 'clubID': '23826', 'value': '€23.00m'}, {'date': 'Mar 11, 2020', 'age': '22', 'clubName': 'RB Leipzig', 'clubID': '23826', 'value': '€30.00m'}, {'date': 'Apr 8, 2020', 'age': '22', 'clubName': 'RB Leipzig', 'clubID': '23826', 'value': '€24.00m'}, {'date': 'Jul 8, 2020', 'age': '23', 'clubName': 'RB Leipzig', 'clubID': '23826', 'value': '€28.00m'}, {'date': 'Sep 16, 2020', 'age': '23', 'clubName': 'RB Leipzig', 'clubID': '23826', 'value': '€30.00m'}, {'date': 'Feb 10, 2021', 'age': '23', 'clubName': 'RB Leipzig', 'clubID': '23826', 'value': '€26.00m'}, {'date': 'May 27, 2021', 'age': '24', 'clubName': 'RB Leipzig', 'clubID': '23826', 'value': '€26.00m'}, {'date': 'Dec 22, 2021', 'age': '24', 'clubName': 'RB Leipzig', 'clubID': '23826', 'value': '€26.00m'}, {'date': 'Jun 9, 2022', 'age': '25', 'clubName': 'RB Leipzig', 'clubID': '23826', 'value': '€28.00m'}, {'date': 'Nov 9, 2022', 'age': '25', 'clubName': 'RB Leipzig', 'clubID': '23826', 'value': '€28.00m'}, {'date': 'Jun 22, 2023', 'age': '26', 'clubName': 'RB Leipzig', 'clubID': '23826', 'value': '€28.00m'}, {'date': 'Dec 14, 2023', 'age': '26', 'clubName': 'Bayern Munich', 'clubID': '27', 'value': '€28.00m'}, {'date': 'May 29, 2024', 'age': '27', 'clubName': 'Bayern Munich', 'clubID': '27', 'value': '€30.00m'}, {'date': 'Dec 20, 2024', 'age': '27', 'clubName': 'Bayern Munich', 'clubID': '27', 'value': '€25.00m'}, {'date': 'Jun 5, 2025', 'age': '28', 'clubName': 'Bayern Munich', 'clubID': '27', 'value': '€25.00m'}, {'date': 'Dec 19, 2025', 'age': '28', 'clubName': 'Bayern Munich', 'clubID': '27', 'value': '€32.00m'}]}</t>
        </is>
      </c>
      <c r="L275" t="inlineStr">
        <is>
          <t>Austria</t>
        </is>
      </c>
      <c r="M275" t="inlineStr">
        <is>
          <t>1997-05-27</t>
        </is>
      </c>
      <c r="N275" t="inlineStr">
        <is>
          <t>56</t>
        </is>
      </c>
      <c r="O275">
        <f>(28+28)/2</f>
        <v/>
      </c>
      <c r="P275">
        <f>(26+26+26)/3</f>
        <v/>
      </c>
    </row>
    <row r="276">
      <c r="A276" t="inlineStr">
        <is>
          <t>Kolovos</t>
        </is>
      </c>
      <c r="B276" t="inlineStr">
        <is>
          <t>Sheriff</t>
        </is>
      </c>
      <c r="C276" t="inlineStr">
        <is>
          <t>Midfielder</t>
        </is>
      </c>
      <c r="D276" t="n">
        <v>405</v>
      </c>
      <c r="E276" t="n">
        <v>6</v>
      </c>
      <c r="F276" t="n">
        <v>0</v>
      </c>
      <c r="G276" t="n">
        <v>0</v>
      </c>
      <c r="H276" t="n">
        <v>49.3</v>
      </c>
      <c r="I276" t="n">
        <v>31.1</v>
      </c>
      <c r="J276" t="n">
        <v>162261</v>
      </c>
      <c r="K276" t="inlineStr">
        <is>
          <t>{'marketValueHistory': [{'date': 'Sep 23, 2010', 'age': '17', 'clubName': 'Panionios FC', 'clubID': '169', 'value': '€150k'}, {'date': 'Feb 22, 2011', 'age': '17', 'clubName': 'Panionios FC', 'clubID': '169', 'value': '€150k'}, {'date': 'Jul 1, 2011', 'age': '18', 'clubName': 'Panionios FC', 'clubID': '169', 'value': '€150k'}, {'date': 'Nov 14, 2011', 'age': '18', 'clubName': 'Panionios FC', 'clubID': '169', 'value': '€200k'}, {'date': 'Feb 26, 2012', 'age': '18', 'clubName': 'Panionios FC', 'clubID': '169', 'value': '€400k'}, {'date': 'Sep 21, 2012', 'age': '19', 'clubName': 'Panionios FC', 'clubID': '169', 'value': '€450k'}, {'date': 'Feb 10, 2013', 'age': '19', 'clubName': 'Panionios FC', 'clubID': '169', 'value': '€550k'}, {'date': 'Dec 2, 2013', 'age': '20', 'clubName': 'Panionios FC', 'clubID': '169', 'value': '€800k'}, {'date': 'Mar 28, 2014', 'age': '20', 'clubName': 'Panionios FC', 'clubID': '169', 'value': '€1.00m'}, {'date': 'Nov 11, 2014', 'age': '21', 'clubName': 'Panionios FC', 'clubID': '169', 'value': '€1.00m'}, {'date': 'May 10, 2015', 'age': '22', 'clubName': 'Panionios FC', 'clubID': '169', 'value': '€1.25m'}, {'date': 'Sep 27, 2015', 'age': '22', 'clubName': 'Olympiacos Piraeus', 'clubID': '683', 'value': '€1.00m'}, {'date': 'Jun 21, 2016', 'age': '23', 'clubName': 'Olympiacos Piraeus', 'clubID': '683', 'value': '€800k'}, {'date': 'Jan 21, 2017', 'age': '23', 'clubName': 'KV Mechelen', 'clubID': '354', 'value': '€1.00m'}, {'date': 'Jun 6, 2017', 'age': '24', 'clubName': 'KV Mechelen', 'clubID': '354', 'value': '€1.20m'}, {'date': 'Jan 9, 2018', 'age': '24', 'clubName': 'KV Mechelen', 'clubID': '354', 'value': '€1.00m'}, {'date': 'Jun 3, 2018', 'age': '25', 'clubName': 'KV Mechelen', 'clubID': '354', 'value': '€850k'}, {'date': 'Dec 28, 2018', 'age': '25', 'clubName': 'Willem II Tilburg', 'clubID': '403', 'value': '€600k'}, {'date': 'Jun 25, 2019', 'age': '26', 'clubName': 'Omonia Nicosia', 'clubID': '829', 'value': '€600k'}, {'date': 'Dec 18, 2019', 'age': '26', 'clubName': 'Panathinaikos', 'clubID': '265', 'value': '€600k'}, {'date': 'Apr 8, 2020', 'age': '26', 'clubName': 'Panathinaikos', 'clubID': '265', 'value': '€475k'}, {'date': 'Aug 4, 2020', 'age': '27', 'clubName': 'Panathinaikos', 'clubID': '265', 'value': '€500k'}, {'date': 'Dec 15, 2020', 'age': '27', 'clubName': 'FC Sheriff Tiraspol', 'clubID': '2481', 'value': '€500k'}, {'date': 'May 24, 2021', 'age': '28', 'clubName': 'FC Sheriff Tiraspol', 'clubID': '2481', 'value': '€600k'}, {'date': 'Oct 18, 2021', 'age': '28', 'clubName': 'FC Sheriff Tiraspol', 'clubID': '2481', 'value': '€1.00m'}, {'date': 'Dec 25, 2021', 'age': '28', 'clubName': 'FC Sheriff Tiraspol', 'clubID': '2481', 'value': '€1.00m'}, {'date': 'Mar 17, 2022', 'age': '28', 'clubName': 'Kocaelispor', 'clubID': '120', 'value': '€900k'}, {'date': 'Jun 10, 2022', 'age': '29', 'clubName': 'Kocaelispor', 'clubID': '120', 'value': '€800k'}, {'date': 'Nov 7, 2022', 'age': '29', 'clubName': 'Panetolikos', 'clubID': '6418', 'value': '€700k'}, {'date': 'May 22, 2023', 'age': '30', 'clubName': 'Panetolikos', 'clubID': '6418', 'value': '€600k'}, {'date': 'Aug 17, 2023', 'age': '30', 'clubName': 'Dewa United FC', 'clubID': '72710', 'value': '€500k'}, {'date': 'Feb 16, 2024', 'age': '30', 'clubName': 'Dewa United FC', 'clubID': '72710', 'value': '€400k'}, {'date': 'Jul 15, 2024', 'age': '31', 'clubName': 'Dewa United FC', 'clubID': '72710', 'value': '€375k'}, {'date': 'Sep 24, 2024', 'age': '31', 'clubName': 'Panionios FC', 'clubID': '169', 'value': '€300k'}, {'date': 'Dec 27, 2024', 'age': '31', 'clubName': 'Panionios FC', 'clubID': '169', 'value': '€250k'}, {'date': 'May 16, 2025', 'age': '32', 'clubName': 'Panionios FC', 'clubID': '169', 'value': '€200k'}, {'date': 'Dec 29, 2025', 'age': '32', 'clubName': 'Panionios FC', 'clubID': '169', 'value': '€175k'}]}</t>
        </is>
      </c>
      <c r="L276" t="inlineStr">
        <is>
          <t>Greece</t>
        </is>
      </c>
      <c r="M276" t="inlineStr">
        <is>
          <t>1993-04-27</t>
        </is>
      </c>
      <c r="N276" t="inlineStr">
        <is>
          <t>Greece</t>
        </is>
      </c>
      <c r="O276">
        <f>(0.9+0.8+0.7)/3</f>
        <v/>
      </c>
      <c r="P276">
        <f>(0.6+1+1)/3</f>
        <v/>
      </c>
    </row>
    <row r="277">
      <c r="A277" t="inlineStr">
        <is>
          <t>Rosier</t>
        </is>
      </c>
      <c r="B277" t="inlineStr">
        <is>
          <t>Besiktas</t>
        </is>
      </c>
      <c r="C277" t="inlineStr">
        <is>
          <t>Defender</t>
        </is>
      </c>
      <c r="D277" t="n">
        <v>405</v>
      </c>
      <c r="E277" t="n">
        <v>5</v>
      </c>
      <c r="F277" t="n">
        <v>0</v>
      </c>
      <c r="G277" t="n">
        <v>0</v>
      </c>
      <c r="H277" t="n">
        <v>46.8</v>
      </c>
      <c r="I277" t="n">
        <v>34.5</v>
      </c>
      <c r="J277" t="n">
        <v>441170</v>
      </c>
      <c r="K277" t="inlineStr">
        <is>
          <t>{'marketValueHistory': [{'date': '13/07/2016', 'age': '19', 'clubName': 'Dijon FCO', 'clubID': '2969', 'value': '€150k'}, {'date': '16/01/2017', 'age': '20', 'clubName': 'Dijon FCO', 'clubID': '2969', 'value': '€150k'}, {'date': '01/06/2017', 'age': '20', 'clubName': 'Dijon FCO', 'clubID': '2969', 'value': '€150k'}, {'date': '24/01/2018', 'age': '21', 'clubName': 'Dijon FCO', 'clubID': '2969', 'value': '€3.00m'}, {'date': '04/06/2018', 'age': '21', 'clubName': 'Dijon FCO', 'clubID': '2969', 'value': '€4.50m'}, {'date': '06/09/2018', 'age': '22', 'clubName': 'Dijon FCO', 'clubID': '2969', 'value': '€8.00m'}, {'date': '17/12/2018', 'age': '22', 'clubName': 'Dijon FCO', 'clubID': '2969', 'value': '€8.00m'}, {'date': '03/06/2019', 'age': '22', 'clubName': 'Dijon FCO', 'clubID': '2969', 'value': '€8.00m'}, {'date': '30/12/2019', 'age': '23', 'clubName': 'Sporting CP', 'clubID': '336', 'value': '€6.00m'}, {'date': '08/04/2020', 'age': '23', 'clubName': 'Sporting CP', 'clubID': '336', 'value': '€4.80m'}, {'date': '17/08/2020', 'age': '23', 'clubName': 'Sporting CP', 'clubID': '336', 'value': '€4.00m'}, {'date': '23/12/2020', 'age': '24', 'clubName': 'Besiktas JK', 'clubID': '114', 'value': '€4.50m'}, {'date': '16/03/2021', 'age': '24', 'clubName': 'Besiktas JK', 'clubID': '114', 'value': '€6.00m'}, {'date': '21/05/2021', 'age': '24', 'clubName': 'Besiktas JK', 'clubID': '114', 'value': '€7.50m'}, {'date': '12/10/2021', 'age': '25', 'clubName': 'Besiktas JK', 'clubID': '114', 'value': '€7.50m'}, {'date': '04/01/2022', 'age': '25', 'clubName': 'Besiktas JK', 'clubID': '114', 'value': '€7.00m'}, {'date': '31/03/2022', 'age': '25', 'clubName': 'Besiktas JK', 'clubID': '114', 'value': '€6.50m'}, {'date': '01/06/2022', 'age': '25', 'clubName': 'Besiktas JK', 'clubID': '114', 'value': '€6.00m'}, {'date': '13/09/2022', 'age': '26', 'clubName': 'Besiktas JK', 'clubID': '114', 'value': '€6.50m'}, {'date': '27/10/2022', 'age': '26', 'clubName': 'Besiktas JK', 'clubID': '114', 'value': '€7.00m'}, {'date': '14/03/2023', 'age': '26', 'clubName': 'Besiktas JK', 'clubID': '114', 'value': '€6.50m'}, {'date': '08/06/2023', 'age': '26', 'clubName': 'Besiktas JK', 'clubID': '114', 'value': '€6.00m'}, {'date': '27/09/2023', 'age': '27', 'clubName': 'Besiktas JK', 'clubID': '114', 'value': '€6.00m'}, {'date': '21/12/2023', 'age': '27', 'clubName': 'Besiktas JK', 'clubID': '114', 'value': '€5.00m'}, {'date': '03/06/2024', 'age': '27', 'clubName': 'OGC Nice', 'clubID': '417', 'value': '€4.00m'}, {'date': '27/12/2024', 'age': '28', 'clubName': 'CD Leganés', 'clubID': '1244', 'value': '€2.50m'}, {'date': '21/03/2025', 'age': '28', 'clubName': 'CD Leganés', 'clubID': '1244', 'value': '€3.00m'}, {'date': '09/06/2025', 'age': '28', 'clubName': 'CD Leganés', 'clubID': '1244', 'value': '€3.00m'}, {'date': '12/12/2025', 'age': '29', 'clubName': 'CA Osasuna', 'clubID': '331', 'value': '€3.00m'}]}</t>
        </is>
      </c>
      <c r="L277" t="inlineStr">
        <is>
          <t>France</t>
        </is>
      </c>
      <c r="M277" t="inlineStr">
        <is>
          <t>1996-08-19</t>
        </is>
      </c>
      <c r="N277" t="inlineStr">
        <is>
          <t>France</t>
        </is>
      </c>
      <c r="O277">
        <f>(7+6.5+6+6.5+7)/5</f>
        <v/>
      </c>
      <c r="P277">
        <f>(6+7.5+7.5)/3</f>
        <v/>
      </c>
    </row>
    <row r="278">
      <c r="A278" t="inlineStr">
        <is>
          <t>Correa</t>
        </is>
      </c>
      <c r="B278" t="inlineStr">
        <is>
          <t>Atletico de Madrid</t>
        </is>
      </c>
      <c r="C278" t="inlineStr">
        <is>
          <t>Forward</t>
        </is>
      </c>
      <c r="D278" t="n">
        <v>401</v>
      </c>
      <c r="E278" t="n">
        <v>10</v>
      </c>
      <c r="F278" t="n">
        <v>1</v>
      </c>
      <c r="G278" t="n">
        <v>0</v>
      </c>
      <c r="H278" t="n">
        <v>49.6</v>
      </c>
      <c r="I278" t="n">
        <v>31.7</v>
      </c>
      <c r="J278" t="n">
        <v>181767</v>
      </c>
      <c r="K278" t="inlineStr">
        <is>
      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      </is>
      </c>
      <c r="L278" t="inlineStr">
        <is>
          <t>Portugal</t>
        </is>
      </c>
      <c r="M278" t="inlineStr">
        <is>
          <t>1994-05-14</t>
        </is>
      </c>
      <c r="N278" t="inlineStr">
        <is>
          <t>104</t>
        </is>
      </c>
      <c r="O278">
        <f>(70+70)/2</f>
        <v/>
      </c>
      <c r="P278">
        <f>(75+75)/2</f>
        <v/>
      </c>
    </row>
    <row r="279">
      <c r="A279" t="inlineStr">
        <is>
          <t>Gueye</t>
        </is>
      </c>
      <c r="B279" t="inlineStr">
        <is>
          <t>Paris</t>
        </is>
      </c>
      <c r="C279" t="inlineStr">
        <is>
          <t>Midfielder</t>
        </is>
      </c>
      <c r="D279" t="n">
        <v>400</v>
      </c>
      <c r="E279" t="n">
        <v>7</v>
      </c>
      <c r="F279" t="n">
        <v>1</v>
      </c>
      <c r="G279" t="n">
        <v>0</v>
      </c>
      <c r="H279" t="n">
        <v>48.1</v>
      </c>
      <c r="I279" t="n">
        <v>28.4</v>
      </c>
      <c r="J279" t="n">
        <v>126665</v>
      </c>
      <c r="K279" t="inlineStr">
        <is>
          <t>{'id': '126665', 'marketValue': '€4.00m', 'marketValueHistory': [{'age': '20', 'date': 'Jul 16, 2010', 'clubName': 'LOSC Lille', 'value': '€150k', 'clubID': '1082'}, {'age': '21', 'date': 'Dec 28, 2010', 'clubName': 'LOSC Lille', 'value': '€500k', 'clubID': '1082'}, {'age': '21', 'date': 'May 24, 2011', 'clubName': 'LOSC Lille', 'value': '€650k', 'clubID': '1082'}, {'age': '22', 'date': 'Dec 24, 2011', 'clubName': 'LOSC Lille', 'value': '€1.75m', 'clubID': '1082'}, {'age': '22', 'date': 'May 23, 2012', 'clubName': 'LOSC Lille', 'value': '€2.50m', 'clubID': '1082'}, {'age': '23', 'date': 'Jan 7, 2013', 'clubName': 'LOSC Lille', 'value': '€3.00m', 'clubID': '1082'}, {'age': '23', 'date': 'May 30, 2013', 'clubName': 'LOSC Lille', 'value': '€4.00m', 'clubID': '1082'}, {'age': '24', 'date': 'Jan 14, 2014', 'clubName': 'LOSC Lille', 'value': '€4.50m', 'clubID': '1082'}, {'age': '24', 'date': 'Feb 5, 2014', 'clubName': 'LOSC Lille', 'value': '€5.00m', 'clubID': '1082'}, {'age': '24', 'date': 'Aug 7, 2014', 'clubName': 'LOSC Lille', 'value': '€5.50m', 'clubID': '1082'}, {'age': '25', 'date': 'Jan 14, 2015', 'clubName': 'LOSC Lille', 'value': '€6.00m', 'clubID': '1082'}, {'age': '25', 'date': 'Jun 6, 2015', 'clubName': 'LOSC Lille', 'value': '€7.50m', 'clubID': '1082'}, {'age': '26', 'date': 'Oct 14, 2015', 'clubName': 'Aston Villa', 'value': '€9.00m', 'clubID': '405'}, {'age': '26', 'date': 'Feb 9, 2016', 'clubName': 'Aston Villa', 'value': '€9.00m', 'clubID': '405'}, {'age': '27', 'date': 'Oct 24, 2016', 'clubName': 'Everton FC', 'value': '€11.00m', 'clubID': '29'}, {'age': '27', 'date': 'Feb 20, 2017', 'clubName': 'Everton FC', 'value': '€12.00m', 'clubID': '29'}, {'age': '27', 'date': 'Jun 28, 2017', 'clubName': 'Everton FC', 'value': '€18.00m', 'clubID': '29'}, {'age': '28', 'date': 'Jan 2, 2018', 'clubName': 'Everton FC', 'value': '€18.00m', 'clubID': '29'}, {'age': '28', 'date': 'May 28, 2018', 'clubName': 'Everton FC', 'value': '€20.00m', 'clubID': '29'}, {'age': '29', 'date': 'Dec 19, 2018', 'clubName': 'Everton FC', 'value': '€20.00m', 'clubID': '29'}, {'age': '29', 'date': 'Jun 13, 2019', 'clubName': 'Everton FC', 'value': '€25.00m', 'clubID': '29'}, {'age': '30', 'date': 'Sep 27, 2019', 'clubName': 'Paris Saint-Germain', 'value': '€30.00m', 'clubID': '583'}, {'age': '30', 'date': 'Dec 19, 2019', 'clubName': 'Paris Saint-Germain', 'value': '€30.00m', 'clubID': '583'}, {'age': '30', 'date': 'Apr 8, 2020', 'clubName': 'Paris Saint-Germain', 'value': '€24.00m', 'clubID': '583'}, {'age': '31', 'date': 'Oct 15, 2020', 'clubName': 'Paris Saint-Germain', 'value': '€24.00m', 'clubID': '583'}, {'age': '31', 'date': 'Jan 7, 2021', 'clubName': 'Paris Saint-Germain', 'value': '€18.00m', 'clubID': '583'}, {'age': '31', 'date': 'Jun 4, 2021', 'clubName': 'Paris Saint-Germain', 'value': '€15.00m', 'clubID': '583'}, {'age': '32', 'date': 'Dec 16, 2021', 'clubName': 'Paris Saint-Germain', 'value': '€13.00m', 'clubID': '583'}, {'age': '32', 'date': 'May 30, 2022', 'clubName': 'Paris Saint-Germain', 'value': '€12.00m', 'clubID': '583'}, {'age': '32', 'date': 'Sep 15, 2022', 'clubName': 'Everton FC', 'value': '€10.00m', 'clubID': '29'}, {'age': '33', 'date': 'Nov 3, 2022', 'clubName': 'Everton FC', 'value': '€8.00m', 'clubID': '29'}, {'age': '33', 'date': 'Jun 20, 2023', 'clubName': 'Everton FC', 'value': '€5.00m', 'clubID': '29'}, {'age': '34', 'date': 'Dec 19, 2023', 'clubName': 'Everton FC', 'value': '€4.00m', 'clubID': '29'}], 'ranking': {'Worldwide': '2.272', 'Premier League': '401', 'Everton': '19', 'Senegal': '23', 'Central Midfield': '315', 'Year 1989': '5'}, 'updatedAt': datetime.datetime(2024, 5, 23, 22, 33, 33, 992641)}</t>
        </is>
      </c>
      <c r="L279" t="inlineStr">
        <is>
          <t>Senegal</t>
        </is>
      </c>
      <c r="M279" t="inlineStr">
        <is>
          <t>1989-09-26</t>
        </is>
      </c>
      <c r="N279" t="inlineStr">
        <is>
          <t>Senegal</t>
        </is>
      </c>
      <c r="O279">
        <f>(12+10+8)/3</f>
        <v/>
      </c>
      <c r="P279">
        <f>(18+15+13)/3</f>
        <v/>
      </c>
    </row>
    <row r="280">
      <c r="A280" t="inlineStr">
        <is>
          <t>McTominay</t>
        </is>
      </c>
      <c r="B280" t="inlineStr">
        <is>
          <t>Man United</t>
        </is>
      </c>
      <c r="C280" t="inlineStr">
        <is>
          <t>Midfielder</t>
        </is>
      </c>
      <c r="D280" t="n">
        <v>400</v>
      </c>
      <c r="E280" t="n">
        <v>5</v>
      </c>
      <c r="F280" t="n">
        <v>0</v>
      </c>
      <c r="G280" t="n">
        <v>0</v>
      </c>
      <c r="H280" t="n">
        <v>53.8</v>
      </c>
      <c r="I280" t="n">
        <v>29.6</v>
      </c>
      <c r="J280" t="n">
        <v>315969</v>
      </c>
      <c r="K280" t="inlineStr">
        <is>
          <t>{'marketValueHistory': [{'date': '02/01/2018', 'age': '21', 'clubName': 'Manchester United', 'clubID': '985', 'value': '€1.00m'}, {'date': '23/03/2018', 'age': '21', 'clubName': 'Manchester United', 'clubID': '985', 'value': '€7.00m'}, {'date': '28/05/2018', 'age': '21', 'clubName': 'Manchester United', 'clubID': '985', 'value': '€7.00m'}, {'date': '19/12/2018', 'age': '22', 'clubName': 'Manchester United', 'clubID': '985', 'value': '€7.00m'}, {'date': '13/06/2019', 'age': '22', 'clubName': 'Manchester United', 'clubID': '985', 'value': '€12.00m'}, {'date': '12/09/2019', 'age': '22', 'clubName': 'Manchester United', 'clubID': '985', 'value': '€20.00m'}, {'date': '10/12/2019', 'age': '23', 'clubName': 'Manchester United', 'clubID': '985', 'value': '€28.00m'}, {'date': '08/04/2020', 'age': '23', 'clubName': 'Manchester United', 'clubID': '985', 'value': '€22.50m'}, {'date': '13/10/2020', 'age': '23', 'clubName': 'Manchester United', 'clubID': '985', 'value': '€22.50m'}, {'date': '17/12/2020', 'age': '24', 'clubName': 'Manchester United', 'clubID': '985', 'value': '€25.00m'}, {'date': '18/03/2021', 'age': '24', 'clubName': 'Manchester United', 'clubID': '985', 'value': '€30.00m'}, {'date': '28/05/2021', 'age': '24', 'clubName': 'Manchester United', 'clubID': '985', 'value': '€35.00m'}, {'date': '23/12/2021', 'age': '25', 'clubName': 'Manchester United', 'clubID': '985', 'value': '€35.00m'}, {'date': '15/06/2022', 'age': '25', 'clubName': 'Manchester United', 'clubID': '985', 'value': '€32.00m'}, {'date': '03/11/2022', 'age': '25', 'clubName': 'Manchester United', 'clubID': '985', 'value': '€30.00m'}, {'date': '16/03/2023', 'age': '26', 'clubName': 'Manchester United', 'clubID': '985', 'value': '€25.00m'}, {'date': '20/06/2023', 'age': '26', 'clubName': 'Manchester United', 'clubID': '985', 'value': '€25.00m'}, {'date': '19/12/2023', 'age': '27', 'clubName': 'Manchester United', 'clubID': '985', 'value': '€28.00m'}, {'date': '14/03/2024', 'age': '27', 'clubName': 'Manchester United', 'clubID': '985', 'value': '€32.00m'}, {'date': '27/05/2024', 'age': '27', 'clubName': 'Manchester United', 'clubID': '985', 'value': '€32.00m'}, {'date': '18/12/2024', 'age': '28', 'clubName': 'SSC Napoli', 'clubID': '6195', 'value': '€40.00m'}, {'date': '17/06/2025', 'age': '28', 'clubName': 'SSC Napoli', 'clubID': '6195', 'value': '€50.00m'}, {'date': '23/12/2025', 'age': '29', 'clubName': 'SSC Napoli', 'clubID': '6195', 'value': '€45.00m'}]}</t>
        </is>
      </c>
      <c r="L280" t="inlineStr">
        <is>
          <t>United Kingdom</t>
        </is>
      </c>
      <c r="M280" t="inlineStr">
        <is>
          <t>1996-12-08</t>
        </is>
      </c>
      <c r="N280" t="inlineStr">
        <is>
          <t>69</t>
        </is>
      </c>
      <c r="O280">
        <f>(32+30)/2</f>
        <v/>
      </c>
      <c r="P280">
        <f>(30+35+35)/3</f>
        <v/>
      </c>
    </row>
    <row r="281">
      <c r="A281" t="inlineStr">
        <is>
          <t>Gavi</t>
        </is>
      </c>
      <c r="B281" t="inlineStr">
        <is>
          <t>Barcelona</t>
        </is>
      </c>
      <c r="C281" t="inlineStr">
        <is>
          <t>Midfielder</t>
        </is>
      </c>
      <c r="D281" t="n">
        <v>398</v>
      </c>
      <c r="E281" t="n">
        <v>6</v>
      </c>
      <c r="F281" t="n">
        <v>0</v>
      </c>
      <c r="G281" t="n">
        <v>0</v>
      </c>
      <c r="H281" t="n">
        <v>54.1</v>
      </c>
      <c r="I281" t="n">
        <v>31.4</v>
      </c>
      <c r="J281" t="n">
        <v>646740</v>
      </c>
      <c r="K281" t="inlineStr">
        <is>
          <t>{'marketValueHistory': [{'date': '13/10/2021', 'age': '17', 'clubName': 'FC Barcelona', 'clubID': '131', 'value': '€25.00m'}, {'date': '30/12/2021', 'age': '17', 'clubName': 'FC Barcelona', 'clubID': '131', 'value': '€40.00m'}, {'date': '21/03/2022', 'age': '17', 'clubName': 'FC Barcelona', 'clubID': '131', 'value': '€60.00m'}, {'date': '03/06/2022', 'age': '17', 'clubName': 'FC Barcelona', 'clubID': '131', 'value': '€60.00m'}, {'date': '23/09/2022', 'age': '18', 'clubName': 'FC Barcelona', 'clubID': '131', 'value': '€70.00m'}, {'date': '07/11/2022', 'age': '18', 'clubName': 'FC Barcelona', 'clubID': '131', 'value': '€90.00m'}, {'date': '13/06/2023', 'age': '18', 'clubName': 'FC Barcelona', 'clubID': '131', 'value': '€90.00m'}, {'date': '22/12/2023', 'age': '19', 'clubName': 'FC Barcelona', 'clubID': '131', 'value': '€90.00m'}, {'date': '07/06/2024', 'age': '19', 'clubName': 'FC Barcelona', 'clubID': '131', 'value': '€90.00m'}, {'date': '27/12/2024', 'age': '20', 'clubName': 'FC Barcelona', 'clubID': '131', 'value': '€80.00m'}, {'date': '21/03/2025', 'age': '20', 'clubName': 'FC Barcelona', 'clubID': '131', 'value': '€70.00m'}, {'date': '09/06/2025', 'age': '20', 'clubName': 'FC Barcelona', 'clubID': '131', 'value': '€60.00m'}, {'date': '02/10/2025', 'age': '21', 'clubName': 'FC Barcelona', 'clubID': '131', 'value': '€40.00m'}, {'date': '12/12/2025', 'age': '21', 'clubName': 'FC Barcelona', 'clubID': '131', 'value': '€40.00m'}, {'date': '16/03/2026', 'age': '21', 'clubName': 'FC Barcelona', 'clubID': '131', 'value': '€30.00m'}]}</t>
        </is>
      </c>
      <c r="L281" t="inlineStr">
        <is>
          <t>Spain</t>
        </is>
      </c>
      <c r="M281" t="inlineStr">
        <is>
          <t>2004-05-08</t>
        </is>
      </c>
      <c r="N281" t="inlineStr">
        <is>
          <t>28</t>
        </is>
      </c>
      <c r="O281">
        <f>(60+60+70+90)/4</f>
        <v/>
      </c>
      <c r="P281">
        <f>(25+40)/2</f>
        <v/>
      </c>
    </row>
    <row r="282">
      <c r="A282" t="inlineStr">
        <is>
          <t>Weghorst</t>
        </is>
      </c>
      <c r="B282" t="inlineStr">
        <is>
          <t>Wolfsburg</t>
        </is>
      </c>
      <c r="C282" t="inlineStr">
        <is>
          <t>Forward</t>
        </is>
      </c>
      <c r="D282" t="n">
        <v>398</v>
      </c>
      <c r="E282" t="n">
        <v>5</v>
      </c>
      <c r="F282" t="n">
        <v>0</v>
      </c>
      <c r="G282" t="n">
        <v>0</v>
      </c>
      <c r="H282" t="n">
        <v>49.4</v>
      </c>
      <c r="I282" t="n">
        <v>30.6</v>
      </c>
      <c r="J282" t="n">
        <v>228645</v>
      </c>
      <c r="K282" t="inlineStr">
        <is>
          <t>{'marketValueHistory': [{'date': 'Aug 2, 2012', 'age': '19', 'clubName': 'FC Emmen', 'clubID': '1283', 'value': '€50k'}, {'date': 'Jun 4, 2013', 'age': '20', 'clubName': 'FC Emmen', 'clubID': '1283', 'value': '€100k'}, {'date': 'May 8, 2014', 'age': '21', 'clubName': 'FC Emmen', 'clubID': '1283', 'value': '€175k'}, {'date': 'Aug 11, 2014', 'age': '22', 'clubName': 'Heracles Almelo', 'clubID': '1304', 'value': '€300k'}, {'date': 'Nov 2, 2014', 'age': '22', 'clubName': 'Heracles Almelo', 'clubID': '1304', 'value': '€500k'}, {'date': 'Feb 11, 2015', 'age': '22', 'clubName': 'Heracles Almelo', 'clubID': '1304', 'value': '€750k'}, {'date': 'Jul 1, 2015', 'age': '22', 'clubName': 'Heracles Almelo', 'clubID': '1304', 'value': '€900k'}, {'date': 'Nov 11, 2015', 'age': '23', 'clubName': 'Heracles Almelo', 'clubID': '1304', 'value': '€1.00m'}, {'date': 'Feb 5, 2016', 'age': '23', 'clubName': 'Heracles Almelo', 'clubID': '1304', 'value': '€1.25m'}, {'date': 'Jul 15, 2016', 'age': '23', 'clubName': 'AZ Alkmaar', 'clubID': '1090', 'value': '€1.75m'}, {'date': 'Jan 18, 2017', 'age': '24', 'clubName': 'AZ Alkmaar', 'clubID': '1090', 'value': '€2.50m'}, {'date': 'Jun 7, 2017', 'age': '24', 'clubName': 'AZ Alkmaar', 'clubID': '1090', 'value': '€2.75m'}, {'date': 'Oct 26, 2017', 'age': '25', 'clubName': 'AZ Alkmaar', 'clubID': '1090', 'value': '€3.50m'}, {'date': 'Jan 17, 2018', 'age': '25', 'clubName': 'AZ Alkmaar', 'clubID': '1090', 'value': '€4.50m'}, {'date': 'Mar 27, 2018', 'age': '25', 'clubName': 'AZ Alkmaar', 'clubID': '1090', 'value': '€5.50m'}, {'date': 'Jun 12, 2018', 'age': '25', 'clubName': 'AZ Alkmaar', 'clubID': '1090', 'value': '€7.00m'}, {'date': 'Aug 22, 2018', 'age': '26', 'clubName': 'VfL Wolfsburg', 'clubID': '82', 'value': '€10.00m'}, {'date': 'Dec 18, 2018', 'age': '26', 'clubName': 'VfL Wolfsburg', 'clubID': '82', 'value': '€13.00m'}, {'date': 'Mar 6, 2019', 'age': '26', 'clubName': 'VfL Wolfsburg', 'clubID': '82', 'value': '€17.00m'}, {'date': 'Jun 5, 2019', 'age': '26', 'clubName': 'VfL Wolfsburg', 'clubID': '82', 'value': '€20.00m'}, {'date': 'Oct 2, 2019', 'age': '27', 'clubName': 'VfL Wolfsburg', 'clubID': '82', 'value': '€25.00m'}, {'date': 'Dec 17, 2019', 'age': '27', 'clubName': 'VfL Wolfsburg', 'clubID': '82', 'value': '€27.00m'}, {'date': 'Apr 8, 2020', 'age': '27', 'clubName': 'VfL Wolfsburg', 'clubID': '82', 'value': '€21.50m'}, {'date': 'Jul 8, 2020', 'age': '27', 'clubName': 'VfL Wolfsburg', 'clubID': '82', 'value': '€30.00m'}, {'date': 'Feb 10, 2021', 'age': '28', 'clubName': 'VfL Wolfsburg', 'clubID': '82', 'value': '€30.00m'}, {'date': 'May 27, 2021', 'age': '28', 'clubName': 'VfL Wolfsburg', 'clubID': '82', 'value': '€30.00m'}, {'date': 'Dec 22, 2021', 'age': '29', 'clubName': 'VfL Wolfsburg', 'clubID': '82', 'value': '€20.00m'}, {'date': 'Mar 29, 2022', 'age': '29', 'clubName': 'Burnley FC', 'clubID': '1132', 'value': '€17.00m'}, {'date': 'Jun 15, 2022', 'age': '29', 'clubName': 'Burnley FC', 'clubID': '1132', 'value': '€14.00m'}, {'date': 'Oct 27, 2022', 'age': '30', 'clubName': 'Besiktas JK', 'clubID': '114', 'value': '€14.00m'}, {'date': 'Jun 20, 2023', 'age': '30', 'clubName': 'Manchester United', 'clubID': '985', 'value': '€12.00m'}, {'date': 'Oct 18, 2023', 'age': '31', 'clubName': 'TSG 1899 Hoffenheim', 'clubID': '533', 'value': '€9.00m'}, {'date': 'Dec 14, 2023', 'age': '31', 'clubName': 'TSG 1899 Hoffenheim', 'clubID': '533', 'value': '€9.00m'}, {'date': 'Mar 27, 2024', 'age': '31', 'clubName': 'TSG 1899 Hoffenheim', 'clubID': '533', 'value': '€7.00m'}, {'date': 'May 29, 2024', 'age': '31', 'clubName': 'TSG 1899 Hoffenheim', 'clubID': '533', 'value': '€6.00m'}, {'date': 'Dec 17, 2024', 'age': '32', 'clubName': 'Ajax Amsterdam', 'clubID': '610', 'value': '€5.00m'}, {'date': 'May 28, 2025', 'age': '32', 'clubName': 'Ajax Amsterdam', 'clubID': '610', 'value': '€4.00m'}, {'date': 'Dec 2, 2025', 'age': '33', 'clubName': 'Ajax Amsterdam', 'clubID': '610', 'value': '€3.50m'}, {'date': 'Mar 11, 2026', 'age': '33', 'clubName': 'Ajax Amsterdam', 'clubID': '610', 'value': '€2.50m'}]}</t>
        </is>
      </c>
      <c r="L282" t="inlineStr">
        <is>
          <t>Netherlands</t>
        </is>
      </c>
      <c r="M282" t="inlineStr">
        <is>
          <t>1992-08-07</t>
        </is>
      </c>
      <c r="N282" t="inlineStr">
        <is>
          <t>Netherlands</t>
        </is>
      </c>
      <c r="O282">
        <f>(17+14+14)/3</f>
        <v/>
      </c>
      <c r="P282">
        <f>(30+30+20)/3</f>
        <v/>
      </c>
    </row>
    <row r="283">
      <c r="A283" t="inlineStr">
        <is>
          <t>Shaw</t>
        </is>
      </c>
      <c r="B283" t="inlineStr">
        <is>
          <t>Man United</t>
        </is>
      </c>
      <c r="C283" t="inlineStr">
        <is>
          <t>Defender</t>
        </is>
      </c>
      <c r="D283" t="n">
        <v>397</v>
      </c>
      <c r="E283" t="n">
        <v>5</v>
      </c>
      <c r="F283" t="n">
        <v>0</v>
      </c>
      <c r="G283" t="n">
        <v>2</v>
      </c>
      <c r="H283" t="n">
        <v>36.6</v>
      </c>
      <c r="I283" t="n">
        <v>33</v>
      </c>
      <c r="J283" t="n">
        <v>183288</v>
      </c>
      <c r="K283" t="inlineStr">
        <is>
          <t>{'marketValueHistory': [{'date': 'Dec 10, 2012', 'age': '17', 'clubName': 'Southampton FC', 'clubID': '180', 'value': '€1.50m'}, {'date': 'Jan 28, 2013', 'age': '17', 'clubName': 'Southampton FC', 'clubID': '180', 'value': '€4.50m'}, {'date': 'Jul 2, 2013', 'age': '17', 'clubName': 'Southampton FC', 'clubID': '180', 'value': '€7.00m'}, {'date': 'Jan 15, 2014', 'age': '18', 'clubName': 'Southampton FC', 'clubID': '180', 'value': '€11.00m'}, {'date': 'Feb 5, 2014', 'age': '18', 'clubName': 'Southampton FC', 'clubID': '180', 'value': '€13.00m'}, {'date': 'Aug 12, 2014', 'age': '19', 'clubName': 'Manchester United', 'clubID': '985', 'value': '€22.00m'}, {'date': 'Feb 12, 2015', 'age': '19', 'clubName': 'Manchester United', 'clubID': '985', 'value': '€21.00m'}, {'date': 'Jul 1, 2015', 'age': '19', 'clubName': 'Manchester United', 'clubID': '985', 'value': '€21.00m'}, {'date': 'Feb 9, 2016', 'age': '20', 'clubName': 'Manchester United', 'clubID': '985', 'value': '€21.00m'}, {'date': 'Aug 1, 2016', 'age': '21', 'clubName': 'Manchester United', 'clubID': '985', 'value': '€21.00m'}, {'date': 'Feb 20, 2017', 'age': '21', 'clubName': 'Manchester United', 'clubID': '985', 'value': '€20.00m'}, {'date': 'Jun 28, 2017', 'age': '21', 'clubName': 'Manchester United', 'clubID': '985', 'value': '€20.00m'}, {'date': 'Oct 23, 2017', 'age': '22', 'clubName': 'Manchester United', 'clubID': '985', 'value': '€18.00m'}, {'date': 'Jan 2, 2018', 'age': '22', 'clubName': 'Manchester United', 'clubID': '985', 'value': '€15.00m'}, {'date': 'May 28, 2018', 'age': '22', 'clubName': 'Manchester United', 'clubID': '985', 'value': '€15.00m'}, {'date': 'Oct 17, 2018', 'age': '23', 'clubName': 'Manchester United', 'clubID': '985', 'value': '€18.00m'}, {'date': 'Dec 19, 2018', 'age': '23', 'clubName': 'Manchester United', 'clubID': '985', 'value': '€18.00m'}, {'date': 'Mar 5, 2019', 'age': '23', 'clubName': 'Manchester United', 'clubID': '985', 'value': '€25.00m'}, {'date': 'Jun 13, 2019', 'age': '23', 'clubName': 'Manchester United', 'clubID': '985', 'value': '€30.00m'}, {'date': 'Dec 10, 2019', 'age': '24', 'clubName': 'Manchester United', 'clubID': '985', 'value': '€22.00m'}, {'date': 'Apr 8, 2020', 'age': '24', 'clubName': 'Manchester United', 'clubID': '985', 'value': '€17.50m'}, {'date': 'Jul 30, 2020', 'age': '25', 'clubName': 'Manchester United', 'clubID': '985', 'value': '€22.00m'}, {'date': 'Oct 13, 2020', 'age': '25', 'clubName': 'Manchester United', 'clubID': '985', 'value': '€22.00m'}, {'date': 'Mar 18, 2021', 'age': '25', 'clubName': 'Manchester United', 'clubID': '985', 'value': '€25.00m'}, {'date': 'May 28, 2021', 'age': '25', 'clubName': 'Manchester United', 'clubID': '985', 'value': '€35.00m'}, {'date': 'Jul 15, 2021', 'age': '26', 'clubName': 'Manchester United', 'clubID': '985', 'value': '€42.00m'}, {'date': 'Dec 23, 2021', 'age': '26', 'clubName': 'Manchester United', 'clubID': '985', 'value': '€42.00m'}, {'date': 'Jun 15, 2022', 'age': '26', 'clubName': 'Manchester United', 'clubID': '985', 'value': '€38.00m'}, {'date': 'Sep 15, 2022', 'age': '27', 'clubName': 'Manchester United', 'clubID': '985', 'value': '€30.00m'}, {'date': 'Nov 3, 2022', 'age': '27', 'clubName': 'Manchester United', 'clubID': '985', 'value': '€28.00m'}, {'date': 'Mar 16, 2023', 'age': '27', 'clubName': 'Manchester United', 'clubID': '985', 'value': '€35.00m'}, {'date': 'Jun 20, 2023', 'age': '27', 'clubName': 'Manchester United', 'clubID': '985', 'value': '€42.00m'}, {'date': 'Dec 19, 2023', 'age': '28', 'clubName': 'Manchester United', 'clubID': '985', 'value': '€38.00m'}, {'date': 'Mar 14, 2024', 'age': '28', 'clubName': 'Manchester United', 'clubID': '985', 'value': '€35.00m'}, {'date': 'May 27, 2024', 'age': '28', 'clubName': 'Manchester United', 'clubID': '985', 'value': '€32.00m'}, {'date': 'Oct 1, 2024', 'age': '29', 'clubName': 'Manchester United', 'clubID': '985', 'value': '€28.00m'}, {'date': 'Dec 16, 2024', 'age': '29', 'clubName': 'Manchester United', 'clubID': '985', 'value': '€20.00m'}, {'date': 'Mar 18, 2025', 'age': '29', 'clubName': 'Manchester United', 'clubID': '985', 'value': '€16.00m'}, {'date': 'May 30, 2025', 'age': '29', 'clubName': 'Manchester United', 'clubID': '985', 'value': '€12.00m'}, {'date': 'Dec 9, 2025', 'age': '30', 'clubName': 'Manchester United', 'clubID': '985', 'value': '€10.00m'}]}</t>
        </is>
      </c>
      <c r="L283" t="inlineStr">
        <is>
          <t>United Kingdom</t>
        </is>
      </c>
      <c r="M283" t="inlineStr">
        <is>
          <t>1995-07-12</t>
        </is>
      </c>
      <c r="N283" t="inlineStr">
        <is>
          <t>34</t>
        </is>
      </c>
      <c r="O283">
        <f>(38+30+28)/3</f>
        <v/>
      </c>
      <c r="P283">
        <f>(25+35+42+42)/4</f>
        <v/>
      </c>
    </row>
    <row r="284">
      <c r="A284" t="inlineStr">
        <is>
          <t>Brandt</t>
        </is>
      </c>
      <c r="B284" t="inlineStr">
        <is>
          <t>Dortmund</t>
        </is>
      </c>
      <c r="C284" t="inlineStr">
        <is>
          <t>Midfielder</t>
        </is>
      </c>
      <c r="D284" t="n">
        <v>395</v>
      </c>
      <c r="E284" t="n">
        <v>5</v>
      </c>
      <c r="F284" t="n">
        <v>0</v>
      </c>
      <c r="G284" t="n">
        <v>0</v>
      </c>
      <c r="H284" t="n">
        <v>51.8</v>
      </c>
      <c r="I284" t="n">
        <v>31.9</v>
      </c>
      <c r="J284" t="n">
        <v>187492</v>
      </c>
      <c r="K284" t="inlineStr">
        <is>
          <t>{'marketValueHistory': [{'date': '06/01/2014', 'age': '17', 'clubName': 'Bayer 04 Leverkusen', 'clubID': '15', 'value': '€500k'}, {'date': '12/02/2014', 'age': '17', 'clubName': 'Bayer 04 Leverkusen', 'clubID': '15', 'value': '€1.00m'}, {'date': '10/07/2014', 'age': '18', 'clubName': 'Bayer 04 Leverkusen', 'clubID': '15', 'value': '€5.00m'}, {'date': '04/02/2015', 'age': '18', 'clubName': 'Bayer 04 Leverkusen', 'clubID': '15', 'value': '€5.00m'}, {'date': '01/07/2015', 'age': '19', 'clubName': 'Bayer 04 Leverkusen', 'clubID': '15', 'value': '€7.50m'}, {'date': '16/10/2015', 'age': '19', 'clubName': 'Bayer 04 Leverkusen', 'clubID': '15', 'value': '€10.00m'}, {'date': '15/02/2016', 'age': '19', 'clubName': 'Bayer 04 Leverkusen', 'clubID': '15', 'value': '€10.00m'}, {'date': '22/07/2016', 'age': '20', 'clubName': 'Bayer 04 Leverkusen', 'clubID': '15', 'value': '€16.00m'}, {'date': '07/02/2017', 'age': '20', 'clubName': 'Bayer 04 Leverkusen', 'clubID': '15', 'value': '€20.00m'}, {'date': '19/06/2017', 'age': '21', 'clubName': 'Bayer 04 Leverkusen', 'clubID': '15', 'value': '€20.00m'}, {'date': '28/12/2017', 'age': '21', 'clubName': 'Bayer 04 Leverkusen', 'clubID': '15', 'value': '€30.00m'}, {'date': '04/04/2018', 'age': '21', 'clubName': 'Bayer 04 Leverkusen', 'clubID': '15', 'value': '€35.00m'}, {'date': '05/06/2018', 'age': '22', 'clubName': 'Bayer 04 Leverkusen', 'clubID': '15', 'value': '€40.00m'}, {'date': '16/07/2018', 'age': '22', 'clubName': 'Bayer 04 Leverkusen', 'clubID': '15', 'value': '€45.00m'}, {'date': '18/12/2018', 'age': '22', 'clubName': 'Bayer 04 Leverkusen', 'clubID': '15', 'value': '€40.00m'}, {'date': '06/03/2019', 'age': '22', 'clubName': 'Bayer 04 Leverkusen', 'clubID': '15', 'value': '€45.00m'}, {'date': '05/06/2019', 'age': '23', 'clubName': 'Bayer 04 Leverkusen', 'clubID': '15', 'value': '€50.00m'}, {'date': '17/12/2019', 'age': '23', 'clubName': 'Borussia Dortmund', 'clubID': '16', 'value': '€50.00m'}, {'date': '08/04/2020', 'age': '23', 'clubName': 'Borussia Dortmund', 'clubID': '16', 'value': '€40.00m'}, {'date': '26/11/2020', 'age': '24', 'clubName': 'Borussia Dortmund', 'clubID': '16', 'value': '€35.00m'}, {'date': '10/02/2021', 'age': '24', 'clubName': 'Borussia Dortmund', 'clubID': '16', 'value': '€30.00m'}, {'date': '31/03/2021', 'age': '24', 'clubName': 'Borussia Dortmund', 'clubID': '16', 'value': '€25.00m'}, {'date': '09/06/2021', 'age': '25', 'clubName': 'Borussia Dortmund', 'clubID': '16', 'value': '€20.00m'}, {'date': '22/12/2021', 'age': '25', 'clubName': 'Borussia Dortmund', 'clubID': '16', 'value': '€25.00m'}, {'date': '09/06/2022', 'age': '26', 'clubName': 'Borussia Dortmund', 'clubID': '16', 'value': '€25.00m'}, {'date': '09/11/2022', 'age': '26', 'clubName': 'Borussia Dortmund', 'clubID': '16', 'value': '€28.00m'}, {'date': '29/03/2023', 'age': '26', 'clubName': 'Borussia Dortmund', 'clubID': '16', 'value': '€40.00m'}, {'date': '22/06/2023', 'age': '27', 'clubName': 'Borussia Dortmund', 'clubID': '16', 'value': '€40.00m'}, {'date': '14/12/2023', 'age': '27', 'clubName': 'Borussia Dortmund', 'clubID': '16', 'value': '€40.00m'}, {'date': '29/05/2024', 'age': '28', 'clubName': 'Borussia Dortmund', 'clubID': '16', 'value': '€40.00m'}, {'date': '20/12/2024', 'age': '28', 'clubName': 'Borussia Dortmund', 'clubID': '16', 'value': '€35.00m'}, {'date': '27/03/2025', 'age': '28', 'clubName': 'Borussia Dortmund', 'clubID': '16', 'value': '€25.00m'}, {'date': '05/06/2025', 'age': '29', 'clubName': 'Borussia Dortmund', 'clubID': '16', 'value': '€25.00m'}, {'date': '19/12/2025', 'age': '29', 'clubName': 'Borussia Dortmund', 'clubID': '16', 'value': '€20.00m'}]}</t>
        </is>
      </c>
      <c r="L284" t="inlineStr">
        <is>
          <t>Germany</t>
        </is>
      </c>
      <c r="M284" t="inlineStr">
        <is>
          <t>1996-05-02</t>
        </is>
      </c>
      <c r="N284" t="inlineStr">
        <is>
          <t>48</t>
        </is>
      </c>
      <c r="O284">
        <f>(25+28)/2</f>
        <v/>
      </c>
      <c r="P284">
        <f>(30+25+20+25)/4</f>
        <v/>
      </c>
    </row>
    <row r="285">
      <c r="A285" t="inlineStr">
        <is>
          <t>Sancho</t>
        </is>
      </c>
      <c r="B285" t="inlineStr">
        <is>
          <t>Man United</t>
        </is>
      </c>
      <c r="C285" t="inlineStr">
        <is>
          <t>Midfielder</t>
        </is>
      </c>
      <c r="D285" t="n">
        <v>393</v>
      </c>
      <c r="E285" t="n">
        <v>7</v>
      </c>
      <c r="F285" t="n">
        <v>1</v>
      </c>
      <c r="G285" t="n">
        <v>0</v>
      </c>
      <c r="H285" t="n">
        <v>42</v>
      </c>
      <c r="I285" t="n">
        <v>34.6</v>
      </c>
      <c r="J285" t="n">
        <v>401173</v>
      </c>
      <c r="K285" t="inlineStr">
        <is>
          <t>{'marketValueHistory': [{'date': '31/08/2017', 'age': '17', 'clubName': 'Borussia Dortmund', 'clubID': '16', 'value': '€5.00m'}, {'date': '28/12/2017', 'age': '17', 'clubName': 'Borussia Dortmund', 'clubID': '16', 'value': '€5.00m'}, {'date': '04/04/2018', 'age': '18', 'clubName': 'Borussia Dortmund', 'clubID': '16', 'value': '€8.00m'}, {'date': '05/06/2018', 'age': '18', 'clubName': 'Borussia Dortmund', 'clubID': '16', 'value': '€15.00m'}, {'date': '22/08/2018', 'age': '18', 'clubName': 'Borussia Dortmund', 'clubID': '16', 'value': '€20.00m'}, {'date': '22/10/2018', 'age': '18', 'clubName': 'Borussia Dortmund', 'clubID': '16', 'value': '€45.00m'}, {'date': '18/12/2018', 'age': '18', 'clubName': 'Borussia Dortmund', 'clubID': '16', 'value': '€70.00m'}, {'date': '06/03/2019', 'age': '18', 'clubName': 'Borussia Dortmund', 'clubID': '16', 'value': '€80.00m'}, {'date': '05/06/2019', 'age': '19', 'clubName': 'Borussia Dortmund', 'clubID': '16', 'value': '€100.00m'}, {'date': '17/12/2019', 'age': '19', 'clubName': 'Borussia Dortmund', 'clubID': '16', 'value': '€120.00m'}, {'date': '11/03/2020', 'age': '19', 'clubName': 'Borussia Dortmund', 'clubID': '16', 'value': '€130.00m'}, {'date': '08/04/2020', 'age': '20', 'clubName': 'Borussia Dortmund', 'clubID': '16', 'value': '€117.00m'}, {'date': '26/11/2020', 'age': '20', 'clubName': 'Borussia Dortmund', 'clubID': '16', 'value': '€100.00m'}, {'date': '10/02/2021', 'age': '20', 'clubName': 'Borussia Dortmund', 'clubID': '16', 'value': '€100.00m'}, {'date': '28/05/2021', 'age': '21', 'clubName': 'Borussia Dortmund', 'clubID': '16', 'value': '€100.00m'}, {'date': '05/10/2021', 'age': '21', 'clubName': 'Manchester United', 'clubID': '985', 'value': '€90.00m'}, {'date': '23/12/2021', 'age': '21', 'clubName': 'Manchester United', 'clubID': '985', 'value': '€85.00m'}, {'date': '29/03/2022', 'age': '22', 'clubName': 'Manchester United', 'clubID': '985', 'value': '€80.00m'}, {'date': '15/06/2022', 'age': '22', 'clubName': 'Manchester United', 'clubID': '985', 'value': '€75.00m'}, {'date': '03/11/2022', 'age': '22', 'clubName': 'Manchester United', 'clubID': '985', 'value': '€60.00m'}, {'date': '16/03/2023', 'age': '22', 'clubName': 'Manchester United', 'clubID': '985', 'value': '€55.00m'}, {'date': '20/06/2023', 'age': '23', 'clubName': 'Manchester United', 'clubID': '985', 'value': '€45.00m'}, {'date': '09/10/2023', 'age': '23', 'clubName': 'Manchester United', 'clubID': '985', 'value': '€32.00m'}, {'date': '19/12/2023', 'age': '23', 'clubName': 'Manchester United', 'clubID': '985', 'value': '€25.00m'}, {'date': '29/05/2024', 'age': '24', 'clubName': 'Borussia Dortmund', 'clubID': '16', 'value': '€30.00m'}, {'date': '16/12/2024', 'age': '24', 'clubName': 'Chelsea FC', 'clubID': '631', 'value': '€30.00m'}, {'date': '30/05/2025', 'age': '25', 'clubName': 'Chelsea FC', 'clubID': '631', 'value': '€28.00m'}, {'date': '17/10/2025', 'age': '25', 'clubName': 'Aston Villa', 'clubID': '405', 'value': '€25.00m'}, {'date': '09/12/2025', 'age': '25', 'clubName': 'Aston Villa', 'clubID': '405', 'value': '€20.00m'}]}</t>
        </is>
      </c>
      <c r="L285" t="inlineStr">
        <is>
          <t>United Kingdom</t>
        </is>
      </c>
      <c r="M285" t="inlineStr">
        <is>
          <t>2000-03-25</t>
        </is>
      </c>
      <c r="N285" t="inlineStr">
        <is>
          <t>England</t>
        </is>
      </c>
      <c r="O285">
        <f>(80+75+60)/3</f>
        <v/>
      </c>
      <c r="P285">
        <f>(100+100+90+85)/4</f>
        <v/>
      </c>
    </row>
    <row r="286">
      <c r="A286" t="inlineStr">
        <is>
          <t>Pique</t>
        </is>
      </c>
      <c r="B286" t="inlineStr">
        <is>
          <t>Barcelona</t>
        </is>
      </c>
      <c r="C286" t="inlineStr">
        <is>
          <t>Defender</t>
        </is>
      </c>
      <c r="D286" t="n">
        <v>393</v>
      </c>
      <c r="E286" t="n">
        <v>5</v>
      </c>
      <c r="F286" t="n">
        <v>1</v>
      </c>
      <c r="G286" t="n">
        <v>0</v>
      </c>
      <c r="H286" t="n">
        <v>44</v>
      </c>
      <c r="I286" t="n">
        <v>31.6</v>
      </c>
      <c r="J286" t="n">
        <v>18944</v>
      </c>
      <c r="K286" t="inlineStr">
        <is>
          <t>{'id': '18944', 'marketValueHistory': [{'age': '17', 'date': 'Oct 4, 2004', 'clubName': 'Manchester United', 'value': '€5.00m', 'clubID': '985'}, {'age': '18', 'date': 'Feb 10, 2005', 'clubName': 'Manchester United', 'value': '€2.30m', 'clubID': '985'}, {'age': '18', 'date': 'Oct 18, 2005', 'clubName': 'Manchester United', 'value': '€1.75m', 'clubID': '985'}, {'age': '20', 'date': 'Jun 21, 2007', 'clubName': 'Real Zaragoza', 'value': '€4.00m', 'clubID': '142'}, {'age': '21', 'date': 'Feb 5, 2008', 'clubName': 'Manchester United', 'value': '€5.50m', 'clubID': '985'}, {'age': '21', 'date': 'Jul 10, 2008', 'clubName': 'FC Barcelona', 'value': '€5.00m', 'clubID': '131'}, {'age': '21', 'date': 'Oct 15, 2008', 'clubName': 'FC Barcelona', 'value': '€7.00m', 'clubID': '131'}, {'age': '21', 'date': 'Jan 26, 2009', 'clubName': 'FC Barcelona', 'value': '€10.00m', 'clubID': '131'}, {'age': '22', 'date': 'Jul 22, 2009', 'clubName': 'FC Barcelona', 'value': '€15.00m', 'clubID': '131'}, {'age': '22', 'date': 'Dec 3, 2009', 'clubName': 'FC Barcelona', 'value': '€20.00m', 'clubID': '131'}, {'age': '23', 'date': 'Apr 12, 2010', 'clubName': 'FC Barcelona', 'value': '€25.00m', 'clubID': '131'}, {'age': '23', 'date': 'Aug 27, 2010', 'clubName': 'FC Barcelona', 'value': '€35.00m', 'clubID': '131'}, {'age': '24', 'date': 'Feb 4, 2011', 'clubName': 'FC Barcelona', 'value': '€35.00m', 'clubID': '131'}, {'age': '24', 'date': 'Jul 20, 2011', 'clubName': 'FC Barcelona', 'value': '€38.00m', 'clubID': '131'}, {'age': '25', 'date': 'Feb 3, 2012', 'clubName': 'FC Barcelona', 'value': '€38.00m', 'clubID': '131'}, {'age': '25', 'date': 'Aug 7, 2012', 'clubName': 'FC Barcelona', 'value': '€40.00m', 'clubID': '131'}, {'age': '25', 'date': 'Jan 10, 2013', 'clubName': 'FC Barcelona', 'value': '€40.00m', 'clubID': '131'}, {'age': '26', 'date': 'Mar 7, 2013', 'clubName': 'FC Barcelona', 'value': '€36.00m', 'clubID': '131'}, {'age': '26', 'date': 'Jun 12, 2013', 'clubName': 'FC Barcelona', 'value': '€36.00m', 'clubID': '131'}, {'age': '26', 'date': 'Jan 23, 2014', 'clubName': 'FC Barcelona', 'value': '€36.00m', 'clubID': '131'}, {'age': '27', 'date': 'Jul 20, 2014', 'clubName': 'FC Barcelona', 'value': '€35.00m', 'clubID': '131'}, {'age': '27', 'date': 'Jan 23, 2015', 'clubName': 'FC Barcelona', 'value': '€30.00m', 'clubID': '131'}, {'age': '28', 'date': 'Apr 9, 2015', 'clubName': 'FC Barcelona', 'value': '€35.00m', 'clubID': '131'}, {'age': '28', 'date': 'Jul 1, 2015', 'clubName': 'FC Barcelona', 'value': '€40.00m', 'clubID': '131'}, {'age': '29', 'date': 'Feb 22, 2016', 'clubName': 'FC Barcelona', 'value': '€40.00m', 'clubID': '131'}, {'age': '29', 'date': 'Jun 1, 2016', 'clubName': 'FC Barcelona', 'value': '€40.00m', 'clubID': '131'}, {'age': '29', 'date': 'Jan 24, 2017', 'clubName': 'FC Barcelona', 'value': '€40.00m', 'clubID': '131'}, {'age': '30', 'date': 'Jun 5, 2017', 'clubName': 'FC Barcelona', 'value': '€40.00m', 'clubID': '131'}, {'age': '30', 'date': 'Jan 1, 2018', 'clubName': 'FC Barcelona', 'value': '€40.00m', 'clubID': '131'}, {'age': '31', 'date': 'Mar 22, 2018', 'clubName': 'FC Barcelona', 'value': '€50.00m', 'clubID': '131'}, {'age': '31', 'date': 'May 30, 2018', 'clubName': 'FC Barcelona', 'value': '€50.00m', 'clubID': '131'}, {'age': '31', 'date': 'Oct 31, 2018', 'clubName': 'FC Barcelona', 'value': '€45.00m', 'clubID': '131'}, {'age': '31', 'date': 'Dec 21, 2018', 'clubName': 'FC Barcelona', 'value': '€40.00m', 'clubID': '131'}, {'age': '32', 'date': 'Jun 11, 2019', 'clubName': 'FC Barcelona', 'value': '€35.00m', 'clubID': '131'}, {'age': '32', 'date': 'Dec 20, 2019', 'clubName': 'FC Barcelona', 'value': '€25.00m', 'clubID': '131'}, {'age': '33', 'date': 'Apr 8, 2020', 'clubName': 'FC Barcelona', 'value': '€20.00m', 'clubID': '131'}, {'age': '33', 'date': 'Oct 8, 2020', 'clubName': 'FC Barcelona', 'value': '€15.00m', 'clubID': '131'}, {'age': '33', 'date': 'Jan 5, 2021', 'clubName': 'FC Barcelona', 'value': '€12.00m', 'clubID': '131'}, {'age': '34', 'date': 'Jun 10, 2021', 'clubName': 'FC Barcelona', 'value': '€10.00m', 'clubID': '131'}, {'age': '34', 'date': 'Oct 13, 2021', 'clubName': 'FC Barcelona', 'value': '€7.50m', 'clubID': '131'}, {'age': '34', 'date': 'Dec 30, 2021', 'clubName': 'FC Barcelona', 'value': '€5.00m', 'clubID': '131'}, {'age': '35', 'date': 'Jun 3, 2022', 'clubName': 'FC Barcelona', 'value': '€5.00m', 'clubID': '131'}, {'age': '35', 'date': 'Sep 23, 2022', 'clubName': 'FC Barcelona', 'value': '€3.00m', 'clubID': '131'}, {'age': '35', 'date': 'Nov 7, 2022', 'clubName': 'FC Barcelona', 'value': '€3.00m', 'clubID': '131'}, {'age': '35', 'date': 'Jan 1, 2023', 'clubName': 'Retired', 'clubID': '123'}], 'updatedAt': datetime.datetime(2024, 5, 23, 22, 27, 16, 165164)}</t>
        </is>
      </c>
      <c r="L286" t="inlineStr">
        <is>
          <t>Spain</t>
        </is>
      </c>
      <c r="M286" t="inlineStr">
        <is>
          <t>1987-02-02</t>
        </is>
      </c>
      <c r="N286" t="inlineStr">
        <is>
          <t>102</t>
        </is>
      </c>
      <c r="O286">
        <f>(5+3+3)/3</f>
        <v/>
      </c>
      <c r="P286">
        <f>(12+10+7.5+5)/4</f>
        <v/>
      </c>
    </row>
    <row r="287">
      <c r="A287" t="inlineStr">
        <is>
          <t>Malen</t>
        </is>
      </c>
      <c r="B287" t="inlineStr">
        <is>
          <t>Dortmund</t>
        </is>
      </c>
      <c r="C287" t="inlineStr">
        <is>
          <t>Forward</t>
        </is>
      </c>
      <c r="D287" t="n">
        <v>392</v>
      </c>
      <c r="E287" t="n">
        <v>6</v>
      </c>
      <c r="F287" t="n">
        <v>3</v>
      </c>
      <c r="G287" t="n">
        <v>0</v>
      </c>
      <c r="H287" t="n">
        <v>43.7</v>
      </c>
      <c r="I287" t="n">
        <v>31.3</v>
      </c>
      <c r="J287" t="n">
        <v>326029</v>
      </c>
      <c r="K287" t="inlineStr">
        <is>
          <t>{'marketValueHistory': [{'date': 'Aug 31, 2017', 'age': '18', 'clubName': 'PSV Eindhoven U21', 'clubID': '383', 'value': '€200k'}, {'date': 'Jan 17, 2018', 'age': '18', 'clubName': 'PSV Eindhoven U21', 'clubID': '383', 'value': '€500k'}, {'date': 'Jun 12, 2018', 'age': '19', 'clubName': 'PSV Eindhoven U21', 'clubID': '383', 'value': '€750k'}, {'date': 'Oct 4, 2018', 'age': '19', 'clubName': 'PSV Eindhoven', 'clubID': '383', 'value': '€2.50m'}, {'date': 'Dec 28, 2018', 'age': '19', 'clubName': 'PSV Eindhoven', 'clubID': '383', 'value': '€5.00m'}, {'date': 'Jun 12, 2019', 'age': '20', 'clubName': 'PSV Eindhoven', 'clubID': '383', 'value': '€7.00m'}, {'date': 'Sep 19, 2019', 'age': '20', 'clubName': 'PSV Eindhoven', 'clubID': '383', 'value': '€18.00m'}, {'date': 'Dec 18, 2019', 'age': '20', 'clubName': 'PSV Eindhoven', 'clubID': '383', 'value': '€28.00m'}, {'date': 'Apr 8, 2020', 'age': '21', 'clubName': 'PSV Eindhoven', 'clubID': '383', 'value': '€25.00m'}, {'date': 'Oct 14, 2020', 'age': '21', 'clubName': 'PSV Eindhoven', 'clubID': '383', 'value': '€25.00m'}, {'date': 'Mar 9, 2021', 'age': '22', 'clubName': 'PSV Eindhoven', 'clubID': '383', 'value': '€30.00m'}, {'date': 'May 27, 2021', 'age': '22', 'clubName': 'PSV Eindhoven', 'clubID': '383', 'value': '€30.00m'}, {'date': 'Dec 22, 2021', 'age': '22', 'clubName': 'Borussia Dortmund', 'clubID': '16', 'value': '€30.00m'}, {'date': 'Mar 24, 2022', 'age': '23', 'clubName': 'Borussia Dortmund', 'clubID': '16', 'value': '€27.00m'}, {'date': 'Jun 9, 2022', 'age': '23', 'clubName': 'Borussia Dortmund', 'clubID': '16', 'value': '€27.00m'}, {'date': 'Nov 9, 2022', 'age': '23', 'clubName': 'Borussia Dortmund', 'clubID': '16', 'value': '€20.00m'}, {'date': 'Mar 29, 2023', 'age': '24', 'clubName': 'Borussia Dortmund', 'clubID': '16', 'value': '€16.00m'}, {'date': 'Jun 22, 2023', 'age': '24', 'clubName': 'Borussia Dortmund', 'clubID': '16', 'value': '€28.00m'}, {'date': 'Oct 18, 2023', 'age': '24', 'clubName': 'Borussia Dortmund', 'clubID': '16', 'value': '€35.00m'}, {'date': 'Dec 14, 2023', 'age': '24', 'clubName': 'Borussia Dortmund', 'clubID': '16', 'value': '€35.00m'}, {'date': 'Mar 27, 2024', 'age': '25', 'clubName': 'Borussia Dortmund', 'clubID': '16', 'value': '€40.00m'}, {'date': 'May 29, 2024', 'age': '25', 'clubName': 'Borussia Dortmund', 'clubID': '16', 'value': '€40.00m'}, {'date': 'Dec 20, 2024', 'age': '25', 'clubName': 'Borussia Dortmund', 'clubID': '16', 'value': '€28.00m'}, {'date': 'Mar 18, 2025', 'age': '26', 'clubName': 'Aston Villa', 'clubID': '405', 'value': '€25.00m'}, {'date': 'May 30, 2025', 'age': '26', 'clubName': 'Aston Villa', 'clubID': '405', 'value': '€25.00m'}, {'date': 'Dec 9, 2025', 'age': '26', 'clubName': 'Aston Villa', 'clubID': '405', 'value': '€25.00m'}, {'date': 'Mar 24, 2026', 'age': '27', 'clubName': 'AS Roma', 'clubID': '12', 'value': '€35.00m'}]}</t>
        </is>
      </c>
      <c r="L287" t="inlineStr">
        <is>
          <t>Netherlands</t>
        </is>
      </c>
      <c r="M287" t="inlineStr">
        <is>
          <t>1999-01-19</t>
        </is>
      </c>
      <c r="N287" t="inlineStr">
        <is>
          <t>51</t>
        </is>
      </c>
      <c r="O287">
        <f>(27+27+20)/3</f>
        <v/>
      </c>
      <c r="P287">
        <f>(30+30+30)/3</f>
        <v/>
      </c>
    </row>
    <row r="288">
      <c r="A288" t="inlineStr">
        <is>
          <t>Romagnoli</t>
        </is>
      </c>
      <c r="B288" t="inlineStr">
        <is>
          <t>Milan</t>
        </is>
      </c>
      <c r="C288" t="inlineStr">
        <is>
          <t>Defender</t>
        </is>
      </c>
      <c r="D288" t="n">
        <v>392</v>
      </c>
      <c r="E288" t="n">
        <v>5</v>
      </c>
      <c r="F288" t="n">
        <v>0</v>
      </c>
      <c r="G288" t="n">
        <v>0</v>
      </c>
      <c r="H288" t="n">
        <v>44.7</v>
      </c>
      <c r="I288" t="n">
        <v>31.2</v>
      </c>
      <c r="J288" t="n">
        <v>197747</v>
      </c>
      <c r="K288" t="inlineStr">
        <is>
          <t>{'marketValueHistory': [{'date': 'Nov 23, 2011', 'age': '16', 'clubName': 'Roma U19', 'clubID': '12', 'value': '€75k'}, {'date': 'Mar 25, 2012', 'age': '17', 'clubName': 'Roma U19', 'clubID': '12', 'value': '€75k'}, {'date': 'Jun 6, 2012', 'age': '17', 'clubName': 'Roma U19', 'clubID': '12', 'value': '€100k'}, {'date': 'Jan 14, 2013', 'age': '18', 'clubName': 'AS Roma', 'clubID': '12', 'value': '€500k'}, {'date': 'Jun 19, 2013', 'age': '18', 'clubName': 'AS Roma', 'clubID': '12', 'value': '€900k'}, {'date': 'Jan 7, 2014', 'age': '18', 'clubName': 'AS Roma', 'clubID': '12', 'value': '€900k'}, {'date': 'Mar 10, 2014', 'age': '19', 'clubName': 'AS Roma', 'clubID': '12', 'value': '€1.50m'}, {'date': 'Jul 1, 2014', 'age': '19', 'clubName': 'AS Roma', 'clubID': '12', 'value': '€3.00m'}, {'date': 'Nov 8, 2014', 'age': '19', 'clubName': 'UC Sampdoria', 'clubID': '1038', 'value': '€4.00m'}, {'date': 'Jan 7, 2015', 'age': '19', 'clubName': 'UC Sampdoria', 'clubID': '1038', 'value': '€6.50m'}, {'date': 'Jul 1, 2015', 'age': '20', 'clubName': 'AS Roma', 'clubID': '12', 'value': '€8.50m'}, {'date': 'Sep 23, 2015', 'age': '20', 'clubName': 'AC Milan', 'clubID': '5', 'value': '€15.00m'}, {'date': 'Jan 4, 2016', 'age': '20', 'clubName': 'AC Milan', 'clubID': '5', 'value': '€18.00m'}, {'date': 'Jul 15, 2016', 'age': '21', 'clubName': 'AC Milan', 'clubID': '5', 'value': '€18.00m'}, {'date': 'Oct 14, 2016', 'age': '21', 'clubName': 'AC Milan', 'clubID': '5', 'value': '€20.00m'}, {'date': 'Jan 2, 2017', 'age': '21', 'clubName': 'AC Milan', 'clubID': '5', 'value': '€25.00m'}, {'date': 'Jun 8, 2017', 'age': '22', 'clubName': 'AC Milan', 'clubID': '5', 'value': '€25.00m'}, {'date': 'Dec 29, 2017', 'age': '22', 'clubName': 'AC Milan', 'clubID': '5', 'value': '€25.00m'}, {'date': 'Mar 24, 2018', 'age': '23', 'clubName': 'AC Milan', 'clubID': '5', 'value': '€35.00m'}, {'date': 'Jun 7, 2018', 'age': '23', 'clubName': 'AC Milan', 'clubID': '5', 'value': '€40.00m'}, {'date': 'Dec 20, 2018', 'age': '23', 'clubName': 'AC Milan', 'clubID': '5', 'value': '€40.00m'}, {'date': 'Mar 1, 2019', 'age': '24', 'clubName': 'AC Milan', 'clubID': '5', 'value': '€50.00m'}, {'date': 'Jun 6, 2019', 'age': '24', 'clubName': 'AC Milan', 'clubID': '5', 'value': '€50.00m'}, {'date': 'Dec 12, 2019', 'age': '24', 'clubName': 'AC Milan', 'clubID': '5', 'value': '€45.00m'}, {'date': 'Apr 8, 2020', 'age': '25', 'clubName': 'AC Milan', 'clubID': '5', 'value': '€36.00m'}, {'date': 'Aug 25, 2020', 'age': '25', 'clubName': 'AC Milan', 'clubID': '5', 'value': '€36.00m'}, {'date': 'Dec 29, 2020', 'age': '25', 'clubName': 'AC Milan', 'clubID': '5', 'value': '€36.00m'}, {'date': 'Mar 23, 2021', 'age': '26', 'clubName': 'AC Milan', 'clubID': '5', 'value': '€30.00m'}, {'date': 'Jun 3, 2021', 'age': '26', 'clubName': 'AC Milan', 'clubID': '5', 'value': '€25.00m'}, {'date': 'Oct 14, 2021', 'age': '26', 'clubName': 'AC Milan', 'clubID': '5', 'value': '€20.00m'}, {'date': 'Dec 28, 2021', 'age': '26', 'clubName': 'AC Milan', 'clubID': '5', 'value': '€20.00m'}, {'date': 'Jun 7, 2022', 'age': '27', 'clubName': 'AC Milan', 'clubID': '5', 'value': '€17.00m'}, {'date': 'Nov 11, 2022', 'age': '27', 'clubName': 'SS Lazio', 'clubID': '398', 'value': '€18.00m'}, {'date': 'Jun 15, 2023', 'age': '28', 'clubName': 'SS Lazio', 'clubID': '398', 'value': '€18.00m'}, {'date': 'Dec 20, 2023', 'age': '28', 'clubName': 'SS Lazio', 'clubID': '398', 'value': '€15.00m'}, {'date': 'Jun 5, 2024', 'age': '29', 'clubName': 'SS Lazio', 'clubID': '398', 'value': '€15.00m'}, {'date': 'Dec 18, 2024', 'age': '29', 'clubName': 'SS Lazio', 'clubID': '398', 'value': '€12.00m'}, {'date': 'Jun 17, 2025', 'age': '30', 'clubName': 'SS Lazio', 'clubID': '398', 'value': '€7.00m'}, {'date': 'Dec 23, 2025', 'age': '30', 'clubName': 'SS Lazio', 'clubID': '398', 'value': '€7.00m'}]}</t>
        </is>
      </c>
      <c r="L288" t="inlineStr">
        <is>
          <t>Italy</t>
        </is>
      </c>
      <c r="M288" t="inlineStr">
        <is>
          <t>1995-01-12</t>
        </is>
      </c>
      <c r="N288" t="inlineStr">
        <is>
          <t>Italy</t>
        </is>
      </c>
      <c r="O288">
        <f>(17+18)/2</f>
        <v/>
      </c>
      <c r="P288">
        <f>(30+25+20+20)/4</f>
        <v/>
      </c>
    </row>
    <row r="289">
      <c r="A289" t="inlineStr">
        <is>
          <t>Gnabry</t>
        </is>
      </c>
      <c r="B289" t="inlineStr">
        <is>
          <t>Bayern</t>
        </is>
      </c>
      <c r="C289" t="inlineStr">
        <is>
          <t>Forward</t>
        </is>
      </c>
      <c r="D289" t="n">
        <v>391</v>
      </c>
      <c r="E289" t="n">
        <v>8</v>
      </c>
      <c r="F289" t="n">
        <v>3</v>
      </c>
      <c r="G289" t="n">
        <v>2</v>
      </c>
      <c r="H289" t="n">
        <v>46.7</v>
      </c>
      <c r="I289" t="n">
        <v>32.8</v>
      </c>
      <c r="J289" t="n">
        <v>159471</v>
      </c>
      <c r="K289" t="inlineStr">
        <is>
          <t>{'marketValueHistory': [{'date': 'Jul 25, 2013', 'age': '18', 'clubName': 'Arsenal FC', 'clubID': '11', 'value': '€500k'}, {'date': 'Oct 11, 2013', 'age': '18', 'clubName': 'Arsenal FC', 'clubID': '11', 'value': '€2.00m'}, {'date': 'Jan 15, 2014', 'age': '18', 'clubName': 'Arsenal FC', 'clubID': '11', 'value': '€4.00m'}, {'date': 'Aug 12, 2014', 'age': '19', 'clubName': 'Arsenal FC', 'clubID': '11', 'value': '€4.00m'}, {'date': 'Feb 12, 2015', 'age': '19', 'clubName': 'Arsenal FC', 'clubID': '11', 'value': '€4.00m'}, {'date': 'Jul 1, 2015', 'age': '19', 'clubName': 'Arsenal FC', 'clubID': '11', 'value': '€3.50m'}, {'date': 'Feb 9, 2016', 'age': '20', 'clubName': 'Arsenal FC', 'clubID': '11', 'value': '€3.00m'}, {'date': 'Aug 1, 2016', 'age': '21', 'clubName': 'Arsenal FC', 'clubID': '11', 'value': '€2.50m'}, {'date': 'Oct 13, 2016', 'age': '21', 'clubName': 'SV Werder Bremen', 'clubID': '86', 'value': '€5.00m'}, {'date': 'Feb 7, 2017', 'age': '21', 'clubName': 'SV Werder Bremen', 'clubID': '86', 'value': '€10.00m'}, {'date': 'Jun 19, 2017', 'age': '21', 'clubName': 'SV Werder Bremen', 'clubID': '86', 'value': '€15.00m'}, {'date': 'Dec 28, 2017', 'age': '22', 'clubName': 'TSG 1899 Hoffenheim', 'clubID': '533', 'value': '€15.00m'}, {'date': 'Apr 4, 2018', 'age': '22', 'clubName': 'TSG 1899 Hoffenheim', 'clubID': '533', 'value': '€18.00m'}, {'date': 'Jun 5, 2018', 'age': '22', 'clubName': 'TSG 1899 Hoffenheim', 'clubID': '533', 'value': '€20.00m'}, {'date': 'Aug 22, 2018', 'age': '23', 'clubName': 'Bayern Munich', 'clubID': '27', 'value': '€30.00m'}, {'date': 'Dec 18, 2018', 'age': '23', 'clubName': 'Bayern Munich', 'clubID': '27', 'value': '€40.00m'}, {'date': 'Mar 6, 2019', 'age': '23', 'clubName': 'Bayern Munich', 'clubID': '27', 'value': '€45.00m'}, {'date': 'Jun 5, 2019', 'age': '23', 'clubName': 'Bayern Munich', 'clubID': '27', 'value': '€60.00m'}, {'date': 'Dec 17, 2019', 'age': '24', 'clubName': 'Bayern Munich', 'clubID': '27', 'value': '€80.00m'}, {'date': 'Mar 11, 2020', 'age': '24', 'clubName': 'Bayern Munich', 'clubID': '27', 'value': '€90.00m'}, {'date': 'Apr 8, 2020', 'age': '24', 'clubName': 'Bayern Munich', 'clubID': '27', 'value': '€72.00m'}, {'date': 'Sep 16, 2020', 'age': '25', 'clubName': 'Bayern Munich', 'clubID': '27', 'value': '€90.00m'}, {'date': 'Feb 10, 2021', 'age': '25', 'clubName': 'Bayern Munich', 'clubID': '27', 'value': '€70.00m'}, {'date': 'Jun 1, 2021', 'age': '25', 'clubName': 'Bayern Munich', 'clubID': '27', 'value': '€70.00m'}, {'date': 'Dec 22, 2021', 'age': '26', 'clubName': 'Bayern Munich', 'clubID': '27', 'value': '€70.00m'}, {'date': 'Jun 9, 2022', 'age': '26', 'clubName': 'Bayern Munich', 'clubID': '27', 'value': '€65.00m'}, {'date': 'Nov 9, 2022', 'age': '27', 'clubName': 'Bayern Munich', 'clubID': '27', 'value': '€65.00m'}, {'date': 'Mar 29, 2023', 'age': '27', 'clubName': 'Bayern Munich', 'clubID': '27', 'value': '€55.00m'}, {'date': 'Jun 22, 2023', 'age': '27', 'clubName': 'Bayern Munich', 'clubID': '27', 'value': '€55.00m'}, {'date': 'Dec 14, 2023', 'age': '28', 'clubName': 'Bayern Munich', 'clubID': '27', 'value': '€45.00m'}, {'date': 'May 29, 2024', 'age': '28', 'clubName': 'Bayern Munich', 'clubID': '27', 'value': '€40.00m'}, {'date': 'Dec 20, 2024', 'age': '29', 'clubName': 'Bayern Munich', 'clubID': '27', 'value': '€35.00m'}, {'date': 'Mar 27, 2025', 'age': '29', 'clubName': 'Bayern Munich', 'clubID': '27', 'value': '€25.00m'}, {'date': 'Jun 5, 2025', 'age': '29', 'clubName': 'Bayern Munich', 'clubID': '27', 'value': '€22.00m'}, {'date': 'Dec 19, 2025', 'age': '30', 'clubName': 'Bayern Munich', 'clubID': '27', 'value': '€20.00m'}]}</t>
        </is>
      </c>
      <c r="L289" t="inlineStr">
        <is>
          <t>Germany</t>
        </is>
      </c>
      <c r="M289" t="inlineStr">
        <is>
          <t>1995-07-14</t>
        </is>
      </c>
      <c r="N289" t="inlineStr">
        <is>
          <t>Germany</t>
        </is>
      </c>
      <c r="O289">
        <f>(65+65)/2</f>
        <v/>
      </c>
      <c r="P289">
        <f>(70+70+70)/3</f>
        <v/>
      </c>
    </row>
    <row r="290">
      <c r="A290" t="inlineStr">
        <is>
          <t>Zaidu</t>
        </is>
      </c>
      <c r="B290" t="inlineStr">
        <is>
          <t>FC Porto</t>
        </is>
      </c>
      <c r="C290" t="inlineStr">
        <is>
          <t>Defender</t>
        </is>
      </c>
      <c r="D290" t="n">
        <v>389</v>
      </c>
      <c r="E290" t="n">
        <v>6</v>
      </c>
      <c r="F290" t="n">
        <v>0</v>
      </c>
      <c r="G290" t="n">
        <v>0</v>
      </c>
      <c r="H290" t="n">
        <v>45.9</v>
      </c>
      <c r="I290" t="n">
        <v>34.3</v>
      </c>
      <c r="J290" t="n">
        <v>544784</v>
      </c>
      <c r="K290" t="inlineStr">
        <is>
          <t>{'marketValueHistory': [{'date': '11/10/2019', 'age': '22', 'clubName': 'CD Santa Clara', 'clubID': '2423', 'value': '€200k'}, {'date': '30/12/2019', 'age': '22', 'clubName': 'CD Santa Clara', 'clubID': '2423', 'value': '€500k'}, {'date': '08/04/2020', 'age': '22', 'clubName': 'CD Santa Clara', 'clubID': '2423', 'value': '€400k'}, {'date': '17/08/2020', 'age': '23', 'clubName': 'CD Santa Clara', 'clubID': '2423', 'value': '€2.50m'}, {'date': '22/10/2020', 'age': '23', 'clubName': 'FC Porto', 'clubID': '720', 'value': '€4.00m'}, {'date': '28/01/2021', 'age': '23', 'clubName': 'FC Porto', 'clubID': '720', 'value': '€8.00m'}, {'date': '21/05/2021', 'age': '23', 'clubName': 'FC Porto', 'clubID': '720', 'value': '€8.00m'}, {'date': '21/09/2021', 'age': '24', 'clubName': 'FC Porto', 'clubID': '720', 'value': '€6.00m'}, {'date': '27/12/2021', 'age': '24', 'clubName': 'FC Porto', 'clubID': '720', 'value': '€6.00m'}, {'date': '10/03/2022', 'age': '24', 'clubName': 'FC Porto', 'clubID': '720', 'value': '€8.00m'}, {'date': '31/05/2022', 'age': '24', 'clubName': 'FC Porto', 'clubID': '720', 'value': '€10.00m'}, {'date': '01/11/2022', 'age': '25', 'clubName': 'FC Porto', 'clubID': '720', 'value': '€10.00m'}, {'date': '16/06/2023', 'age': '26', 'clubName': 'FC Porto', 'clubID': '720', 'value': '€8.00m'}, {'date': '29/09/2023', 'age': '26', 'clubName': 'FC Porto', 'clubID': '720', 'value': '€6.00m'}, {'date': '27/12/2023', 'age': '26', 'clubName': 'FC Porto', 'clubID': '720', 'value': '€3.00m'}, {'date': '06/06/2024', 'age': '26', 'clubName': 'FC Porto', 'clubID': '720', 'value': '€3.00m'}, {'date': '19/12/2024', 'age': '27', 'clubName': 'FC Porto', 'clubID': '720', 'value': '€3.00m'}, {'date': '30/05/2025', 'age': '27', 'clubName': 'FC Porto', 'clubID': '720', 'value': '€2.00m'}, {'date': '18/12/2025', 'age': '28', 'clubName': 'FC Porto', 'clubID': '720', 'value': '€3.00m'}]}</t>
        </is>
      </c>
      <c r="L290" t="inlineStr">
        <is>
          <t>Nigeria</t>
        </is>
      </c>
      <c r="M290" t="inlineStr">
        <is>
          <t>1997-06-13</t>
        </is>
      </c>
      <c r="N290" t="inlineStr">
        <is>
          <t>30</t>
        </is>
      </c>
      <c r="O290">
        <f>(8+10+10)/3</f>
        <v/>
      </c>
      <c r="P290">
        <f>(8+8+6+6)/4</f>
        <v/>
      </c>
    </row>
    <row r="291">
      <c r="A291" t="inlineStr">
        <is>
          <t>McKennie</t>
        </is>
      </c>
      <c r="B291" t="inlineStr">
        <is>
          <t>Juventus</t>
        </is>
      </c>
      <c r="C291" t="inlineStr">
        <is>
          <t>Midfielder</t>
        </is>
      </c>
      <c r="D291" t="n">
        <v>388</v>
      </c>
      <c r="E291" t="n">
        <v>6</v>
      </c>
      <c r="F291" t="n">
        <v>0</v>
      </c>
      <c r="G291" t="n">
        <v>0</v>
      </c>
      <c r="H291" t="n">
        <v>51.9</v>
      </c>
      <c r="I291" t="n">
        <v>32.7</v>
      </c>
      <c r="J291" t="n">
        <v>332697</v>
      </c>
      <c r="K291" t="inlineStr">
        <is>
          <t>{'marketValueHistory': [{'date': 'Jun 19, 2017', 'age': '18', 'clubName': 'FC Schalke 04 U19', 'clubID': '1463', 'value': '€100k'}, {'date': 'Oct 18, 2017', 'age': '19', 'clubName': 'FC Schalke 04', 'clubID': '33', 'value': '€2.00m'}, {'date': 'Dec 28, 2017', 'age': '19', 'clubName': 'FC Schalke 04', 'clubID': '33', 'value': '€4.50m'}, {'date': 'Jun 5, 2018', 'age': '19', 'clubName': 'FC Schalke 04', 'clubID': '33', 'value': '€6.50m'}, {'date': 'Oct 22, 2018', 'age': '20', 'clubName': 'FC Schalke 04', 'clubID': '33', 'value': '€12.00m'}, {'date': 'Dec 18, 2018', 'age': '20', 'clubName': 'FC Schalke 04', 'clubID': '33', 'value': '€15.00m'}, {'date': 'Mar 6, 2019', 'age': '20', 'clubName': 'FC Schalke 04', 'clubID': '33', 'value': '€20.00m'}, {'date': 'Jun 5, 2019', 'age': '20', 'clubName': 'FC Schalke 04', 'clubID': '33', 'value': '€20.00m'}, {'date': 'Dec 17, 2019', 'age': '21', 'clubName': 'FC Schalke 04', 'clubID': '33', 'value': '€22.00m'}, {'date': 'Apr 8, 2020', 'age': '21', 'clubName': 'FC Schalke 04', 'clubID': '33', 'value': '€20.00m'}, {'date': 'Oct 29, 2020', 'age': '22', 'clubName': 'Juventus FC', 'clubID': '506', 'value': '€22.00m'}, {'date': 'Dec 29, 2020', 'age': '22', 'clubName': 'Juventus FC', 'clubID': '506', 'value': '€25.00m'}, {'date': 'Jun 3, 2021', 'age': '22', 'clubName': 'Juventus FC', 'clubID': '506', 'value': '€25.00m'}, {'date': 'Dec 28, 2021', 'age': '23', 'clubName': 'Juventus FC', 'clubID': '506', 'value': '€25.00m'}, {'date': 'Jun 7, 2022', 'age': '23', 'clubName': 'Juventus FC', 'clubID': '506', 'value': '€25.00m'}, {'date': 'Nov 11, 2022', 'age': '24', 'clubName': 'Juventus FC', 'clubID': '506', 'value': '€21.00m'}, {'date': 'Jun 20, 2023', 'age': '24', 'clubName': 'Leeds United', 'clubID': '399', 'value': '€18.00m'}, {'date': 'Oct 11, 2023', 'age': '25', 'clubName': 'Juventus FC', 'clubID': '506', 'value': '€20.00m'}, {'date': 'Dec 20, 2023', 'age': '25', 'clubName': 'Juventus FC', 'clubID': '506', 'value': '€23.00m'}, {'date': 'Mar 12, 2024', 'age': '25', 'clubName': 'Juventus FC', 'clubID': '506', 'value': '€25.00m'}, {'date': 'Jun 5, 2024', 'age': '25', 'clubName': 'Juventus FC', 'clubID': '506', 'value': '€28.00m'}, {'date': 'Oct 18, 2024', 'age': '26', 'clubName': 'Juventus FC', 'clubID': '506', 'value': '€24.00m'}, {'date': 'Dec 18, 2024', 'age': '26', 'clubName': 'Juventus FC', 'clubID': '506', 'value': '€24.00m'}, {'date': 'Jun 17, 2025', 'age': '26', 'clubName': 'Juventus FC', 'clubID': '506', 'value': '€22.00m'}, {'date': 'Dec 23, 2025', 'age': '27', 'clubName': 'Juventus FC', 'clubID': '506', 'value': '€22.00m'}, {'date': 'Mar 24, 2026', 'age': '27', 'clubName': 'Juventus FC', 'clubID': '506', 'value': '€30.00m'}]}</t>
        </is>
      </c>
      <c r="L291" t="inlineStr">
        <is>
          <t>United States</t>
        </is>
      </c>
      <c r="M291" t="inlineStr">
        <is>
          <t>1998-08-28</t>
        </is>
      </c>
      <c r="N291" t="inlineStr">
        <is>
          <t>64</t>
        </is>
      </c>
      <c r="O291">
        <f>(25+21)/2</f>
        <v/>
      </c>
      <c r="P291">
        <f>(25+25)/2</f>
        <v/>
      </c>
    </row>
    <row r="292">
      <c r="A292" t="inlineStr">
        <is>
          <t>Hefti</t>
        </is>
      </c>
      <c r="B292" t="inlineStr">
        <is>
          <t>Young Boys</t>
        </is>
      </c>
      <c r="C292" t="inlineStr">
        <is>
          <t>Defender</t>
        </is>
      </c>
      <c r="D292" t="n">
        <v>386</v>
      </c>
      <c r="E292" t="n">
        <v>6</v>
      </c>
      <c r="F292" t="n">
        <v>1</v>
      </c>
      <c r="G292" t="n">
        <v>1</v>
      </c>
      <c r="H292" t="n">
        <v>38.8</v>
      </c>
      <c r="I292" t="n">
        <v>32.1</v>
      </c>
      <c r="J292" t="n">
        <v>237666</v>
      </c>
      <c r="K292" t="inlineStr">
        <is>
          <t>{'marketValueHistory': [{'date': '29/09/2015', 'age': '17', 'clubName': 'FC St. Gallen 1879', 'clubID': '257', 'value': '€100k'}, {'date': '18/12/2015', 'age': '18', 'clubName': 'FC St. Gallen 1879', 'clubID': '257', 'value': '€100k'}, {'date': '20/04/2016', 'age': '18', 'clubName': 'FC St. Gallen 1879', 'clubID': '257', 'value': '€750k'}, {'date': '16/07/2016', 'age': '18', 'clubName': 'FC St. Gallen 1879', 'clubID': '257', 'value': '€1.00m'}, {'date': '20/12/2016', 'age': '19', 'clubName': 'FC St. Gallen 1879', 'clubID': '257', 'value': '€1.00m'}, {'date': '14/04/2017', 'age': '19', 'clubName': 'FC St. Gallen 1879', 'clubID': '257', 'value': '€1.50m'}, {'date': '12/07/2017', 'age': '19', 'clubName': 'FC St. Gallen 1879', 'clubID': '257', 'value': '€1.50m'}, {'date': '08/01/2018', 'age': '20', 'clubName': 'FC St. Gallen 1879', 'clubID': '257', 'value': '€1.75m'}, {'date': '24/04/2018', 'age': '20', 'clubName': 'FC St. Gallen 1879', 'clubID': '257', 'value': '€2.25m'}, {'date': '12/07/2018', 'age': '20', 'clubName': 'FC St. Gallen 1879', 'clubID': '257', 'value': '€1.75m'}, {'date': '21/01/2019', 'age': '21', 'clubName': 'FC St. Gallen 1879', 'clubID': '257', 'value': '€2.50m'}, {'date': '15/04/2019', 'age': '21', 'clubName': 'FC St. Gallen 1879', 'clubID': '257', 'value': '€2.50m'}, {'date': '04/06/2019', 'age': '21', 'clubName': 'FC St. Gallen 1879', 'clubID': '257', 'value': '€2.50m'}, {'date': '06/01/2020', 'age': '22', 'clubName': 'FC St. Gallen 1879', 'clubID': '257', 'value': '€3.50m'}, {'date': '08/04/2020', 'age': '22', 'clubName': 'FC St. Gallen 1879', 'clubID': '257', 'value': '€2.80m'}, {'date': '31/07/2020', 'age': '22', 'clubName': 'FC St. Gallen 1879', 'clubID': '257', 'value': '€3.50m'}, {'date': '28/12/2020', 'age': '23', 'clubName': 'BSC Young Boys', 'clubID': '452', 'value': '€3.50m'}, {'date': '23/06/2021', 'age': '23', 'clubName': 'BSC Young Boys', 'clubID': '452', 'value': '€3.50m'}, {'date': '03/01/2022', 'age': '24', 'clubName': 'Genoa CFC', 'clubID': '252', 'value': '€3.50m'}, {'date': '15/03/2022', 'age': '24', 'clubName': 'Genoa CFC', 'clubID': '252', 'value': '€5.00m'}, {'date': '07/06/2022', 'age': '24', 'clubName': 'Genoa CFC', 'clubID': '252', 'value': '€5.00m'}, {'date': '22/12/2022', 'age': '25', 'clubName': 'Genoa CFC', 'clubID': '252', 'value': '€4.20m'}, {'date': '12/06/2023', 'age': '25', 'clubName': 'Genoa CFC', 'clubID': '252', 'value': '€3.40m'}, {'date': '20/12/2023', 'age': '26', 'clubName': 'Genoa CFC', 'clubID': '252', 'value': '€2.50m'}, {'date': '03/06/2024', 'age': '26', 'clubName': 'Montpellier HSC', 'clubID': '969', 'value': '€2.50m'}, {'date': '25/09/2024', 'age': '26', 'clubName': 'Hamburger SV', 'clubID': '41', 'value': '€2.00m'}, {'date': '19/12/2024', 'age': '27', 'clubName': 'Hamburger SV', 'clubID': '41', 'value': '€1.50m'}, {'date': '19/06/2025', 'age': '27', 'clubName': 'Hamburger SV', 'clubID': '41', 'value': '€1.00m'}, {'date': '19/12/2025', 'age': '28', 'clubName': 'Hamburger SV', 'clubID': '41', 'value': '€700k'}]}</t>
        </is>
      </c>
      <c r="L292" t="inlineStr">
        <is>
          <t>Switzerland</t>
        </is>
      </c>
      <c r="M292" t="inlineStr">
        <is>
          <t>1997-10-25</t>
        </is>
      </c>
      <c r="N292" t="inlineStr">
        <is>
          <t>Switzerland</t>
        </is>
      </c>
      <c r="O292">
        <f>(3.5+5+5+4.2)/4</f>
        <v/>
      </c>
      <c r="P292">
        <f>3.5</f>
        <v/>
      </c>
    </row>
    <row r="293">
      <c r="A293" t="inlineStr">
        <is>
          <t>Forsberg</t>
        </is>
      </c>
      <c r="B293" t="inlineStr">
        <is>
          <t>Leipzig</t>
        </is>
      </c>
      <c r="C293" t="inlineStr">
        <is>
          <t>Forward</t>
        </is>
      </c>
      <c r="D293" t="n">
        <v>385</v>
      </c>
      <c r="E293" t="n">
        <v>6</v>
      </c>
      <c r="F293" t="n">
        <v>2</v>
      </c>
      <c r="G293" t="n">
        <v>2</v>
      </c>
      <c r="H293" t="n">
        <v>48.2</v>
      </c>
      <c r="I293" t="n">
        <v>31.9</v>
      </c>
      <c r="J293" t="n">
        <v>111078</v>
      </c>
      <c r="K293" t="inlineStr">
        <is>
          <t>{'marketValueHistory': [{'date': '21/06/2009', 'age': '17', 'clubName': 'Medskogsbrons BK', 'clubID': '22961', 'value': '€75k'}, {'date': '16/02/2010', 'age': '18', 'clubName': 'GIF Sundsvall', 'clubID': '2843', 'value': '€150k'}, {'date': '02/08/2010', 'age': '18', 'clubName': 'GIF Sundsvall', 'clubID': '2843', 'value': '€175k'}, {'date': '07/08/2013', 'age': '21', 'clubName': 'Malmö FF', 'clubID': '496', 'value': '€600k'}, {'date': '24/06/2014', 'age': '22', 'clubName': 'Malmö FF', 'clubID': '496', 'value': '€700k'}, {'date': '13/01/2015', 'age': '23', 'clubName': 'RB Leipzig', 'clubID': '23826', 'value': '€2.00m'}, {'date': '01/07/2015', 'age': '23', 'clubName': 'RB Leipzig', 'clubID': '23826', 'value': '€2.00m'}, {'date': '22/10/2015', 'age': '23', 'clubName': 'RB Leipzig', 'clubID': '23826', 'value': '€2.50m'}, {'date': '11/02/2016', 'age': '24', 'clubName': 'RB Leipzig', 'clubID': '23826', 'value': '€4.00m'}, {'date': '01/06/2016', 'age': '24', 'clubName': 'RB Leipzig', 'clubID': '23826', 'value': '€5.00m'}, {'date': '22/07/2016', 'age': '24', 'clubName': 'RB Leipzig', 'clubID': '23826', 'value': '€5.00m'}, {'date': '07/02/2017', 'age': '25', 'clubName': 'RB Leipzig', 'clubID': '23826', 'value': '€12.00m'}, {'date': '22/03/2017', 'age': '25', 'clubName': 'RB Leipzig', 'clubID': '23826', 'value': '€15.00m'}, {'date': '19/06/2017', 'age': '25', 'clubName': 'RB Leipzig', 'clubID': '23826', 'value': '€22.00m'}, {'date': '28/12/2017', 'age': '26', 'clubName': 'RB Leipzig', 'clubID': '23826', 'value': '€25.00m'}, {'date': '05/06/2018', 'age': '26', 'clubName': 'RB Leipzig', 'clubID': '23826', 'value': '€25.00m'}, {'date': '18/12/2018', 'age': '27', 'clubName': 'RB Leipzig', 'clubID': '23826', 'value': '€25.00m'}, {'date': '05/06/2019', 'age': '27', 'clubName': 'RB Leipzig', 'clubID': '23826', 'value': '€25.00m'}, {'date': '17/12/2019', 'age': '28', 'clubName': 'RB Leipzig', 'clubID': '23826', 'value': '€28.00m'}, {'date': '08/04/2020', 'age': '28', 'clubName': 'RB Leipzig', 'clubID': '23826', 'value': '€22.50m'}, {'date': '16/09/2020', 'age': '28', 'clubName': 'RB Leipzig', 'clubID': '23826', 'value': '€18.00m'}, {'date': '26/11/2020', 'age': '29', 'clubName': 'RB Leipzig', 'clubID': '23826', 'value': '€20.00m'}, {'date': '10/02/2021', 'age': '29', 'clubName': 'RB Leipzig', 'clubID': '23826', 'value': '€20.00m'}, {'date': '31/05/2021', 'age': '29', 'clubName': 'RB Leipzig', 'clubID': '23826', 'value': '€20.00m'}, {'date': '22/12/2021', 'age': '30', 'clubName': 'RB Leipzig', 'clubID': '23826', 'value': '€16.00m'}, {'date': '09/06/2022', 'age': '30', 'clubName': 'RB Leipzig', 'clubID': '23826', 'value': '€11.00m'}, {'date': '09/11/2022', 'age': '31', 'clubName': 'RB Leipzig', 'clubID': '23826', 'value': '€9.00m'}, {'date': '22/06/2023', 'age': '31', 'clubName': 'RB Leipzig', 'clubID': '23826', 'value': '€7.00m'}, {'date': '14/12/2023', 'age': '32', 'clubName': 'RB Leipzig', 'clubID': '23826', 'value': '€6.00m'}, {'date': '13/06/2024', 'age': '32', 'clubName': 'New York Red Bulls', 'clubID': '623', 'value': '€5.00m'}, {'date': '12/12/2024', 'age': '33', 'clubName': 'New York Red Bulls', 'clubID': '623', 'value': '€4.50m'}, {'date': '17/04/2025', 'age': '33', 'clubName': 'New York Red Bulls', 'clubID': '623', 'value': '€3.50m'}, {'date': '05/06/2025', 'age': '33', 'clubName': 'New York Red Bulls', 'clubID': '623', 'value': '€3.00m'}, {'date': '11/12/2025', 'age': '34', 'clubName': 'Red Bull New York', 'clubID': '623', 'value': '€2.50m'}, {'date': '07/04/2026', 'age': '34', 'clubName': 'Red Bull New York', 'clubID': '623', 'value': '€2.00m'}]}</t>
        </is>
      </c>
      <c r="L293" t="inlineStr">
        <is>
          <t>Sweden</t>
        </is>
      </c>
      <c r="M293" t="inlineStr">
        <is>
          <t>1991-10-23</t>
        </is>
      </c>
      <c r="N293" t="inlineStr">
        <is>
          <t>Sweden</t>
        </is>
      </c>
      <c r="O293">
        <f>(11+9)/2</f>
        <v/>
      </c>
      <c r="P293">
        <f>(20+20+16)/3</f>
        <v/>
      </c>
    </row>
    <row r="294">
      <c r="A294" t="inlineStr">
        <is>
          <t>Batshuayi</t>
        </is>
      </c>
      <c r="B294" t="inlineStr">
        <is>
          <t>Besiktas</t>
        </is>
      </c>
      <c r="C294" t="inlineStr">
        <is>
          <t>Forward</t>
        </is>
      </c>
      <c r="D294" t="n">
        <v>383</v>
      </c>
      <c r="E294" t="n">
        <v>5</v>
      </c>
      <c r="F294" t="n">
        <v>0</v>
      </c>
      <c r="G294" t="n">
        <v>0</v>
      </c>
      <c r="H294" t="n">
        <v>43.5</v>
      </c>
      <c r="I294" t="n">
        <v>31.3</v>
      </c>
      <c r="J294" t="n">
        <v>179184</v>
      </c>
      <c r="K294" t="inlineStr">
        <is>
          <t>{'marketValueHistory': [{'date': 'Jul 11, 2011', 'age': '17', 'clubName': 'Standard Liège', 'clubID': '3057', 'value': '€50k'}, {'date': 'Aug 12, 2011', 'age': '17', 'clubName': 'Standard Liège', 'clubID': '3057', 'value': '€400k'}, {'date': 'Jan 5, 2012', 'age': '18', 'clubName': 'Standard Liège', 'clubID': '3057', 'value': '€600k'}, {'date': 'Apr 3, 2012', 'age': '18', 'clubName': 'Standard Liège', 'clubID': '3057', 'value': '€1.50m'}, {'date': 'Jan 9, 2013', 'age': '19', 'clubName': 'Standard Liège', 'clubID': '3057', 'value': '€2.00m'}, {'date': 'Jun 25, 2013', 'age': '19', 'clubName': 'Standard Liège', 'clubID': '3057', 'value': '€3.50m'}, {'date': 'Oct 8, 2013', 'age': '20', 'clubName': 'Standard Liège', 'clubID': '3057', 'value': '€5.00m'}, {'date': 'Feb 10, 2014', 'age': '20', 'clubName': 'Standard Liège', 'clubID': '3057', 'value': '€8.00m'}, {'date': 'Jun 28, 2014', 'age': '20', 'clubName': 'Standard Liège', 'clubID': '3057', 'value': '€8.00m'}, {'date': 'Aug 7, 2014', 'age': '20', 'clubName': 'Olympique Marseille', 'clubID': '244', 'value': '€8.00m'}, {'date': 'Jan 14, 2015', 'age': '21', 'clubName': 'Olympique Marseille', 'clubID': '244', 'value': '€7.50m'}, {'date': 'Jun 6, 2015', 'age': '21', 'clubName': 'Olympique Marseille', 'clubID': '244', 'value': '€8.00m'}, {'date': 'Sep 6, 2015', 'age': '21', 'clubName': 'Olympique Marseille', 'clubID': '244', 'value': '€9.00m'}, {'date': 'Feb 4, 2016', 'age': '22', 'clubName': 'Olympique Marseille', 'clubID': '244', 'value': '€14.00m'}, {'date': 'Jun 1, 2016', 'age': '22', 'clubName': 'Olympique Marseille', 'clubID': '244', 'value': '€15.00m'}, {'date': 'Aug 1, 2016', 'age': '22', 'clubName': 'Chelsea FC', 'clubID': '631', 'value': '€25.00m'}, {'date': 'Feb 20, 2017', 'age': '23', 'clubName': 'Chelsea FC', 'clubID': '631', 'value': '€25.00m'}, {'date': 'Jun 28, 2017', 'age': '23', 'clubName': 'Chelsea FC', 'clubID': '631', 'value': '€25.00m'}, {'date': 'Jan 2, 2018', 'age': '24', 'clubName': 'Chelsea FC', 'clubID': '631', 'value': '€25.00m'}, {'date': 'Apr 4, 2018', 'age': '24', 'clubName': 'Borussia Dortmund', 'clubID': '16', 'value': '€40.00m'}, {'date': 'Jun 5, 2018', 'age': '24', 'clubName': 'Borussia Dortmund', 'clubID': '16', 'value': '€40.00m'}, {'date': 'Dec 21, 2018', 'age': '25', 'clubName': 'Valencia CF', 'clubID': '1049', 'value': '€30.00m'}, {'date': 'Jun 13, 2019', 'age': '25', 'clubName': 'Crystal Palace', 'clubID': '873', 'value': '€30.00m'}, {'date': 'Sep 12, 2019', 'age': '25', 'clubName': 'Chelsea FC', 'clubID': '631', 'value': '€25.00m'}, {'date': 'Dec 10, 2019', 'age': '26', 'clubName': 'Chelsea FC', 'clubID': '631', 'value': '€22.00m'}, {'date': 'Apr 8, 2020', 'age': '26', 'clubName': 'Chelsea FC', 'clubID': '631', 'value': '€17.50m'}, {'date': 'Jul 30, 2020', 'age': '26', 'clubName': 'Chelsea FC', 'clubID': '631', 'value': '€14.00m'}, {'date': 'Oct 13, 2020', 'age': '27', 'clubName': 'Crystal Palace', 'clubID': '873', 'value': '€12.00m'}, {'date': 'Mar 18, 2021', 'age': '27', 'clubName': 'Crystal Palace', 'clubID': '873', 'value': '€10.00m'}, {'date': 'May 26, 2021', 'age': '27', 'clubName': 'Crystal Palace', 'clubID': '873', 'value': '€10.00m'}, {'date': 'Oct 12, 2021', 'age': '28', 'clubName': 'Besiktas JK', 'clubID': '114', 'value': '€10.00m'}, {'date': 'Jan 4, 2022', 'age': '28', 'clubName': 'Besiktas JK', 'clubID': '114', 'value': '€10.00m'}, {'date': 'Mar 31, 2022', 'age': '28', 'clubName': 'Besiktas JK', 'clubID': '114', 'value': '€10.00m'}, {'date': 'Jun 1, 2022', 'age': '28', 'clubName': 'Besiktas JK', 'clubID': '114', 'value': '€10.00m'}, {'date': 'Sep 13, 2022', 'age': '28', 'clubName': 'Fenerbahce', 'clubID': '36', 'value': '€9.50m'}, {'date': 'Oct 27, 2022', 'age': '29', 'clubName': 'Fenerbahce', 'clubID': '36', 'value': '€10.00m'}, {'date': 'Mar 14, 2023', 'age': '29', 'clubName': 'Fenerbahce', 'clubID': '36', 'value': '€10.00m'}, {'date': 'Jun 8, 2023', 'age': '29', 'clubName': 'Fenerbahce', 'clubID': '36', 'value': '€10.00m'}, {'date': 'Sep 27, 2023', 'age': '29', 'clubName': 'Fenerbahce', 'clubID': '36', 'value': '€9.00m'}, {'date': 'Dec 21, 2023', 'age': '30', 'clubName': 'Fenerbahce', 'clubID': '36', 'value': '€7.50m'}, {'date': 'Mar 15, 2024', 'age': '30', 'clubName': 'Fenerbahce', 'clubID': '36', 'value': '€8.00m'}, {'date': 'May 31, 2024', 'age': '30', 'clubName': 'Fenerbahce', 'clubID': '36', 'value': '€8.50m'}, {'date': 'Oct 4, 2024', 'age': '31', 'clubName': 'Galatasaray', 'clubID': '141', 'value': '€8.00m'}, {'date': 'Dec 23, 2024', 'age': '31', 'clubName': 'Galatasaray', 'clubID': '141', 'value': '€7.00m'}, {'date': 'Mar 27, 2025', 'age': '31', 'clubName': 'Eintracht Frankfurt', 'clubID': '24', 'value': '€5.00m'}, {'date': 'Jun 5, 2025', 'age': '31', 'clubName': 'Eintracht Frankfurt', 'clubID': '24', 'value': '€4.00m'}, {'date': 'Dec 19, 2025', 'age': '32', 'clubName': 'Eintracht Frankfurt', 'clubID': '24', 'value': '€3.00m'}]}</t>
        </is>
      </c>
      <c r="L294" t="inlineStr">
        <is>
          <t>Belgium</t>
        </is>
      </c>
      <c r="M294" t="inlineStr">
        <is>
          <t>1993-10-02</t>
        </is>
      </c>
      <c r="N294" t="inlineStr">
        <is>
          <t>Belgium</t>
        </is>
      </c>
      <c r="O294">
        <f>(10+10+10+9.5+10)/5</f>
        <v/>
      </c>
      <c r="P294">
        <f>(10+10+10)/3</f>
        <v/>
      </c>
    </row>
    <row r="295">
      <c r="A295" t="inlineStr">
        <is>
          <t>Bentancur</t>
        </is>
      </c>
      <c r="B295" t="inlineStr">
        <is>
          <t>Juventus</t>
        </is>
      </c>
      <c r="C295" t="inlineStr">
        <is>
          <t>Midfielder</t>
        </is>
      </c>
      <c r="D295" t="n">
        <v>382</v>
      </c>
      <c r="E295" t="n">
        <v>5</v>
      </c>
      <c r="F295" t="n">
        <v>0</v>
      </c>
      <c r="G295" t="n">
        <v>1</v>
      </c>
      <c r="H295" t="n">
        <v>48.7</v>
      </c>
      <c r="I295" t="n">
        <v>33.3</v>
      </c>
      <c r="J295" t="n">
        <v>354362</v>
      </c>
      <c r="K295" t="inlineStr">
        <is>
          <t>{'id': '354362', 'marketValue': '€35.00m', 'marketValueHistory': [{'age': '18', 'date': 'Jul 14, 2015', 'clubName': 'CA Boca Juniors', 'value': '€2.00m', 'clubID': '189'}, {'age': '18', 'date': 'Feb 6, 2016', 'clubName': 'CA Boca Juniors', 'value': '€5.80m', 'clubID': '189'}, {'age': '19', 'date': 'Aug 8, 2016', 'clubName': 'CA Boca Juniors', 'value': '€5.00m', 'clubID': '189'}, {'age': '19', 'date': 'Feb 13, 2017', 'clubName': 'CA Boca Juniors', 'value': '€6.00m', 'clubID': '189'}, {'age': '20', 'date': 'Oct 13, 2017', 'clubName': 'Juventus FC', 'value': '€9.00m', 'clubID': '506'}, {'age': '20', 'date': 'Dec 29, 2017', 'clubName': 'Juventus FC', 'value': '€12.50m', 'clubID': '506'}, {'age': '20', 'date': 'Jun 7, 2018', 'clubName': 'Juventus FC', 'value': '€15.00m', 'clubID': '506'}, {'age': '21', 'date': 'Jul 16, 2018', 'clubName': 'Juventus FC', 'value': '€20.00m', 'clubID': '506'}, {'age': '21', 'date': 'Dec 20, 2018', 'clubName': 'Juventus FC', 'value': '€35.00m', 'clubID': '506'}, {'age': '21', 'date': 'Jun 6, 2019', 'clubName': 'Juventus FC', 'value': '€35.00m', 'clubID': '506'}, {'age': '22', 'date': 'Dec 12, 2019', 'clubName': 'Juventus FC', 'value': '€40.00m', 'clubID': '506'}, {'age': '22', 'date': 'Mar 3, 2020', 'clubName': 'Juventus FC', 'value': '€50.00m', 'clubID': '506'}, {'age': '22', 'date': 'Apr 8, 2020', 'clubName': 'Juventus FC', 'value': '€40.00m', 'clubID': '506'}, {'age': '23', 'date': 'Aug 25, 2020', 'clubName': 'Juventus FC', 'value': '€50.00m', 'clubID': '506'}, {'age': '23', 'date': 'Dec 29, 2020', 'clubName': 'Juventus FC', 'value': '€46.00m', 'clubID': '506'}, {'age': '23', 'date': 'Mar 23, 2021', 'clubName': 'Juventus FC', 'value': '€40.00m', 'clubID': '506'}, {'age': '23', 'date': 'Jun 3, 2021', 'clubName': 'Juventus FC', 'value': '€35.00m', 'clubID': '506'}, {'age': '24', 'date': 'Oct 14, 2021', 'clubName': 'Juventus FC', 'value': '€30.00m', 'clubID': '506'}, {'age': '24', 'date': 'Dec 28, 2021', 'clubName': 'Juventus FC', 'value': '€25.00m', 'clubID': '506'}, {'age': '24', 'date': 'Jun 15, 2022', 'clubName': 'Tottenham Hotspur', 'value': '€28.00m', 'clubID': '148'}, {'age': '25', 'date': 'Sep 15, 2022', 'clubName': 'Tottenham Hotspur', 'value': '€35.00m', 'clubID': '148'}, {'age': '25', 'date': 'Nov 3, 2022', 'clubName': 'Tottenham Hotspur', 'value': '€40.00m', 'clubID': '148'}, {'age': '25', 'date': 'Jun 20, 2023', 'clubName': 'Tottenham Hotspur', 'value': '€40.00m', 'clubID': '148'}, {'age': '26', 'date': 'Dec 19, 2023', 'clubName': 'Tottenham Hotspur', 'value': '€35.00m', 'clubID': '148'}], 'ranking': {'Worldwide': '194', 'Premier League': '94', 'Tottenham': '11', 'Uruguay': '5', 'Central Midfield': '20', 'Year 1997': '27'}, 'updatedAt': datetime.datetime(2024, 5, 23, 22, 20, 35, 161816)}</t>
        </is>
      </c>
      <c r="L295" t="inlineStr">
        <is>
          <t>Uruguay</t>
        </is>
      </c>
      <c r="M295" t="inlineStr">
        <is>
          <t>1997-06-25</t>
        </is>
      </c>
      <c r="N295" t="inlineStr">
        <is>
          <t>Uruguay</t>
        </is>
      </c>
      <c r="O295">
        <f>(28+35+40)/3</f>
        <v/>
      </c>
      <c r="P295">
        <f>(40+35+30+25)/4</f>
        <v/>
      </c>
    </row>
    <row r="296">
      <c r="A296" t="inlineStr">
        <is>
          <t>Ricardo Esgaio</t>
        </is>
      </c>
      <c r="B296" t="inlineStr">
        <is>
          <t>Sporting CP</t>
        </is>
      </c>
      <c r="C296" t="inlineStr">
        <is>
          <t>Defender</t>
        </is>
      </c>
      <c r="D296" t="n">
        <v>380</v>
      </c>
      <c r="E296" t="n">
        <v>8</v>
      </c>
      <c r="F296" t="n">
        <v>0</v>
      </c>
      <c r="G296" t="n">
        <v>2</v>
      </c>
      <c r="H296" t="n">
        <v>48.8</v>
      </c>
      <c r="I296" t="n">
        <v>30.5</v>
      </c>
      <c r="J296" t="n">
        <v>139395</v>
      </c>
      <c r="K296" t="inlineStr">
        <is>
          <t>{'marketValueHistory': [{'date': '10/11/2012', 'age': '19', 'clubName': 'Sporting CP B', 'clubID': '10949', 'value': '€1.50m'}, {'date': '12/04/2013', 'age': '19', 'clubName': 'Sporting CP B', 'clubID': '10949', 'value': '€2.00m'}, {'date': '20/02/2014', 'age': '20', 'clubName': 'Sporting CP B', 'clubID': '10949', 'value': '€2.00m'}, {'date': '17/02/2015', 'age': '21', 'clubName': 'Académica Coimbra', 'clubID': '2990', 'value': '€2.75m'}, {'date': '01/07/2015', 'age': '22', 'clubName': 'Sporting CP', 'clubID': '336', 'value': '€3.50m'}, {'date': '24/02/2016', 'age': '22', 'clubName': 'Sporting CP', 'clubID': '336', 'value': '€3.50m'}, {'date': '29/07/2016', 'age': '23', 'clubName': 'Sporting CP', 'clubID': '336', 'value': '€2.50m'}, {'date': '30/09/2016', 'age': '23', 'clubName': 'Sporting CP', 'clubID': '336', 'value': '€2.00m'}, {'date': '22/02/2017', 'age': '23', 'clubName': 'Sporting CP', 'clubID': '336', 'value': '€2.00m'}, {'date': '26/06/2017', 'age': '24', 'clubName': 'Sporting CP', 'clubID': '336', 'value': '€1.50m'}, {'date': '06/11/2017', 'age': '24', 'clubName': 'SC Braga', 'clubID': '1075', 'value': '€3.00m'}, {'date': '07/02/2018', 'age': '24', 'clubName': 'SC Braga', 'clubID': '1075', 'value': '€3.50m'}, {'date': '13/06/2018', 'age': '25', 'clubName': 'SC Braga', 'clubID': '1075', 'value': '€4.00m'}, {'date': '11/01/2019', 'age': '25', 'clubName': 'SC Braga', 'clubID': '1075', 'value': '€4.00m'}, {'date': '07/06/2019', 'age': '26', 'clubName': 'SC Braga', 'clubID': '1075', 'value': '€4.00m'}, {'date': '30/12/2019', 'age': '26', 'clubName': 'SC Braga', 'clubID': '1075', 'value': '€4.00m'}, {'date': '08/04/2020', 'age': '26', 'clubName': 'SC Braga', 'clubID': '1075', 'value': '€3.20m'}, {'date': '17/08/2020', 'age': '27', 'clubName': 'SC Braga', 'clubID': '1075', 'value': '€4.50m'}, {'date': '28/01/2021', 'age': '27', 'clubName': 'SC Braga', 'clubID': '1075', 'value': '€6.00m'}, {'date': '21/05/2021', 'age': '28', 'clubName': 'SC Braga', 'clubID': '1075', 'value': '€6.00m'}, {'date': '27/12/2021', 'age': '28', 'clubName': 'Sporting CP', 'clubID': '336', 'value': '€6.00m'}, {'date': '31/05/2022', 'age': '29', 'clubName': 'Sporting CP', 'clubID': '336', 'value': '€5.00m'}, {'date': '01/11/2022', 'age': '29', 'clubName': 'Sporting CP', 'clubID': '336', 'value': '€3.50m'}, {'date': '16/06/2023', 'age': '30', 'clubName': 'Sporting CP', 'clubID': '336', 'value': '€3.50m'}, {'date': '27/12/2023', 'age': '30', 'clubName': 'Sporting CP', 'clubID': '336', 'value': '€3.50m'}, {'date': '06/06/2024', 'age': '31', 'clubName': 'Sporting CP', 'clubID': '336', 'value': '€3.00m'}, {'date': '19/12/2024', 'age': '31', 'clubName': 'Sporting CP', 'clubID': '336', 'value': '€2.00m'}, {'date': '30/05/2025', 'age': '32', 'clubName': 'Sporting CP', 'clubID': '336', 'value': '€1.50m'}, {'date': '01/10/2025', 'age': '32', 'clubName': 'Fatih Karagümrük', 'clubID': '6646', 'value': '€1.00m'}, {'date': '17/12/2025', 'age': '32', 'clubName': 'Fatih Karagümrük', 'clubID': '6646', 'value': '€800k'}]}</t>
        </is>
      </c>
      <c r="L296" t="inlineStr">
        <is>
          <t>Portugal</t>
        </is>
      </c>
      <c r="M296" t="inlineStr">
        <is>
          <t>1993-05-16</t>
        </is>
      </c>
      <c r="N296" t="inlineStr">
        <is>
          <t>Portugal</t>
        </is>
      </c>
      <c r="O296">
        <f>(5+3.5)/2</f>
        <v/>
      </c>
      <c r="P296">
        <f>(6+6+6)/3</f>
        <v/>
      </c>
    </row>
    <row r="297">
      <c r="A297" t="inlineStr">
        <is>
          <t>Acuna</t>
        </is>
      </c>
      <c r="B297" t="inlineStr">
        <is>
          <t>Sevilla</t>
        </is>
      </c>
      <c r="C297" t="inlineStr">
        <is>
          <t>Defender</t>
        </is>
      </c>
      <c r="D297" t="n">
        <v>379</v>
      </c>
      <c r="E297" t="n">
        <v>5</v>
      </c>
      <c r="F297" t="n">
        <v>0</v>
      </c>
      <c r="G297" t="n">
        <v>0</v>
      </c>
      <c r="H297" t="n">
        <v>43.2</v>
      </c>
      <c r="I297" t="n">
        <v>35.9</v>
      </c>
      <c r="J297" t="n">
        <v>60410</v>
      </c>
      <c r="K297" t="inlineStr">
        <is>
          <t>{'marketValueHistory': [{'date': '13/11/2007', 'age': '16', 'clubName': 'Unknown', 'clubID': '75', 'value': '€800k'}, {'date': '13/11/2008', 'age': '17', 'clubName': 'Unknown', 'clubID': '75', 'value': '€1.00m'}, {'date': '12/01/2009', 'age': '17', 'clubName': 'Unknown', 'clubID': '75', 'value': '€500k'}, {'date': '25/03/2011', 'age': '19', 'clubName': 'Club Ferro Carril Oeste', 'clubID': '4557', 'value': '-'}, {'date': '15/06/2011', 'age': '19', 'clubName': 'Club Ferro Carril Oeste', 'clubID': '4557', 'value': '€50k'}, {'date': '14/07/2015', 'age': '23', 'clubName': 'Racing Club', 'clubID': '1444', 'value': '€1.75m'}, {'date': '06/02/2016', 'age': '24', 'clubName': 'Racing Club', 'clubID': '1444', 'value': '€2.00m'}, {'date': '08/08/2016', 'age': '24', 'clubName': 'Racing Club', 'clubID': '1444', 'value': '€2.30m'}, {'date': '13/02/2017', 'age': '25', 'clubName': 'Racing Club', 'clubID': '1444', 'value': '€7.00m'}, {'date': '06/11/2017', 'age': '26', 'clubName': 'Sporting CP', 'clubID': '336', 'value': '€12.00m'}, {'date': '07/02/2018', 'age': '26', 'clubName': 'Sporting CP', 'clubID': '336', 'value': '€14.00m'}, {'date': '13/06/2018', 'age': '26', 'clubName': 'Sporting CP', 'clubID': '336', 'value': '€15.00m'}, {'date': '11/01/2019', 'age': '27', 'clubName': 'Sporting CP', 'clubID': '336', 'value': '€15.00m'}, {'date': '07/06/2019', 'age': '27', 'clubName': 'Sporting CP', 'clubID': '336', 'value': '€18.00m'}, {'date': '30/12/2019', 'age': '28', 'clubName': 'Sporting CP', 'clubID': '336', 'value': '€15.00m'}, {'date': '08/04/2020', 'age': '28', 'clubName': 'Sporting CP', 'clubID': '336', 'value': '€12.00m'}, {'date': '17/08/2020', 'age': '28', 'clubName': 'Sporting CP', 'clubID': '336', 'value': '€12.00m'}, {'date': '08/10/2020', 'age': '28', 'clubName': 'Sevilla FC', 'clubID': '368', 'value': '€12.00m'}, {'date': '05/01/2021', 'age': '29', 'clubName': 'Sevilla FC', 'clubID': '368', 'value': '€14.00m'}, {'date': '10/06/2021', 'age': '29', 'clubName': 'Sevilla FC', 'clubID': '368', 'value': '€15.00m'}, {'date': '13/10/2021', 'age': '29', 'clubName': 'Sevilla FC', 'clubID': '368', 'value': '€18.00m'}, {'date': '30/12/2021', 'age': '30', 'clubName': 'Sevilla FC', 'clubID': '368', 'value': '€15.00m'}, {'date': '03/06/2022', 'age': '30', 'clubName': 'Sevilla FC', 'clubID': '368', 'value': '€18.00m'}, {'date': '07/11/2022', 'age': '31', 'clubName': 'Sevilla FC', 'clubID': '368', 'value': '€14.00m'}, {'date': '23/03/2023', 'age': '31', 'clubName': 'Sevilla FC', 'clubID': '368', 'value': '€12.00m'}, {'date': '13/06/2023', 'age': '31', 'clubName': 'Sevilla FC', 'clubID': '368', 'value': '€10.00m'}, {'date': '13/10/2023', 'age': '31', 'clubName': 'Sevilla FC', 'clubID': '368', 'value': '€8.00m'}, {'date': '22/12/2023', 'age': '32', 'clubName': 'Sevilla FC', 'clubID': '368', 'value': '€6.00m'}, {'date': '21/03/2024', 'age': '32', 'clubName': 'Sevilla FC', 'clubID': '368', 'value': '€5.00m'}, {'date': '07/06/2024', 'age': '32', 'clubName': 'Sevilla FC', 'clubID': '368', 'value': '€4.00m'}, {'date': '13/12/2024', 'age': '33', 'clubName': 'CA River Plate', 'clubID': '209', 'value': '€3.50m'}, {'date': '02/04/2025', 'age': '33', 'clubName': 'CA River Plate', 'clubID': '209', 'value': '€2.50m'}, {'date': '02/06/2025', 'age': '33', 'clubName': 'CA River Plate', 'clubID': '209', 'value': '€2.00m'}, {'date': '17/12/2025', 'age': '34', 'clubName': 'CA River Plate', 'clubID': '209', 'value': '€1.80m'}, {'date': '18/03/2026', 'age': '34', 'clubName': 'CA River Plate', 'clubID': '209', 'value': '€1.20m'}]}</t>
        </is>
      </c>
      <c r="L297" t="inlineStr">
        <is>
          <t>Argentina</t>
        </is>
      </c>
      <c r="M297" t="inlineStr">
        <is>
          <t>1991-10-28</t>
        </is>
      </c>
      <c r="N297" t="inlineStr">
        <is>
          <t>62</t>
        </is>
      </c>
      <c r="O297">
        <f>(18+14)/2</f>
        <v/>
      </c>
      <c r="P297">
        <f>(14+15+18+15)/4</f>
        <v/>
      </c>
    </row>
    <row r="298">
      <c r="A298" t="inlineStr">
        <is>
          <t>Lemar</t>
        </is>
      </c>
      <c r="B298" t="inlineStr">
        <is>
          <t>Atletico de Madrid</t>
        </is>
      </c>
      <c r="C298" t="inlineStr">
        <is>
          <t>Midfielder</t>
        </is>
      </c>
      <c r="D298" t="n">
        <v>377</v>
      </c>
      <c r="E298" t="n">
        <v>8</v>
      </c>
      <c r="F298" t="n">
        <v>0</v>
      </c>
      <c r="G298" t="n">
        <v>1</v>
      </c>
      <c r="H298" t="n">
        <v>48.9</v>
      </c>
      <c r="I298" t="n">
        <v>32.2</v>
      </c>
      <c r="J298" t="n">
        <v>205562</v>
      </c>
      <c r="K298" t="inlineStr">
        <is>
          <t>{'marketValueHistory': [{'date': '07/08/2013', 'age': '17', 'clubName': 'SM Caen', 'clubID': '1162', 'value': '€150k'}, {'date': '13/09/2013', 'age': '17', 'clubName': 'SM Caen', 'clubID': '1162', 'value': '€400k'}, {'date': '03/08/2014', 'age': '18', 'clubName': 'SM Caen', 'clubID': '1162', 'value': '€750k'}, {'date': '14/01/2015', 'age': '19', 'clubName': 'SM Caen', 'clubID': '1162', 'value': '€800k'}, {'date': '06/06/2015', 'age': '19', 'clubName': 'SM Caen', 'clubID': '1162', 'value': '€1.25m'}, {'date': '06/09/2015', 'age': '19', 'clubName': 'AS Monaco', 'clubID': '162', 'value': '€4.00m'}, {'date': '04/02/2016', 'age': '20', 'clubName': 'AS Monaco', 'clubID': '162', 'value': '€7.50m'}, {'date': '13/07/2016', 'age': '20', 'clubName': 'AS Monaco', 'clubID': '162', 'value': '€12.00m'}, {'date': '01/11/2016', 'age': '20', 'clubName': 'AS Monaco', 'clubID': '162', 'value': '€14.00m'}, {'date': '16/01/2017', 'age': '21', 'clubName': 'AS Monaco', 'clubID': '162', 'value': '€20.00m'}, {'date': '01/06/2017', 'age': '21', 'clubName': 'AS Monaco', 'clubID': '162', 'value': '€24.00m'}, {'date': '12/10/2017', 'age': '21', 'clubName': 'AS Monaco', 'clubID': '162', 'value': '€30.00m'}, {'date': '24/01/2018', 'age': '22', 'clubName': 'AS Monaco', 'clubID': '162', 'value': '€65.00m'}, {'date': '04/06/2018', 'age': '22', 'clubName': 'AS Monaco', 'clubID': '162', 'value': '€65.00m'}, {'date': '16/07/2018', 'age': '22', 'clubName': 'Atlético de Madrid', 'clubID': '13', 'value': '€70.00m'}, {'date': '21/12/2018', 'age': '23', 'clubName': 'Atlético de Madrid', 'clubID': '13', 'value': '€60.00m'}, {'date': '28/02/2019', 'age': '23', 'clubName': 'Atlético de Madrid', 'clubID': '13', 'value': '€50.00m'}, {'date': '11/06/2019', 'age': '23', 'clubName': 'Atlético de Madrid', 'clubID': '13', 'value': '€40.00m'}, {'date': '20/12/2019', 'age': '24', 'clubName': 'Atlético de Madrid', 'clubID': '13', 'value': '€30.00m'}, {'date': '08/04/2020', 'age': '24', 'clubName': 'Atlético de Madrid', 'clubID': '13', 'value': '€24.00m'}, {'date': '08/10/2020', 'age': '24', 'clubName': 'Atlético de Madrid', 'clubID': '13', 'value': '€18.00m'}, {'date': '23/11/2020', 'age': '25', 'clubName': 'Atlético de Madrid', 'clubID': '13', 'value': '€15.00m'}, {'date': '05/01/2021', 'age': '25', 'clubName': 'Atlético de Madrid', 'clubID': '13', 'value': '€20.00m'}, {'date': '19/03/2021', 'age': '25', 'clubName': 'Atlético de Madrid', 'clubID': '13', 'value': '€25.00m'}, {'date': '01/06/2021', 'age': '25', 'clubName': 'Atlético de Madrid', 'clubID': '13', 'value': '€25.00m'}, {'date': '13/10/2021', 'age': '25', 'clubName': 'Atlético de Madrid', 'clubID': '13', 'value': '€40.00m'}, {'date': '30/12/2021', 'age': '26', 'clubName': 'Atlético de Madrid', 'clubID': '13', 'value': '€40.00m'}, {'date': '03/06/2022', 'age': '26', 'clubName': 'Atlético de Madrid', 'clubID': '13', 'value': '€40.00m'}, {'date': '23/09/2022', 'age': '26', 'clubName': 'Atlético de Madrid', 'clubID': '13', 'value': '€35.00m'}, {'date': '07/11/2022', 'age': '26', 'clubName': 'Atlético de Madrid', 'clubID': '13', 'value': '€30.00m'}, {'date': '23/03/2023', 'age': '27', 'clubName': 'Atlético de Madrid', 'clubID': '13', 'value': '€25.00m'}, {'date': '13/06/2023', 'age': '27', 'clubName': 'Atlético de Madrid', 'clubID': '13', 'value': '€22.00m'}, {'date': '13/10/2023', 'age': '27', 'clubName': 'Atlético de Madrid', 'clubID': '13', 'value': '€15.00m'}, {'date': '22/12/2023', 'age': '28', 'clubName': 'Atlético de Madrid', 'clubID': '13', 'value': '€12.00m'}, {'date': '07/06/2024', 'age': '28', 'clubName': 'Atlético de Madrid', 'clubID': '13', 'value': '€10.00m'}, {'date': '11/10/2024', 'age': '28', 'clubName': 'Atlético de Madrid', 'clubID': '13', 'value': '€7.50m'}, {'date': '27/12/2024', 'age': '29', 'clubName': 'Atlético de Madrid', 'clubID': '13', 'value': '€5.00m'}, {'date': '09/06/2025', 'age': '29', 'clubName': 'Atlético de Madrid', 'clubID': '13', 'value': '€5.00m'}, {'date': '02/10/2025', 'age': '29', 'clubName': 'Girona FC', 'clubID': '12321', 'value': '€3.00m'}, {'date': '12/12/2025', 'age': '30', 'clubName': 'Girona FC', 'clubID': '12321', 'value': '€2.00m'}]}</t>
        </is>
      </c>
      <c r="L298" t="inlineStr">
        <is>
          <t>France</t>
        </is>
      </c>
      <c r="M298" t="inlineStr">
        <is>
          <t>1995-11-12</t>
        </is>
      </c>
      <c r="N298" t="inlineStr">
        <is>
          <t>27</t>
        </is>
      </c>
      <c r="O298">
        <f>(40+35+30)/3</f>
        <v/>
      </c>
      <c r="P298">
        <f>(20+25+25+40+40)/5</f>
        <v/>
      </c>
    </row>
    <row r="299">
      <c r="A299" t="inlineStr">
        <is>
          <t>Bennacer</t>
        </is>
      </c>
      <c r="B299" t="inlineStr">
        <is>
          <t>Milan</t>
        </is>
      </c>
      <c r="C299" t="inlineStr">
        <is>
          <t>Midfielder</t>
        </is>
      </c>
      <c r="D299" t="n">
        <v>376</v>
      </c>
      <c r="E299" t="n">
        <v>6</v>
      </c>
      <c r="F299" t="n">
        <v>0</v>
      </c>
      <c r="G299" t="n">
        <v>0</v>
      </c>
      <c r="H299" t="n">
        <v>47.1</v>
      </c>
      <c r="I299" t="n">
        <v>33.4</v>
      </c>
      <c r="J299" t="n">
        <v>351816</v>
      </c>
      <c r="K299" t="inlineStr">
        <is>
          <t>{'marketValueHistory': [{'date': 'Jan 14, 2015', 'age': '17', 'clubName': 'AC Arles-Avignon', 'clubID': '11300', 'value': '€100k'}, {'date': 'Mar 20, 2017', 'age': '19', 'clubName': 'Tours FC', 'clubID': '3161', 'value': '€200k'}, {'date': 'Jun 15, 2017', 'age': '19', 'clubName': 'Tours FC', 'clubID': '3161', 'value': '€500k'}, {'date': 'Dec 21, 2017', 'age': '20', 'clubName': 'FC Empoli', 'clubID': '749', 'value': '€1.00m'}, {'date': 'Jun 18, 2018', 'age': '20', 'clubName': 'FC Empoli', 'clubID': '749', 'value': '€3.00m'}, {'date': 'Dec 20, 2018', 'age': '21', 'clubName': 'FC Empoli', 'clubID': '749', 'value': '€4.50m'}, {'date': 'Mar 1, 2019', 'age': '21', 'clubName': 'FC Empoli', 'clubID': '749', 'value': '€10.00m'}, {'date': 'Jun 6, 2019', 'age': '21', 'clubName': 'FC Empoli', 'clubID': '749', 'value': '€12.00m'}, {'date': 'Oct 8, 2019', 'age': '21', 'clubName': 'AC Milan', 'clubID': '5', 'value': '€17.00m'}, {'date': 'Dec 12, 2019', 'age': '22', 'clubName': 'AC Milan', 'clubID': '5', 'value': '€17.00m'}, {'date': 'Mar 3, 2020', 'age': '22', 'clubName': 'AC Milan', 'clubID': '5', 'value': '€22.00m'}, {'date': 'Apr 8, 2020', 'age': '22', 'clubName': 'AC Milan', 'clubID': '5', 'value': '€17.50m'}, {'date': 'Aug 25, 2020', 'age': '22', 'clubName': 'AC Milan', 'clubID': '5', 'value': '€28.00m'}, {'date': 'Oct 29, 2020', 'age': '22', 'clubName': 'AC Milan', 'clubID': '5', 'value': '€33.00m'}, {'date': 'Dec 29, 2020', 'age': '23', 'clubName': 'AC Milan', 'clubID': '5', 'value': '€40.00m'}, {'date': 'Jun 3, 2021', 'age': '23', 'clubName': 'AC Milan', 'clubID': '5', 'value': '€38.00m'}, {'date': 'Dec 28, 2021', 'age': '24', 'clubName': 'AC Milan', 'clubID': '5', 'value': '€30.00m'}, {'date': 'Jun 7, 2022', 'age': '24', 'clubName': 'AC Milan', 'clubID': '5', 'value': '€33.00m'}, {'date': 'Nov 11, 2022', 'age': '24', 'clubName': 'AC Milan', 'clubID': '5', 'value': '€40.00m'}, {'date': 'Jun 15, 2023', 'age': '25', 'clubName': 'AC Milan', 'clubID': '5', 'value': '€40.00m'}, {'date': 'Oct 11, 2023', 'age': '25', 'clubName': 'AC Milan', 'clubID': '5', 'value': '€38.00m'}, {'date': 'Dec 20, 2023', 'age': '26', 'clubName': 'AC Milan', 'clubID': '5', 'value': '€35.00m'}, {'date': 'Jun 5, 2024', 'age': '26', 'clubName': 'AC Milan', 'clubID': '5', 'value': '€30.00m'}, {'date': 'Oct 18, 2024', 'age': '26', 'clubName': 'AC Milan', 'clubID': '5', 'value': '€18.00m'}, {'date': 'Dec 18, 2024', 'age': '27', 'clubName': 'AC Milan', 'clubID': '5', 'value': '€14.00m'}, {'date': 'Mar 24, 2025', 'age': '27', 'clubName': 'Olympique Marseille', 'clubID': '244', 'value': '€15.00m'}, {'date': 'Jun 3, 2025', 'age': '27', 'clubName': 'Olympique Marseille', 'clubID': '244', 'value': '€15.00m'}, {'date': 'Sep 30, 2025', 'age': '27', 'clubName': 'GNK Dinamo Zagreb', 'clubID': '419', 'value': '€10.00m'}, {'date': 'Dec 22, 2025', 'age': '28', 'clubName': 'GNK Dinamo Zagreb', 'clubID': '419', 'value': '€9.00m'}]}</t>
        </is>
      </c>
      <c r="L299" t="inlineStr">
        <is>
          <t>Croatia</t>
        </is>
      </c>
      <c r="M299" t="inlineStr">
        <is>
          <t>1997-12-01</t>
        </is>
      </c>
      <c r="N299" t="inlineStr">
        <is>
          <t>France</t>
        </is>
      </c>
      <c r="O299">
        <f>(33+40)/2</f>
        <v/>
      </c>
      <c r="P299">
        <f>(38+30)/2</f>
        <v/>
      </c>
    </row>
    <row r="300">
      <c r="A300" t="inlineStr">
        <is>
          <t>De Pena</t>
        </is>
      </c>
      <c r="B300" t="inlineStr">
        <is>
          <t>Dynamo Kyiv</t>
        </is>
      </c>
      <c r="C300" t="inlineStr">
        <is>
          <t>Midfielder</t>
        </is>
      </c>
      <c r="D300" t="n">
        <v>375</v>
      </c>
      <c r="E300" t="n">
        <v>6</v>
      </c>
      <c r="F300" t="n">
        <v>0</v>
      </c>
      <c r="G300" t="n">
        <v>0</v>
      </c>
      <c r="H300" t="n">
        <v>49</v>
      </c>
      <c r="I300" t="n">
        <v>32.2</v>
      </c>
      <c r="J300" t="n">
        <v>257740</v>
      </c>
      <c r="K300" t="inlineStr">
        <is>
          <t>{'marketValueHistory': [{'date': '25/02/2013', 'age': '20', 'clubName': 'Club Nacional', 'clubID': '866', 'value': '€175k'}, {'date': '26/08/2013', 'age': '21', 'clubName': 'Club Nacional', 'clubID': '866', 'value': '€300k'}, {'date': '05/02/2014', 'age': '21', 'clubName': 'Club Nacional', 'clubID': '866', 'value': '€425k'}, {'date': '17/08/2014', 'age': '22', 'clubName': 'Club Nacional', 'clubID': '866', 'value': '€500k'}, {'date': '12/02/2015', 'age': '22', 'clubName': 'Club Nacional', 'clubID': '866', 'value': '€800k'}, {'date': '14/08/2015', 'age': '23', 'clubName': 'Club Nacional', 'clubID': '866', 'value': '€2.80m'}, {'date': '20/04/2016', 'age': '24', 'clubName': 'Middlesbrough FC', 'clubID': '641', 'value': '€2.50m'}, {'date': '01/08/2016', 'age': '24', 'clubName': 'Middlesbrough FC', 'clubID': '641', 'value': '€2.50m'}, {'date': '29/06/2017', 'age': '25', 'clubName': 'Real Oviedo', 'clubID': '2497', 'value': '€2.00m'}, {'date': '05/02/2018', 'age': '25', 'clubName': 'Club Nacional', 'clubID': '866', 'value': '€1.50m'}, {'date': '20/06/2019', 'age': '27', 'clubName': 'Dynamo Kyiv', 'clubID': '338', 'value': '€1.50m'}, {'date': '08/01/2020', 'age': '27', 'clubName': 'Dynamo Kyiv', 'clubID': '338', 'value': '€2.50m'}, {'date': '08/04/2020', 'age': '28', 'clubName': 'Dynamo Kyiv', 'clubID': '338', 'value': '€2.00m'}, {'date': '04/09/2020', 'age': '28', 'clubName': 'Dynamo Kyiv', 'clubID': '338', 'value': '€2.50m'}, {'date': '14/01/2021', 'age': '28', 'clubName': 'Dynamo Kyiv', 'clubID': '338', 'value': '€3.00m'}, {'date': '07/06/2021', 'age': '29', 'clubName': 'Dynamo Kyiv', 'clubID': '338', 'value': '€3.50m'}, {'date': '20/12/2021', 'age': '29', 'clubName': 'Dynamo Kyiv', 'clubID': '338', 'value': '€3.50m'}, {'date': '19/08/2022', 'age': '30', 'clubName': 'Sport Club Internacional', 'clubID': '6600', 'value': '€3.50m'}, {'date': '14/11/2022', 'age': '30', 'clubName': 'Sport Club Internacional', 'clubID': '6600', 'value': '€4.00m'}, {'date': '07/04/2023', 'age': '31', 'clubName': 'Sport Club Internacional', 'clubID': '6600', 'value': '€4.00m'}, {'date': '25/07/2023', 'age': '31', 'clubName': 'Sport Club Internacional', 'clubID': '6600', 'value': '€3.50m'}, {'date': '11/12/2023', 'age': '31', 'clubName': 'Sport Club Internacional', 'clubID': '6600', 'value': '€3.00m'}, {'date': '28/03/2024', 'age': '32', 'clubName': 'Sport Club Internacional', 'clubID': '6600', 'value': '€2.50m'}, {'date': '17/06/2024', 'age': '32', 'clubName': 'Esporte Clube Bahia', 'clubID': '10010', 'value': '€2.20m'}, {'date': '09/12/2024', 'age': '32', 'clubName': 'Esporte Clube Bahia', 'clubID': '10010', 'value': '€1.70m'}, {'date': '27/06/2025', 'age': '33', 'clubName': 'Coritiba Foot Ball Club', 'clubID': '776', 'value': '€1.30m'}, {'date': '24/11/2025', 'age': '33', 'clubName': 'Coritiba Foot Ball Club', 'clubID': '776', 'value': '€1.00m'}]}</t>
        </is>
      </c>
      <c r="L300" t="inlineStr">
        <is>
          <t>Italy</t>
        </is>
      </c>
      <c r="M300" t="inlineStr">
        <is>
          <t>1992-03-11</t>
        </is>
      </c>
      <c r="N300" t="inlineStr">
        <is>
          <t>Uruguay</t>
        </is>
      </c>
      <c r="O300">
        <f>(3.5+4)/2</f>
        <v/>
      </c>
      <c r="P300">
        <f>(3+3.5+3.5)/3</f>
        <v/>
      </c>
    </row>
    <row r="301">
      <c r="A301" t="inlineStr">
        <is>
          <t>Jordi Alba</t>
        </is>
      </c>
      <c r="B301" t="inlineStr">
        <is>
          <t>Barcelona</t>
        </is>
      </c>
      <c r="C301" t="inlineStr">
        <is>
          <t>Defender</t>
        </is>
      </c>
      <c r="D301" t="n">
        <v>375</v>
      </c>
      <c r="E301" t="n">
        <v>5</v>
      </c>
      <c r="F301" t="n">
        <v>0</v>
      </c>
      <c r="G301" t="n">
        <v>1</v>
      </c>
      <c r="H301" t="n">
        <v>45.8</v>
      </c>
      <c r="I301" t="n">
        <v>32.4</v>
      </c>
      <c r="J301" t="n">
        <v>69751</v>
      </c>
      <c r="K301" t="inlineStr">
        <is>
          <t>{'id': '69751', 'marketValue': '€2.50m', 'marketValueHistory': [{'age': '19', 'date': 'Jul 25, 2008', 'clubName': 'Gimnàstic de Tarragona', 'value': '€300k', 'clubID': '5648'}, {'age': '19', 'date': 'Jan 8, 2009', 'clubName': 'Gimnàstic de Tarragona', 'value': '€600k', 'clubID': '5648'}, {'age': '20', 'date': 'Jul 22, 2009', 'clubName': 'Valencia CF', 'value': '€2.00m', 'clubID': '1049'}, {'age': '20', 'date': 'Dec 3, 2009', 'clubName': 'Valencia CF', 'value': '€2.00m', 'clubID': '1049'}, {'age': '21', 'date': 'Apr 12, 2010', 'clubName': 'Valencia CF', 'value': '€3.00m', 'clubID': '1049'}, {'age': '21', 'date': 'Aug 27, 2010', 'clubName': 'Valencia CF', 'value': '€7.00m', 'clubID': '1049'}, {'age': '21', 'date': 'Feb 4, 2011', 'clubName': 'Valencia CF', 'value': '€6.00m', 'clubID': '1049'}, {'age': '22', 'date': 'Jul 29, 2011', 'clubName': 'Valencia CF', 'value': '€6.00m', 'clubID': '1049'}, {'age': '22', 'date': 'Feb 3, 2012', 'clubName': 'Valencia CF', 'value': '€10.00m', 'clubID': '1049'}, {'age': '23', 'date': 'Aug 7, 2012', 'clubName': 'FC Barcelona', 'value': '€20.00m', 'clubID': '131'}, {'age': '23', 'date': 'Jan 10, 2013', 'clubName': 'FC Barcelona', 'value': '€25.00m', 'clubID': '131'}, {'age': '24', 'date': 'Jun 12, 2013', 'clubName': 'FC Barcelona', 'value': '€25.00m', 'clubID': '131'}, {'age': '24', 'date': 'Jan 23, 2014', 'clubName': 'FC Barcelona', 'value': '€25.00m', 'clubID': '131'}, {'age': '25', 'date': 'Jul 20, 2014', 'clubName': 'FC Barcelona', 'value': '€25.00m', 'clubID': '131'}, {'age': '25', 'date': 'Jan 23, 2015', 'clubName': 'FC Barcelona', 'value': '€25.00m', 'clubID': '131'}, {'age': '26', 'date': 'Jul 1, 2015', 'clubName': 'FC Barcelona', 'value': '€35.00m', 'clubID': '131'}, {'age': '26', 'date': 'Feb 22, 2016', 'clubName': 'FC Barcelona', 'value': '€35.00m', 'clubID': '131'}, {'age': '27', 'date': 'Jun 1, 2016', 'clubName': 'FC Barcelona', 'value': '€35.00m', 'clubID': '131'}, {'age': '27', 'date': 'Jul 15, 2016', 'clubName': 'FC Barcelona', 'value': '€35.00m', 'clubID': '131'}, {'age': '27', 'date': 'Jan 24, 2017', 'clubName': 'FC Barcelona', 'value': '€32.00m', 'clubID': '131'}, {'age': '28', 'date': 'Jun 5, 2017', 'clubName': 'FC Barcelona', 'value': '€32.00m', 'clubID': '131'}, {'age': '28', 'date': 'Jan 1, 2018', 'clubName': 'FC Barcelona', 'value': '€40.00m', 'clubID': '131'}, {'age': '29', 'date': 'Mar 22, 2018', 'clubName': 'FC Barcelona', 'value': '€60.00m', 'clubID': '131'}, {'age': '29', 'date': 'May 30, 2018', 'clubName': 'FC Barcelona', 'value': '€60.00m', 'clubID': '131'}, {'age': '29', 'date': 'Oct 31, 2018', 'clubName': 'FC Barcelona', 'value': '€70.00m', 'clubID': '131'}, {'age': '29', 'date': 'Dec 21, 2018', 'clubName': 'FC Barcelona', 'value': '€70.00m', 'clubID': '131'}, {'age': '30', 'date': 'Jun 11, 2019', 'clubName': 'FC Barcelona', 'value': '€50.00m', 'clubID': '131'}, {'age': '30', 'date': 'Dec 20, 2019', 'clubName': 'FC Barcelona', 'value': '€50.00m', 'clubID': '131'}, {'age': '31', 'date': 'Apr 8, 2020', 'clubName': 'FC Barcelona', 'value': '€40.00m', 'clubID': '131'}, {'age': '31', 'date': 'Oct 8, 2020', 'clubName': 'FC Barcelona', 'value': '€30.00m', 'clubID': '131'}, {'age': '31', 'date': 'Jan 5, 2021', 'clubName': 'FC Barcelona', 'value': '€25.00m', 'clubID': '131'}, {'age': '32', 'date': 'May 31, 2021', 'clubName': 'FC Barcelona', 'value': '€20.00m', 'clubID': '131'}, {'age': '32', 'date': 'Oct 13, 2021', 'clubName': 'FC Barcelona', 'value': '€15.00m', 'clubID': '131'}, {'age': '32', 'date': 'Dec 30, 2021', 'clubName': 'FC Barcelona', 'value': '€12.00m', 'clubID': '131'}, {'age': '33', 'date': 'Jun 3, 2022', 'clubName': 'FC Barcelona', 'value': '€9.00m', 'clubID': '131'}, {'age': '33', 'date': 'Nov 7, 2022', 'clubName': 'FC Barcelona', 'value': '€5.00m', 'clubID': '131'}, {'age': '34', 'date': 'Jun 13, 2023', 'clubName': 'FC Barcelona', 'value': '€5.00m', 'clubID': '131'}, {'age': '34', 'date': 'Aug 22, 2023', 'clubName': 'Inter Miami CF', 'value': '€4.00m', 'clubID': '69261'}, {'age': '34', 'date': 'Dec 18, 2023', 'clubName': 'Inter Miami CF', 'value': '€3.00m', 'clubID': '69261'}, {'age': '35', 'date': 'Mar 25, 2024', 'clubName': 'Inter Miami CF', 'value': '€2.50m', 'clubID': '69261'}], 'ranking': {'Worldwide': '3.404', 'MLS': '123', 'Miami': '11', 'Spain': '245', 'Left-Back': '212', 'Year 1989': '19'}, 'updatedAt': datetime.datetime(2024, 5, 23, 22, 30, 8, 612531)}</t>
        </is>
      </c>
      <c r="L301" t="inlineStr">
        <is>
          <t>Spain</t>
        </is>
      </c>
      <c r="M301" t="inlineStr">
        <is>
          <t>1989-03-21</t>
        </is>
      </c>
      <c r="N301" t="inlineStr">
        <is>
          <t>Spain</t>
        </is>
      </c>
      <c r="O301">
        <f>(9+5)/2</f>
        <v/>
      </c>
      <c r="P301">
        <f>(25+20+15+12)/4</f>
        <v/>
      </c>
    </row>
    <row r="302">
      <c r="A302" t="inlineStr">
        <is>
          <t>Tete</t>
        </is>
      </c>
      <c r="B302" t="inlineStr">
        <is>
          <t>Shakhtar Donetsk</t>
        </is>
      </c>
      <c r="C302" t="inlineStr">
        <is>
          <t>Forward</t>
        </is>
      </c>
      <c r="D302" t="n">
        <v>373</v>
      </c>
      <c r="E302" t="n">
        <v>6</v>
      </c>
      <c r="F302" t="n">
        <v>0</v>
      </c>
      <c r="G302" t="n">
        <v>0</v>
      </c>
      <c r="H302" t="n">
        <v>44.5</v>
      </c>
      <c r="I302" t="n">
        <v>31.8</v>
      </c>
      <c r="J302" t="n">
        <v>371256</v>
      </c>
      <c r="K302" t="inlineStr">
        <is>
          <t>{'marketValueHistory': [{'date': '22/03/2019', 'age': '19', 'clubName': 'Shakhtar Donetsk', 'clubID': '660', 'value': '€10.00m'}, {'date': '20/06/2019', 'age': '19', 'clubName': 'Shakhtar Donetsk', 'clubID': '660', 'value': '€15.00m'}, {'date': '08/01/2020', 'age': '19', 'clubName': 'Shakhtar Donetsk', 'clubID': '660', 'value': '€17.00m'}, {'date': '08/04/2020', 'age': '20', 'clubName': 'Shakhtar Donetsk', 'clubID': '660', 'value': '€15.50m'}, {'date': '04/09/2020', 'age': '20', 'clubName': 'Shakhtar Donetsk', 'clubID': '660', 'value': '€17.00m'}, {'date': '14/01/2021', 'age': '20', 'clubName': 'Shakhtar Donetsk', 'clubID': '660', 'value': '€20.00m'}, {'date': '07/06/2021', 'age': '21', 'clubName': 'Shakhtar Donetsk', 'clubID': '660', 'value': '€20.00m'}, {'date': '20/12/2021', 'age': '21', 'clubName': 'Shakhtar Donetsk', 'clubID': '660', 'value': '€20.00m'}, {'date': '30/05/2022', 'age': '22', 'clubName': 'Olympique Lyon', 'clubID': '1041', 'value': '€22.00m'}, {'date': '19/09/2022', 'age': '22', 'clubName': 'Olympique Lyon', 'clubID': '1041', 'value': '€28.00m'}, {'date': '02/11/2022', 'age': '22', 'clubName': 'Olympique Lyon', 'clubID': '1041', 'value': '€25.00m'}, {'date': '20/06/2023', 'age': '23', 'clubName': 'Leicester City', 'clubID': '1003', 'value': '€25.00m'}, {'date': '27/09/2023', 'age': '23', 'clubName': 'Galatasaray', 'clubID': '141', 'value': '€24.00m'}, {'date': '21/12/2023', 'age': '23', 'clubName': 'Galatasaray', 'clubID': '141', 'value': '€20.00m'}, {'date': '15/03/2024', 'age': '24', 'clubName': 'Galatasaray', 'clubID': '141', 'value': '€14.00m'}, {'date': '31/05/2024', 'age': '24', 'clubName': 'Galatasaray', 'clubID': '141', 'value': '€10.00m'}, {'date': '18/12/2024', 'age': '24', 'clubName': 'Panathinaikos', 'clubID': '265', 'value': '€11.00m'}, {'date': '23/05/2025', 'age': '25', 'clubName': 'Panathinaikos', 'clubID': '265', 'value': '€11.00m'}, {'date': '12/12/2025', 'age': '25', 'clubName': 'Panathinaikos', 'clubID': '265', 'value': '€11.00m'}]}</t>
        </is>
      </c>
      <c r="L302" t="inlineStr">
        <is>
          <t>Brazil</t>
        </is>
      </c>
      <c r="M302" t="inlineStr">
        <is>
          <t>2000-02-15</t>
        </is>
      </c>
      <c r="N302" t="inlineStr">
        <is>
          <t>2</t>
        </is>
      </c>
      <c r="O302">
        <f>(22+28+25)/3</f>
        <v/>
      </c>
      <c r="P302">
        <f>(20+20+20)/3</f>
        <v/>
      </c>
    </row>
    <row r="303">
      <c r="A303" t="inlineStr">
        <is>
          <t>Merih Demiral</t>
        </is>
      </c>
      <c r="B303" t="inlineStr">
        <is>
          <t>Atalanta</t>
        </is>
      </c>
      <c r="C303" t="inlineStr">
        <is>
          <t>Defender</t>
        </is>
      </c>
      <c r="D303" t="n">
        <v>370</v>
      </c>
      <c r="E303" t="n">
        <v>6</v>
      </c>
      <c r="F303" t="n">
        <v>1</v>
      </c>
      <c r="G303" t="n">
        <v>0</v>
      </c>
      <c r="H303" t="n">
        <v>42.2</v>
      </c>
      <c r="I303" t="n">
        <v>33.5</v>
      </c>
      <c r="J303" t="n">
        <v>340879</v>
      </c>
      <c r="K303" t="inlineStr">
        <is>
          <t>{'marketValueHistory': [{'date': 'Jun 30, 2017', 'age': '19', 'clubName': 'AC Alcanenense', 'clubID': '35119', 'value': '€50k'}, {'date': 'Sep 8, 2017', 'age': '19', 'clubName': 'Sporting CP B', 'clubID': '10949', 'value': '€450k'}, {'date': 'Feb 23, 2018', 'age': '19', 'clubName': 'Sporting CP B', 'clubID': '10949', 'value': '€500k'}, {'date': 'Jun 29, 2018', 'age': '20', 'clubName': 'Sporting CP B', 'clubID': '10949', 'value': '€700k'}, {'date': 'Oct 11, 2018', 'age': '20', 'clubName': 'Alanyaspor', 'clubID': '11282', 'value': '€1.00m'}, {'date': 'Jan 4, 2019', 'age': '20', 'clubName': 'Alanyaspor', 'clubID': '11282', 'value': '€1.50m'}, {'date': 'Mar 1, 2019', 'age': '20', 'clubName': 'US Sassuolo', 'clubID': '6574', 'value': '€5.00m'}, {'date': 'Jun 6, 2019', 'age': '21', 'clubName': 'US Sassuolo', 'clubID': '6574', 'value': '€15.00m'}, {'date': 'Dec 12, 2019', 'age': '21', 'clubName': 'Juventus FC', 'clubID': '506', 'value': '€20.00m'}, {'date': 'Mar 3, 2020', 'age': '21', 'clubName': 'Juventus FC', 'clubID': '506', 'value': '€30.00m'}, {'date': 'Apr 8, 2020', 'age': '22', 'clubName': 'Juventus FC', 'clubID': '506', 'value': '€27.00m'}, {'date': 'Aug 25, 2020', 'age': '22', 'clubName': 'Juventus FC', 'clubID': '506', 'value': '€27.00m'}, {'date': 'Dec 29, 2020', 'age': '22', 'clubName': 'Juventus FC', 'clubID': '506', 'value': '€30.00m'}, {'date': 'May 25, 2021', 'age': '23', 'clubName': 'Juventus FC', 'clubID': '506', 'value': '€28.00m'}, {'date': 'Dec 28, 2021', 'age': '23', 'clubName': 'Atalanta BC', 'clubID': '800', 'value': '€28.00m'}, {'date': 'Mar 15, 2022', 'age': '24', 'clubName': 'Atalanta BC', 'clubID': '800', 'value': '€30.00m'}, {'date': 'Jun 7, 2022', 'age': '24', 'clubName': 'Atalanta BC', 'clubID': '800', 'value': '€25.00m'}, {'date': 'Nov 11, 2022', 'age': '24', 'clubName': 'Atalanta BC', 'clubID': '800', 'value': '€25.00m'}, {'date': 'Jun 15, 2023', 'age': '25', 'clubName': 'Atalanta BC', 'clubID': '800', 'value': '€20.00m'}, {'date': 'Dec 15, 2023', 'age': '25', 'clubName': 'Al-Ahli SFC', 'clubID': '18487', 'value': '€18.00m'}, {'date': 'Jun 4, 2024', 'age': '26', 'clubName': 'Al-Ahli SFC', 'clubID': '18487', 'value': '€16.00m'}, {'date': 'Dec 13, 2024', 'age': '26', 'clubName': 'Al-Ahli SFC', 'clubID': '18487', 'value': '€14.00m'}, {'date': 'May 27, 2025', 'age': '27', 'clubName': 'Al-Ahli SFC', 'clubID': '18487', 'value': '€13.00m'}, {'date': 'Dec 18, 2025', 'age': '27', 'clubName': 'Al-Ahli SFC', 'clubID': '18487', 'value': '€14.00m'}]}</t>
        </is>
      </c>
      <c r="L303" t="inlineStr">
        <is>
          <t>Turkey</t>
        </is>
      </c>
      <c r="M303" t="inlineStr">
        <is>
          <t>1998-03-05</t>
        </is>
      </c>
      <c r="N303" t="inlineStr">
        <is>
          <t>Turkey</t>
        </is>
      </c>
      <c r="O303">
        <f>(30+25+25)/3</f>
        <v/>
      </c>
      <c r="P303">
        <f>(28+28)/2</f>
        <v/>
      </c>
    </row>
    <row r="304">
      <c r="A304" t="inlineStr">
        <is>
          <t>Goncalo Ramos</t>
        </is>
      </c>
      <c r="B304" t="inlineStr">
        <is>
          <t>Benfica</t>
        </is>
      </c>
      <c r="C304" t="inlineStr">
        <is>
          <t>Forward</t>
        </is>
      </c>
      <c r="D304" t="n">
        <v>369</v>
      </c>
      <c r="E304" t="n">
        <v>7</v>
      </c>
      <c r="F304" t="n">
        <v>1</v>
      </c>
      <c r="G304" t="n">
        <v>1</v>
      </c>
      <c r="H304" t="n">
        <v>52.1</v>
      </c>
      <c r="I304" t="n">
        <v>32.8</v>
      </c>
      <c r="J304" t="n">
        <v>550550</v>
      </c>
      <c r="K304" t="inlineStr">
        <is>
          <t>{'marketValueHistory': [{'date': 'Dec 31, 2019', 'age': '18', 'clubName': 'SL Benfica B', 'clubID': '10330', 'value': '€750k'}, {'date': 'Apr 8, 2020', 'age': '18', 'clubName': 'SL Benfica B', 'clubID': '10330', 'value': '€675k'}, {'date': 'Oct 22, 2020', 'age': '19', 'clubName': 'SL Benfica', 'clubID': '294', 'value': '€5.00m'}, {'date': 'Jan 28, 2021', 'age': '19', 'clubName': 'SL Benfica', 'clubID': '294', 'value': '€7.50m'}, {'date': 'May 21, 2021', 'age': '19', 'clubName': 'SL Benfica', 'clubID': '294', 'value': '€8.00m'}, {'date': 'Dec 27, 2021', 'age': '20', 'clubName': 'SL Benfica', 'clubID': '294', 'value': '€8.00m'}, {'date': 'Mar 10, 2022', 'age': '20', 'clubName': 'SL Benfica', 'clubID': '294', 'value': '€10.00m'}, {'date': 'May 31, 2022', 'age': '20', 'clubName': 'SL Benfica', 'clubID': '294', 'value': '€14.00m'}, {'date': 'Sep 16, 2022', 'age': '21', 'clubName': 'SL Benfica', 'clubID': '294', 'value': '€20.00m'}, {'date': 'Nov 1, 2022', 'age': '21', 'clubName': 'SL Benfica', 'clubID': '294', 'value': '€24.00m'}, {'date': 'Dec 23, 2022', 'age': '21', 'clubName': 'SL Benfica', 'clubID': '294', 'value': '€30.00m'}, {'date': 'Mar 2, 2023', 'age': '21', 'clubName': 'SL Benfica', 'clubID': '294', 'value': '€40.00m'}, {'date': 'Jun 16, 2023', 'age': '21', 'clubName': 'SL Benfica', 'clubID': '294', 'value': '€50.00m'}, {'date': 'Dec 18, 2023', 'age': '22', 'clubName': 'Paris Saint-Germain', 'clubID': '583', 'value': '€50.00m'}, {'date': 'Jun 3, 2024', 'age': '22', 'clubName': 'Paris Saint-Germain', 'clubID': '583', 'value': '€50.00m'}, {'date': 'Dec 10, 2024', 'age': '23', 'clubName': 'Paris Saint-Germain', 'clubID': '583', 'value': '€50.00m'}, {'date': 'Mar 24, 2025', 'age': '23', 'clubName': 'Paris Saint-Germain', 'clubID': '583', 'value': '€45.00m'}, {'date': 'Jun 3, 2025', 'age': '23', 'clubName': 'Paris Saint-Germain', 'clubID': '583', 'value': '€40.00m'}, {'date': 'Dec 15, 2025', 'age': '24', 'clubName': 'Paris Saint-Germain', 'clubID': '583', 'value': '€35.00m'}]}</t>
        </is>
      </c>
      <c r="L304" t="inlineStr">
        <is>
          <t>France</t>
        </is>
      </c>
      <c r="M304" t="inlineStr">
        <is>
          <t>2001-06-20</t>
        </is>
      </c>
      <c r="N304" t="inlineStr">
        <is>
          <t>24</t>
        </is>
      </c>
      <c r="O304">
        <f>(10+14+20+24+30)/5</f>
        <v/>
      </c>
      <c r="P304">
        <f>(7.5+8+8)/3</f>
        <v/>
      </c>
    </row>
    <row r="305">
      <c r="A305" t="inlineStr">
        <is>
          <t>Luis Neto</t>
        </is>
      </c>
      <c r="B305" t="inlineStr">
        <is>
          <t>Sporting CP</t>
        </is>
      </c>
      <c r="C305" t="inlineStr">
        <is>
          <t>Defender</t>
        </is>
      </c>
      <c r="D305" t="n">
        <v>368</v>
      </c>
      <c r="E305" t="n">
        <v>6</v>
      </c>
      <c r="F305" t="n">
        <v>0</v>
      </c>
      <c r="G305" t="n">
        <v>0</v>
      </c>
      <c r="H305" t="n">
        <v>38.6</v>
      </c>
      <c r="I305" t="n">
        <v>30.3</v>
      </c>
      <c r="J305" t="n">
        <v>56036</v>
      </c>
      <c r="K305" t="inlineStr">
        <is>
          <t>{'id': '56036', 'marketValue': '€300k', 'marketValueHistory': [{'age': '20', 'date': 'Nov 22, 2008', 'clubName': 'Varzim SC', 'value': '€50k', 'clubID': '4297'}, {'age': '21', 'date': 'Oct 6, 2009', 'clubName': 'Varzim SC', 'value': '€50k', 'clubID': '4297'}, {'age': '21', 'date': 'Jan 15, 2010', 'clubName': 'Varzim SC', 'value': '€200k', 'clubID': '4297'}, {'age': '22', 'date': 'Nov 16, 2010', 'clubName': 'Varzim SC', 'value': '€200k', 'clubID': '4297'}, {'age': '23', 'date': 'Jun 30, 2011', 'clubName': 'Varzim SC', 'value': '€400k', 'clubID': '4297'}, {'age': '23', 'date': 'Sep 25, 2011', 'clubName': 'CD Nacional', 'value': '€600k', 'clubID': '982'}, {'age': '23', 'date': 'Feb 2, 2012', 'clubName': 'CD Nacional', 'value': '€1.10m', 'clubID': '982'}, {'age': '24', 'date': 'Jul 5, 2012', 'clubName': 'CD Nacional', 'value': '€3.00m', 'clubID': '982'}, {'age': '24', 'date': 'Aug 21, 2012', 'clubName': 'AC Siena', 'value': '€2.50m', 'clubID': '1387'}, {'age': '24', 'date': 'Jan 14, 2013', 'clubName': 'AC Siena', 'value': '€4.70m', 'clubID': '1387'}, {'age': '24', 'date': 'Feb 1, 2013', 'clubName': 'Zenit St. Petersburg', 'value': '€6.00m', 'clubID': '964'}, {'age': '25', 'date': 'Jun 19, 2013', 'clubName': 'Zenit St. Petersburg', 'value': '€6.00m', 'clubID': '964'}, {'age': '25', 'date': 'Mar 3, 2014', 'clubName': 'Zenit St. Petersburg', 'value': '€5.00m', 'clubID': '964'}, {'age': '26', 'date': 'Jul 31, 2014', 'clubName': 'Zenit St. Petersburg', 'value': '€5.00m', 'clubID': '964'}, {'age': '26', 'date': 'Feb 23, 2015', 'clubName': 'Zenit St. Petersburg', 'value': '€4.00m', 'clubID': '964'}, {'age': '27', 'date': 'Jun 18, 2015', 'clubName': 'Zenit St. Petersburg', 'value': '€4.00m', 'clubID': '964'}, {'age': '27', 'date': 'Jan 6, 2016', 'clubName': 'Zenit St. Petersburg', 'value': '€4.00m', 'clubID': '964'}, {'age': '27', 'date': 'May 25, 2016', 'clubName': 'Zenit St. Petersburg', 'value': '€4.00m', 'clubID': '964'}, {'age': '28', 'date': 'Dec 27, 2016', 'clubName': 'Zenit St. Petersburg', 'value': '€4.00m', 'clubID': '964'}, {'age': '29', 'date': 'Jun 1, 2017', 'clubName': 'Zenit St. Petersburg', 'value': '€3.50m', 'clubID': '964'}, {'age': '29', 'date': 'Feb 12, 2018', 'clubName': 'Fenerbahce', 'value': '€2.75m', 'clubID': '36'}, {'age': '30', 'date': 'May 29, 2018', 'clubName': 'Fenerbahce', 'value': '€2.00m', 'clubID': '36'}, {'age': '30', 'date': 'Dec 20, 2018', 'clubName': 'Zenit St. Petersburg', 'value': '€3.00m', 'clubID': '964'}, {'age': '31', 'date': 'Jun 14, 2019', 'clubName': 'Zenit St. Petersburg', 'value': '€2.50m', 'clubID': '964'}, {'age': '31', 'date': 'Dec 30, 2019', 'clubName': 'Sporting CP', 'value': '€2.00m', 'clubID': '336'}, {'age': '31', 'date': 'Apr 8, 2020', 'clubName': 'Sporting CP', 'value': '€1.60m', 'clubID': '336'}, {'age': '32', 'date': 'Aug 17, 2020', 'clubName': 'Sporting CP', 'value': '€1.60m', 'clubID': '336'}, {'age': '32', 'date': 'Jan 28, 2021', 'clubName': 'Sporting CP', 'value': '€2.00m', 'clubID': '336'}, {'age': '32', 'date': 'May 21, 2021', 'clubName': 'Sporting CP', 'value': '€2.00m', 'clubID': '336'}, {'age': '33', 'date': 'Dec 27, 2021', 'clubName': 'Sporting CP', 'value': '€2.00m', 'clubID': '336'}, {'age': '34', 'date': 'May 31, 2022', 'clubName': 'Sporting CP', 'value': '€1.50m', 'clubID': '336'}, {'age': '34', 'date': 'Nov 1, 2022', 'clubName': 'Sporting CP', 'value': '€800k', 'clubID': '336'}, {'age': '35', 'date': 'Jun 16, 2023', 'clubName': 'Sporting CP', 'value': '€500k', 'clubID': '336'}, {'age': '35', 'date': 'Dec 27, 2023', 'clubName': 'Sporting CP', 'value': '€300k', 'clubID': '336'}], 'updatedAt': datetime.datetime(2024, 5, 23, 22, 33, 23, 649572)}</t>
        </is>
      </c>
      <c r="L305" t="inlineStr">
        <is>
          <t>Portugal</t>
        </is>
      </c>
      <c r="M305" t="inlineStr">
        <is>
          <t>1988-05-26</t>
        </is>
      </c>
      <c r="N305" t="inlineStr">
        <is>
          <t>19</t>
        </is>
      </c>
      <c r="O305">
        <f>(1.5+0.8)/2</f>
        <v/>
      </c>
      <c r="P305">
        <f>(2+2+2)/3</f>
        <v/>
      </c>
    </row>
    <row r="306">
      <c r="A306" t="inlineStr">
        <is>
          <t>Pulisic</t>
        </is>
      </c>
      <c r="B306" t="inlineStr">
        <is>
          <t>Chelsea</t>
        </is>
      </c>
      <c r="C306" t="inlineStr">
        <is>
          <t>Forward</t>
        </is>
      </c>
      <c r="D306" t="n">
        <v>367</v>
      </c>
      <c r="E306" t="n">
        <v>7</v>
      </c>
      <c r="F306" t="n">
        <v>2</v>
      </c>
      <c r="G306" t="n">
        <v>1</v>
      </c>
      <c r="H306" t="n">
        <v>47.3</v>
      </c>
      <c r="I306" t="n">
        <v>32.6</v>
      </c>
      <c r="J306" t="n">
        <v>315779</v>
      </c>
      <c r="K306" t="inlineStr">
        <is>
          <t>{'marketValueHistory': [{'date': 'Jan 23, 2016', 'age': '17', 'clubName': 'Borussia Dortmund', 'clubID': '16', 'value': '€500k'}, {'date': 'Apr 13, 2016', 'age': '17', 'clubName': 'Borussia Dortmund', 'clubID': '16', 'value': '€1.00m'}, {'date': 'Jul 22, 2016', 'age': '17', 'clubName': 'Borussia Dortmund', 'clubID': '16', 'value': '€5.00m'}, {'date': 'Feb 7, 2017', 'age': '18', 'clubName': 'Borussia Dortmund', 'clubID': '16', 'value': '€12.00m'}, {'date': 'Jun 19, 2017', 'age': '18', 'clubName': 'Borussia Dortmund', 'clubID': '16', 'value': '€18.00m'}, {'date': 'Oct 18, 2017', 'age': '19', 'clubName': 'Borussia Dortmund', 'clubID': '16', 'value': '€45.00m'}, {'date': 'Dec 28, 2017', 'age': '19', 'clubName': 'Borussia Dortmund', 'clubID': '16', 'value': '€45.00m'}, {'date': 'Jun 5, 2018', 'age': '19', 'clubName': 'Borussia Dortmund', 'clubID': '16', 'value': '€45.00m'}, {'date': 'Dec 18, 2018', 'age': '20', 'clubName': 'Borussia Dortmund', 'clubID': '16', 'value': '€50.00m'}, {'date': 'Mar 6, 2019', 'age': '20', 'clubName': 'Borussia Dortmund', 'clubID': '16', 'value': '€60.00m'}, {'date': 'Jun 5, 2019', 'age': '20', 'clubName': 'Borussia Dortmund', 'clubID': '16', 'value': '€60.00m'}, {'date': 'Dec 10, 2019', 'age': '21', 'clubName': 'Chelsea FC', 'clubID': '631', 'value': '€60.00m'}, {'date': 'Apr 8, 2020', 'age': '21', 'clubName': 'Chelsea FC', 'clubID': '631', 'value': '€54.00m'}, {'date': 'Jul 30, 2020', 'age': '21', 'clubName': 'Chelsea FC', 'clubID': '631', 'value': '€60.00m'}, {'date': 'Oct 13, 2020', 'age': '22', 'clubName': 'Chelsea FC', 'clubID': '631', 'value': '€60.00m'}, {'date': 'Mar 18, 2021', 'age': '22', 'clubName': 'Chelsea FC', 'clubID': '631', 'value': '€50.00m'}, {'date': 'Jun 8, 2021', 'age': '22', 'clubName': 'Chelsea FC', 'clubID': '631', 'value': '€50.00m'}, {'date': 'Dec 23, 2021', 'age': '23', 'clubName': 'Chelsea FC', 'clubID': '631', 'value': '€45.00m'}, {'date': 'Jun 15, 2022', 'age': '23', 'clubName': 'Chelsea FC', 'clubID': '631', 'value': '€42.00m'}, {'date': 'Nov 3, 2022', 'age': '24', 'clubName': 'Chelsea FC', 'clubID': '631', 'value': '€38.00m'}, {'date': 'Mar 16, 2023', 'age': '24', 'clubName': 'Chelsea FC', 'clubID': '631', 'value': '€32.00m'}, {'date': 'Jun 20, 2023', 'age': '24', 'clubName': 'Chelsea FC', 'clubID': '631', 'value': '€25.00m'}, {'date': 'Dec 20, 2023', 'age': '25', 'clubName': 'AC Milan', 'clubID': '5', 'value': '€32.00m'}, {'date': 'Jun 5, 2024', 'age': '25', 'clubName': 'AC Milan', 'clubID': '5', 'value': '€40.00m'}, {'date': 'Oct 18, 2024', 'age': '26', 'clubName': 'AC Milan', 'clubID': '5', 'value': '€50.00m'}, {'date': 'Dec 18, 2024', 'age': '26', 'clubName': 'AC Milan', 'clubID': '5', 'value': '€50.00m'}, {'date': 'Jun 17, 2025', 'age': '26', 'clubName': 'AC Milan', 'clubID': '5', 'value': '€50.00m'}, {'date': 'Oct 7, 2025', 'age': '27', 'clubName': 'AC Milan', 'clubID': '5', 'value': '€60.00m'}, {'date': 'Dec 23, 2025', 'age': '27', 'clubName': 'AC Milan', 'clubID': '5', 'value': '€60.00m'}, {'date': 'Mar 24, 2026', 'age': '27', 'clubName': 'AC Milan', 'clubID': '5', 'value': '€50.00m'}]}</t>
        </is>
      </c>
      <c r="L306" t="inlineStr">
        <is>
          <t>United States</t>
        </is>
      </c>
      <c r="M306" t="inlineStr">
        <is>
          <t>1998-09-18</t>
        </is>
      </c>
      <c r="N306" t="inlineStr">
        <is>
          <t>84</t>
        </is>
      </c>
      <c r="O306">
        <f>(42+38)/2</f>
        <v/>
      </c>
      <c r="P306">
        <f>(50+50+45)/3</f>
        <v/>
      </c>
    </row>
    <row r="307">
      <c r="A307" t="inlineStr">
        <is>
          <t>Ronald Araujo</t>
        </is>
      </c>
      <c r="B307" t="inlineStr">
        <is>
          <t>Barcelona</t>
        </is>
      </c>
      <c r="C307" t="inlineStr">
        <is>
          <t>Defender</t>
        </is>
      </c>
      <c r="D307" t="n">
        <v>367</v>
      </c>
      <c r="E307" t="n">
        <v>5</v>
      </c>
      <c r="F307" t="n">
        <v>0</v>
      </c>
      <c r="G307" t="n">
        <v>0</v>
      </c>
      <c r="H307" t="n">
        <v>36.4</v>
      </c>
      <c r="I307" t="n">
        <v>33.7</v>
      </c>
      <c r="J307" t="n">
        <v>480267</v>
      </c>
      <c r="K307" t="inlineStr">
        <is>
          <t>{'marketValueHistory': [{'date': '22/05/2017', 'age': '18', 'clubName': 'CA Rentistas', 'clubID': '10632', 'value': '€100k'}, {'date': '05/02/2018', 'age': '18', 'clubName': 'CA Boston River', 'clubID': '18074', 'value': '€175k'}, {'date': '03/09/2018', 'age': '19', 'clubName': 'FC Barcelona B', 'clubID': '2464', 'value': '€1.50m'}, {'date': '19/02/2019', 'age': '19', 'clubName': 'FC Barcelona B', 'clubID': '2464', 'value': '€1.50m'}, {'date': '29/06/2019', 'age': '20', 'clubName': 'FC Barcelona B', 'clubID': '2464', 'value': '€1.50m'}, {'date': '10/09/2019', 'age': '20', 'clubName': 'FC Barcelona B', 'clubID': '2464', 'value': '€2.00m'}, {'date': '11/02/2020', 'age': '20', 'clubName': 'FC Barcelona B', 'clubID': '2464', 'value': '€5.00m'}, {'date': '08/04/2020', 'age': '21', 'clubName': 'FC Barcelona B', 'clubID': '2464', 'value': '€4.50m'}, {'date': '23/07/2020', 'age': '21', 'clubName': 'FC Barcelona B', 'clubID': '2464', 'value': '€10.00m'}, {'date': '08/10/2020', 'age': '21', 'clubName': 'FC Barcelona', 'clubID': '131', 'value': '€15.00m'}, {'date': '05/01/2021', 'age': '21', 'clubName': 'FC Barcelona', 'clubID': '131', 'value': '€20.00m'}, {'date': '19/03/2021', 'age': '22', 'clubName': 'FC Barcelona', 'clubID': '131', 'value': '€25.00m'}, {'date': '10/06/2021', 'age': '22', 'clubName': 'FC Barcelona', 'clubID': '131', 'value': '€25.00m'}, {'date': '30/12/2021', 'age': '22', 'clubName': 'FC Barcelona', 'clubID': '131', 'value': '€35.00m'}, {'date': '21/03/2022', 'age': '23', 'clubName': 'FC Barcelona', 'clubID': '131', 'value': '€40.00m'}, {'date': '03/06/2022', 'age': '23', 'clubName': 'FC Barcelona', 'clubID': '131', 'value': '€50.00m'}, {'date': '23/09/2022', 'age': '23', 'clubName': 'FC Barcelona', 'clubID': '131', 'value': '€60.00m'}, {'date': '07/11/2022', 'age': '23', 'clubName': 'FC Barcelona', 'clubID': '131', 'value': '€60.00m'}, {'date': '23/03/2023', 'age': '24', 'clubName': 'FC Barcelona', 'clubID': '131', 'value': '€70.00m'}, {'date': '13/06/2023', 'age': '24', 'clubName': 'FC Barcelona', 'clubID': '131', 'value': '€70.00m'}, {'date': '22/12/2023', 'age': '24', 'clubName': 'FC Barcelona', 'clubID': '131', 'value': '€70.00m'}, {'date': '07/06/2024', 'age': '25', 'clubName': 'FC Barcelona', 'clubID': '131', 'value': '€70.00m'}, {'date': '27/12/2024', 'age': '25', 'clubName': 'FC Barcelona', 'clubID': '131', 'value': '€55.00m'}, {'date': '21/03/2025', 'age': '26', 'clubName': 'FC Barcelona', 'clubID': '131', 'value': '€50.00m'}, {'date': '09/06/2025', 'age': '26', 'clubName': 'FC Barcelona', 'clubID': '131', 'value': '€35.00m'}, {'date': '12/12/2025', 'age': '26', 'clubName': 'FC Barcelona', 'clubID': '131', 'value': '€25.00m'}, {'date': '16/03/2026', 'age': '27', 'clubName': 'FC Barcelona', 'clubID': '131', 'value': '€20.00m'}]}</t>
        </is>
      </c>
      <c r="L307" t="inlineStr">
        <is>
          <t>Uruguay</t>
        </is>
      </c>
      <c r="M307" t="inlineStr">
        <is>
          <t>1999-03-07</t>
        </is>
      </c>
      <c r="N307" t="inlineStr">
        <is>
          <t>27</t>
        </is>
      </c>
      <c r="O307">
        <f>(40+50+60+60)/4</f>
        <v/>
      </c>
      <c r="P307">
        <f>(20+25+25+35)/4</f>
        <v/>
      </c>
    </row>
    <row r="308">
      <c r="A308" t="inlineStr">
        <is>
          <t>Kedziora</t>
        </is>
      </c>
      <c r="B308" t="inlineStr">
        <is>
          <t>Dynamo Kyiv</t>
        </is>
      </c>
      <c r="C308" t="inlineStr">
        <is>
          <t>Defender</t>
        </is>
      </c>
      <c r="D308" t="n">
        <v>366</v>
      </c>
      <c r="E308" t="n">
        <v>5</v>
      </c>
      <c r="F308" t="n">
        <v>0</v>
      </c>
      <c r="G308" t="n">
        <v>0</v>
      </c>
      <c r="H308" t="n">
        <v>44.4</v>
      </c>
      <c r="I308" t="n">
        <v>31</v>
      </c>
      <c r="J308" t="n">
        <v>181118</v>
      </c>
      <c r="K308" t="inlineStr">
        <is>
          <t>{'marketValueHistory': [{'date': '14/08/2012', 'age': '18', 'clubName': 'Lech Poznan', 'clubID': '238', 'value': '€100k'}, {'date': '07/02/2013', 'age': '18', 'clubName': 'Lech Poznan', 'clubID': '238', 'value': '€150k'}, {'date': '22/07/2013', 'age': '19', 'clubName': 'Lech Poznan', 'clubID': '238', 'value': '€250k'}, {'date': '14/02/2014', 'age': '19', 'clubName': 'Lech Poznan', 'clubID': '238', 'value': '€250k'}, {'date': '21/07/2014', 'age': '20', 'clubName': 'Lech Poznan', 'clubID': '238', 'value': '€500k'}, {'date': '05/03/2015', 'age': '20', 'clubName': 'Lech Poznan', 'clubID': '238', 'value': '€1.00m'}, {'date': '30/06/2015', 'age': '21', 'clubName': 'Lech Poznan', 'clubID': '238', 'value': '€1.50m'}, {'date': '10/01/2016', 'age': '21', 'clubName': 'Lech Poznan', 'clubID': '238', 'value': '€1.20m'}, {'date': '28/03/2016', 'age': '21', 'clubName': 'Lech Poznan', 'clubID': '238', 'value': '€1.00m'}, {'date': '24/07/2016', 'age': '22', 'clubName': 'Lech Poznan', 'clubID': '238', 'value': '€900k'}, {'date': '21/01/2017', 'age': '22', 'clubName': 'Lech Poznan', 'clubID': '238', 'value': '€1.20m'}, {'date': '05/07/2017', 'age': '23', 'clubName': 'Lech Poznan', 'clubID': '238', 'value': '€1.50m'}, {'date': '12/01/2018', 'age': '23', 'clubName': 'Dynamo Kyiv', 'clubID': '338', 'value': '€2.00m'}, {'date': '06/08/2018', 'age': '24', 'clubName': 'Dynamo Kyiv', 'clubID': '338', 'value': '€2.50m'}, {'date': '10/12/2018', 'age': '24', 'clubName': 'Dynamo Kyiv', 'clubID': '338', 'value': '€3.50m'}, {'date': '20/06/2019', 'age': '25', 'clubName': 'Dynamo Kyiv', 'clubID': '338', 'value': '€4.00m'}, {'date': '08/01/2020', 'age': '25', 'clubName': 'Dynamo Kyiv', 'clubID': '338', 'value': '€3.50m'}, {'date': '08/04/2020', 'age': '25', 'clubName': 'Dynamo Kyiv', 'clubID': '338', 'value': '€2.80m'}, {'date': '04/09/2020', 'age': '26', 'clubName': 'Dynamo Kyiv', 'clubID': '338', 'value': '€2.80m'}, {'date': '14/01/2021', 'age': '26', 'clubName': 'Dynamo Kyiv', 'clubID': '338', 'value': '€3.50m'}, {'date': '31/05/2021', 'age': '26', 'clubName': 'Dynamo Kyiv', 'clubID': '338', 'value': '€5.00m'}, {'date': '20/12/2021', 'age': '27', 'clubName': 'Dynamo Kyiv', 'clubID': '338', 'value': '€5.00m'}, {'date': '14/06/2022', 'age': '28', 'clubName': 'Lech Poznan', 'clubID': '238', 'value': '€4.50m'}, {'date': '06/12/2022', 'age': '28', 'clubName': 'Dynamo Kyiv', 'clubID': '338', 'value': '€3.50m'}, {'date': '22/05/2023', 'age': '28', 'clubName': 'PAOK Thessaloniki', 'clubID': '1091', 'value': '€3.00m'}, {'date': '20/12/2023', 'age': '29', 'clubName': 'PAOK Thessaloniki', 'clubID': '1091', 'value': '€2.50m'}, {'date': '30/05/2024', 'age': '29', 'clubName': 'PAOK Thessaloniki', 'clubID': '1091', 'value': '€2.50m'}, {'date': '18/12/2024', 'age': '30', 'clubName': 'PAOK Thessaloniki', 'clubID': '1091', 'value': '€2.50m'}, {'date': '23/05/2025', 'age': '30', 'clubName': 'PAOK Thessaloniki', 'clubID': '1091', 'value': '€2.50m'}, {'date': '12/12/2025', 'age': '31', 'clubName': 'PAOK Thessaloniki', 'clubID': '1091', 'value': '€2.00m'}]}</t>
        </is>
      </c>
      <c r="L308" t="inlineStr">
        <is>
          <t>Poland</t>
        </is>
      </c>
      <c r="M308" t="inlineStr">
        <is>
          <t>1994-06-11</t>
        </is>
      </c>
      <c r="N308" t="inlineStr">
        <is>
          <t>Poland</t>
        </is>
      </c>
      <c r="O308">
        <f>(4.5+3.5)/2</f>
        <v/>
      </c>
      <c r="P308">
        <f>(3.5+5+5)/3</f>
        <v/>
      </c>
    </row>
    <row r="309">
      <c r="A309" t="inlineStr">
        <is>
          <t>Danilo</t>
        </is>
      </c>
      <c r="B309" t="inlineStr">
        <is>
          <t>Paris</t>
        </is>
      </c>
      <c r="C309" t="inlineStr">
        <is>
          <t>Midfielder</t>
        </is>
      </c>
      <c r="D309" t="n">
        <v>362</v>
      </c>
      <c r="E309" t="n">
        <v>7</v>
      </c>
      <c r="F309" t="n">
        <v>0</v>
      </c>
      <c r="G309" t="n">
        <v>0</v>
      </c>
      <c r="H309" t="n">
        <v>40.6</v>
      </c>
      <c r="I309" t="n">
        <v>35.4</v>
      </c>
      <c r="J309" t="n">
        <v>145707</v>
      </c>
      <c r="K309" t="inlineStr">
        <is>
          <t>{'marketValueHistory': [{'date': '18/04/2010', 'age': '18', 'clubName': 'América Futebol Clube (MG)', 'clubID': '2863', 'value': '€600k'}, {'date': '13/07/2010', 'age': '18', 'clubName': 'Santos FC', 'clubID': '221', 'value': '€1.00m'}, {'date': '10/12/2010', 'age': '19', 'clubName': 'Santos FC', 'clubID': '221', 'value': '€2.00m'}, {'date': '21/02/2011', 'age': '19', 'clubName': 'Santos FC', 'clubID': '221', 'value': '€2.50m'}, {'date': '30/05/2011', 'age': '19', 'clubName': 'Santos FC', 'clubID': '221', 'value': '€5.00m'}, {'date': '20/07/2011', 'age': '20', 'clubName': 'Santos FC', 'clubID': '221', 'value': '€6.00m'}, {'date': '25/07/2011', 'age': '20', 'clubName': 'Santos FC', 'clubID': '221', 'value': '€10.00m'}, {'date': '08/12/2011', 'age': '20', 'clubName': 'Santos FC', 'clubID': '221', 'value': '€10.00m'}, {'date': '07/07/2012', 'age': '20', 'clubName': 'FC Porto', 'clubID': '720', 'value': '€10.00m'}, {'date': '27/03/2013', 'age': '21', 'clubName': 'FC Porto', 'clubID': '720', 'value': '€11.00m'}, {'date': '02/07/2013', 'age': '21', 'clubName': 'FC Porto', 'clubID': '720', 'value': '€11.50m'}, {'date': '25/07/2014', 'age': '23', 'clubName': 'FC Porto', 'clubID': '720', 'value': '€14.00m'}, {'date': '17/02/2015', 'age': '23', 'clubName': 'FC Porto', 'clubID': '720', 'value': '€20.00m'}, {'date': '01/07/2015', 'age': '23', 'clubName': 'Real Madrid', 'clubID': '418', 'value': '€25.00m'}, {'date': '22/11/2015', 'age': '24', 'clubName': 'Real Madrid', 'clubID': '418', 'value': '€20.00m'}, {'date': '22/02/2016', 'age': '24', 'clubName': 'Real Madrid', 'clubID': '418', 'value': '€18.00m'}, {'date': '15/07/2016', 'age': '25', 'clubName': 'Real Madrid', 'clubID': '418', 'value': '€18.00m'}, {'date': '24/01/2017', 'age': '25', 'clubName': 'Real Madrid', 'clubID': '418', 'value': '€16.00m'}, {'date': '05/06/2017', 'age': '25', 'clubName': 'Real Madrid', 'clubID': '418', 'value': '€16.00m'}, {'date': '16/08/2017', 'age': '26', 'clubName': 'Manchester City', 'clubID': '281', 'value': '€18.00m'}, {'date': '02/01/2018', 'age': '26', 'clubName': 'Manchester City', 'clubID': '281', 'value': '€18.00m'}, {'date': '28/05/2018', 'age': '26', 'clubName': 'Manchester City', 'clubID': '281', 'value': '€20.00m'}, {'date': '19/12/2018', 'age': '27', 'clubName': 'Manchester City', 'clubID': '281', 'value': '€20.00m'}, {'date': '13/06/2019', 'age': '27', 'clubName': 'Manchester City', 'clubID': '281', 'value': '€20.00m'}, {'date': '12/12/2019', 'age': '28', 'clubName': 'Juventus FC', 'clubID': '506', 'value': '€20.00m'}, {'date': '08/04/2020', 'age': '28', 'clubName': 'Juventus FC', 'clubID': '506', 'value': '€16.00m'}, {'date': '25/08/2020', 'age': '29', 'clubName': 'Juventus FC', 'clubID': '506', 'value': '€15.00m'}, {'date': '29/12/2020', 'age': '29', 'clubName': 'Juventus FC', 'clubID': '506', 'value': '€17.00m'}, {'date': '23/03/2021', 'age': '29', 'clubName': 'Juventus FC', 'clubID': '506', 'value': '€20.00m'}, {'date': '03/06/2021', 'age': '29', 'clubName': 'Juventus FC', 'clubID': '506', 'value': '€20.00m'}, {'date': '28/12/2021', 'age': '30', 'clubName': 'Juventus FC', 'clubID': '506', 'value': '€15.00m'}, {'date': '07/06/2022', 'age': '30', 'clubName': 'Juventus FC', 'clubID': '506', 'value': '€13.00m'}, {'date': '11/11/2022', 'age': '31', 'clubName': 'Juventus FC', 'clubID': '506', 'value': '€12.00m'}, {'date': '15/06/2023', 'age': '31', 'clubName': 'Juventus FC', 'clubID': '506', 'value': '€15.00m'}, {'date': '20/12/2023', 'age': '32', 'clubName': 'Juventus FC', 'clubID': '506', 'value': '€12.00m'}, {'date': '05/06/2024', 'age': '32', 'clubName': 'Juventus FC', 'clubID': '506', 'value': '€10.00m'}, {'date': '18/10/2024', 'age': '33', 'clubName': 'Juventus FC', 'clubID': '506', 'value': '€7.00m'}, {'date': '18/12/2024', 'age': '33', 'clubName': 'Juventus FC', 'clubID': '506', 'value': '€4.00m'}, {'date': '06/06/2025', 'age': '33', 'clubName': 'CR Flamengo', 'clubID': '614', 'value': '€3.50m'}, {'date': '05/09/2025', 'age': '34', 'clubName': 'CR Flamengo', 'clubID': '614', 'value': '€3.00m'}, {'date': '10/12/2025', 'age': '34', 'clubName': 'CR Flamengo', 'clubID': '614', 'value': '€2.50m'}]}</t>
        </is>
      </c>
      <c r="L309" t="inlineStr">
        <is>
          <t>Brazil</t>
        </is>
      </c>
      <c r="M309" t="inlineStr">
        <is>
          <t>1991-07-15</t>
        </is>
      </c>
      <c r="N309" t="inlineStr">
        <is>
          <t>Brazil</t>
        </is>
      </c>
      <c r="O309">
        <f>(13+12)/2</f>
        <v/>
      </c>
      <c r="P309">
        <f>(20+20+15)/3</f>
        <v/>
      </c>
    </row>
    <row r="310">
      <c r="A310" t="inlineStr">
        <is>
          <t>Roussillon</t>
        </is>
      </c>
      <c r="B310" t="inlineStr">
        <is>
          <t>Wolfsburg</t>
        </is>
      </c>
      <c r="C310" t="inlineStr">
        <is>
          <t>Defender</t>
        </is>
      </c>
      <c r="D310" t="n">
        <v>362</v>
      </c>
      <c r="E310" t="n">
        <v>6</v>
      </c>
      <c r="F310" t="n">
        <v>0</v>
      </c>
      <c r="G310" t="n">
        <v>0</v>
      </c>
      <c r="H310" t="n">
        <v>41.6</v>
      </c>
      <c r="I310" t="n">
        <v>33.6</v>
      </c>
      <c r="J310" t="n">
        <v>127076</v>
      </c>
      <c r="K310" t="inlineStr">
        <is>
          <t>{'marketValueHistory': [{'date': '30/09/2012', 'age': '19', 'clubName': 'FC Sochaux-Montbéliard', 'clubID': '750', 'value': '€500k'}, {'date': '07/01/2013', 'age': '20', 'clubName': 'FC Sochaux-Montbéliard', 'clubID': '750', 'value': '€1.50m'}, {'date': '30/05/2013', 'age': '20', 'clubName': 'FC Sochaux-Montbéliard', 'clubID': '750', 'value': '€2.00m'}, {'date': '14/01/2014', 'age': '21', 'clubName': 'FC Sochaux-Montbéliard', 'clubID': '750', 'value': '€1.50m'}, {'date': '20/11/2014', 'age': '21', 'clubName': 'FC Sochaux-Montbéliard', 'clubID': '750', 'value': '€1.50m'}, {'date': '06/06/2015', 'age': '22', 'clubName': 'FC Sochaux-Montbéliard', 'clubID': '750', 'value': '€2.00m'}, {'date': '04/02/2016', 'age': '23', 'clubName': 'Montpellier HSC', 'clubID': '969', 'value': '€2.00m'}, {'date': '13/07/2016', 'age': '23', 'clubName': 'Montpellier HSC', 'clubID': '969', 'value': '€2.50m'}, {'date': '16/01/2017', 'age': '24', 'clubName': 'Montpellier HSC', 'clubID': '969', 'value': '€3.00m'}, {'date': '01/06/2017', 'age': '24', 'clubName': 'Montpellier HSC', 'clubID': '969', 'value': '€3.50m'}, {'date': '24/01/2018', 'age': '25', 'clubName': 'Montpellier HSC', 'clubID': '969', 'value': '€5.00m'}, {'date': '20/03/2018', 'age': '25', 'clubName': 'Montpellier HSC', 'clubID': '969', 'value': '€7.00m'}, {'date': '04/06/2018', 'age': '25', 'clubName': 'Montpellier HSC', 'clubID': '969', 'value': '€8.00m'}, {'date': '18/12/2018', 'age': '25', 'clubName': 'VfL Wolfsburg', 'clubID': '82', 'value': '€10.00m'}, {'date': '06/03/2019', 'age': '26', 'clubName': 'VfL Wolfsburg', 'clubID': '82', 'value': '€15.00m'}, {'date': '05/06/2019', 'age': '26', 'clubName': 'VfL Wolfsburg', 'clubID': '82', 'value': '€20.00m'}, {'date': '17/12/2019', 'age': '26', 'clubName': 'VfL Wolfsburg', 'clubID': '82', 'value': '€20.00m'}, {'date': '08/04/2020', 'age': '27', 'clubName': 'VfL Wolfsburg', 'clubID': '82', 'value': '€16.00m'}, {'date': '16/09/2020', 'age': '27', 'clubName': 'VfL Wolfsburg', 'clubID': '82', 'value': '€10.00m'}, {'date': '10/02/2021', 'age': '28', 'clubName': 'VfL Wolfsburg', 'clubID': '82', 'value': '€9.00m'}, {'date': '09/06/2021', 'age': '28', 'clubName': 'VfL Wolfsburg', 'clubID': '82', 'value': '€7.00m'}, {'date': '22/12/2021', 'age': '28', 'clubName': 'VfL Wolfsburg', 'clubID': '82', 'value': '€7.00m'}, {'date': '09/06/2022', 'age': '29', 'clubName': 'VfL Wolfsburg', 'clubID': '82', 'value': '€4.50m'}, {'date': '09/11/2022', 'age': '29', 'clubName': 'VfL Wolfsburg', 'clubID': '82', 'value': '€3.00m'}, {'date': '22/06/2023', 'age': '30', 'clubName': '1.FC Union Berlin', 'clubID': '89', 'value': '€3.00m'}, {'date': '14/12/2023', 'age': '30', 'clubName': '1.FC Union Berlin', 'clubID': '89', 'value': '€2.50m'}, {'date': '29/05/2024', 'age': '31', 'clubName': '1.FC Union Berlin', 'clubID': '89', 'value': '€2.50m'}, {'date': '20/12/2024', 'age': '31', 'clubName': '1.FC Union Berlin', 'clubID': '89', 'value': '€1.20m'}, {'date': '05/06/2025', 'age': '32', 'clubName': '1.FC Union Berlin', 'clubID': '89', 'value': '€800k'}, {'date': '21/10/2025', 'age': '32', 'clubName': 'Without Club', 'clubID': '515', 'value': '€600k'}, {'date': '23/03/2026', 'age': '33', 'clubName': 'Amiens SC', 'clubID': '1416', 'value': '€500k'}]}</t>
        </is>
      </c>
      <c r="L310" t="inlineStr">
        <is>
          <t>France</t>
        </is>
      </c>
      <c r="M310" t="inlineStr">
        <is>
          <t>1993-06-01</t>
        </is>
      </c>
      <c r="N310" t="inlineStr">
        <is>
          <t>17</t>
        </is>
      </c>
      <c r="O310">
        <f>(4.5+3)/2</f>
        <v/>
      </c>
      <c r="P310">
        <f>(9+7+7)/3</f>
        <v/>
      </c>
    </row>
    <row r="311">
      <c r="A311" t="inlineStr">
        <is>
          <t>Toloi</t>
        </is>
      </c>
      <c r="B311" t="inlineStr">
        <is>
          <t>Atalanta</t>
        </is>
      </c>
      <c r="C311" t="inlineStr">
        <is>
          <t>Defender</t>
        </is>
      </c>
      <c r="D311" t="n">
        <v>360</v>
      </c>
      <c r="E311" t="n">
        <v>4</v>
      </c>
      <c r="F311" t="n">
        <v>0</v>
      </c>
      <c r="G311" t="n">
        <v>0</v>
      </c>
      <c r="H311" t="n">
        <v>45.2</v>
      </c>
      <c r="I311" t="n">
        <v>31.9</v>
      </c>
      <c r="J311" t="n">
        <v>72441</v>
      </c>
      <c r="K311" t="inlineStr">
        <is>
          <t>{'marketValueHistory': [{'date': '06/04/2008', 'age': '17', 'clubName': 'Goiás EC', 'clubID': '3197', 'value': '€150k'}, {'date': '22/02/2009', 'age': '18', 'clubName': 'Goiás EC', 'clubID': '3197', 'value': '€400k'}, {'date': '27/06/2009', 'age': '18', 'clubName': 'Goiás EC', 'clubID': '3197', 'value': '€800k'}, {'date': '06/09/2009', 'age': '18', 'clubName': 'Goiás EC', 'clubID': '3197', 'value': '€1.60m'}, {'date': '08/12/2009', 'age': '19', 'clubName': 'Goiás EC', 'clubID': '3197', 'value': '€3.00m'}, {'date': '06/07/2012', 'age': '21', 'clubName': 'São Paulo Futebol Clube', 'clubID': '585', 'value': '€3.00m'}, {'date': '05/12/2012', 'age': '22', 'clubName': 'São Paulo Futebol Clube', 'clubID': '585', 'value': '€5.00m'}, {'date': '26/08/2013', 'age': '22', 'clubName': 'São Paulo Futebol Clube', 'clubID': '585', 'value': '€4.00m'}, {'date': '13/02/2014', 'age': '23', 'clubName': 'AS Roma', 'clubID': '12', 'value': '€4.50m'}, {'date': '26/06/2014', 'age': '23', 'clubName': 'AS Roma', 'clubID': '12', 'value': '€4.50m'}, {'date': '01/02/2015', 'age': '24', 'clubName': 'São Paulo Futebol Clube', 'clubID': '585', 'value': '€5.00m'}, {'date': '31/05/2015', 'age': '24', 'clubName': 'São Paulo Futebol Clube', 'clubID': '585', 'value': '€5.00m'}, {'date': '04/01/2016', 'age': '25', 'clubName': 'Atalanta BC', 'clubID': '800', 'value': '€4.50m'}, {'date': '15/07/2016', 'age': '25', 'clubName': 'Atalanta BC', 'clubID': '800', 'value': '€4.00m'}, {'date': '02/01/2017', 'age': '26', 'clubName': 'Atalanta BC', 'clubID': '800', 'value': '€4.80m'}, {'date': '08/06/2017', 'age': '26', 'clubName': 'Atalanta BC', 'clubID': '800', 'value': '€7.00m'}, {'date': '29/12/2017', 'age': '27', 'clubName': 'Atalanta BC', 'clubID': '800', 'value': '€8.00m'}, {'date': '07/06/2018', 'age': '27', 'clubName': 'Atalanta BC', 'clubID': '800', 'value': '€11.00m'}, {'date': '20/12/2018', 'age': '28', 'clubName': 'Atalanta BC', 'clubID': '800', 'value': '€11.00m'}, {'date': '06/06/2019', 'age': '28', 'clubName': 'Atalanta BC', 'clubID': '800', 'value': '€11.00m'}, {'date': '12/12/2019', 'age': '29', 'clubName': 'Atalanta BC', 'clubID': '800', 'value': '€13.00m'}, {'date': '03/03/2020', 'age': '29', 'clubName': 'Atalanta BC', 'clubID': '800', 'value': '€15.00m'}, {'date': '08/04/2020', 'age': '29', 'clubName': 'Atalanta BC', 'clubID': '800', 'value': '€12.00m'}, {'date': '25/08/2020', 'age': '29', 'clubName': 'Atalanta BC', 'clubID': '800', 'value': '€16.00m'}, {'date': '29/12/2020', 'age': '30', 'clubName': 'Atalanta BC', 'clubID': '800', 'value': '€15.00m'}, {'date': '25/05/2021', 'age': '30', 'clubName': 'Atalanta BC', 'clubID': '800', 'value': '€15.00m'}, {'date': '28/12/2021', 'age': '31', 'clubName': 'Atalanta BC', 'clubID': '800', 'value': '€13.00m'}, {'date': '07/06/2022', 'age': '31', 'clubName': 'Atalanta BC', 'clubID': '800', 'value': '€8.00m'}, {'date': '11/11/2022', 'age': '32', 'clubName': 'Atalanta BC', 'clubID': '800', 'value': '€8.00m'}, {'date': '15/06/2023', 'age': '32', 'clubName': 'Atalanta BC', 'clubID': '800', 'value': '€6.00m'}, {'date': '20/12/2023', 'age': '33', 'clubName': 'Atalanta BC', 'clubID': '800', 'value': '€4.00m'}, {'date': '05/06/2024', 'age': '33', 'clubName': 'Atalanta BC', 'clubID': '800', 'value': '€2.50m'}, {'date': '18/12/2024', 'age': '34', 'clubName': 'Atalanta BC', 'clubID': '800', 'value': '€1.50m'}, {'date': '17/06/2025', 'age': '34', 'clubName': 'Atalanta BC', 'clubID': '800', 'value': '€1.40m'}, {'date': '10/12/2025', 'age': '35', 'clubName': 'São Paulo Futebol Clube', 'clubID': '585', 'value': '€1.00m'}]}</t>
        </is>
      </c>
      <c r="L311" t="inlineStr">
        <is>
          <t>Italy</t>
        </is>
      </c>
      <c r="M311" t="inlineStr">
        <is>
          <t>1990-10-10</t>
        </is>
      </c>
      <c r="N311" t="inlineStr">
        <is>
          <t>Italy</t>
        </is>
      </c>
      <c r="O311">
        <f>(8+8)/2</f>
        <v/>
      </c>
      <c r="P311">
        <f>(15+13)/2</f>
        <v/>
      </c>
    </row>
    <row r="312">
      <c r="A312" t="inlineStr">
        <is>
          <t>Matviyenko</t>
        </is>
      </c>
      <c r="B312" t="inlineStr">
        <is>
          <t>Shakhtar Donetsk</t>
        </is>
      </c>
      <c r="C312" t="inlineStr">
        <is>
          <t>Defender</t>
        </is>
      </c>
      <c r="D312" t="n">
        <v>360</v>
      </c>
      <c r="E312" t="n">
        <v>4</v>
      </c>
      <c r="F312" t="n">
        <v>0</v>
      </c>
      <c r="G312" t="n">
        <v>0</v>
      </c>
      <c r="H312" t="n">
        <v>43</v>
      </c>
      <c r="I312" t="n">
        <v>35.8</v>
      </c>
      <c r="J312" t="n">
        <v>289059</v>
      </c>
      <c r="K312" t="inlineStr">
        <is>
          <t>{'marketValueHistory': [{'date': 'Dec 18, 2015', 'age': '19', 'clubName': 'Shakhtar Donetsk II', 'clubID': '8963', 'value': '€300k'}, {'date': 'Jun 26, 2017', 'age': '21', 'clubName': 'Karpaty Lviv', 'clubID': '2477', 'value': '€800k'}, {'date': 'Jan 12, 2018', 'age': '21', 'clubName': 'Shakhtar Donetsk', 'clubID': '660', 'value': '€900k'}, {'date': 'Aug 6, 2018', 'age': '22', 'clubName': 'Shakhtar Donetsk', 'clubID': '660', 'value': '€1.80m'}, {'date': 'Dec 10, 2018', 'age': '22', 'clubName': 'Shakhtar Donetsk', 'clubID': '660', 'value': '€2.50m'}, {'date': 'Mar 22, 2019', 'age': '22', 'clubName': 'Shakhtar Donetsk', 'clubID': '660', 'value': '€3.00m'}, {'date': 'Jun 20, 2019', 'age': '23', 'clubName': 'Shakhtar Donetsk', 'clubID': '660', 'value': '€3.00m'}, {'date': 'Jan 8, 2020', 'age': '23', 'clubName': 'Shakhtar Donetsk', 'clubID': '660', 'value': '€5.00m'}, {'date': 'Apr 8, 2020', 'age': '23', 'clubName': 'Shakhtar Donetsk', 'clubID': '660', 'value': '€4.00m'}, {'date': 'Sep 4, 2020', 'age': '24', 'clubName': 'Shakhtar Donetsk', 'clubID': '660', 'value': '€9.00m'}, {'date': 'Jan 14, 2021', 'age': '24', 'clubName': 'Shakhtar Donetsk', 'clubID': '660', 'value': '€11.00m'}, {'date': 'May 27, 2021', 'age': '25', 'clubName': 'Shakhtar Donetsk', 'clubID': '660', 'value': '€11.00m'}, {'date': 'Dec 20, 2021', 'age': '25', 'clubName': 'Shakhtar Donetsk', 'clubID': '660', 'value': '€11.00m'}, {'date': 'May 18, 2022', 'age': '26', 'clubName': 'Shakhtar Donetsk', 'clubID': '660', 'value': '€11.00m'}, {'date': 'Dec 6, 2022', 'age': '26', 'clubName': 'Shakhtar Donetsk', 'clubID': '660', 'value': '€11.00m'}, {'date': 'Mar 28, 2023', 'age': '26', 'clubName': 'Shakhtar Donetsk', 'clubID': '660', 'value': '€18.00m'}, {'date': 'Jun 21, 2023', 'age': '27', 'clubName': 'Shakhtar Donetsk', 'clubID': '660', 'value': '€20.00m'}, {'date': 'Dec 11, 2023', 'age': '27', 'clubName': 'Shakhtar Donetsk', 'clubID': '660', 'value': '€20.00m'}, {'date': 'Jun 6, 2024', 'age': '28', 'clubName': 'Shakhtar Donetsk', 'clubID': '660', 'value': '€18.00m'}, {'date': 'Dec 17, 2024', 'age': '28', 'clubName': 'Shakhtar Donetsk', 'clubID': '660', 'value': '€18.00m'}, {'date': 'Jun 10, 2025', 'age': '29', 'clubName': 'Shakhtar Donetsk', 'clubID': '660', 'value': '€16.00m'}, {'date': 'Dec 18, 2025', 'age': '29', 'clubName': 'Shakhtar Donetsk', 'clubID': '660', 'value': '€15.00m'}]}</t>
        </is>
      </c>
      <c r="L312" t="inlineStr">
        <is>
          <t>Ukraine</t>
        </is>
      </c>
      <c r="M312" t="inlineStr">
        <is>
          <t>1996-05-02</t>
        </is>
      </c>
      <c r="N312" t="inlineStr">
        <is>
          <t>Ukraine</t>
        </is>
      </c>
      <c r="O312">
        <f>(11+11)/2</f>
        <v/>
      </c>
      <c r="P312">
        <f>(11+11+11)/3</f>
        <v/>
      </c>
    </row>
    <row r="313">
      <c r="A313" t="inlineStr">
        <is>
          <t>Kritsyuk</t>
        </is>
      </c>
      <c r="B313" t="inlineStr">
        <is>
          <t>Zenit</t>
        </is>
      </c>
      <c r="C313" t="inlineStr">
        <is>
          <t>Goalkeeper</t>
        </is>
      </c>
      <c r="D313" t="n">
        <v>360</v>
      </c>
      <c r="E313" t="n">
        <v>4</v>
      </c>
      <c r="F313" t="n">
        <v>0</v>
      </c>
      <c r="G313" t="n">
        <v>0</v>
      </c>
      <c r="H313" t="n">
        <v>19.5</v>
      </c>
      <c r="I313" t="n">
        <v>26.4</v>
      </c>
      <c r="J313" t="n">
        <v>98547</v>
      </c>
      <c r="K313" t="inlineStr">
        <is>
          <t>{'marketValueHistory': [{'date': 'Jan 25, 2009', 'age': '18', 'clubName': 'FC Togliatti ( - 2010)', 'clubID': '82732', 'value': '€50k'}, {'date': 'Jul 2, 2013', 'age': '22', 'clubName': 'SC Braga B', 'clubID': '10789', 'value': '€150k'}, {'date': 'Nov 8, 2013', 'age': '22', 'clubName': 'SC Braga B', 'clubID': '10789', 'value': '€200k'}, {'date': 'Sep 30, 2014', 'age': '23', 'clubName': 'SC Braga', 'clubID': '1075', 'value': '€500k'}, {'date': 'Feb 17, 2015', 'age': '24', 'clubName': 'SC Braga', 'clubID': '1075', 'value': '€750k'}, {'date': 'Jul 1, 2015', 'age': '24', 'clubName': 'SC Braga', 'clubID': '1075', 'value': '€1.00m'}, {'date': 'Oct 7, 2015', 'age': '24', 'clubName': 'SC Braga', 'clubID': '1075', 'value': '€1.50m'}, {'date': 'Feb 24, 2016', 'age': '25', 'clubName': 'FC Krasnodar', 'clubID': '16704', 'value': '€2.50m'}, {'date': 'May 25, 2016', 'age': '25', 'clubName': 'FC Krasnodar', 'clubID': '16704', 'value': '€4.00m'}, {'date': 'Dec 27, 2016', 'age': '26', 'clubName': 'FC Krasnodar', 'clubID': '16704', 'value': '€5.00m'}, {'date': 'Jun 1, 2017', 'age': '26', 'clubName': 'FC Krasnodar', 'clubID': '16704', 'value': '€5.00m'}, {'date': 'Dec 23, 2017', 'age': '27', 'clubName': 'FC Krasnodar', 'clubID': '16704', 'value': '€4.50m'}, {'date': 'Jun 6, 2018', 'age': '27', 'clubName': 'FC Krasnodar', 'clubID': '16704', 'value': '€4.50m'}, {'date': 'Dec 20, 2018', 'age': '28', 'clubName': 'FC Krasnodar', 'clubID': '16704', 'value': '€5.00m'}, {'date': 'Jun 14, 2019', 'age': '28', 'clubName': 'FC Krasnodar', 'clubID': '16704', 'value': '€4.50m'}, {'date': 'Dec 23, 2019', 'age': '29', 'clubName': 'FC Krasnodar', 'clubID': '16704', 'value': '€4.00m'}, {'date': 'Apr 8, 2020', 'age': '29', 'clubName': 'FC Krasnodar', 'clubID': '16704', 'value': '€3.20m'}, {'date': 'Jul 29, 2020', 'age': '29', 'clubName': 'FC Krasnodar', 'clubID': '16704', 'value': '€2.00m'}, {'date': 'Jan 28, 2021', 'age': '30', 'clubName': 'B SAD', 'clubID': '2457', 'value': '€2.00m'}, {'date': 'May 21, 2021', 'age': '30', 'clubName': 'B SAD', 'clubID': '2457', 'value': '€2.50m'}, {'date': 'Dec 29, 2021', 'age': '31', 'clubName': 'Zenit St. Petersburg', 'clubID': '964', 'value': '€2.00m'}, {'date': 'Jun 2, 2022', 'age': '31', 'clubName': 'Zenit St. Petersburg', 'clubID': '964', 'value': '€1.50m'}, {'date': 'Nov 1, 2022', 'age': '31', 'clubName': 'Gil Vicente FC', 'clubID': '2424', 'value': '€1.50m'}, {'date': 'Jun 16, 2023', 'age': '32', 'clubName': 'Gil Vicente FC', 'clubID': '2424', 'value': '€1.20m'}, {'date': 'Dec 27, 2023', 'age': '33', 'clubName': 'Gil Vicente FC', 'clubID': '2424', 'value': '€600k'}, {'date': 'Jun 6, 2024', 'age': '33', 'clubName': 'Gil Vicente FC', 'clubID': '2424', 'value': '€400k'}, {'date': 'Dec 4, 2024', 'age': '34', 'clubName': 'FC Tyumen', 'clubID': '12054', 'value': '€275k'}, {'date': 'Apr 4, 2025', 'age': '34', 'clubName': 'Without Club', 'clubID': '515', 'value': '€200k'}, {'date': 'Jul 1, 2025', 'age': '34', 'clubName': 'Retired', 'clubID': '123', 'value': '-'}]}</t>
        </is>
      </c>
      <c r="L313" t="inlineStr">
        <is>
          <t>Russia</t>
        </is>
      </c>
      <c r="M313" t="inlineStr">
        <is>
          <t>1990-12-01</t>
        </is>
      </c>
      <c r="N313" t="inlineStr">
        <is>
          <t>Russia</t>
        </is>
      </c>
      <c r="O313">
        <f>(1.5+1.5)/2</f>
        <v/>
      </c>
      <c r="P313">
        <f>(2+2.5+2)/3</f>
        <v/>
      </c>
    </row>
    <row r="314">
      <c r="A314" t="inlineStr">
        <is>
          <t>Loftus-Cheek</t>
        </is>
      </c>
      <c r="B314" t="inlineStr">
        <is>
          <t>Chelsea</t>
        </is>
      </c>
      <c r="C314" t="inlineStr">
        <is>
          <t>Midfielder</t>
        </is>
      </c>
      <c r="D314" t="n">
        <v>358</v>
      </c>
      <c r="E314" t="n">
        <v>8</v>
      </c>
      <c r="F314" t="n">
        <v>0</v>
      </c>
      <c r="G314" t="n">
        <v>1</v>
      </c>
      <c r="H314" t="n">
        <v>44.2</v>
      </c>
      <c r="I314" t="n">
        <v>34</v>
      </c>
      <c r="J314" t="n">
        <v>202886</v>
      </c>
      <c r="K314" t="inlineStr">
        <is>
          <t>{'marketValueHistory': [{'date': '25/07/2013', 'age': '17', 'clubName': 'Chelsea FC U18', 'clubID': '6918', 'value': '€150k'}, {'date': '12/02/2015', 'age': '19', 'clubName': 'Chelsea FC', 'clubID': '631', 'value': '€500k'}, {'date': '01/07/2015', 'age': '19', 'clubName': 'Chelsea FC', 'clubID': '631', 'value': '€2.00m'}, {'date': '09/02/2016', 'age': '20', 'clubName': 'Chelsea FC', 'clubID': '631', 'value': '€5.00m'}, {'date': '01/08/2016', 'age': '20', 'clubName': 'Chelsea FC', 'clubID': '631', 'value': '€5.00m'}, {'date': '20/02/2017', 'age': '21', 'clubName': 'Chelsea FC', 'clubID': '631', 'value': '€5.00m'}, {'date': '28/06/2017', 'age': '21', 'clubName': 'Chelsea FC', 'clubID': '631', 'value': '€5.00m'}, {'date': '02/01/2018', 'age': '21', 'clubName': 'Crystal Palace', 'clubID': '873', 'value': '€8.00m'}, {'date': '28/05/2018', 'age': '22', 'clubName': 'Crystal Palace', 'clubID': '873', 'value': '€15.00m'}, {'date': '16/07/2018', 'age': '22', 'clubName': 'Chelsea FC', 'clubID': '631', 'value': '€18.00m'}, {'date': '19/12/2018', 'age': '22', 'clubName': 'Chelsea FC', 'clubID': '631', 'value': '€20.00m'}, {'date': '05/03/2019', 'age': '23', 'clubName': 'Chelsea FC', 'clubID': '631', 'value': '€25.00m'}, {'date': '13/06/2019', 'age': '23', 'clubName': 'Chelsea FC', 'clubID': '631', 'value': '€30.00m'}, {'date': '10/12/2019', 'age': '23', 'clubName': 'Chelsea FC', 'clubID': '631', 'value': '€30.00m'}, {'date': '08/04/2020', 'age': '24', 'clubName': 'Chelsea FC', 'clubID': '631', 'value': '€24.00m'}, {'date': '13/10/2020', 'age': '24', 'clubName': 'Fulham FC', 'clubID': '931', 'value': '€24.00m'}, {'date': '18/03/2021', 'age': '25', 'clubName': 'Fulham FC', 'clubID': '931', 'value': '€20.00m'}, {'date': '08/06/2021', 'age': '25', 'clubName': 'Chelsea FC', 'clubID': '631', 'value': '€18.00m'}, {'date': '23/12/2021', 'age': '25', 'clubName': 'Chelsea FC', 'clubID': '631', 'value': '€20.00m'}, {'date': '15/06/2022', 'age': '26', 'clubName': 'Chelsea FC', 'clubID': '631', 'value': '€20.00m'}, {'date': '15/09/2022', 'age': '26', 'clubName': 'Chelsea FC', 'clubID': '631', 'value': '€22.00m'}, {'date': '03/11/2022', 'age': '26', 'clubName': 'Chelsea FC', 'clubID': '631', 'value': '€25.00m'}, {'date': '20/06/2023', 'age': '27', 'clubName': 'Chelsea FC', 'clubID': '631', 'value': '€25.00m'}, {'date': '20/12/2023', 'age': '27', 'clubName': 'AC Milan', 'clubID': '5', 'value': '€25.00m'}, {'date': '05/06/2024', 'age': '28', 'clubName': 'AC Milan', 'clubID': '5', 'value': '€25.00m'}, {'date': '18/12/2024', 'age': '28', 'clubName': 'AC Milan', 'clubID': '5', 'value': '€20.00m'}, {'date': '25/03/2025', 'age': '29', 'clubName': 'AC Milan', 'clubID': '5', 'value': '€16.00m'}, {'date': '17/06/2025', 'age': '29', 'clubName': 'AC Milan', 'clubID': '5', 'value': '€10.00m'}, {'date': '23/12/2025', 'age': '29', 'clubName': 'AC Milan', 'clubID': '5', 'value': '€10.00m'}]}</t>
        </is>
      </c>
      <c r="L314" t="inlineStr">
        <is>
          <t>Italy</t>
        </is>
      </c>
      <c r="M314" t="inlineStr">
        <is>
          <t>1996-01-08</t>
        </is>
      </c>
      <c r="N314" t="inlineStr">
        <is>
          <t>11</t>
        </is>
      </c>
      <c r="O314">
        <f>(20+22+25)/3</f>
        <v/>
      </c>
      <c r="P314">
        <f>(20+18+20)/3</f>
        <v/>
      </c>
    </row>
    <row r="315">
      <c r="A315" t="inlineStr">
        <is>
          <t>Hummels</t>
        </is>
      </c>
      <c r="B315" t="inlineStr">
        <is>
          <t>Dortmund</t>
        </is>
      </c>
      <c r="C315" t="inlineStr">
        <is>
          <t>Defender</t>
        </is>
      </c>
      <c r="D315" t="n">
        <v>358</v>
      </c>
      <c r="E315" t="n">
        <v>5</v>
      </c>
      <c r="F315" t="n">
        <v>0</v>
      </c>
      <c r="G315" t="n">
        <v>0</v>
      </c>
      <c r="H315" t="n">
        <v>41.2</v>
      </c>
      <c r="I315" t="n">
        <v>30.8</v>
      </c>
      <c r="J315" t="n">
        <v>39728</v>
      </c>
      <c r="K315" t="inlineStr">
        <is>
          <t>{'marketValueHistory': [{'date': 'May 27, 2006', 'age': '17', 'clubName': 'FC Bayern Munich U19 ', 'clubID': '27', 'value': '€50k'}, {'date': 'Oct 1, 2006', 'age': '17', 'clubName': 'FC Bayern Munich II', 'clubID': '27', 'value': '€150k'}, {'date': 'Jan 15, 2007', 'age': '18', 'clubName': 'Bayern Munich', 'clubID': '27', 'value': '€250k'}, {'date': 'Mar 5, 2008', 'age': '19', 'clubName': 'Borussia Dortmund', 'clubID': '16', 'value': '€600k'}, {'date': 'Jun 4, 2008', 'age': '19', 'clubName': 'Borussia Dortmund', 'clubID': '16', 'value': '€1.00m'}, {'date': 'Aug 31, 2008', 'age': '19', 'clubName': 'Borussia Dortmund', 'clubID': '16', 'value': '€2.50m'}, {'date': 'Jan 21, 2009', 'age': '20', 'clubName': 'Borussia Dortmund', 'clubID': '16', 'value': '€4.00m'}, {'date': 'Jul 10, 2009', 'age': '20', 'clubName': 'Borussia Dortmund', 'clubID': '16', 'value': '€4.50m'}, {'date': 'Nov 18, 2009', 'age': '20', 'clubName': 'Borussia Dortmund', 'clubID': '16', 'value': '€5.50m'}, {'date': 'Jan 17, 2010', 'age': '21', 'clubName': 'Borussia Dortmund', 'clubID': '16', 'value': '€8.00m'}, {'date': 'May 8, 2010', 'age': '21', 'clubName': 'Borussia Dortmund', 'clubID': '16', 'value': '€10.00m'}, {'date': 'Jan 12, 2011', 'age': '22', 'clubName': 'Borussia Dortmund', 'clubID': '16', 'value': '€13.00m'}, {'date': 'Mar 1, 2011', 'age': '22', 'clubName': 'Borussia Dortmund', 'clubID': '16', 'value': '€15.00m'}, {'date': 'Jun 29, 2011', 'age': '22', 'clubName': 'Borussia Dortmund', 'clubID': '16', 'value': '€18.00m'}, {'date': 'Jan 23, 2012', 'age': '23', 'clubName': 'Borussia Dortmund', 'clubID': '16', 'value': '€20.00m'}, {'date': 'Jun 29, 2012', 'age': '23', 'clubName': 'Borussia Dortmund', 'clubID': '16', 'value': '€24.00m'}, {'date': 'Jan 13, 2013', 'age': '24', 'clubName': 'Borussia Dortmund', 'clubID': '16', 'value': '€24.00m'}, {'date': 'Jun 30, 2013', 'age': '24', 'clubName': 'Borussia Dortmund', 'clubID': '16', 'value': '€26.00m'}, {'date': 'Jul 10, 2014', 'age': '25', 'clubName': 'Borussia Dortmund', 'clubID': '16', 'value': '€35.00m'}, {'date': 'Feb 4, 2015', 'age': '26', 'clubName': 'Borussia Dortmund', 'clubID': '16', 'value': '€35.00m'}, {'date': 'Jul 1, 2015', 'age': '26', 'clubName': 'Borussia Dortmund', 'clubID': '16', 'value': '€35.00m'}, {'date': 'Feb 15, 2016', 'age': '27', 'clubName': 'Borussia Dortmund', 'clubID': '16', 'value': '€32.00m'}, {'date': 'Jun 1, 2016', 'age': '27', 'clubName': 'Borussia Dortmund', 'clubID': '16', 'value': '€38.00m'}, {'date': 'Jul 22, 2016', 'age': '27', 'clubName': 'Bayern Munich', 'clubID': '27', 'value': '€38.00m'}, {'date': 'Feb 7, 2017', 'age': '28', 'clubName': 'Bayern Munich', 'clubID': '27', 'value': '€38.00m'}, {'date': 'Jun 19, 2017', 'age': '28', 'clubName': 'Bayern Munich', 'clubID': '27', 'value': '€40.00m'}, {'date': 'Dec 28, 2017', 'age': '29', 'clubName': 'Bayern Munich', 'clubID': '27', 'value': '€40.00m'}, {'date': 'Apr 4, 2018', 'age': '29', 'clubName': 'Bayern Munich', 'clubID': '27', 'value': '€60.00m'}, {'date': 'Jun 5, 2018', 'age': '29', 'clubName': 'Bayern Munich', 'clubID': '27', 'value': '€60.00m'}, {'date': 'Oct 22, 2018', 'age': '29', 'clubName': 'Bayern Munich', 'clubID': '27', 'value': '€55.00m'}, {'date': 'Dec 18, 2018', 'age': '30', 'clubName': 'Bayern Munich', 'clubID': '27', 'value': '€40.00m'}, {'date': 'Jun 5, 2019', 'age': '30', 'clubName': 'Bayern Munich', 'clubID': '27', 'value': '€35.00m'}, {'date': 'Dec 17, 2019', 'age': '31', 'clubName': 'Borussia Dortmund', 'clubID': '16', 'value': '€30.00m'}, {'date': 'Apr 8, 2020', 'age': '31', 'clubName': 'Borussia Dortmund', 'clubID': '16', 'value': '€24.00m'}, {'date': 'Sep 16, 2020', 'age': '31', 'clubName': 'Borussia Dortmund', 'clubID': '16', 'value': '€20.00m'}, {'date': 'Feb 10, 2021', 'age': '32', 'clubName': 'Borussia Dortmund', 'clubID': '16', 'value': '€15.00m'}, {'date': 'Jun 1, 2021', 'age': '32', 'clubName': 'Borussia Dortmund', 'clubID': '16', 'value': '€12.00m'}, {'date': 'Dec 22, 2021', 'age': '33', 'clubName': 'Borussia Dortmund', 'clubID': '16', 'value': '€9.00m'}, {'date': 'Jun 9, 2022', 'age': '33', 'clubName': 'Borussia Dortmund', 'clubID': '16', 'value': '€6.50m'}, {'date': 'Nov 9, 2022', 'age': '33', 'clubName': 'Borussia Dortmund', 'clubID': '16', 'value': '€6.50m'}, {'date': 'Jun 22, 2023', 'age': '34', 'clubName': 'Borussia Dortmund', 'clubID': '16', 'value': '€6.00m'}, {'date': 'Dec 14, 2023', 'age': '34', 'clubName': 'Borussia Dortmund', 'clubID': '16', 'value': '€6.00m'}, {'date': 'May 29, 2024', 'age': '35', 'clubName': 'Borussia Dortmund', 'clubID': '16', 'value': '€5.00m'}, {'date': 'Dec 18, 2024', 'age': '36', 'clubName': 'AS Roma', 'clubID': '12', 'value': '€3.50m'}, {'date': 'Mar 25, 2025', 'age': '36', 'clubName': 'AS Roma', 'clubID': '12', 'value': '€2.50m'}, {'date': 'Jun 17, 2025', 'age': '36', 'clubName': 'AS Roma', 'clubID': '12', 'value': '€2.00m'}, {'date': 'Jul 1, 2025', 'age': '36', 'clubName': 'Retired', 'clubID': '123', 'value': '-'}]}</t>
        </is>
      </c>
      <c r="L315" t="inlineStr">
        <is>
          <t>Germany</t>
        </is>
      </c>
      <c r="M315" t="inlineStr">
        <is>
          <t>1988-12-16</t>
        </is>
      </c>
      <c r="N315" t="inlineStr">
        <is>
          <t>Germany</t>
        </is>
      </c>
      <c r="O315">
        <f>(6.5+6.5)/2</f>
        <v/>
      </c>
      <c r="P315">
        <f>(15+12+9)/3</f>
        <v/>
      </c>
    </row>
    <row r="316">
      <c r="A316" t="inlineStr">
        <is>
          <t>Castaneda</t>
        </is>
      </c>
      <c r="B316" t="inlineStr">
        <is>
          <t>Sheriff</t>
        </is>
      </c>
      <c r="C316" t="inlineStr">
        <is>
          <t>Midfielder</t>
        </is>
      </c>
      <c r="D316" t="n">
        <v>357</v>
      </c>
      <c r="E316" t="n">
        <v>5</v>
      </c>
      <c r="F316" t="n">
        <v>0</v>
      </c>
      <c r="G316" t="n">
        <v>0</v>
      </c>
      <c r="H316" t="n">
        <v>45.5</v>
      </c>
      <c r="I316" t="n">
        <v>40</v>
      </c>
      <c r="J316" t="n">
        <v>345658</v>
      </c>
      <c r="K316" t="inlineStr">
        <is>
          <t>{'marketValueHistory': [{'date': '15/03/2016', 'age': '21', 'clubName': 'Atlético Nacional', 'clubID': '8172', 'value': '€250k'}, {'date': '08/07/2016', 'age': '21', 'clubName': 'Internacional de Palmira', 'clubID': '17467', 'value': '€300k'}, {'date': '01/09/2016', 'age': '21', 'clubName': 'Internacional de Palmira', 'clubID': '17467', 'value': '€350k'}, {'date': '31/01/2017', 'age': '22', 'clubName': 'Fortaleza CEIF', 'clubID': '32041', 'value': '€450k'}, {'date': '21/06/2019', 'age': '24', 'clubName': 'Boyacá Patriotas FC', 'clubID': '18231', 'value': '€450k'}, {'date': '08/04/2020', 'age': '25', 'clubName': 'Boyacá Patriotas FC', 'clubID': '18231', 'value': '€350k'}, {'date': '27/05/2022', 'age': '27', 'clubName': 'Sreenidi Deccan FC', 'clubID': '83894', 'value': '€450k'}, {'date': '24/01/2023', 'age': '27', 'clubName': 'Sreenidi Deccan FC', 'clubID': '83894', 'value': '€450k'}, {'date': '17/05/2023', 'age': '28', 'clubName': 'Sreenidi Deccan FC', 'clubID': '83894', 'value': '€500k'}, {'date': '28/12/2023', 'age': '28', 'clubName': 'Sreenidi Deccan FC', 'clubID': '83894', 'value': '€500k'}, {'date': '16/05/2024', 'age': '29', 'clubName': 'Sreenidi Deccan FC', 'clubID': '83894', 'value': '€450k'}, {'date': '08/01/2025', 'age': '29', 'clubName': 'Sreenidi Deccan FC', 'clubID': '83894', 'value': '€350k'}, {'date': '15/05/2025', 'age': '30', 'clubName': 'Sreenidi Deccan FC', 'clubID': '83894', 'value': '€375k'}, {'date': '17/12/2025', 'age': '30', 'clubName': 'Sreenidi Deccan FC', 'clubID': '83894', 'value': '€325k'}]}</t>
        </is>
      </c>
      <c r="L316" t="inlineStr">
        <is>
          <t>Colombia</t>
        </is>
      </c>
      <c r="M316" t="inlineStr">
        <is>
          <t>1995-01-26</t>
        </is>
      </c>
      <c r="O316">
        <f>0.45</f>
        <v/>
      </c>
    </row>
    <row r="317">
      <c r="A317" t="inlineStr">
        <is>
          <t>Klostermann</t>
        </is>
      </c>
      <c r="B317" t="inlineStr">
        <is>
          <t>Leipzig</t>
        </is>
      </c>
      <c r="C317" t="inlineStr">
        <is>
          <t>Defender</t>
        </is>
      </c>
      <c r="D317" t="n">
        <v>357</v>
      </c>
      <c r="E317" t="n">
        <v>5</v>
      </c>
      <c r="F317" t="n">
        <v>0</v>
      </c>
      <c r="G317" t="n">
        <v>0</v>
      </c>
      <c r="H317" t="n">
        <v>42.2</v>
      </c>
      <c r="I317" t="n">
        <v>34.7</v>
      </c>
      <c r="J317" t="n">
        <v>215599</v>
      </c>
      <c r="K317" t="inlineStr">
        <is>
          <t>{'marketValueHistory': [{'date': '28/03/2014', 'age': '17', 'clubName': 'VfL Bochum', 'clubID': '80', 'value': '€100k'}, {'date': '30/06/2014', 'age': '18', 'clubName': 'VfL Bochum', 'clubID': '80', 'value': '€350k'}, {'date': '13/01/2015', 'age': '18', 'clubName': 'RB Leipzig', 'clubID': '23826', 'value': '€350k'}, {'date': '29/03/2015', 'age': '18', 'clubName': 'RB Leipzig', 'clubID': '23826', 'value': '€500k'}, {'date': '01/07/2015', 'age': '19', 'clubName': 'RB Leipzig', 'clubID': '23826', 'value': '€1.00m'}, {'date': '22/10/2015', 'age': '19', 'clubName': 'RB Leipzig', 'clubID': '23826', 'value': '€1.50m'}, {'date': '11/02/2016', 'age': '19', 'clubName': 'RB Leipzig', 'clubID': '23826', 'value': '€2.00m'}, {'date': '22/07/2016', 'age': '20', 'clubName': 'RB Leipzig', 'clubID': '23826', 'value': '€3.00m'}, {'date': '07/02/2017', 'age': '20', 'clubName': 'RB Leipzig', 'clubID': '23826', 'value': '€3.00m'}, {'date': '19/06/2017', 'age': '21', 'clubName': 'RB Leipzig', 'clubID': '23826', 'value': '€3.00m'}, {'date': '18/10/2017', 'age': '21', 'clubName': 'RB Leipzig', 'clubID': '23826', 'value': '€5.00m'}, {'date': '28/12/2017', 'age': '21', 'clubName': 'RB Leipzig', 'clubID': '23826', 'value': '€7.50m'}, {'date': '04/04/2018', 'age': '21', 'clubName': 'RB Leipzig', 'clubID': '23826', 'value': '€12.00m'}, {'date': '05/06/2018', 'age': '22', 'clubName': 'RB Leipzig', 'clubID': '23826', 'value': '€12.00m'}, {'date': '18/12/2018', 'age': '22', 'clubName': 'RB Leipzig', 'clubID': '23826', 'value': '€16.00m'}, {'date': '06/03/2019', 'age': '22', 'clubName': 'RB Leipzig', 'clubID': '23826', 'value': '€22.00m'}, {'date': '05/06/2019', 'age': '23', 'clubName': 'RB Leipzig', 'clubID': '23826', 'value': '€30.00m'}, {'date': '17/12/2019', 'age': '23', 'clubName': 'RB Leipzig', 'clubID': '23826', 'value': '€35.00m'}, {'date': '08/04/2020', 'age': '23', 'clubName': 'RB Leipzig', 'clubID': '23826', 'value': '€28.00m'}, {'date': '08/07/2020', 'age': '24', 'clubName': 'RB Leipzig', 'clubID': '23826', 'value': '€35.00m'}, {'date': '16/09/2020', 'age': '24', 'clubName': 'RB Leipzig', 'clubID': '23826', 'value': '€38.00m'}, {'date': '10/02/2021', 'age': '24', 'clubName': 'RB Leipzig', 'clubID': '23826', 'value': '€32.00m'}, {'date': '01/06/2021', 'age': '24', 'clubName': 'RB Leipzig', 'clubID': '23826', 'value': '€27.00m'}, {'date': '22/12/2021', 'age': '25', 'clubName': 'RB Leipzig', 'clubID': '23826', 'value': '€23.00m'}, {'date': '09/06/2022', 'age': '26', 'clubName': 'RB Leipzig', 'clubID': '23826', 'value': '€18.00m'}, {'date': '21/09/2022', 'age': '26', 'clubName': 'RB Leipzig', 'clubID': '23826', 'value': '€14.00m'}, {'date': '09/11/2022', 'age': '26', 'clubName': 'RB Leipzig', 'clubID': '23826', 'value': '€14.00m'}, {'date': '29/03/2023', 'age': '26', 'clubName': 'RB Leipzig', 'clubID': '23826', 'value': '€12.00m'}, {'date': '22/06/2023', 'age': '27', 'clubName': 'RB Leipzig', 'clubID': '23826', 'value': '€12.00m'}, {'date': '18/10/2023', 'age': '27', 'clubName': 'RB Leipzig', 'clubID': '23826', 'value': '€8.00m'}, {'date': '14/12/2023', 'age': '27', 'clubName': 'RB Leipzig', 'clubID': '23826', 'value': '€8.00m'}, {'date': '29/05/2024', 'age': '27', 'clubName': 'RB Leipzig', 'clubID': '23826', 'value': '€8.00m'}, {'date': '20/12/2024', 'age': '28', 'clubName': 'RB Leipzig', 'clubID': '23826', 'value': '€8.00m'}, {'date': '05/06/2025', 'age': '29', 'clubName': 'RB Leipzig', 'clubID': '23826', 'value': '€8.00m'}, {'date': '14/10/2025', 'age': '29', 'clubName': 'RB Leipzig', 'clubID': '23826', 'value': '€5.00m'}, {'date': '19/12/2025', 'age': '29', 'clubName': 'RB Leipzig', 'clubID': '23826', 'value': '€3.50m'}]}</t>
        </is>
      </c>
      <c r="L317" t="inlineStr">
        <is>
          <t>Germany</t>
        </is>
      </c>
      <c r="M317" t="inlineStr">
        <is>
          <t>1996-06-03</t>
        </is>
      </c>
      <c r="N317" t="inlineStr">
        <is>
          <t>Germany</t>
        </is>
      </c>
      <c r="O317">
        <f>(18+14+14)/3</f>
        <v/>
      </c>
      <c r="P317">
        <f>(32+27+23)/3</f>
        <v/>
      </c>
    </row>
    <row r="318">
      <c r="A318" t="inlineStr">
        <is>
          <t>Birmancevic</t>
        </is>
      </c>
      <c r="B318" t="inlineStr">
        <is>
          <t>Malmo</t>
        </is>
      </c>
      <c r="C318" t="inlineStr">
        <is>
          <t>Midfielder</t>
        </is>
      </c>
      <c r="D318" t="n">
        <v>356</v>
      </c>
      <c r="E318" t="n">
        <v>6</v>
      </c>
      <c r="F318" t="n">
        <v>0</v>
      </c>
      <c r="G318" t="n">
        <v>1</v>
      </c>
      <c r="H318" t="n">
        <v>44.6</v>
      </c>
      <c r="I318" t="n">
        <v>32.6</v>
      </c>
      <c r="J318" t="n">
        <v>419648</v>
      </c>
      <c r="K318" t="inlineStr">
        <is>
          <t>{'marketValueHistory': [{'date': '29/05/2016', 'age': '18', 'clubName': 'FK Partizan Belgrade', 'clubID': '669', 'value': '€150k'}, {'date': '02/07/2018', 'age': '20', 'clubName': 'FK Cukaricki', 'clubID': '6621', 'value': '€300k'}, {'date': '14/01/2019', 'age': '20', 'clubName': 'FK Cukaricki', 'clubID': '6621', 'value': '€450k'}, {'date': '09/06/2019', 'age': '21', 'clubName': 'FK Cukaricki', 'clubID': '6621', 'value': '€450k'}, {'date': '28/10/2019', 'age': '21', 'clubName': 'FK Cukaricki', 'clubID': '6621', 'value': '€800k'}, {'date': '08/04/2020', 'age': '22', 'clubName': 'FK Cukaricki', 'clubID': '6621', 'value': '€725k'}, {'date': '28/06/2020', 'age': '22', 'clubName': 'FK Cukaricki', 'clubID': '6621', 'value': '€1.30m'}, {'date': '22/12/2020', 'age': '22', 'clubName': 'FK Cukaricki', 'clubID': '6621', 'value': '€1.70m'}, {'date': '09/06/2021', 'age': '23', 'clubName': 'Malmö FF', 'clubID': '496', 'value': '€1.70m'}, {'date': '17/09/2021', 'age': '23', 'clubName': 'Malmö FF', 'clubID': '496', 'value': '€2.50m'}, {'date': '17/12/2021', 'age': '23', 'clubName': 'Malmö FF', 'clubID': '496', 'value': '€3.50m'}, {'date': '24/06/2022', 'age': '24', 'clubName': 'Malmö FF', 'clubID': '496', 'value': '€3.50m'}, {'date': '02/09/2022', 'age': '24', 'clubName': 'FC Toulouse', 'clubID': '415', 'value': '€4.00m'}, {'date': '02/11/2022', 'age': '24', 'clubName': 'FC Toulouse', 'clubID': '415', 'value': '€3.50m'}, {'date': '27/06/2023', 'age': '25', 'clubName': 'FC Toulouse', 'clubID': '415', 'value': '€3.00m'}, {'date': '20/12/2023', 'age': '25', 'clubName': 'AC Sparta Prague', 'clubID': '197', 'value': '€4.50m'}, {'date': '27/03/2024', 'age': '26', 'clubName': 'AC Sparta Prague', 'clubID': '197', 'value': '€6.00m'}, {'date': '05/06/2024', 'age': '26', 'clubName': 'AC Sparta Prague', 'clubID': '197', 'value': '€9.00m'}, {'date': '20/12/2024', 'age': '26', 'clubName': 'AC Sparta Prague', 'clubID': '197', 'value': '€7.50m'}, {'date': '01/04/2025', 'age': '27', 'clubName': 'AC Sparta Prague', 'clubID': '197', 'value': '€6.00m'}, {'date': '17/06/2025', 'age': '27', 'clubName': 'AC Sparta Prague', 'clubID': '197', 'value': '€5.00m'}, {'date': '22/12/2025', 'age': '27', 'clubName': 'AC Sparta Prague', 'clubID': '197', 'value': '€4.50m'}]}</t>
        </is>
      </c>
      <c r="L318" t="inlineStr">
        <is>
          <t>Spain</t>
        </is>
      </c>
      <c r="M318" t="inlineStr">
        <is>
          <t>1998-05-03</t>
        </is>
      </c>
      <c r="N318" t="inlineStr">
        <is>
          <t>Serbia</t>
        </is>
      </c>
      <c r="O318">
        <f>(3.5+4+3.5)/3</f>
        <v/>
      </c>
      <c r="P318">
        <f>(1.7+2.5+3.5)/3</f>
        <v/>
      </c>
    </row>
    <row r="319">
      <c r="A319" t="inlineStr">
        <is>
          <t>Ismaily</t>
        </is>
      </c>
      <c r="B319" t="inlineStr">
        <is>
          <t>Shakhtar Donetsk</t>
        </is>
      </c>
      <c r="C319" t="inlineStr">
        <is>
          <t>Defender</t>
        </is>
      </c>
      <c r="D319" t="n">
        <v>355</v>
      </c>
      <c r="E319" t="n">
        <v>5</v>
      </c>
      <c r="F319" t="n">
        <v>0</v>
      </c>
      <c r="G319" t="n">
        <v>0</v>
      </c>
      <c r="H319" t="n">
        <v>44.8</v>
      </c>
      <c r="I319" t="n">
        <v>32.8</v>
      </c>
      <c r="J319" t="n">
        <v>124028</v>
      </c>
      <c r="K319" t="inlineStr">
        <is>
          <t>{'marketValueHistory': [{'date': '10/10/2009', 'age': '19', 'clubName': 'GD Estoril Praia', 'clubID': '1465', 'value': '€100k'}, {'date': '01/08/2010', 'age': '20', 'clubName': 'SC Olhanense', 'clubID': '4750', 'value': '€300k'}, {'date': '20/07/2011', 'age': '21', 'clubName': 'SC Olhanense', 'clubID': '4750', 'value': '€600k'}, {'date': '05/07/2012', 'age': '22', 'clubName': 'SC Braga', 'clubID': '1075', 'value': '€1.30m'}, {'date': '01/03/2013', 'age': '23', 'clubName': 'Shakhtar Donetsk', 'clubID': '660', 'value': '€3.00m'}, {'date': '02/01/2014', 'age': '23', 'clubName': 'Shakhtar Donetsk', 'clubID': '660', 'value': '€2.50m'}, {'date': '30/06/2014', 'age': '24', 'clubName': 'Shakhtar Donetsk', 'clubID': '660', 'value': '€2.50m'}, {'date': '25/12/2014', 'age': '24', 'clubName': 'Shakhtar Donetsk', 'clubID': '660', 'value': '€1.50m'}, {'date': '07/06/2015', 'age': '25', 'clubName': 'Shakhtar Donetsk', 'clubID': '660', 'value': '€1.80m'}, {'date': '18/12/2015', 'age': '25', 'clubName': 'Shakhtar Donetsk', 'clubID': '660', 'value': '€2.00m'}, {'date': '21/07/2016', 'age': '26', 'clubName': 'Shakhtar Donetsk', 'clubID': '660', 'value': '€2.50m'}, {'date': '03/01/2017', 'age': '26', 'clubName': 'Shakhtar Donetsk', 'clubID': '660', 'value': '€3.00m'}, {'date': '26/06/2017', 'age': '27', 'clubName': 'Shakhtar Donetsk', 'clubID': '660', 'value': '€3.50m'}, {'date': '12/01/2018', 'age': '28', 'clubName': 'Shakhtar Donetsk', 'clubID': '660', 'value': '€5.50m'}, {'date': '14/05/2018', 'age': '28', 'clubName': 'Shakhtar Donetsk', 'clubID': '660', 'value': '€6.50m'}, {'date': '06/08/2018', 'age': '28', 'clubName': 'Shakhtar Donetsk', 'clubID': '660', 'value': '€11.00m'}, {'date': '10/12/2018', 'age': '28', 'clubName': 'Shakhtar Donetsk', 'clubID': '660', 'value': '€18.00m'}, {'date': '20/06/2019', 'age': '29', 'clubName': 'Shakhtar Donetsk', 'clubID': '660', 'value': '€19.00m'}, {'date': '08/01/2020', 'age': '29', 'clubName': 'Shakhtar Donetsk', 'clubID': '660', 'value': '€19.00m'}, {'date': '08/04/2020', 'age': '30', 'clubName': 'Shakhtar Donetsk', 'clubID': '660', 'value': '€15.00m'}, {'date': '04/09/2020', 'age': '30', 'clubName': 'Shakhtar Donetsk', 'clubID': '660', 'value': '€12.00m'}, {'date': '14/01/2021', 'age': '31', 'clubName': 'Shakhtar Donetsk', 'clubID': '660', 'value': '€8.00m'}, {'date': '07/06/2021', 'age': '31', 'clubName': 'Shakhtar Donetsk', 'clubID': '660', 'value': '€5.00m'}, {'date': '20/12/2021', 'age': '31', 'clubName': 'Shakhtar Donetsk', 'clubID': '660', 'value': '€3.50m'}, {'date': '18/05/2022', 'age': '32', 'clubName': 'Shakhtar Donetsk', 'clubID': '660', 'value': '€3.50m'}, {'date': '02/11/2022', 'age': '32', 'clubName': 'LOSC Lille', 'clubID': '1082', 'value': '€3.00m'}, {'date': '27/06/2023', 'age': '33', 'clubName': 'LOSC Lille', 'clubID': '1082', 'value': '€2.50m'}, {'date': '18/12/2023', 'age': '33', 'clubName': 'LOSC Lille', 'clubID': '1082', 'value': '€2.00m'}, {'date': '03/06/2024', 'age': '34', 'clubName': 'LOSC Lille', 'clubID': '1082', 'value': '€1.80m'}, {'date': '10/12/2024', 'age': '34', 'clubName': 'LOSC Lille', 'clubID': '1082', 'value': '€1.50m'}, {'date': '03/06/2025', 'age': '35', 'clubName': 'LOSC Lille', 'clubID': '1082', 'value': '€1.20m'}, {'date': '21/10/2025', 'age': '35', 'clubName': 'Without Club', 'clubID': '515', 'value': '€700k'}, {'date': '09/04/2026', 'age': '36', 'clubName': 'Without Club', 'clubID': '515', 'value': '€400k'}]}</t>
        </is>
      </c>
      <c r="L319" t="inlineStr">
        <is>
          <t>Brazil</t>
        </is>
      </c>
      <c r="M319" t="inlineStr">
        <is>
          <t>1990-01-11</t>
        </is>
      </c>
      <c r="N319" t="inlineStr">
        <is>
          <t>Brazil</t>
        </is>
      </c>
      <c r="O319">
        <f>(3.5+3)/2</f>
        <v/>
      </c>
      <c r="P319">
        <f>(8+5+3.5)/3</f>
        <v/>
      </c>
    </row>
    <row r="320">
      <c r="A320" t="inlineStr">
        <is>
          <t>Larin</t>
        </is>
      </c>
      <c r="B320" t="inlineStr">
        <is>
          <t>Besiktas</t>
        </is>
      </c>
      <c r="C320" t="inlineStr">
        <is>
          <t>Forward</t>
        </is>
      </c>
      <c r="D320" t="n">
        <v>354</v>
      </c>
      <c r="E320" t="n">
        <v>5</v>
      </c>
      <c r="F320" t="n">
        <v>1</v>
      </c>
      <c r="G320" t="n">
        <v>0</v>
      </c>
      <c r="H320" t="n">
        <v>40.2</v>
      </c>
      <c r="I320" t="n">
        <v>33.6</v>
      </c>
      <c r="J320" t="n">
        <v>503770</v>
      </c>
      <c r="K320" t="inlineStr">
        <is>
          <t>{'marketValueHistory': [{'date': 'Dec 17, 2020', 'age': '19', 'clubName': 'Arsenal FC U23', 'clubID': '9249', 'value': '€4.00m'}, {'date': 'Dec 23, 2021', 'age': '20', 'clubName': 'Arsenal FC U23', 'clubID': '9249', 'value': '€4.00m'}, {'date': 'May 13, 2022', 'age': '20', 'clubName': 'Middlesbrough FC', 'clubID': '641', 'value': '€4.00m'}, {'date': 'Sep 19, 2022', 'age': '21', 'clubName': 'Stade Reims', 'clubID': '1421', 'value': '€7.00m'}, {'date': 'Nov 2, 2022', 'age': '21', 'clubName': 'Stade Reims', 'clubID': '1421', 'value': '€14.00m'}, {'date': 'Mar 27, 2023', 'age': '21', 'clubName': 'Stade Reims', 'clubID': '1421', 'value': '€25.00m'}, {'date': 'Jun 27, 2023', 'age': '21', 'clubName': 'Stade Reims', 'clubID': '1421', 'value': '€30.00m'}, {'date': 'Dec 18, 2023', 'age': '22', 'clubName': 'AS Monaco', 'clubID': '162', 'value': '€30.00m'}, {'date': 'Jun 3, 2024', 'age': '22', 'clubName': 'AS Monaco', 'clubID': '162', 'value': '€30.00m'}, {'date': 'Oct 7, 2024', 'age': '23', 'clubName': 'AS Monaco', 'clubID': '162', 'value': '€25.00m'}, {'date': 'Dec 10, 2024', 'age': '23', 'clubName': 'AS Monaco', 'clubID': '162', 'value': '€25.00m'}, {'date': 'Mar 24, 2025', 'age': '23', 'clubName': 'AS Monaco', 'clubID': '162', 'value': '€20.00m'}, {'date': 'Jun 3, 2025', 'age': '23', 'clubName': 'AS Monaco', 'clubID': '162', 'value': '€18.00m'}, {'date': 'Dec 15, 2025', 'age': '24', 'clubName': 'AS Monaco', 'clubID': '162', 'value': '€22.00m'}, {'date': 'Mar 27, 2026', 'age': '24', 'clubName': 'AS Monaco', 'clubID': '162', 'value': '€30.00m'}]}</t>
        </is>
      </c>
      <c r="L320" t="inlineStr">
        <is>
          <t>United States</t>
        </is>
      </c>
      <c r="M320" t="inlineStr">
        <is>
          <t>2001-07-03</t>
        </is>
      </c>
      <c r="N320" t="inlineStr">
        <is>
          <t>25</t>
        </is>
      </c>
      <c r="O320">
        <f>(4+7+14)/3</f>
        <v/>
      </c>
      <c r="P320">
        <f>4</f>
        <v/>
      </c>
    </row>
    <row r="321">
      <c r="A321" t="inlineStr">
        <is>
          <t>Varane</t>
        </is>
      </c>
      <c r="B321" t="inlineStr">
        <is>
          <t>Man United</t>
        </is>
      </c>
      <c r="C321" t="inlineStr">
        <is>
          <t>Defender</t>
        </is>
      </c>
      <c r="D321" t="n">
        <v>353</v>
      </c>
      <c r="E321" t="n">
        <v>5</v>
      </c>
      <c r="F321" t="n">
        <v>0</v>
      </c>
      <c r="G321" t="n">
        <v>0</v>
      </c>
      <c r="H321" t="n">
        <v>34.2</v>
      </c>
      <c r="I321" t="n">
        <v>32.7</v>
      </c>
      <c r="J321" t="n">
        <v>164770</v>
      </c>
      <c r="K321" t="inlineStr">
        <is>
          <t>{'marketValueHistory': [{'date': 'Feb 4, 2011', 'age': '17', 'clubName': 'RC Lens', 'clubID': '826', 'value': '€1.00m'}, {'date': 'May 24, 2011', 'age': '18', 'clubName': 'RC Lens', 'clubID': '826', 'value': '€2.50m'}, {'date': 'May 30, 2011', 'age': '18', 'clubName': 'RC Lens', 'clubID': '826', 'value': '€4.00m'}, {'date': 'Jul 29, 2011', 'age': '18', 'clubName': 'Real Madrid', 'clubID': '418', 'value': '€8.00m'}, {'date': 'Feb 3, 2012', 'age': '18', 'clubName': 'Real Madrid', 'clubID': '418', 'value': '€8.00m'}, {'date': 'Aug 7, 2012', 'age': '19', 'clubName': 'Real Madrid', 'clubID': '418', 'value': '€10.00m'}, {'date': 'Jan 10, 2013', 'age': '19', 'clubName': 'Real Madrid', 'clubID': '418', 'value': '€10.00m'}, {'date': 'Feb 5, 2013', 'age': '19', 'clubName': 'Real Madrid', 'clubID': '418', 'value': '€15.00m'}, {'date': 'Mar 7, 2013', 'age': '19', 'clubName': 'Real Madrid', 'clubID': '418', 'value': '€20.00m'}, {'date': 'Jun 12, 2013', 'age': '20', 'clubName': 'Real Madrid', 'clubID': '418', 'value': '€25.00m'}, {'date': 'Jan 23, 2014', 'age': '20', 'clubName': 'Real Madrid', 'clubID': '418', 'value': '€24.00m'}, {'date': 'Jul 20, 2014', 'age': '21', 'clubName': 'Real Madrid', 'clubID': '418', 'value': '€25.00m'}, {'date': 'Jan 23, 2015', 'age': '21', 'clubName': 'Real Madrid', 'clubID': '418', 'value': '€25.00m'}, {'date': 'Jul 1, 2015', 'age': '22', 'clubName': 'Real Madrid', 'clubID': '418', 'value': '€25.00m'}, {'date': 'Nov 22, 2015', 'age': '22', 'clubName': 'Real Madrid', 'clubID': '418', 'value': '€30.00m'}, {'date': 'Feb 22, 2016', 'age': '22', 'clubName': 'Real Madrid', 'clubID': '418', 'value': '€30.00m'}, {'date': 'Jul 15, 2016', 'age': '23', 'clubName': 'Real Madrid', 'clubID': '418', 'value': '€30.00m'}, {'date': 'Jan 24, 2017', 'age': '23', 'clubName': 'Real Madrid', 'clubID': '418', 'value': '€35.00m'}, {'date': 'Jun 5, 2017', 'age': '24', 'clubName': 'Real Madrid', 'clubID': '418', 'value': '€35.00m'}, {'date': 'Jan 1, 2018', 'age': '24', 'clubName': 'Real Madrid', 'clubID': '418', 'value': '€40.00m'}, {'date': 'Mar 22, 2018', 'age': '24', 'clubName': 'Real Madrid', 'clubID': '418', 'value': '€60.00m'}, {'date': 'May 30, 2018', 'age': '25', 'clubName': 'Real Madrid', 'clubID': '418', 'value': '€70.00m'}, {'date': 'Jul 15, 2018', 'age': '25', 'clubName': 'Real Madrid', 'clubID': '418', 'value': '€80.00m'}, {'date': 'Dec 21, 2018', 'age': '25', 'clubName': 'Real Madrid', 'clubID': '418', 'value': '€80.00m'}, {'date': 'Jun 11, 2019', 'age': '26', 'clubName': 'Real Madrid', 'clubID': '418', 'value': '€70.00m'}, {'date': 'Dec 20, 2019', 'age': '26', 'clubName': 'Real Madrid', 'clubID': '418', 'value': '€80.00m'}, {'date': 'Apr 8, 2020', 'age': '26', 'clubName': 'Real Madrid', 'clubID': '418', 'value': '€64.00m'}, {'date': 'Oct 8, 2020', 'age': '27', 'clubName': 'Real Madrid', 'clubID': '418', 'value': '€70.00m'}, {'date': 'Jan 5, 2021', 'age': '27', 'clubName': 'Real Madrid', 'clubID': '418', 'value': '€70.00m'}, {'date': 'Jun 1, 2021', 'age': '28', 'clubName': 'Real Madrid', 'clubID': '418', 'value': '€70.00m'}, {'date': 'Dec 23, 2021', 'age': '28', 'clubName': 'Manchester United', 'clubID': '985', 'value': '€65.00m'}, {'date': 'Mar 29, 2022', 'age': '28', 'clubName': 'Manchester United', 'clubID': '985', 'value': '€60.00m'}, {'date': 'Jun 15, 2022', 'age': '29', 'clubName': 'Manchester United', 'clubID': '985', 'value': '€48.00m'}, {'date': 'Nov 3, 2022', 'age': '29', 'clubName': 'Manchester United', 'clubID': '985', 'value': '€40.00m'}, {'date': 'Jun 20, 2023', 'age': '30', 'clubName': 'Manchester United', 'clubID': '985', 'value': '€35.00m'}, {'date': 'Dec 19, 2023', 'age': '30', 'clubName': 'Manchester United', 'clubID': '985', 'value': '€25.00m'}, {'date': 'May 27, 2024', 'age': '31', 'clubName': 'Manchester United', 'clubID': '985', 'value': '€20.00m'}, {'date': 'Sep 25, 2024', 'age': '31', 'clubName': 'Retired', 'clubID': '123', 'value': '-'}]}</t>
        </is>
      </c>
      <c r="L321" t="inlineStr">
        <is>
          <t>France</t>
        </is>
      </c>
      <c r="M321" t="inlineStr">
        <is>
          <t>1993-04-25</t>
        </is>
      </c>
      <c r="N321" t="inlineStr">
        <is>
          <t>France</t>
        </is>
      </c>
      <c r="O321">
        <f>(60+48+40)/3</f>
        <v/>
      </c>
      <c r="P321">
        <f>(70+70+65)/3</f>
        <v/>
      </c>
    </row>
    <row r="322">
      <c r="A322" t="inlineStr">
        <is>
          <t>Jesus</t>
        </is>
      </c>
      <c r="B322" t="inlineStr">
        <is>
          <t>Man City</t>
        </is>
      </c>
      <c r="C322" t="inlineStr">
        <is>
          <t>Forward</t>
        </is>
      </c>
      <c r="D322" t="n">
        <v>352</v>
      </c>
      <c r="E322" t="n">
        <v>8</v>
      </c>
      <c r="F322" t="n">
        <v>4</v>
      </c>
      <c r="G322" t="n">
        <v>1</v>
      </c>
      <c r="H322" t="n">
        <v>42</v>
      </c>
      <c r="I322" t="n">
        <v>33.3</v>
      </c>
      <c r="J322" t="n">
        <v>15956</v>
      </c>
      <c r="K322" t="inlineStr">
        <is>
          <t>{'marketValueHistory': [{'date': '04/10/2004', 'age': '18', 'clubName': 'Sevilla FC', 'clubID': '368', 'value': '€50k'}, {'date': '12/10/2004', 'age': '18', 'clubName': 'Sevilla FC', 'clubID': '368', 'value': '€1.50m'}, {'date': '15/11/2004', 'age': '18', 'clubName': 'Sevilla FC', 'clubID': '368', 'value': '€2.50m'}, {'date': '12/10/2006', 'age': '20', 'clubName': 'Sevilla FC', 'clubID': '368', 'value': '€3.50m'}, {'date': '31/01/2007', 'age': '21', 'clubName': 'Sevilla FC', 'clubID': '368', 'value': '€7.00m'}, {'date': '04/02/2008', 'age': '22', 'clubName': 'Sevilla FC', 'clubID': '368', 'value': '€9.00m'}, {'date': '04/04/2008', 'age': '22', 'clubName': 'Sevilla FC', 'clubID': '368', 'value': '€10.00m'}, {'date': '14/07/2008', 'age': '22', 'clubName': 'Sevilla FC', 'clubID': '368', 'value': '€10.00m'}, {'date': '15/10/2008', 'age': '22', 'clubName': 'Sevilla FC', 'clubID': '368', 'value': '€14.00m'}, {'date': '25/01/2009', 'age': '23', 'clubName': 'Sevilla FC', 'clubID': '368', 'value': '€17.00m'}, {'date': '22/07/2009', 'age': '23', 'clubName': 'Sevilla FC', 'clubID': '368', 'value': '€22.00m'}, {'date': '03/12/2009', 'age': '24', 'clubName': 'Sevilla FC', 'clubID': '368', 'value': '€25.00m'}, {'date': '12/04/2010', 'age': '24', 'clubName': 'Sevilla FC', 'clubID': '368', 'value': '€28.00m'}, {'date': '27/08/2010', 'age': '24', 'clubName': 'Sevilla FC', 'clubID': '368', 'value': '€30.00m'}, {'date': '04/02/2011', 'age': '25', 'clubName': 'Sevilla FC', 'clubID': '368', 'value': '€25.00m'}, {'date': '29/07/2011', 'age': '25', 'clubName': 'Sevilla FC', 'clubID': '368', 'value': '€24.00m'}, {'date': '03/02/2012', 'age': '26', 'clubName': 'Sevilla FC', 'clubID': '368', 'value': '€20.00m'}, {'date': '07/08/2012', 'age': '26', 'clubName': 'Sevilla FC', 'clubID': '368', 'value': '€20.00m'}, {'date': '11/01/2013', 'age': '27', 'clubName': 'Sevilla FC', 'clubID': '368', 'value': '€20.00m'}, {'date': '12/06/2013', 'age': '27', 'clubName': 'Sevilla FC', 'clubID': '368', 'value': '€20.00m'}, {'date': '15/01/2014', 'age': '28', 'clubName': 'Manchester City', 'clubID': '281', 'value': '€20.00m'}, {'date': '12/08/2014', 'age': '28', 'clubName': 'Manchester City', 'clubID': '281', 'value': '€20.00m'}, {'date': '12/02/2015', 'age': '29', 'clubName': 'Manchester City', 'clubID': '281', 'value': '€20.00m'}, {'date': '01/07/2015', 'age': '29', 'clubName': 'Manchester City', 'clubID': '281', 'value': '€20.00m'}, {'date': '09/02/2016', 'age': '30', 'clubName': 'Manchester City', 'clubID': '281', 'value': '€20.00m'}, {'date': '01/08/2016', 'age': '30', 'clubName': 'Manchester City', 'clubID': '281', 'value': '€20.00m'}, {'date': '20/02/2017', 'age': '31', 'clubName': 'Manchester City', 'clubID': '281', 'value': '€15.00m'}, {'date': '28/06/2017', 'age': '31', 'clubName': 'Manchester City', 'clubID': '281', 'value': '€12.00m'}, {'date': '17/08/2017', 'age': '31', 'clubName': 'Sevilla FC', 'clubID': '368', 'value': '€9.00m'}, {'date': '01/01/2018', 'age': '32', 'clubName': 'Sevilla FC', 'clubID': '368', 'value': '€6.00m'}, {'date': '30/05/2018', 'age': '32', 'clubName': 'Sevilla FC', 'clubID': '368', 'value': '€5.00m'}, {'date': '21/12/2018', 'age': '33', 'clubName': 'Sevilla FC', 'clubID': '368', 'value': '€4.00m'}, {'date': '11/06/2019', 'age': '33', 'clubName': 'Sevilla FC', 'clubID': '368', 'value': '€4.00m'}, {'date': '20/12/2019', 'age': '34', 'clubName': 'Sevilla FC', 'clubID': '368', 'value': '€4.00m'}, {'date': '08/04/2020', 'age': '34', 'clubName': 'Sevilla FC', 'clubID': '368', 'value': '€3.20m'}, {'date': '08/10/2020', 'age': '34', 'clubName': 'Sevilla FC', 'clubID': '368', 'value': '€3.00m'}, {'date': '05/01/2021', 'age': '35', 'clubName': 'Sevilla FC', 'clubID': '368', 'value': '€3.00m'}, {'date': '10/06/2021', 'age': '35', 'clubName': 'Sevilla FC', 'clubID': '368', 'value': '€3.00m'}, {'date': '30/12/2021', 'age': '36', 'clubName': 'Sevilla FC', 'clubID': '368', 'value': '€3.00m'}, {'date': '03/06/2022', 'age': '36', 'clubName': 'Sevilla FC', 'clubID': '368', 'value': '€3.00m'}, {'date': '07/11/2022', 'age': '36', 'clubName': 'Sevilla FC', 'clubID': '368', 'value': '€3.00m'}, {'date': '13/06/2023', 'age': '37', 'clubName': 'Sevilla FC', 'clubID': '368', 'value': '€3.00m'}, {'date': '22/12/2023', 'age': '38', 'clubName': 'Sevilla FC', 'clubID': '368', 'value': '€3.00m'}, {'date': '07/06/2024', 'age': '38', 'clubName': 'Sevilla FC', 'clubID': '368', 'value': '€2.50m'}, {'date': '27/12/2024', 'age': '39', 'clubName': 'Sevilla FC', 'clubID': '368', 'value': '€2.50m'}, {'date': '01/01/2025', 'age': '39', 'clubName': 'Retired', 'clubID': '123', 'value': '-'}]}</t>
        </is>
      </c>
      <c r="L322" t="inlineStr">
        <is>
          <t>Spain</t>
        </is>
      </c>
      <c r="M322" t="inlineStr">
        <is>
          <t>1985-11-21</t>
        </is>
      </c>
      <c r="N322" t="inlineStr">
        <is>
          <t>56</t>
        </is>
      </c>
      <c r="O322">
        <f>(3+3)/2</f>
        <v/>
      </c>
      <c r="P322">
        <f>(3+3+3)/3</f>
        <v/>
      </c>
    </row>
    <row r="323">
      <c r="A323" t="inlineStr">
        <is>
          <t>Brahim Diaz</t>
        </is>
      </c>
      <c r="B323" t="inlineStr">
        <is>
          <t>Milan</t>
        </is>
      </c>
      <c r="C323" t="inlineStr">
        <is>
          <t>Midfielder</t>
        </is>
      </c>
      <c r="D323" t="n">
        <v>351</v>
      </c>
      <c r="E323" t="n">
        <v>5</v>
      </c>
      <c r="F323" t="n">
        <v>1</v>
      </c>
      <c r="G323" t="n">
        <v>1</v>
      </c>
      <c r="H323" t="n">
        <v>43.9</v>
      </c>
      <c r="I323" t="n">
        <v>31</v>
      </c>
      <c r="J323" t="n">
        <v>314678</v>
      </c>
      <c r="K323" t="inlineStr">
        <is>
          <t>{'marketValueHistory': [{'date': 'Mar 23, 2018', 'age': '18', 'clubName': 'Manchester City', 'clubID': '281', 'value': '€2.50m'}, {'date': 'May 28, 2018', 'age': '18', 'clubName': 'Manchester City', 'clubID': '281', 'value': '€5.00m'}, {'date': 'Dec 19, 2018', 'age': '19', 'clubName': 'Manchester City', 'clubID': '281', 'value': '€5.00m'}, {'date': 'Feb 28, 2019', 'age': '19', 'clubName': 'Real Madrid', 'clubID': '418', 'value': '€17.00m'}, {'date': 'Jun 11, 2019', 'age': '19', 'clubName': 'Real Madrid', 'clubID': '418', 'value': '€17.00m'}, {'date': 'Dec 20, 2019', 'age': '20', 'clubName': 'Real Madrid', 'clubID': '418', 'value': '€15.00m'}, {'date': 'Apr 8, 2020', 'age': '20', 'clubName': 'Real Madrid', 'clubID': '418', 'value': '€13.50m'}, {'date': 'Oct 29, 2020', 'age': '21', 'clubName': 'AC Milan', 'clubID': '5', 'value': '€14.00m'}, {'date': 'Dec 29, 2020', 'age': '21', 'clubName': 'AC Milan', 'clubID': '5', 'value': '€14.00m'}, {'date': 'Jun 3, 2021', 'age': '21', 'clubName': 'AC Milan', 'clubID': '5', 'value': '€15.00m'}, {'date': 'Oct 14, 2021', 'age': '22', 'clubName': 'AC Milan', 'clubID': '5', 'value': '€23.00m'}, {'date': 'Dec 28, 2021', 'age': '22', 'clubName': 'AC Milan', 'clubID': '5', 'value': '€25.00m'}, {'date': 'Mar 15, 2022', 'age': '22', 'clubName': 'AC Milan', 'clubID': '5', 'value': '€22.00m'}, {'date': 'Jun 7, 2022', 'age': '22', 'clubName': 'AC Milan', 'clubID': '5', 'value': '€18.00m'}, {'date': 'Nov 11, 2022', 'age': '23', 'clubName': 'AC Milan', 'clubID': '5', 'value': '€20.00m'}, {'date': 'Jun 15, 2023', 'age': '23', 'clubName': 'AC Milan', 'clubID': '5', 'value': '€20.00m'}, {'date': 'Dec 22, 2023', 'age': '24', 'clubName': 'Real Madrid', 'clubID': '418', 'value': '€20.00m'}, {'date': 'Mar 21, 2024', 'age': '24', 'clubName': 'Real Madrid', 'clubID': '418', 'value': '€35.00m'}, {'date': 'Jun 7, 2024', 'age': '24', 'clubName': 'Real Madrid', 'clubID': '418', 'value': '€40.00m'}, {'date': 'Dec 27, 2024', 'age': '25', 'clubName': 'Real Madrid', 'clubID': '418', 'value': '€35.00m'}, {'date': 'Mar 21, 2025', 'age': '25', 'clubName': 'Real Madrid', 'clubID': '418', 'value': '€45.00m'}, {'date': 'Jun 9, 2025', 'age': '25', 'clubName': 'Real Madrid', 'clubID': '418', 'value': '€40.00m'}, {'date': 'Dec 12, 2025', 'age': '26', 'clubName': 'Real Madrid', 'clubID': '418', 'value': '€35.00m'}]}</t>
        </is>
      </c>
      <c r="L323" t="inlineStr">
        <is>
          <t>Spain</t>
        </is>
      </c>
      <c r="M323" t="inlineStr">
        <is>
          <t>1999-08-03</t>
        </is>
      </c>
      <c r="N323" t="inlineStr">
        <is>
          <t>Morocco</t>
        </is>
      </c>
      <c r="O323">
        <f>(22+18+20)/3</f>
        <v/>
      </c>
      <c r="P323">
        <f>(15+23+25)/3</f>
        <v/>
      </c>
    </row>
    <row r="324">
      <c r="A324" t="inlineStr">
        <is>
          <t>Joao Mario</t>
        </is>
      </c>
      <c r="B324" t="inlineStr">
        <is>
          <t>FC Porto</t>
        </is>
      </c>
      <c r="C324" t="inlineStr">
        <is>
          <t>Forward</t>
        </is>
      </c>
      <c r="D324" t="n">
        <v>351</v>
      </c>
      <c r="E324" t="n">
        <v>4</v>
      </c>
      <c r="F324" t="n">
        <v>0</v>
      </c>
      <c r="G324" t="n">
        <v>0</v>
      </c>
      <c r="H324" t="n">
        <v>39.3</v>
      </c>
      <c r="I324" t="n">
        <v>32.5</v>
      </c>
      <c r="J324" t="n">
        <v>149729</v>
      </c>
      <c r="K324" t="inlineStr">
        <is>
          <t>{'marketValueHistory': [{'date': 'Nov 10, 2012', 'age': '19', 'clubName': 'Sporting CP B', 'clubID': '10949', 'value': '€1.40m'}, {'date': 'Mar 28, 2013', 'age': '20', 'clubName': 'Sporting CP B', 'clubID': '10949', 'value': '€2.00m'}, {'date': 'Jul 25, 2014', 'age': '21', 'clubName': 'Sporting CP', 'clubID': '336', 'value': '€3.00m'}, {'date': 'Feb 17, 2015', 'age': '22', 'clubName': 'Sporting CP', 'clubID': '336', 'value': '€6.50m'}, {'date': 'Jul 1, 2015', 'age': '22', 'clubName': 'Sporting CP', 'clubID': '336', 'value': '€8.00m'}, {'date': 'Feb 24, 2016', 'age': '23', 'clubName': 'Sporting CP', 'clubID': '336', 'value': '€12.00m'}, {'date': 'Jun 1, 2016', 'age': '23', 'clubName': 'Sporting CP', 'clubID': '336', 'value': '€20.00m'}, {'date': 'Jul 29, 2016', 'age': '23', 'clubName': 'Sporting CP', 'clubID': '336', 'value': '€30.00m'}, {'date': 'Oct 14, 2016', 'age': '23', 'clubName': 'Inter Milan', 'clubID': '46', 'value': '€35.00m'}, {'date': 'Jan 2, 2017', 'age': '23', 'clubName': 'Inter Milan', 'clubID': '46', 'value': '€35.00m'}, {'date': 'Jun 8, 2017', 'age': '24', 'clubName': 'Inter Milan', 'clubID': '46', 'value': '€30.00m'}, {'date': 'Dec 29, 2017', 'age': '24', 'clubName': 'Inter Milan', 'clubID': '46', 'value': '€26.00m'}, {'date': 'May 28, 2018', 'age': '25', 'clubName': 'West Ham United', 'clubID': '379', 'value': '€25.00m'}, {'date': 'Jul 16, 2018', 'age': '25', 'clubName': 'Inter Milan', 'clubID': '46', 'value': '€23.00m'}, {'date': 'Oct 12, 2018', 'age': '25', 'clubName': 'Inter Milan', 'clubID': '46', 'value': '€20.00m'}, {'date': 'Dec 20, 2018', 'age': '25', 'clubName': 'Inter Milan', 'clubID': '46', 'value': '€20.00m'}, {'date': 'Jun 6, 2019', 'age': '26', 'clubName': 'Inter Milan', 'clubID': '46', 'value': '€18.00m'}, {'date': 'Dec 23, 2019', 'age': '26', 'clubName': 'Lokomotiv Moscow', 'clubID': '932', 'value': '€18.00m'}, {'date': 'Apr 8, 2020', 'age': '27', 'clubName': 'Lokomotiv Moscow', 'clubID': '932', 'value': '€14.50m'}, {'date': 'Jul 29, 2020', 'age': '27', 'clubName': 'Lokomotiv Moscow', 'clubID': '932', 'value': '€13.00m'}, {'date': 'Jan 28, 2021', 'age': '28', 'clubName': 'Sporting CP', 'clubID': '336', 'value': '€13.00m'}, {'date': 'May 21, 2021', 'age': '28', 'clubName': 'Sporting CP', 'clubID': '336', 'value': '€12.00m'}, {'date': 'Dec 27, 2021', 'age': '28', 'clubName': 'SL Benfica', 'clubID': '294', 'value': '€14.00m'}, {'date': 'Mar 10, 2022', 'age': '29', 'clubName': 'SL Benfica', 'clubID': '294', 'value': '€12.00m'}, {'date': 'May 31, 2022', 'age': '29', 'clubName': 'SL Benfica', 'clubID': '294', 'value': '€10.00m'}, {'date': 'Nov 1, 2022', 'age': '29', 'clubName': 'SL Benfica', 'clubID': '294', 'value': '€12.00m'}, {'date': 'Mar 2, 2023', 'age': '30', 'clubName': 'SL Benfica', 'clubID': '294', 'value': '€14.00m'}, {'date': 'Jun 16, 2023', 'age': '30', 'clubName': 'SL Benfica', 'clubID': '294', 'value': '€14.00m'}, {'date': 'Dec 27, 2023', 'age': '30', 'clubName': 'SL Benfica', 'clubID': '294', 'value': '€9.00m'}, {'date': 'Mar 8, 2024', 'age': '31', 'clubName': 'SL Benfica', 'clubID': '294', 'value': '€6.00m'}, {'date': 'Jun 6, 2024', 'age': '31', 'clubName': 'SL Benfica', 'clubID': '294', 'value': '€4.00m'}, {'date': 'Oct 4, 2024', 'age': '31', 'clubName': 'Besiktas JK', 'clubID': '114', 'value': '€3.80m'}, {'date': 'Dec 23, 2024', 'age': '31', 'clubName': 'Besiktas JK', 'clubID': '114', 'value': '€2.80m'}, {'date': 'Mar 20, 2025', 'age': '32', 'clubName': 'Besiktas JK', 'clubID': '114', 'value': '€2.30m'}, {'date': 'Jun 18, 2025', 'age': '32', 'clubName': 'Besiktas JK', 'clubID': '114', 'value': '€2.10m'}, {'date': 'Dec 12, 2025', 'age': '32', 'clubName': 'AEK Athens', 'clubID': '2441', 'value': '€1.80m'}]}</t>
        </is>
      </c>
      <c r="L324" t="inlineStr">
        <is>
          <t>Portugal</t>
        </is>
      </c>
      <c r="M324" t="inlineStr">
        <is>
          <t>1993-01-19</t>
        </is>
      </c>
      <c r="N324" t="inlineStr">
        <is>
          <t>Portugal</t>
        </is>
      </c>
      <c r="O324">
        <f>(12+10+12)/3</f>
        <v/>
      </c>
      <c r="P324">
        <f>(13+12+14)/3</f>
        <v/>
      </c>
    </row>
    <row r="325">
      <c r="A325" t="inlineStr">
        <is>
          <t>Fernando</t>
        </is>
      </c>
      <c r="B325" t="inlineStr">
        <is>
          <t>Shakhtar Donetsk</t>
        </is>
      </c>
      <c r="C325" t="inlineStr">
        <is>
          <t>Forward</t>
        </is>
      </c>
      <c r="D325" t="n">
        <v>350</v>
      </c>
      <c r="E325" t="n">
        <v>5</v>
      </c>
      <c r="F325" t="n">
        <v>2</v>
      </c>
      <c r="G325" t="n">
        <v>0</v>
      </c>
      <c r="H325" t="n">
        <v>34.8</v>
      </c>
      <c r="I325" t="n">
        <v>35</v>
      </c>
      <c r="J325" t="n">
        <v>7767</v>
      </c>
      <c r="K325" t="inlineStr">
        <is>
          <t>{'marketValueHistory': [{'date': '04/10/2004', 'age': '20', 'clubName': 'Atlético de Madrid', 'clubID': '13', 'value': '€16.50m'}, {'date': '29/11/2004', 'age': '20', 'clubName': 'Atlético de Madrid', 'clubID': '13', 'value': '€25.00m'}, {'date': '21/06/2007', 'age': '23', 'clubName': 'Atlético de Madrid', 'clubID': '13', 'value': '€30.00m'}, {'date': '02/08/2007', 'age': '23', 'clubName': 'Liverpool FC', 'clubID': '31', 'value': '€35.00m'}, {'date': '04/07/2008', 'age': '24', 'clubName': 'Liverpool FC', 'clubID': '31', 'value': '€40.00m'}, {'date': '23/02/2009', 'age': '24', 'clubName': 'Liverpool FC', 'clubID': '31', 'value': '€43.00m'}, {'date': '29/06/2009', 'age': '25', 'clubName': 'Liverpool FC', 'clubID': '31', 'value': '€45.00m'}, {'date': '25/01/2010', 'age': '25', 'clubName': 'Liverpool FC', 'clubID': '31', 'value': '€50.00m'}, {'date': '13/08/2010', 'age': '26', 'clubName': 'Liverpool FC', 'clubID': '31', 'value': '€50.00m'}, {'date': '01/02/2011', 'age': '26', 'clubName': 'Chelsea FC', 'clubID': '631', 'value': '€46.00m'}, {'date': '08/08/2011', 'age': '27', 'clubName': 'Chelsea FC', 'clubID': '631', 'value': '€42.00m'}, {'date': '06/02/2012', 'age': '27', 'clubName': 'Chelsea FC', 'clubID': '631', 'value': '€35.00m'}, {'date': '24/06/2012', 'age': '28', 'clubName': 'Chelsea FC', 'clubID': '631', 'value': '€35.00m'}, {'date': '28/01/2013', 'age': '28', 'clubName': 'Chelsea FC', 'clubID': '631', 'value': '€28.00m'}, {'date': '02/07/2013', 'age': '29', 'clubName': 'Chelsea FC', 'clubID': '631', 'value': '€23.00m'}, {'date': '15/01/2014', 'age': '29', 'clubName': 'Chelsea FC', 'clubID': '631', 'value': '€19.00m'}, {'date': '12/08/2014', 'age': '30', 'clubName': 'Chelsea FC', 'clubID': '631', 'value': '€12.00m'}, {'date': '08/11/2014', 'age': '30', 'clubName': 'AC Milan', 'clubID': '5', 'value': '€7.00m'}, {'date': '23/01/2015', 'age': '30', 'clubName': 'Atlético de Madrid', 'clubID': '13', 'value': '€7.00m'}, {'date': '01/07/2015', 'age': '31', 'clubName': 'Atlético de Madrid', 'clubID': '13', 'value': '€7.00m'}, {'date': '22/02/2016', 'age': '31', 'clubName': 'Atlético de Madrid', 'clubID': '13', 'value': '€7.00m'}, {'date': '15/07/2016', 'age': '32', 'clubName': 'Atlético de Madrid', 'clubID': '13', 'value': '€10.00m'}, {'date': '24/01/2017', 'age': '32', 'clubName': 'Atlético de Madrid', 'clubID': '13', 'value': '€6.00m'}, {'date': '05/06/2017', 'age': '33', 'clubName': 'Atlético de Madrid', 'clubID': '13', 'value': '€4.00m'}, {'date': '01/01/2018', 'age': '33', 'clubName': 'Atlético de Madrid', 'clubID': '13', 'value': '€4.00m'}, {'date': '30/05/2018', 'age': '34', 'clubName': 'Atlético de Madrid', 'clubID': '13', 'value': '€4.00m'}, {'date': '05/01/2019', 'age': '34', 'clubName': 'Sagan Tosu', 'clubID': '22177', 'value': '€3.50m'}, {'date': '27/06/2019', 'age': '35', 'clubName': 'Sagan Tosu', 'clubID': '22177', 'value': '€2.50m'}, {'date': '26/08/2019', 'age': '35', 'clubName': 'Retired', 'clubID': '123', 'value': '-'}]}</t>
        </is>
      </c>
      <c r="L325" t="inlineStr">
        <is>
          <t>Spain</t>
        </is>
      </c>
      <c r="M325" t="inlineStr">
        <is>
          <t>1984-03-20</t>
        </is>
      </c>
      <c r="N325" t="inlineStr">
        <is>
          <t>110</t>
        </is>
      </c>
    </row>
    <row r="326">
      <c r="A326" t="inlineStr">
        <is>
          <t>Lucas Vazquez</t>
        </is>
      </c>
      <c r="B326" t="inlineStr">
        <is>
          <t>Real Madrid</t>
        </is>
      </c>
      <c r="C326" t="inlineStr">
        <is>
          <t>Midfielder</t>
        </is>
      </c>
      <c r="D326" t="n">
        <v>349</v>
      </c>
      <c r="E326" t="n">
        <v>8</v>
      </c>
      <c r="F326" t="n">
        <v>0</v>
      </c>
      <c r="G326" t="n">
        <v>1</v>
      </c>
      <c r="H326" t="n">
        <v>47.5</v>
      </c>
      <c r="I326" t="n">
        <v>32.1</v>
      </c>
      <c r="J326" t="n">
        <v>221316</v>
      </c>
      <c r="K326" t="inlineStr">
        <is>
          <t>{'marketValueHistory': [{'date': 'Aug 19, 2012', 'age': '21', 'clubName': 'Real Madrid Castilla', 'clubID': '6767', 'value': '€400k'}, {'date': 'Jan 22, 2013', 'age': '21', 'clubName': 'Real Madrid Castilla', 'clubID': '6767', 'value': '€400k'}, {'date': 'May 9, 2013', 'age': '21', 'clubName': 'Real Madrid Castilla', 'clubID': '6767', 'value': '€600k'}, {'date': 'Oct 8, 2013', 'age': '22', 'clubName': 'Real Madrid Castilla', 'clubID': '6767', 'value': '€600k'}, {'date': 'Feb 6, 2014', 'age': '22', 'clubName': 'Real Madrid Castilla', 'clubID': '6767', 'value': '€1.00m'}, {'date': 'Jul 12, 2014', 'age': '23', 'clubName': 'Real Madrid Castilla', 'clubID': '6767', 'value': '-'}, {'date': 'Oct 23, 2014', 'age': '23', 'clubName': 'RCD Espanyol Barcelona', 'clubID': '714', 'value': '€2.00m'}, {'date': 'Jan 23, 2015', 'age': '23', 'clubName': 'RCD Espanyol Barcelona', 'clubID': '714', 'value': '€3.00m'}, {'date': 'Apr 9, 2015', 'age': '23', 'clubName': 'RCD Espanyol Barcelona', 'clubID': '714', 'value': '€4.00m'}, {'date': 'Jul 1, 2015', 'age': '24', 'clubName': 'RCD Espanyol Barcelona', 'clubID': '714', 'value': '€5.00m'}, {'date': 'Feb 22, 2016', 'age': '24', 'clubName': 'Real Madrid', 'clubID': '418', 'value': '€5.00m'}, {'date': 'Apr 7, 2016', 'age': '24', 'clubName': 'Real Madrid', 'clubID': '418', 'value': '€7.50m'}, {'date': 'Jun 1, 2016', 'age': '24', 'clubName': 'Real Madrid', 'clubID': '418', 'value': '€10.00m'}, {'date': 'Jul 15, 2016', 'age': '25', 'clubName': 'Real Madrid', 'clubID': '418', 'value': '€10.00m'}, {'date': 'Jan 24, 2017', 'age': '25', 'clubName': 'Real Madrid', 'clubID': '418', 'value': '€15.00m'}, {'date': 'Jun 5, 2017', 'age': '25', 'clubName': 'Real Madrid', 'clubID': '418', 'value': '€15.00m'}, {'date': 'Jan 1, 2018', 'age': '26', 'clubName': 'Real Madrid', 'clubID': '418', 'value': '€15.00m'}, {'date': 'Mar 22, 2018', 'age': '26', 'clubName': 'Real Madrid', 'clubID': '418', 'value': '€25.00m'}, {'date': 'May 30, 2018', 'age': '26', 'clubName': 'Real Madrid', 'clubID': '418', 'value': '€25.00m'}, {'date': 'Dec 21, 2018', 'age': '27', 'clubName': 'Real Madrid', 'clubID': '418', 'value': '€25.00m'}, {'date': 'Jun 11, 2019', 'age': '27', 'clubName': 'Real Madrid', 'clubID': '418', 'value': '€25.00m'}, {'date': 'Dec 20, 2019', 'age': '28', 'clubName': 'Real Madrid', 'clubID': '418', 'value': '€20.00m'}, {'date': 'Apr 8, 2020', 'age': '28', 'clubName': 'Real Madrid', 'clubID': '418', 'value': '€16.00m'}, {'date': 'Oct 8, 2020', 'age': '29', 'clubName': 'Real Madrid', 'clubID': '418', 'value': '€10.00m'}, {'date': 'Jan 5, 2021', 'age': '29', 'clubName': 'Real Madrid', 'clubID': '418', 'value': '€15.00m'}, {'date': 'Jun 10, 2021', 'age': '29', 'clubName': 'Real Madrid', 'clubID': '418', 'value': '€15.00m'}, {'date': 'Dec 30, 2021', 'age': '30', 'clubName': 'Real Madrid', 'clubID': '418', 'value': '€12.00m'}, {'date': 'Jun 3, 2022', 'age': '30', 'clubName': 'Real Madrid', 'clubID': '418', 'value': '€12.00m'}, {'date': 'Nov 7, 2022', 'age': '31', 'clubName': 'Real Madrid', 'clubID': '418', 'value': '€9.00m'}, {'date': 'Jun 13, 2023', 'age': '31', 'clubName': 'Real Madrid', 'clubID': '418', 'value': '€8.00m'}, {'date': 'Oct 13, 2023', 'age': '32', 'clubName': 'Real Madrid', 'clubID': '418', 'value': '€6.00m'}, {'date': 'Dec 22, 2023', 'age': '32', 'clubName': 'Real Madrid', 'clubID': '418', 'value': '€5.00m'}, {'date': 'Jun 7, 2024', 'age': '32', 'clubName': 'Real Madrid', 'clubID': '418', 'value': '€4.00m'}, {'date': 'Dec 27, 2024', 'age': '33', 'clubName': 'Real Madrid', 'clubID': '418', 'value': '€3.50m'}, {'date': 'Jun 9, 2025', 'age': '33', 'clubName': 'Real Madrid', 'clubID': '418', 'value': '€3.00m'}, {'date': 'Dec 19, 2025', 'age': '34', 'clubName': 'Bayer 04 Leverkusen', 'clubID': '15', 'value': '€2.50m'}]}</t>
        </is>
      </c>
      <c r="L326" t="inlineStr">
        <is>
          <t>Spain</t>
        </is>
      </c>
      <c r="M326" t="inlineStr">
        <is>
          <t>1991-07-01</t>
        </is>
      </c>
      <c r="N326" t="inlineStr">
        <is>
          <t>Spain</t>
        </is>
      </c>
      <c r="O326">
        <f>(12+9)/2</f>
        <v/>
      </c>
      <c r="P326">
        <f>(15+15+12)/3</f>
        <v/>
      </c>
    </row>
    <row r="327">
      <c r="A327" t="inlineStr">
        <is>
          <t>Pepe</t>
        </is>
      </c>
      <c r="B327" t="inlineStr">
        <is>
          <t>FC Porto</t>
        </is>
      </c>
      <c r="C327" t="inlineStr">
        <is>
          <t>Defender</t>
        </is>
      </c>
      <c r="D327" t="n">
        <v>349</v>
      </c>
      <c r="E327" t="n">
        <v>5</v>
      </c>
      <c r="F327" t="n">
        <v>0</v>
      </c>
      <c r="G327" t="n">
        <v>0</v>
      </c>
      <c r="H327" t="n">
        <v>39.8</v>
      </c>
      <c r="I327" t="n">
        <v>32.6</v>
      </c>
      <c r="J327" t="n">
        <v>7825</v>
      </c>
      <c r="K327" t="inlineStr">
        <is>
          <t>{'marketValueHistory': [{'date': '18/10/2004', 'age': '22', 'clubName': 'Villarreal CF', 'clubID': '1050', 'value': '€4.50m'}, {'date': '05/08/2005', 'age': '22', 'clubName': 'Liverpool FC', 'clubID': '31', 'value': '€8.00m'}, {'date': '29/10/2005', 'age': '23', 'clubName': 'Liverpool FC', 'clubID': '31', 'value': '€9.00m'}, {'date': '14/06/2006', 'age': '23', 'clubName': 'Liverpool FC', 'clubID': '31', 'value': '€11.00m'}, {'date': '25/04/2007', 'age': '24', 'clubName': 'Liverpool FC', 'clubID': '31', 'value': '€11.70m'}, {'date': '01/09/2007', 'age': '25', 'clubName': 'Liverpool FC', 'clubID': '31', 'value': '€11.50m'}, {'date': '04/02/2008', 'age': '25', 'clubName': 'Liverpool FC', 'clubID': '31', 'value': '€13.00m'}, {'date': '04/07/2008', 'age': '25', 'clubName': 'Liverpool FC', 'clubID': '31', 'value': '€15.00m'}, {'date': '23/02/2009', 'age': '26', 'clubName': 'Liverpool FC', 'clubID': '31', 'value': '€17.00m'}, {'date': '29/06/2009', 'age': '26', 'clubName': 'Liverpool FC', 'clubID': '31', 'value': '€19.00m'}, {'date': '25/01/2010', 'age': '27', 'clubName': 'Liverpool FC', 'clubID': '31', 'value': '€20.00m'}, {'date': '13/08/2010', 'age': '27', 'clubName': 'Liverpool FC', 'clubID': '31', 'value': '€22.00m'}, {'date': '01/02/2011', 'age': '28', 'clubName': 'Liverpool FC', 'clubID': '31', 'value': '€22.00m'}, {'date': '08/08/2011', 'age': '28', 'clubName': 'Liverpool FC', 'clubID': '31', 'value': '€22.00m'}, {'date': '06/02/2012', 'age': '29', 'clubName': 'Liverpool FC', 'clubID': '31', 'value': '€19.00m'}, {'date': '24/06/2012', 'age': '29', 'clubName': 'Liverpool FC', 'clubID': '31', 'value': '€16.00m'}, {'date': '28/01/2013', 'age': '30', 'clubName': 'Liverpool FC', 'clubID': '31', 'value': '€10.00m'}, {'date': '02/07/2013', 'age': '30', 'clubName': 'Liverpool FC', 'clubID': '31', 'value': '€10.00m'}, {'date': '07/01/2014', 'age': '31', 'clubName': 'SSC Napoli', 'clubID': '6195', 'value': '€10.00m'}, {'date': '11/07/2014', 'age': '31', 'clubName': 'Liverpool FC', 'clubID': '31', 'value': '€9.00m'}, {'date': '04/02/2015', 'age': '32', 'clubName': 'Bayern Munich', 'clubID': '27', 'value': '€4.00m'}, {'date': '01/07/2015', 'age': '32', 'clubName': 'SSC Napoli', 'clubID': '6195', 'value': '€3.00m'}, {'date': '04/01/2016', 'age': '33', 'clubName': 'SSC Napoli', 'clubID': '6195', 'value': '€3.00m'}, {'date': '15/07/2016', 'age': '33', 'clubName': 'SSC Napoli', 'clubID': '6195', 'value': '€3.00m'}, {'date': '02/01/2017', 'age': '34', 'clubName': 'SSC Napoli', 'clubID': '6195', 'value': '€3.00m'}, {'date': '08/06/2017', 'age': '34', 'clubName': 'SSC Napoli', 'clubID': '6195', 'value': '€2.00m'}, {'date': '29/12/2017', 'age': '35', 'clubName': 'SSC Napoli', 'clubID': '6195', 'value': '€2.00m'}, {'date': '07/06/2018', 'age': '35', 'clubName': 'SSC Napoli', 'clubID': '6195', 'value': '€1.00m'}, {'date': '20/12/2018', 'age': '36', 'clubName': 'AC Milan', 'clubID': '5', 'value': '€1.00m'}, {'date': '06/06/2019', 'age': '36', 'clubName': 'AC Milan', 'clubID': '5', 'value': '€1.00m'}, {'date': '12/12/2019', 'age': '37', 'clubName': 'AC Milan', 'clubID': '5', 'value': '€800k'}, {'date': '08/04/2020', 'age': '37', 'clubName': 'Aston Villa', 'clubID': '405', 'value': '€650k'}, {'date': '25/08/2020', 'age': '37', 'clubName': 'AC Milan', 'clubID': '5', 'value': '€800k'}, {'date': '29/12/2020', 'age': '38', 'clubName': 'SS Lazio', 'clubID': '398', 'value': '€800k'}, {'date': '03/06/2021', 'age': '38', 'clubName': 'SS Lazio', 'clubID': '398', 'value': '€800k'}, {'date': '28/12/2021', 'age': '39', 'clubName': 'SS Lazio', 'clubID': '398', 'value': '€800k'}, {'date': '07/06/2022', 'age': '39', 'clubName': 'SS Lazio', 'clubID': '398', 'value': '€700k'}, {'date': '07/11/2022', 'age': '40', 'clubName': 'Villarreal CF', 'clubID': '1050', 'value': '€700k'}, {'date': '13/06/2023', 'age': '40', 'clubName': 'Villarreal CF', 'clubID': '1050', 'value': '€700k'}, {'date': '22/12/2023', 'age': '41', 'clubName': 'Villarreal CF', 'clubID': '1050', 'value': '€700k'}, {'date': '07/06/2024', 'age': '41', 'clubName': 'Villarreal CF', 'clubID': '1050', 'value': '€600k'}, {'date': '18/12/2024', 'age': '42', 'clubName': 'Como 1907', 'clubID': '1047', 'value': '€600k'}, {'date': '17/06/2025', 'age': '42', 'clubName': 'Como 1907', 'clubID': '1047', 'value': '€500k'}, {'date': '01/07/2025', 'age': '42', 'clubName': 'Retired', 'clubID': '123', 'value': '-'}]}</t>
        </is>
      </c>
      <c r="L327" t="inlineStr">
        <is>
          <t>Spain</t>
        </is>
      </c>
      <c r="M327" t="inlineStr">
        <is>
          <t>1982-08-31</t>
        </is>
      </c>
      <c r="N327" t="inlineStr">
        <is>
          <t>36</t>
        </is>
      </c>
      <c r="O327">
        <f>(0.7+0.7)/2</f>
        <v/>
      </c>
      <c r="P327">
        <f>(0.8+0.8)/2</f>
        <v/>
      </c>
    </row>
    <row r="328">
      <c r="A328" t="inlineStr">
        <is>
          <t>Fernandinho</t>
        </is>
      </c>
      <c r="B328" t="inlineStr">
        <is>
          <t>Man City</t>
        </is>
      </c>
      <c r="C328" t="inlineStr">
        <is>
          <t>Midfielder</t>
        </is>
      </c>
      <c r="D328" t="n">
        <v>347</v>
      </c>
      <c r="E328" t="n">
        <v>8</v>
      </c>
      <c r="F328" t="n">
        <v>0</v>
      </c>
      <c r="G328" t="n">
        <v>2</v>
      </c>
      <c r="H328" t="n">
        <v>44.3</v>
      </c>
      <c r="I328" t="n">
        <v>30.5</v>
      </c>
      <c r="J328" t="n">
        <v>26267</v>
      </c>
      <c r="K328" t="inlineStr">
        <is>
          <t>{'marketValueHistory': [{'date': '19/10/2004', 'age': '19', 'clubName': 'Atlético Paranaense', 'clubID': '679', 'value': '€500k'}, {'date': '15/07/2005', 'age': '20', 'clubName': 'Atlético Paranaense', 'clubID': '679', 'value': '€4.00m'}, {'date': '07/10/2007', 'age': '22', 'clubName': 'Shakhtar Donetsk', 'clubID': '660', 'value': '€7.50m'}, {'date': '12/03/2008', 'age': '22', 'clubName': 'Shakhtar Donetsk', 'clubID': '660', 'value': '€9.50m'}, {'date': '13/09/2008', 'age': '23', 'clubName': 'Shakhtar Donetsk', 'clubID': '660', 'value': '€13.50m'}, {'date': '14/12/2008', 'age': '23', 'clubName': 'Shakhtar Donetsk', 'clubID': '660', 'value': '€10.00m'}, {'date': '04/02/2009', 'age': '23', 'clubName': 'Shakhtar Donetsk', 'clubID': '660', 'value': '€10.00m'}, {'date': '25/05/2009', 'age': '24', 'clubName': 'Shakhtar Donetsk', 'clubID': '660', 'value': '€13.00m'}, {'date': '23/09/2009', 'age': '24', 'clubName': 'Shakhtar Donetsk', 'clubID': '660', 'value': '€12.00m'}, {'date': '16/02/2010', 'age': '24', 'clubName': 'Shakhtar Donetsk', 'clubID': '660', 'value': '€12.00m'}, {'date': '28/08/2010', 'age': '25', 'clubName': 'Shakhtar Donetsk', 'clubID': '660', 'value': '€12.00m'}, {'date': '02/01/2011', 'age': '25', 'clubName': 'Shakhtar Donetsk', 'clubID': '660', 'value': '€11.00m'}, {'date': '05/01/2012', 'age': '26', 'clubName': 'Shakhtar Donetsk', 'clubID': '660', 'value': '€12.00m'}, {'date': '21/11/2012', 'age': '27', 'clubName': 'Shakhtar Donetsk', 'clubID': '660', 'value': '€14.00m'}, {'date': '17/06/2013', 'age': '28', 'clubName': 'Shakhtar Donetsk', 'clubID': '660', 'value': '€32.00m'}, {'date': '15/01/2014', 'age': '28', 'clubName': 'Manchester City', 'clubID': '281', 'value': '€32.00m'}, {'date': '12/08/2014', 'age': '29', 'clubName': 'Manchester City', 'clubID': '281', 'value': '€32.00m'}, {'date': '12/02/2015', 'age': '29', 'clubName': 'Manchester City', 'clubID': '281', 'value': '€28.00m'}, {'date': '01/07/2015', 'age': '30', 'clubName': 'Manchester City', 'clubID': '281', 'value': '€28.00m'}, {'date': '09/02/2016', 'age': '30', 'clubName': 'Manchester City', 'clubID': '281', 'value': '€28.00m'}, {'date': '01/08/2016', 'age': '31', 'clubName': 'Manchester City', 'clubID': '281', 'value': '€28.00m'}, {'date': '20/02/2017', 'age': '31', 'clubName': 'Manchester City', 'clubID': '281', 'value': '€25.00m'}, {'date': '28/06/2017', 'age': '32', 'clubName': 'Manchester City', 'clubID': '281', 'value': '€18.00m'}, {'date': '02/01/2018', 'age': '32', 'clubName': 'Manchester City', 'clubID': '281', 'value': '€15.00m'}, {'date': '28/05/2018', 'age': '33', 'clubName': 'Manchester City', 'clubID': '281', 'value': '€15.00m'}, {'date': '19/12/2018', 'age': '33', 'clubName': 'Manchester City', 'clubID': '281', 'value': '€15.00m'}, {'date': '13/06/2019', 'age': '34', 'clubName': 'Manchester City', 'clubID': '281', 'value': '€12.00m'}, {'date': '10/12/2019', 'age': '34', 'clubName': 'Manchester City', 'clubID': '281', 'value': '€10.00m'}, {'date': '08/04/2020', 'age': '34', 'clubName': 'Manchester City', 'clubID': '281', 'value': '€8.00m'}, {'date': '13/10/2020', 'age': '35', 'clubName': 'Manchester City', 'clubID': '281', 'value': '€4.00m'}, {'date': '18/03/2021', 'age': '35', 'clubName': 'Manchester City', 'clubID': '281', 'value': '€2.50m'}, {'date': '08/06/2021', 'age': '36', 'clubName': 'Manchester City', 'clubID': '281', 'value': '€2.00m'}, {'date': '23/12/2021', 'age': '36', 'clubName': 'Manchester City', 'clubID': '281', 'value': '€2.00m'}, {'date': '15/06/2022', 'age': '37', 'clubName': 'Manchester City', 'clubID': '281', 'value': '€1.50m'}, {'date': '19/08/2022', 'age': '37', 'clubName': 'Club Athletico Paranaense', 'clubID': '679', 'value': '€1.50m'}, {'date': '14/11/2022', 'age': '37', 'clubName': 'Club Athletico Paranaense', 'clubID': '679', 'value': '€1.00m'}, {'date': '07/04/2023', 'age': '37', 'clubName': 'Club Athletico Paranaense', 'clubID': '679', 'value': '€800k'}, {'date': '25/07/2023', 'age': '38', 'clubName': 'Club Athletico Paranaense', 'clubID': '679', 'value': '€600k'}, {'date': '11/12/2023', 'age': '38', 'clubName': 'Club Athletico Paranaense', 'clubID': '679', 'value': '€500k'}, {'date': '28/03/2024', 'age': '38', 'clubName': 'Club Athletico Paranaense', 'clubID': '679', 'value': '€450k'}, {'date': '17/06/2024', 'age': '39', 'clubName': 'Club Athletico Paranaense', 'clubID': '679', 'value': '€400k'}, {'date': '09/12/2024', 'age': '39', 'clubName': 'Club Athletico Paranaense', 'clubID': '679', 'value': '€300k'}, {'date': '04/04/2025', 'age': '39', 'clubName': 'Without Club', 'clubID': '515', 'value': '€250k'}, {'date': '20/11/2025', 'age': '40', 'clubName': 'Retired', 'clubID': '123', 'value': '-'}]}</t>
        </is>
      </c>
      <c r="L328" t="inlineStr">
        <is>
          <t>Brazil</t>
        </is>
      </c>
      <c r="M328" t="inlineStr">
        <is>
          <t>1985-05-04</t>
        </is>
      </c>
      <c r="N328" t="inlineStr">
        <is>
          <t>Brazil</t>
        </is>
      </c>
      <c r="O328">
        <f>(1.5+1.5+1)/3</f>
        <v/>
      </c>
      <c r="P328">
        <f>(2.5+2+2)/3</f>
        <v/>
      </c>
    </row>
    <row r="329">
      <c r="A329" t="inlineStr">
        <is>
          <t>Luis Suarez</t>
        </is>
      </c>
      <c r="B329" t="inlineStr">
        <is>
          <t>Atletico de Madrid</t>
        </is>
      </c>
      <c r="C329" t="inlineStr">
        <is>
          <t>Forward</t>
        </is>
      </c>
      <c r="D329" t="n">
        <v>347</v>
      </c>
      <c r="E329" t="n">
        <v>7</v>
      </c>
      <c r="F329" t="n">
        <v>1</v>
      </c>
      <c r="G329" t="n">
        <v>0</v>
      </c>
      <c r="H329" t="n">
        <v>38.7</v>
      </c>
      <c r="I329" t="n">
        <v>29.7</v>
      </c>
      <c r="J329" t="n">
        <v>44352</v>
      </c>
      <c r="K329" t="inlineStr">
        <is>
          <t>{'marketValueHistory': [{'date': 'Sep 29, 2006', 'age': '19', 'clubName': 'FC Groningen', 'clubID': '202', 'value': '€250k'}, {'date': 'Jan 22, 2007', 'age': '19', 'clubName': 'FC Groningen', 'clubID': '202', 'value': '€1.00m'}, {'date': 'Aug 10, 2007', 'age': '20', 'clubName': 'Ajax Amsterdam', 'clubID': '610', 'value': '€7.50m'}, {'date': 'Jan 7, 2008', 'age': '20', 'clubName': 'Ajax Amsterdam', 'clubID': '610', 'value': '€8.50m'}, {'date': 'Jul 18, 2008', 'age': '21', 'clubName': 'Ajax Amsterdam', 'clubID': '610', 'value': '€10.00m'}, {'date': 'Jan 8, 2009', 'age': '21', 'clubName': 'Ajax Amsterdam', 'clubID': '610', 'value': '€13.00m'}, {'date': 'May 22, 2009', 'age': '22', 'clubName': 'Ajax Amsterdam', 'clubID': '610', 'value': '€15.00m'}, {'date': 'Dec 30, 2009', 'age': '22', 'clubName': 'Ajax Amsterdam', 'clubID': '610', 'value': '€20.00m'}, {'date': 'Aug 1, 2010', 'age': '23', 'clubName': 'Ajax Amsterdam', 'clubID': '610', 'value': '€25.00m'}, {'date': 'Feb 6, 2012', 'age': '25', 'clubName': 'Liverpool FC', 'clubID': '31', 'value': '€28.00m'}, {'date': 'Jun 24, 2012', 'age': '25', 'clubName': 'Liverpool FC', 'clubID': '31', 'value': '€29.00m'}, {'date': 'Jan 28, 2013', 'age': '26', 'clubName': 'Liverpool FC', 'clubID': '31', 'value': '€36.00m'}, {'date': 'Jul 2, 2013', 'age': '26', 'clubName': 'Liverpool FC', 'clubID': '31', 'value': '€42.00m'}, {'date': 'Jan 15, 2014', 'age': '26', 'clubName': 'Liverpool FC', 'clubID': '31', 'value': '€52.00m'}, {'date': 'Jul 20, 2014', 'age': '27', 'clubName': 'FC Barcelona', 'clubID': '131', 'value': '€60.00m'}, {'date': 'Jan 23, 2015', 'age': '27', 'clubName': 'FC Barcelona', 'clubID': '131', 'value': '€60.00m'}, {'date': 'Jul 1, 2015', 'age': '28', 'clubName': 'FC Barcelona', 'clubID': '131', 'value': '€80.00m'}, {'date': 'Nov 22, 2015', 'age': '28', 'clubName': 'FC Barcelona', 'clubID': '131', 'value': '€90.00m'}, {'date': 'Feb 22, 2016', 'age': '29', 'clubName': 'FC Barcelona', 'clubID': '131', 'value': '€90.00m'}, {'date': 'Jul 15, 2016', 'age': '29', 'clubName': 'FC Barcelona', 'clubID': '131', 'value': '€90.00m'}, {'date': 'Jan 24, 2017', 'age': '30', 'clubName': 'FC Barcelona', 'clubID': '131', 'value': '€90.00m'}, {'date': 'Jun 5, 2017', 'age': '30', 'clubName': 'FC Barcelona', 'clubID': '131', 'value': '€90.00m'}, {'date': 'Jan 1, 2018', 'age': '30', 'clubName': 'FC Barcelona', 'clubID': '131', 'value': '€85.00m'}, {'date': 'May 30, 2018', 'age': '31', 'clubName': 'FC Barcelona', 'clubID': '131', 'value': '€70.00m'}, {'date': 'Dec 21, 2018', 'age': '31', 'clubName': 'FC Barcelona', 'clubID': '131', 'value': '€60.00m'}, {'date': 'Jun 11, 2019', 'age': '32', 'clubName': 'FC Barcelona', 'clubID': '131', 'value': '€50.00m'}, {'date': 'Dec 20, 2019', 'age': '32', 'clubName': 'FC Barcelona', 'clubID': '131', 'value': '€40.00m'}, {'date': 'Mar 5, 2020', 'age': '33', 'clubName': 'FC Barcelona', 'clubID': '131', 'value': '€35.00m'}, {'date': 'Apr 8, 2020', 'age': '33', 'clubName': 'FC Barcelona', 'clubID': '131', 'value': '€28.00m'}, {'date': 'Oct 8, 2020', 'age': '33', 'clubName': 'Atlético de Madrid', 'clubID': '13', 'value': '€18.00m'}, {'date': 'Jan 5, 2021', 'age': '33', 'clubName': 'Atlético de Madrid', 'clubID': '13', 'value': '€15.00m'}, {'date': 'Jun 10, 2021', 'age': '34', 'clubName': 'Atlético de Madrid', 'clubID': '13', 'value': '€15.00m'}, {'date': 'Dec 30, 2021', 'age': '34', 'clubName': 'Atlético de Madrid', 'clubID': '13', 'value': '€10.00m'}, {'date': 'Jun 3, 2022', 'age': '35', 'clubName': 'Atlético de Madrid', 'clubID': '13', 'value': '€8.00m'}, {'date': 'Nov 12, 2022', 'age': '35', 'clubName': 'Club Nacional', 'clubID': '866', 'value': '€4.00m'}, {'date': 'Apr 7, 2023', 'age': '36', 'clubName': 'Grêmio Foot-Ball Porto Alegrense', 'clubID': '210', 'value': '€4.00m'}, {'date': 'Jul 25, 2023', 'age': '36', 'clubName': 'Grêmio Foot-Ball Porto Alegrense', 'clubID': '210', 'value': '€4.00m'}, {'date': 'Dec 11, 2023', 'age': '36', 'clubName': 'Grêmio Foot-Ball Porto Alegrense', 'clubID': '210', 'value': '€4.00m'}, {'date': 'Jun 13, 2024', 'age': '37', 'clubName': 'Inter Miami CF', 'clubID': '69261', 'value': '€3.00m'}, {'date': 'Dec 12, 2024', 'age': '37', 'clubName': 'Inter Miami CF', 'clubID': '69261', 'value': '€2.80m'}, {'date': 'Apr 17, 2025', 'age': '38', 'clubName': 'Inter Miami CF', 'clubID': '69261', 'value': '€2.00m'}, {'date': 'Jun 5, 2025', 'age': '38', 'clubName': 'Inter Miami CF', 'clubID': '69261', 'value': '€1.80m'}, {'date': 'Dec 11, 2025', 'age': '38', 'clubName': 'Inter Miami CF', 'clubID': '69261', 'value': '€1.50m'}]}</t>
        </is>
      </c>
      <c r="L329" t="inlineStr">
        <is>
          <t>Uruguay</t>
        </is>
      </c>
      <c r="M329" t="inlineStr">
        <is>
          <t>1987-01-24</t>
        </is>
      </c>
      <c r="N329" t="inlineStr">
        <is>
          <t>Uruguay</t>
        </is>
      </c>
      <c r="O329">
        <f>(8+4)/2</f>
        <v/>
      </c>
      <c r="P329">
        <f>(15+15+10)/3</f>
        <v/>
      </c>
    </row>
    <row r="330">
      <c r="A330" t="inlineStr">
        <is>
          <t>Pogba</t>
        </is>
      </c>
      <c r="B330" t="inlineStr">
        <is>
          <t>Man United</t>
        </is>
      </c>
      <c r="C330" t="inlineStr">
        <is>
          <t>Midfielder</t>
        </is>
      </c>
      <c r="D330" t="n">
        <v>347</v>
      </c>
      <c r="E330" t="n">
        <v>6</v>
      </c>
      <c r="F330" t="n">
        <v>0</v>
      </c>
      <c r="G330" t="n">
        <v>0</v>
      </c>
      <c r="H330" t="n">
        <v>30.9</v>
      </c>
      <c r="I330" t="n">
        <v>30</v>
      </c>
      <c r="J330" t="n">
        <v>122153</v>
      </c>
      <c r="K330" t="inlineStr">
        <is>
          <t>{'marketValueHistory': [{'date': 'Apr 21, 2012', 'age': '19', 'clubName': 'Manchester United Reserves', 'clubID': '9251', 'value': '€3.50m'}, {'date': 'Jun 24, 2012', 'age': '19', 'clubName': 'Manchester United Reserves', 'clubID': '9251', 'value': '€3.50m'}, {'date': 'Nov 7, 2012', 'age': '19', 'clubName': 'Juventus FC', 'clubID': '506', 'value': '€6.00m'}, {'date': 'Jan 15, 2013', 'age': '19', 'clubName': 'Juventus FC', 'clubID': '506', 'value': '€8.00m'}, {'date': 'Feb 12, 2013', 'age': '19', 'clubName': 'Juventus FC', 'clubID': '506', 'value': '€10.00m'}, {'date': 'Apr 9, 2013', 'age': '20', 'clubName': 'Juventus FC', 'clubID': '506', 'value': '€12.50m'}, {'date': 'Jun 19, 2013', 'age': '20', 'clubName': 'Juventus FC', 'clubID': '506', 'value': '€18.00m'}, {'date': 'Sep 25, 2013', 'age': '20', 'clubName': 'Juventus FC', 'clubID': '506', 'value': '€25.00m'}, {'date': 'Jan 7, 2014', 'age': '20', 'clubName': 'Juventus FC', 'clubID': '506', 'value': '€34.00m'}, {'date': 'Mar 10, 2014', 'age': '20', 'clubName': 'Juventus FC', 'clubID': '506', 'value': '€45.00m'}, {'date': 'Jul 11, 2014', 'age': '21', 'clubName': 'Juventus FC', 'clubID': '506', 'value': '€45.00m'}, {'date': 'Jan 7, 2015', 'age': '21', 'clubName': 'Juventus FC', 'clubID': '506', 'value': '€50.00m'}, {'date': 'Jul 1, 2015', 'age': '22', 'clubName': 'Juventus FC', 'clubID': '506', 'value': '€55.00m'}, {'date': 'Jan 4, 2016', 'age': '22', 'clubName': 'Juventus FC', 'clubID': '506', 'value': '€55.00m'}, {'date': 'Apr 1, 2016', 'age': '23', 'clubName': 'Juventus FC', 'clubID': '506', 'value': '€65.00m'}, {'date': 'Jun 1, 2016', 'age': '23', 'clubName': 'Juventus FC', 'clubID': '506', 'value': '€70.00m'}, {'date': 'Jul 15, 2016', 'age': '23', 'clubName': 'Juventus FC', 'clubID': '506', 'value': '€70.00m'}, {'date': 'Oct 24, 2016', 'age': '23', 'clubName': 'Manchester United', 'clubID': '985', 'value': '€80.00m'}, {'date': 'Feb 20, 2017', 'age': '23', 'clubName': 'Manchester United', 'clubID': '985', 'value': '€80.00m'}, {'date': 'Jun 28, 2017', 'age': '24', 'clubName': 'Manchester United', 'clubID': '985', 'value': '€75.00m'}, {'date': 'Jan 2, 2018', 'age': '24', 'clubName': 'Manchester United', 'clubID': '985', 'value': '€90.00m'}, {'date': 'May 28, 2018', 'age': '25', 'clubName': 'Manchester United', 'clubID': '985', 'value': '€90.00m'}, {'date': 'Dec 19, 2018', 'age': '25', 'clubName': 'Manchester United', 'clubID': '985', 'value': '€80.00m'}, {'date': 'Mar 5, 2019', 'age': '25', 'clubName': 'Manchester United', 'clubID': '985', 'value': '€90.00m'}, {'date': 'Jun 13, 2019', 'age': '26', 'clubName': 'Manchester United', 'clubID': '985', 'value': '€100.00m'}, {'date': 'Dec 10, 2019', 'age': '26', 'clubName': 'Manchester United', 'clubID': '985', 'value': '€100.00m'}, {'date': 'Apr 8, 2020', 'age': '27', 'clubName': 'Manchester United', 'clubID': '985', 'value': '€80.00m'}, {'date': 'Oct 13, 2020', 'age': '27', 'clubName': 'Manchester United', 'clubID': '985', 'value': '€80.00m'}, {'date': 'Dec 17, 2020', 'age': '27', 'clubName': 'Manchester United', 'clubID': '985', 'value': '€65.00m'}, {'date': 'Mar 18, 2021', 'age': '28', 'clubName': 'Manchester United', 'clubID': '985', 'value': '€60.00m'}, {'date': 'Jun 1, 2021', 'age': '28', 'clubName': 'Manchester United', 'clubID': '985', 'value': '€60.00m'}, {'date': 'Dec 23, 2021', 'age': '28', 'clubName': 'Manchester United', 'clubID': '985', 'value': '€55.00m'}, {'date': 'Jun 15, 2022', 'age': '29', 'clubName': 'Manchester United', 'clubID': '985', 'value': '€48.00m'}, {'date': 'Nov 11, 2022', 'age': '29', 'clubName': 'Juventus FC', 'clubID': '506', 'value': '€35.00m'}, {'date': 'Mar 21, 2023', 'age': '30', 'clubName': 'Juventus FC', 'clubID': '506', 'value': '€20.00m'}, {'date': 'Jun 15, 2023', 'age': '30', 'clubName': 'Juventus FC', 'clubID': '506', 'value': '€15.00m'}, {'date': 'Oct 6, 2023', 'age': '30', 'clubName': 'Juventus FC', 'clubID': '506', 'value': '-'}, {'date': 'Jul 1, 2025', 'age': '32', 'clubName': 'AS Monaco', 'clubID': '162', 'value': '€5.00m'}, {'date': 'Dec 15, 2025', 'age': '32', 'clubName': 'AS Monaco', 'clubID': '162', 'value': '€5.00m'}, {'date': 'Mar 27, 2026', 'age': '33', 'clubName': 'AS Monaco', 'clubID': '162', 'value': '€3.00m'}]}</t>
        </is>
      </c>
      <c r="L330" t="inlineStr">
        <is>
          <t>France</t>
        </is>
      </c>
      <c r="M330" t="inlineStr">
        <is>
          <t>1993-03-15</t>
        </is>
      </c>
      <c r="N330" t="inlineStr">
        <is>
          <t>France</t>
        </is>
      </c>
      <c r="O330">
        <f>(48+35)/2</f>
        <v/>
      </c>
      <c r="P330">
        <f>(60+60+55)/3</f>
        <v/>
      </c>
    </row>
    <row r="331">
      <c r="A331" t="inlineStr">
        <is>
          <t>Camara</t>
        </is>
      </c>
      <c r="B331" t="inlineStr">
        <is>
          <t>Young Boys</t>
        </is>
      </c>
      <c r="C331" t="inlineStr">
        <is>
          <t>Defender</t>
        </is>
      </c>
      <c r="D331" t="n">
        <v>347</v>
      </c>
      <c r="E331" t="n">
        <v>4</v>
      </c>
      <c r="F331" t="n">
        <v>0</v>
      </c>
      <c r="G331" t="n">
        <v>0</v>
      </c>
      <c r="H331" t="n">
        <v>30.5</v>
      </c>
      <c r="I331" t="n">
        <v>31.5</v>
      </c>
      <c r="J331" t="n">
        <v>543382</v>
      </c>
      <c r="K331" t="inlineStr">
        <is>
          <t>{'marketValueHistory': [{'date': '30/01/2018', 'age': '18', 'clubName': 'FC Liefering', 'clubID': '37024', 'value': '€200k'}, {'date': '13/06/2018', 'age': '18', 'clubName': 'FC Liefering', 'clubID': '37024', 'value': '€400k'}, {'date': '01/12/2018', 'age': '18', 'clubName': 'FC Liefering', 'clubID': '37024', 'value': '€400k'}, {'date': '03/06/2019', 'age': '19', 'clubName': 'TSV Hartberg', 'clubID': '4467', 'value': '€600k'}, {'date': '16/12/2019', 'age': '19', 'clubName': 'Red Bull Salzburg', 'clubID': '409', 'value': '€1.50m'}, {'date': '08/04/2020', 'age': '20', 'clubName': 'Red Bull Salzburg', 'clubID': '409', 'value': '€1.30m'}, {'date': '22/07/2020', 'age': '20', 'clubName': 'Red Bull Salzburg', 'clubID': '409', 'value': '€5.00m'}, {'date': '21/12/2020', 'age': '20', 'clubName': 'Red Bull Salzburg', 'clubID': '409', 'value': '€10.00m'}, {'date': '02/06/2021', 'age': '21', 'clubName': 'Red Bull Salzburg', 'clubID': '409', 'value': '€10.00m'}, {'date': '06/09/2021', 'age': '21', 'clubName': 'Red Bull Salzburg', 'clubID': '409', 'value': '€16.00m'}, {'date': '16/12/2021', 'age': '21', 'clubName': 'Red Bull Salzburg', 'clubID': '409', 'value': '€23.00m'}, {'date': '27/05/2022', 'age': '22', 'clubName': 'Red Bull Salzburg', 'clubID': '409', 'value': '€27.00m'}, {'date': '02/11/2022', 'age': '22', 'clubName': 'AS Monaco', 'clubID': '162', 'value': '€25.00m'}, {'date': '27/03/2023', 'age': '23', 'clubName': 'AS Monaco', 'clubID': '162', 'value': '€28.00m'}, {'date': '27/06/2023', 'age': '23', 'clubName': 'AS Monaco', 'clubID': '162', 'value': '€30.00m'}, {'date': '18/12/2023', 'age': '23', 'clubName': 'AS Monaco', 'clubID': '162', 'value': '€25.00m'}, {'date': '03/06/2024', 'age': '24', 'clubName': 'AS Monaco', 'clubID': '162', 'value': '€20.00m'}, {'date': '10/12/2024', 'age': '24', 'clubName': 'Al-Sadd SC', 'clubID': '656', 'value': '€16.00m'}, {'date': '28/05/2025', 'age': '25', 'clubName': 'Al-Sadd SC', 'clubID': '656', 'value': '€14.00m'}, {'date': '30/12/2025', 'age': '25', 'clubName': 'Al-Sadd SC', 'clubID': '656', 'value': '€11.00m'}]}</t>
        </is>
      </c>
      <c r="L331" t="inlineStr">
        <is>
          <t>Mali</t>
        </is>
      </c>
      <c r="M331" t="inlineStr">
        <is>
          <t>2000-01-06</t>
        </is>
      </c>
      <c r="N331" t="inlineStr">
        <is>
          <t>35</t>
        </is>
      </c>
      <c r="O331">
        <f>(27+25)/2</f>
        <v/>
      </c>
      <c r="P331">
        <f>(10+16+23)/3</f>
        <v/>
      </c>
    </row>
    <row r="332">
      <c r="A332" t="inlineStr">
        <is>
          <t>Okafor</t>
        </is>
      </c>
      <c r="B332" t="inlineStr">
        <is>
          <t>Salzburg</t>
        </is>
      </c>
      <c r="C332" t="inlineStr">
        <is>
          <t>Forward</t>
        </is>
      </c>
      <c r="D332" t="n">
        <v>345</v>
      </c>
      <c r="E332" t="n">
        <v>6</v>
      </c>
      <c r="F332" t="n">
        <v>3</v>
      </c>
      <c r="G332" t="n">
        <v>0</v>
      </c>
      <c r="H332" t="n">
        <v>40</v>
      </c>
      <c r="I332" t="n">
        <v>34.9</v>
      </c>
      <c r="J332" t="n">
        <v>346890</v>
      </c>
      <c r="K332" t="inlineStr">
        <is>
          <t>{'marketValueHistory': [{'date': '08/01/2018', 'age': '17', 'clubName': 'FC Basel 1893 U21', 'clubID': '5299', 'value': '€400k'}, {'date': '24/04/2018', 'age': '17', 'clubName': 'FC Basel 1893', 'clubID': '26', 'value': '€400k'}, {'date': '12/07/2018', 'age': '18', 'clubName': 'FC Basel 1893', 'clubID': '26', 'value': '€400k'}, {'date': '21/01/2019', 'age': '18', 'clubName': 'FC Basel 1893', 'clubID': '26', 'value': '€800k'}, {'date': '15/04/2019', 'age': '18', 'clubName': 'FC Basel 1893', 'clubID': '26', 'value': '€4.00m'}, {'date': '04/06/2019', 'age': '19', 'clubName': 'FC Basel 1893', 'clubID': '26', 'value': '€8.00m'}, {'date': '06/01/2020', 'age': '19', 'clubName': 'FC Basel 1893', 'clubID': '26', 'value': '€8.00m'}, {'date': '08/04/2020', 'age': '19', 'clubName': 'Red Bull Salzburg', 'clubID': '409', 'value': '€7.20m'}, {'date': '22/07/2020', 'age': '20', 'clubName': 'Red Bull Salzburg', 'clubID': '409', 'value': '€9.00m'}, {'date': '12/10/2020', 'age': '20', 'clubName': 'Red Bull Salzburg', 'clubID': '409', 'value': '€7.50m'}, {'date': '21/12/2020', 'age': '20', 'clubName': 'Red Bull Salzburg', 'clubID': '409', 'value': '€7.50m'}, {'date': '02/06/2021', 'age': '21', 'clubName': 'Red Bull Salzburg', 'clubID': '409', 'value': '€6.50m'}, {'date': '06/09/2021', 'age': '21', 'clubName': 'Red Bull Salzburg', 'clubID': '409', 'value': '€5.00m'}, {'date': '16/12/2021', 'age': '21', 'clubName': 'Red Bull Salzburg', 'clubID': '409', 'value': '€12.00m'}, {'date': '27/05/2022', 'age': '22', 'clubName': 'Red Bull Salzburg', 'clubID': '409', 'value': '€18.00m'}, {'date': '10/11/2022', 'age': '22', 'clubName': 'Red Bull Salzburg', 'clubID': '409', 'value': '€25.00m'}, {'date': '20/03/2023', 'age': '22', 'clubName': 'Red Bull Salzburg', 'clubID': '409', 'value': '€22.00m'}, {'date': '12/06/2023', 'age': '23', 'clubName': 'Red Bull Salzburg', 'clubID': '409', 'value': '€20.00m'}, {'date': '20/12/2023', 'age': '23', 'clubName': 'AC Milan', 'clubID': '5', 'value': '€20.00m'}, {'date': '05/06/2024', 'age': '24', 'clubName': 'AC Milan', 'clubID': '5', 'value': '€20.00m'}, {'date': '18/12/2024', 'age': '24', 'clubName': 'AC Milan', 'clubID': '5', 'value': '€15.00m'}, {'date': '17/06/2025', 'age': '25', 'clubName': 'SSC Napoli', 'clubID': '6195', 'value': '€13.00m'}, {'date': '17/10/2025', 'age': '25', 'clubName': 'Leeds United', 'clubID': '399', 'value': '€18.00m'}, {'date': '09/12/2025', 'age': '25', 'clubName': 'Leeds United', 'clubID': '399', 'value': '€18.00m'}]}</t>
        </is>
      </c>
      <c r="L332" t="inlineStr">
        <is>
          <t>Switzerland</t>
        </is>
      </c>
      <c r="M332" t="inlineStr">
        <is>
          <t>2000-05-24</t>
        </is>
      </c>
      <c r="N332" t="inlineStr">
        <is>
          <t>Switzerland</t>
        </is>
      </c>
      <c r="O332">
        <f>(18+25)/2</f>
        <v/>
      </c>
      <c r="P332">
        <f>(6.5+5+12)/3</f>
        <v/>
      </c>
    </row>
    <row r="333">
      <c r="A333" t="inlineStr">
        <is>
          <t>Ghezzal</t>
        </is>
      </c>
      <c r="B333" t="inlineStr">
        <is>
          <t>Besiktas</t>
        </is>
      </c>
      <c r="C333" t="inlineStr">
        <is>
          <t>Midfielder</t>
        </is>
      </c>
      <c r="D333" t="n">
        <v>345</v>
      </c>
      <c r="E333" t="n">
        <v>5</v>
      </c>
      <c r="F333" t="n">
        <v>1</v>
      </c>
      <c r="G333" t="n">
        <v>0</v>
      </c>
      <c r="H333" t="n">
        <v>38.3</v>
      </c>
      <c r="I333" t="n">
        <v>30.8</v>
      </c>
      <c r="J333" t="n">
        <v>118287</v>
      </c>
      <c r="K333" t="inlineStr">
        <is>
          <t>{'marketValueHistory': [{'date': '25/07/2012', 'age': '20', 'clubName': 'Olympique Lyon', 'clubID': '1041', 'value': '€400k'}, {'date': '07/01/2013', 'age': '20', 'clubName': 'Olympique Lyon', 'clubID': '1041', 'value': '€700k'}, {'date': '19/01/2013', 'age': '20', 'clubName': 'Olympique Lyon', 'clubID': '1041', 'value': '€1.00m'}, {'date': '30/05/2013', 'age': '21', 'clubName': 'Olympique Lyon', 'clubID': '1041', 'value': '€1.25m'}, {'date': '14/01/2014', 'age': '21', 'clubName': 'Olympique Lyon', 'clubID': '1041', 'value': '€1.25m'}, {'date': '07/08/2014', 'age': '22', 'clubName': 'Olympique Lyon', 'clubID': '1041', 'value': '€1.00m'}, {'date': '14/01/2015', 'age': '22', 'clubName': 'Olympique Lyon', 'clubID': '1041', 'value': '€1.25m'}, {'date': '06/06/2015', 'age': '23', 'clubName': 'Olympique Lyon', 'clubID': '1041', 'value': '€2.00m'}, {'date': '04/02/2016', 'age': '23', 'clubName': 'Olympique Lyon', 'clubID': '1041', 'value': '€2.50m'}, {'date': '13/07/2016', 'age': '24', 'clubName': 'Olympique Lyon', 'clubID': '1041', 'value': '€5.50m'}, {'date': '16/01/2017', 'age': '24', 'clubName': 'Olympique Lyon', 'clubID': '1041', 'value': '€7.00m'}, {'date': '01/06/2017', 'age': '25', 'clubName': 'Olympique Lyon', 'clubID': '1041', 'value': '€8.00m'}, {'date': '24/01/2018', 'age': '25', 'clubName': 'AS Monaco', 'clubID': '162', 'value': '€8.00m'}, {'date': '20/03/2018', 'age': '25', 'clubName': 'AS Monaco', 'clubID': '162', 'value': '€6.00m'}, {'date': '04/06/2018', 'age': '26', 'clubName': 'AS Monaco', 'clubID': '162', 'value': '€4.00m'}, {'date': '13/08/2018', 'age': '26', 'clubName': 'Leicester City', 'clubID': '1003', 'value': '€10.00m'}, {'date': '19/12/2018', 'age': '26', 'clubName': 'Leicester City', 'clubID': '1003', 'value': '€10.00m'}, {'date': '13/06/2019', 'age': '27', 'clubName': 'Leicester City', 'clubID': '1003', 'value': '€8.00m'}, {'date': '12/12/2019', 'age': '27', 'clubName': 'ACF Fiorentina', 'clubID': '430', 'value': '€7.00m'}, {'date': '08/04/2020', 'age': '27', 'clubName': 'ACF Fiorentina', 'clubID': '430', 'value': '€5.50m'}, {'date': '25/08/2020', 'age': '28', 'clubName': 'ACF Fiorentina', 'clubID': '430', 'value': '€5.50m'}, {'date': '23/12/2020', 'age': '28', 'clubName': 'Besiktas JK', 'clubID': '114', 'value': '€7.00m'}, {'date': '16/03/2021', 'age': '28', 'clubName': 'Besiktas JK', 'clubID': '114', 'value': '€9.00m'}, {'date': '21/05/2021', 'age': '29', 'clubName': 'Besiktas JK', 'clubID': '114', 'value': '€12.00m'}, {'date': '12/10/2021', 'age': '29', 'clubName': 'Besiktas JK', 'clubID': '114', 'value': '€11.00m'}, {'date': '04/01/2022', 'age': '29', 'clubName': 'Besiktas JK', 'clubID': '114', 'value': '€9.00m'}, {'date': '31/03/2022', 'age': '29', 'clubName': 'Besiktas JK', 'clubID': '114', 'value': '€8.50m'}, {'date': '01/06/2022', 'age': '30', 'clubName': 'Besiktas JK', 'clubID': '114', 'value': '€8.50m'}, {'date': '27/10/2022', 'age': '30', 'clubName': 'Besiktas JK', 'clubID': '114', 'value': '€8.00m'}, {'date': '14/03/2023', 'age': '30', 'clubName': 'Besiktas JK', 'clubID': '114', 'value': '€6.50m'}, {'date': '08/06/2023', 'age': '31', 'clubName': 'Besiktas JK', 'clubID': '114', 'value': '€5.00m'}, {'date': '27/09/2023', 'age': '31', 'clubName': 'Besiktas JK', 'clubID': '114', 'value': '€4.00m'}, {'date': '21/12/2023', 'age': '31', 'clubName': 'Besiktas JK', 'clubID': '114', 'value': '€3.00m'}, {'date': '15/03/2024', 'age': '31', 'clubName': 'Besiktas JK', 'clubID': '114', 'value': '€2.00m'}, {'date': '31/05/2024', 'age': '32', 'clubName': 'Besiktas JK', 'clubID': '114', 'value': '€2.00m'}, {'date': '04/10/2024', 'age': '32', 'clubName': 'Caykur Rizespor', 'clubID': '126', 'value': '€1.50m'}, {'date': '23/12/2024', 'age': '32', 'clubName': 'Caykur Rizespor', 'clubID': '126', 'value': '€1.20m'}, {'date': '20/03/2025', 'age': '32', 'clubName': 'Caykur Rizespor', 'clubID': '126', 'value': '€1.00m'}, {'date': '18/06/2025', 'age': '33', 'clubName': 'Caykur Rizespor', 'clubID': '126', 'value': '€800k'}, {'date': '15/12/2025', 'age': '33', 'clubName': 'Olympique Lyon', 'clubID': '1041', 'value': '€700k'}]}</t>
        </is>
      </c>
      <c r="L333" t="inlineStr">
        <is>
          <t>Algeria</t>
        </is>
      </c>
      <c r="M333" t="inlineStr">
        <is>
          <t>1992-05-09</t>
        </is>
      </c>
      <c r="N333" t="inlineStr">
        <is>
          <t>France</t>
        </is>
      </c>
      <c r="O333">
        <f>(9+8.5+8.5+8)/4</f>
        <v/>
      </c>
      <c r="P333">
        <f>(9+12+11)/3</f>
        <v/>
      </c>
    </row>
    <row r="334">
      <c r="A334" t="inlineStr">
        <is>
          <t>Lenglet</t>
        </is>
      </c>
      <c r="B334" t="inlineStr">
        <is>
          <t>Barcelona</t>
        </is>
      </c>
      <c r="C334" t="inlineStr">
        <is>
          <t>Defender</t>
        </is>
      </c>
      <c r="D334" t="n">
        <v>345</v>
      </c>
      <c r="E334" t="n">
        <v>4</v>
      </c>
      <c r="F334" t="n">
        <v>0</v>
      </c>
      <c r="G334" t="n">
        <v>0</v>
      </c>
      <c r="H334" t="n">
        <v>40.4</v>
      </c>
      <c r="I334" t="n">
        <v>30.4</v>
      </c>
      <c r="J334" t="n">
        <v>182904</v>
      </c>
      <c r="K334" t="inlineStr">
        <is>
          <t>{'marketValueHistory': [{'date': 'Sep 26, 2013', 'age': '18', 'clubName': 'AS Nancy-Lorraine B', 'clubID': '10840', 'value': '€150k'}, {'date': 'Jan 13, 2014', 'age': '18', 'clubName': 'AS Nancy-Lorraine B', 'clubID': '10840', 'value': '€150k'}, {'date': 'Nov 20, 2014', 'age': '19', 'clubName': 'AS Nancy-Lorraine', 'clubID': '1159', 'value': '€300k'}, {'date': 'Jun 6, 2015', 'age': '19', 'clubName': 'AS Nancy-Lorraine', 'clubID': '1159', 'value': '€1.50m'}, {'date': 'Feb 4, 2016', 'age': '20', 'clubName': 'AS Nancy-Lorraine', 'clubID': '1159', 'value': '€2.50m'}, {'date': 'Jul 13, 2016', 'age': '21', 'clubName': 'AS Nancy-Lorraine', 'clubID': '1159', 'value': '€2.50m'}, {'date': 'Jan 24, 2017', 'age': '21', 'clubName': 'Sevilla FC', 'clubID': '368', 'value': '€5.00m'}, {'date': 'Jun 5, 2017', 'age': '21', 'clubName': 'Sevilla FC', 'clubID': '368', 'value': '€7.50m'}, {'date': 'Jan 1, 2018', 'age': '22', 'clubName': 'Sevilla FC', 'clubID': '368', 'value': '€15.00m'}, {'date': 'Mar 22, 2018', 'age': '22', 'clubName': 'Sevilla FC', 'clubID': '368', 'value': '€20.00m'}, {'date': 'May 30, 2018', 'age': '22', 'clubName': 'Sevilla FC', 'clubID': '368', 'value': '€25.00m'}, {'date': 'Jul 12, 2018', 'age': '23', 'clubName': 'FC Barcelona', 'clubID': '131', 'value': '€36.00m'}, {'date': 'Oct 31, 2018', 'age': '23', 'clubName': 'FC Barcelona', 'clubID': '131', 'value': '€40.00m'}, {'date': 'Dec 21, 2018', 'age': '23', 'clubName': 'FC Barcelona', 'clubID': '131', 'value': '€40.00m'}, {'date': 'Feb 28, 2019', 'age': '23', 'clubName': 'FC Barcelona', 'clubID': '131', 'value': '€50.00m'}, {'date': 'Jun 11, 2019', 'age': '23', 'clubName': 'FC Barcelona', 'clubID': '131', 'value': '€60.00m'}, {'date': 'Dec 20, 2019', 'age': '24', 'clubName': 'FC Barcelona', 'clubID': '131', 'value': '€60.00m'}, {'date': 'Apr 8, 2020', 'age': '24', 'clubName': 'FC Barcelona', 'clubID': '131', 'value': '€48.00m'}, {'date': 'Oct 8, 2020', 'age': '25', 'clubName': 'FC Barcelona', 'clubID': '131', 'value': '€50.00m'}, {'date': 'Jan 5, 2021', 'age': '25', 'clubName': 'FC Barcelona', 'clubID': '131', 'value': '€40.00m'}, {'date': 'Mar 19, 2021', 'age': '25', 'clubName': 'FC Barcelona', 'clubID': '131', 'value': '€25.00m'}, {'date': 'Jun 1, 2021', 'age': '25', 'clubName': 'FC Barcelona', 'clubID': '131', 'value': '€25.00m'}, {'date': 'Oct 13, 2021', 'age': '26', 'clubName': 'FC Barcelona', 'clubID': '131', 'value': '€18.00m'}, {'date': 'Dec 30, 2021', 'age': '26', 'clubName': 'FC Barcelona', 'clubID': '131', 'value': '€14.00m'}, {'date': 'Jun 3, 2022', 'age': '26', 'clubName': 'FC Barcelona', 'clubID': '131', 'value': '€12.00m'}, {'date': 'Nov 3, 2022', 'age': '27', 'clubName': 'Tottenham Hotspur', 'clubID': '148', 'value': '€12.00m'}, {'date': 'Jun 20, 2023', 'age': '28', 'clubName': 'Tottenham Hotspur', 'clubID': '148', 'value': '€10.00m'}, {'date': 'Dec 19, 2023', 'age': '28', 'clubName': 'Aston Villa', 'clubID': '405', 'value': '€8.00m'}, {'date': 'Mar 14, 2024', 'age': '28', 'clubName': 'Aston Villa', 'clubID': '405', 'value': '€10.00m'}, {'date': 'May 27, 2024', 'age': '28', 'clubName': 'Aston Villa', 'clubID': '405', 'value': '€10.00m'}, {'date': 'Oct 11, 2024', 'age': '29', 'clubName': 'Atlético de Madrid', 'clubID': '13', 'value': '€5.00m'}, {'date': 'Dec 27, 2024', 'age': '29', 'clubName': 'Atlético de Madrid', 'clubID': '13', 'value': '€7.50m'}, {'date': 'Jun 9, 2025', 'age': '29', 'clubName': 'Atlético de Madrid', 'clubID': '13', 'value': '€7.50m'}, {'date': 'Dec 12, 2025', 'age': '30', 'clubName': 'Atlético de Madrid', 'clubID': '13', 'value': '€6.00m'}, {'date': 'Mar 16, 2026', 'age': '30', 'clubName': 'Atlético de Madrid', 'clubID': '13', 'value': '€5.00m'}]}</t>
        </is>
      </c>
      <c r="L334" t="inlineStr">
        <is>
          <t>France</t>
        </is>
      </c>
      <c r="M334" t="inlineStr">
        <is>
          <t>1995-06-17</t>
        </is>
      </c>
      <c r="N334" t="inlineStr">
        <is>
          <t>France</t>
        </is>
      </c>
      <c r="O334">
        <f>(12+12)/2</f>
        <v/>
      </c>
      <c r="P334">
        <f>(40+25+25+18+14)/5</f>
        <v/>
      </c>
    </row>
    <row r="335">
      <c r="A335" t="inlineStr">
        <is>
          <t>Tsimikas</t>
        </is>
      </c>
      <c r="B335" t="inlineStr">
        <is>
          <t>Liverpool</t>
        </is>
      </c>
      <c r="C335" t="inlineStr">
        <is>
          <t>Defender</t>
        </is>
      </c>
      <c r="D335" t="n">
        <v>344</v>
      </c>
      <c r="E335" t="n">
        <v>5</v>
      </c>
      <c r="F335" t="n">
        <v>0</v>
      </c>
      <c r="G335" t="n">
        <v>2</v>
      </c>
      <c r="H335" t="n">
        <v>42.7</v>
      </c>
      <c r="I335" t="n">
        <v>33.4</v>
      </c>
      <c r="J335" t="n">
        <v>338070</v>
      </c>
      <c r="K335" t="inlineStr">
        <is>
          <t>{'marketValueHistory': [{'date': '11/11/2014', 'age': '18', 'clubName': 'Olympiacos Piraeus U20', 'clubID': '683', 'value': '€100k'}, {'date': '27/09/2015', 'age': '19', 'clubName': 'Olympiacos Piraeus', 'clubID': '683', 'value': '€200k'}, {'date': '21/06/2016', 'age': '20', 'clubName': 'Olympiacos Piraeus', 'clubID': '683', 'value': '€250k'}, {'date': '21/12/2016', 'age': '20', 'clubName': 'Olympiacos Piraeus', 'clubID': '683', 'value': '€250k'}, {'date': '27/03/2017', 'age': '20', 'clubName': 'Esbjerg fB', 'clubID': '3426', 'value': '€300k'}, {'date': '21/06/2017', 'age': '21', 'clubName': 'Esbjerg fB', 'clubID': '3426', 'value': '€300k'}, {'date': '26/10/2017', 'age': '21', 'clubName': 'Willem II Tilburg', 'clubID': '403', 'value': '€500k'}, {'date': '17/01/2018', 'age': '21', 'clubName': 'Willem II Tilburg', 'clubID': '403', 'value': '€750k'}, {'date': '12/06/2018', 'age': '22', 'clubName': 'Willem II Tilburg', 'clubID': '403', 'value': '€850k'}, {'date': '07/12/2018', 'age': '22', 'clubName': 'Olympiacos Piraeus', 'clubID': '683', 'value': '€1.75m'}, {'date': '21/05/2019', 'age': '23', 'clubName': 'Olympiacos Piraeus', 'clubID': '683', 'value': '€2.00m'}, {'date': '23/09/2019', 'age': '23', 'clubName': 'Olympiacos Piraeus', 'clubID': '683', 'value': '€3.50m'}, {'date': '18/12/2019', 'age': '23', 'clubName': 'Olympiacos Piraeus', 'clubID': '683', 'value': '€4.50m'}, {'date': '08/04/2020', 'age': '23', 'clubName': 'Olympiacos Piraeus', 'clubID': '683', 'value': '€3.50m'}, {'date': '04/08/2020', 'age': '24', 'clubName': 'Olympiacos Piraeus', 'clubID': '683', 'value': '€9.00m'}, {'date': '13/10/2020', 'age': '24', 'clubName': 'Liverpool FC', 'clubID': '31', 'value': '€9.00m'}, {'date': '18/03/2021', 'age': '24', 'clubName': 'Liverpool FC', 'clubID': '31', 'value': '€8.00m'}, {'date': '08/06/2021', 'age': '25', 'clubName': 'Liverpool FC', 'clubID': '31', 'value': '€8.00m'}, {'date': '05/10/2021', 'age': '25', 'clubName': 'Liverpool FC', 'clubID': '31', 'value': '€10.00m'}, {'date': '23/12/2021', 'age': '25', 'clubName': 'Liverpool FC', 'clubID': '31', 'value': '€10.00m'}, {'date': '15/06/2022', 'age': '26', 'clubName': 'Liverpool FC', 'clubID': '31', 'value': '€15.00m'}, {'date': '03/11/2022', 'age': '26', 'clubName': 'Liverpool FC', 'clubID': '31', 'value': '€18.00m'}, {'date': '20/06/2023', 'age': '27', 'clubName': 'Liverpool FC', 'clubID': '31', 'value': '€18.00m'}, {'date': '19/12/2023', 'age': '27', 'clubName': 'Liverpool FC', 'clubID': '31', 'value': '€22.00m'}, {'date': '27/05/2024', 'age': '28', 'clubName': 'Liverpool FC', 'clubID': '31', 'value': '€22.00m'}, {'date': '16/12/2024', 'age': '28', 'clubName': 'Liverpool FC', 'clubID': '31', 'value': '€20.00m'}, {'date': '30/05/2025', 'age': '29', 'clubName': 'Liverpool FC', 'clubID': '31', 'value': '€18.00m'}, {'date': '23/12/2025', 'age': '29', 'clubName': 'AS Roma', 'clubID': '12', 'value': '€10.00m'}, {'date': '24/03/2026', 'age': '29', 'clubName': 'AS Roma', 'clubID': '12', 'value': '€8.00m'}]}</t>
        </is>
      </c>
      <c r="L335" t="inlineStr">
        <is>
          <t>Greece</t>
        </is>
      </c>
      <c r="M335" t="inlineStr">
        <is>
          <t>1996-05-12</t>
        </is>
      </c>
      <c r="N335" t="inlineStr">
        <is>
          <t>49</t>
        </is>
      </c>
      <c r="O335">
        <f>(15+18)/2</f>
        <v/>
      </c>
      <c r="P335">
        <f>(8+8+10+10)/4</f>
        <v/>
      </c>
    </row>
    <row r="336">
      <c r="A336" t="inlineStr">
        <is>
          <t>Taarabt</t>
        </is>
      </c>
      <c r="B336" t="inlineStr">
        <is>
          <t>Benfica</t>
        </is>
      </c>
      <c r="C336" t="inlineStr">
        <is>
          <t>Midfielder</t>
        </is>
      </c>
      <c r="D336" t="n">
        <v>343</v>
      </c>
      <c r="E336" t="n">
        <v>9</v>
      </c>
      <c r="F336" t="n">
        <v>0</v>
      </c>
      <c r="G336" t="n">
        <v>0</v>
      </c>
      <c r="H336" t="n">
        <v>45.2</v>
      </c>
      <c r="I336" t="n">
        <v>32.4</v>
      </c>
      <c r="J336" t="n">
        <v>45287</v>
      </c>
      <c r="K336" t="inlineStr">
        <is>
          <t>{'marketValueHistory': [{'date': 'Oct 29, 2006', 'age': '17', 'clubName': 'RC Lens', 'clubID': '826', 'value': '€50k'}, {'date': 'Jul 29, 2007', 'age': '18', 'clubName': 'Tottenham Hotspur', 'clubID': '148', 'value': '€4.00m'}, {'date': 'Nov 1, 2007', 'age': '18', 'clubName': 'Tottenham Hotspur', 'clubID': '148', 'value': '€3.50m'}, {'date': 'Feb 4, 2008', 'age': '18', 'clubName': 'Tottenham Hotspur', 'clubID': '148', 'value': '€3.00m'}, {'date': 'Jul 4, 2008', 'age': '19', 'clubName': 'Tottenham Hotspur', 'clubID': '148', 'value': '€2.50m'}, {'date': 'Feb 23, 2009', 'age': '19', 'clubName': 'Tottenham Hotspur', 'clubID': '148', 'value': '€2.00m'}, {'date': 'Jun 26, 2009', 'age': '20', 'clubName': 'Tottenham Hotspur', 'clubID': '148', 'value': '€1.70m'}, {'date': 'Dec 8, 2009', 'age': '20', 'clubName': 'Queens Park Rangers', 'clubID': '1039', 'value': '€2.20m'}, {'date': 'Oct 24, 2010', 'age': '21', 'clubName': 'Queens Park Rangers', 'clubID': '1039', 'value': '€2.75m'}, {'date': 'Sep 4, 2011', 'age': '22', 'clubName': 'Queens Park Rangers', 'clubID': '1039', 'value': '€7.00m'}, {'date': 'Feb 6, 2012', 'age': '22', 'clubName': 'Queens Park Rangers', 'clubID': '1039', 'value': '€6.50m'}, {'date': 'Jun 24, 2012', 'age': '23', 'clubName': 'Queens Park Rangers', 'clubID': '1039', 'value': '€7.50m'}, {'date': 'Jan 28, 2013', 'age': '23', 'clubName': 'Queens Park Rangers', 'clubID': '1039', 'value': '€10.00m'}, {'date': 'Jul 2, 2013', 'age': '24', 'clubName': 'Queens Park Rangers', 'clubID': '1039', 'value': '€9.00m'}, {'date': 'Jan 15, 2014', 'age': '24', 'clubName': 'Fulham FC', 'clubID': '931', 'value': '€6.00m'}, {'date': 'Jul 1, 2014', 'age': '25', 'clubName': 'Queens Park Rangers', 'clubID': '1039', 'value': '€8.00m'}, {'date': 'Aug 12, 2014', 'age': '25', 'clubName': 'Queens Park Rangers', 'clubID': '1039', 'value': '€7.00m'}, {'date': 'Feb 12, 2015', 'age': '25', 'clubName': 'Queens Park Rangers', 'clubID': '1039', 'value': '€6.00m'}, {'date': 'Jul 1, 2015', 'age': '26', 'clubName': 'SL Benfica', 'clubID': '294', 'value': '€4.00m'}, {'date': 'Mar 14, 2016', 'age': '26', 'clubName': 'SL Benfica', 'clubID': '294', 'value': '€1.50m'}, {'date': 'Sep 30, 2016', 'age': '27', 'clubName': 'SL Benfica', 'clubID': '294', 'value': '€800k'}, {'date': 'Jan 10, 2017', 'age': '27', 'clubName': 'Genoa CFC', 'clubID': '252', 'value': '€800k'}, {'date': 'Jun 8, 2017', 'age': '28', 'clubName': 'Genoa CFC', 'clubID': '252', 'value': '€600k'}, {'date': 'Dec 29, 2017', 'age': '28', 'clubName': 'Genoa CFC', 'clubID': '252', 'value': '€2.00m'}, {'date': 'Jun 7, 2018', 'age': '29', 'clubName': 'Genoa CFC', 'clubID': '252', 'value': '€1.50m'}, {'date': 'Feb 12, 2019', 'age': '29', 'clubName': 'SL Benfica B', 'clubID': '10330', 'value': '€1.00m'}, {'date': 'Jun 7, 2019', 'age': '30', 'clubName': 'SL Benfica', 'clubID': '294', 'value': '€1.50m'}, {'date': 'Oct 11, 2019', 'age': '30', 'clubName': 'SL Benfica', 'clubID': '294', 'value': '€3.00m'}, {'date': 'Dec 30, 2019', 'age': '30', 'clubName': 'SL Benfica', 'clubID': '294', 'value': '€5.00m'}, {'date': 'Apr 8, 2020', 'age': '30', 'clubName': 'SL Benfica', 'clubID': '294', 'value': '€4.00m'}, {'date': 'Aug 17, 2020', 'age': '31', 'clubName': 'SL Benfica', 'clubID': '294', 'value': '€5.50m'}, {'date': 'Jan 28, 2021', 'age': '31', 'clubName': 'SL Benfica', 'clubID': '294', 'value': '€4.00m'}, {'date': 'May 21, 2021', 'age': '31', 'clubName': 'SL Benfica', 'clubID': '294', 'value': '€4.00m'}, {'date': 'Dec 27, 2021', 'age': '32', 'clubName': 'SL Benfica', 'clubID': '294', 'value': '€4.00m'}, {'date': 'Mar 10, 2022', 'age': '32', 'clubName': 'SL Benfica', 'clubID': '294', 'value': '€3.00m'}, {'date': 'May 31, 2022', 'age': '33', 'clubName': 'SL Benfica', 'clubID': '294', 'value': '€2.50m'}, {'date': 'Dec 15, 2022', 'age': '33', 'clubName': 'Al-Nasr SC (UAE)', 'clubID': '5432', 'value': '€2.00m'}, {'date': 'May 31, 2023', 'age': '34', 'clubName': 'Al-Nasr SC (UAE)', 'clubID': '5432', 'value': '€1.50m'}, {'date': 'Oct 12, 2023', 'age': '34', 'clubName': 'Al-Nasr SC (UAE)', 'clubID': '5432', 'value': '€1.00m'}, {'date': 'Mar 8, 2024', 'age': '34', 'clubName': 'Al-Nasr SC (UAE)', 'clubID': '5432', 'value': '€800k'}, {'date': 'Jun 3, 2024', 'age': '35', 'clubName': 'Al-Nasr SC (UAE)', 'clubID': '5432', 'value': '€700k'}, {'date': 'Nov 18, 2024', 'age': '35', 'clubName': 'Al-Nasr SC (UAE)', 'clubID': '5432', 'value': '€600k'}, {'date': 'May 29, 2025', 'age': '36', 'clubName': 'Sharjah FC', 'clubID': '13613', 'value': '€500k'}, {'date': 'Nov 28, 2025', 'age': '36', 'clubName': 'Sharjah FC', 'clubID': '13613', 'value': '€400k'}]}</t>
        </is>
      </c>
      <c r="L336" t="inlineStr">
        <is>
          <t>France</t>
        </is>
      </c>
      <c r="M336" t="inlineStr">
        <is>
          <t>1989-05-24</t>
        </is>
      </c>
      <c r="N336" t="inlineStr">
        <is>
          <t>France</t>
        </is>
      </c>
      <c r="O336">
        <f>(3+2.5+2)/3</f>
        <v/>
      </c>
      <c r="P336">
        <f>(4+4+4)/3</f>
        <v/>
      </c>
    </row>
    <row r="337">
      <c r="A337" t="inlineStr">
        <is>
          <t>Pedrinho</t>
        </is>
      </c>
      <c r="B337" t="inlineStr">
        <is>
          <t>Shakhtar Donetsk</t>
        </is>
      </c>
      <c r="C337" t="inlineStr">
        <is>
          <t>Midfielder</t>
        </is>
      </c>
      <c r="D337" t="n">
        <v>343</v>
      </c>
      <c r="E337" t="n">
        <v>4</v>
      </c>
      <c r="F337" t="n">
        <v>0</v>
      </c>
      <c r="G337" t="n">
        <v>0</v>
      </c>
      <c r="H337" t="n">
        <v>40.9</v>
      </c>
      <c r="I337" t="n">
        <v>32.3</v>
      </c>
      <c r="J337" t="n">
        <v>515208</v>
      </c>
      <c r="K337" t="inlineStr">
        <is>
          <t>{'marketValueHistory': [{'date': 'Oct 30, 2017', 'age': '19', 'clubName': 'Sport Club Corinthians Paulista', 'clubID': '199', 'value': '€1.50m'}, {'date': 'Dec 7, 2017', 'age': '19', 'clubName': 'Sport Club Corinthians Paulista', 'clubID': '199', 'value': '€1.50m'}, {'date': 'May 23, 2018', 'age': '20', 'clubName': 'Sport Club Corinthians Paulista', 'clubID': '199', 'value': '€5.00m'}, {'date': 'Feb 18, 2019', 'age': '20', 'clubName': 'Sport Club Corinthians Paulista', 'clubID': '199', 'value': '€15.00m'}, {'date': 'Nov 27, 2019', 'age': '21', 'clubName': 'Sport Club Corinthians Paulista', 'clubID': '199', 'value': '€15.00m'}, {'date': 'Apr 8, 2020', 'age': '21', 'clubName': 'Sport Club Corinthians Paulista', 'clubID': '199', 'value': '€13.50m'}, {'date': 'Aug 17, 2020', 'age': '22', 'clubName': 'SL Benfica', 'clubID': '294', 'value': '€17.00m'}, {'date': 'Jan 28, 2021', 'age': '22', 'clubName': 'SL Benfica', 'clubID': '294', 'value': '€17.00m'}, {'date': 'May 21, 2021', 'age': '23', 'clubName': 'SL Benfica', 'clubID': '294', 'value': '€15.00m'}, {'date': 'Sep 3, 2021', 'age': '23', 'clubName': 'Shakhtar Donetsk', 'clubID': '660', 'value': '€17.00m'}, {'date': 'Dec 20, 2021', 'age': '23', 'clubName': 'Shakhtar Donetsk', 'clubID': '660', 'value': '€17.00m'}, {'date': 'May 18, 2022', 'age': '24', 'clubName': 'Shakhtar Donetsk', 'clubID': '660', 'value': '€17.00m'}, {'date': 'Aug 19, 2022', 'age': '24', 'clubName': 'Clube Atlético Mineiro', 'clubID': '330', 'value': '€17.00m'}, {'date': 'Nov 14, 2022', 'age': '24', 'clubName': 'Clube Atlético Mineiro', 'clubID': '330', 'value': '€12.00m'}, {'date': 'Apr 7, 2023', 'age': '24', 'clubName': 'Clube Atlético Mineiro', 'clubID': '330', 'value': '€10.00m'}, {'date': 'Jul 25, 2023', 'age': '25', 'clubName': 'Clube Atlético Mineiro', 'clubID': '330', 'value': '€8.00m'}, {'date': 'Dec 11, 2023', 'age': '25', 'clubName': 'Clube Atlético Mineiro', 'clubID': '330', 'value': '€7.00m'}, {'date': 'Mar 28, 2024', 'age': '25', 'clubName': 'Clube Atlético Mineiro', 'clubID': '330', 'value': '€6.00m'}, {'date': 'Jun 17, 2024', 'age': '26', 'clubName': 'Clube Atlético Mineiro', 'clubID': '330', 'value': '€5.00m'}, {'date': 'Dec 17, 2024', 'age': '26', 'clubName': 'Shakhtar Donetsk', 'clubID': '660', 'value': '€5.00m'}, {'date': 'Jun 10, 2025', 'age': '27', 'clubName': 'Shakhtar Donetsk', 'clubID': '660', 'value': '€5.00m'}, {'date': 'Sep 10, 2025', 'age': '27', 'clubName': 'Shakhtar Donetsk', 'clubID': '660', 'value': '€7.00m'}, {'date': 'Dec 18, 2025', 'age': '27', 'clubName': 'Shakhtar Donetsk', 'clubID': '660', 'value': '€8.00m'}, {'date': 'Mar 23, 2026', 'age': '27', 'clubName': 'Shakhtar Donetsk', 'clubID': '660', 'value': '€10.00m'}]}</t>
        </is>
      </c>
      <c r="L337" t="inlineStr">
        <is>
          <t>Ukraine</t>
        </is>
      </c>
      <c r="M337" t="inlineStr">
        <is>
          <t>1998-04-13</t>
        </is>
      </c>
      <c r="N337" t="inlineStr">
        <is>
          <t>Brazil</t>
        </is>
      </c>
      <c r="O337">
        <f>(17+17+12)/3</f>
        <v/>
      </c>
      <c r="P337">
        <f>(17+15+17+17)/4</f>
        <v/>
      </c>
    </row>
    <row r="338">
      <c r="A338" t="inlineStr">
        <is>
          <t>Siebatcheu</t>
        </is>
      </c>
      <c r="B338" t="inlineStr">
        <is>
          <t>Young Boys</t>
        </is>
      </c>
      <c r="C338" t="inlineStr">
        <is>
          <t>Forward</t>
        </is>
      </c>
      <c r="D338" t="n">
        <v>341</v>
      </c>
      <c r="E338" t="n">
        <v>6</v>
      </c>
      <c r="F338" t="n">
        <v>2</v>
      </c>
      <c r="G338" t="n">
        <v>0</v>
      </c>
      <c r="H338" t="n">
        <v>35.6</v>
      </c>
      <c r="I338" t="n">
        <v>30.6</v>
      </c>
      <c r="J338" t="n">
        <v>355369</v>
      </c>
      <c r="K338" t="inlineStr">
        <is>
          <t>{'marketValueHistory': [{'date': '15/09/2015', 'age': '19', 'clubName': 'Stade Reims', 'clubID': '1421', 'value': '€250k'}, {'date': '04/02/2016', 'age': '19', 'clubName': 'Stade Reims', 'clubID': '1421', 'value': '€1.25m'}, {'date': '13/07/2016', 'age': '20', 'clubName': 'Stade Reims', 'clubID': '1421', 'value': '€1.25m'}, {'date': '20/02/2017', 'age': '20', 'clubName': 'LB Châteauroux', 'clubID': '1175', 'value': '€850k'}, {'date': '20/06/2017', 'age': '21', 'clubName': 'LB Châteauroux', 'clubID': '1175', 'value': '€850k'}, {'date': '16/05/2018', 'age': '22', 'clubName': 'Stade Reims', 'clubID': '1421', 'value': '€2.50m'}, {'date': '06/09/2018', 'age': '22', 'clubName': 'Stade Rennais FC', 'clubID': '273', 'value': '€7.00m'}, {'date': '17/12/2018', 'age': '22', 'clubName': 'Stade Rennais FC', 'clubID': '273', 'value': '€7.00m'}, {'date': '03/06/2019', 'age': '23', 'clubName': 'Stade Rennais FC', 'clubID': '273', 'value': '€6.00m'}, {'date': '19/12/2019', 'age': '23', 'clubName': 'Stade Rennais FC', 'clubID': '273', 'value': '€4.50m'}, {'date': '08/04/2020', 'age': '23', 'clubName': 'Stade Rennais FC', 'clubID': '273', 'value': '€3.50m'}, {'date': '28/12/2020', 'age': '24', 'clubName': 'BSC Young Boys', 'clubID': '452', 'value': '€3.50m'}, {'date': '15/04/2021', 'age': '24', 'clubName': 'BSC Young Boys', 'clubID': '452', 'value': '€4.50m'}, {'date': '23/06/2021', 'age': '25', 'clubName': 'BSC Young Boys', 'clubID': '452', 'value': '€5.00m'}, {'date': '03/01/2022', 'age': '25', 'clubName': 'BSC Young Boys', 'clubID': '452', 'value': '€5.00m'}, {'date': '08/06/2022', 'age': '26', 'clubName': 'BSC Young Boys', 'clubID': '452', 'value': '€7.00m'}, {'date': '21/09/2022', 'age': '26', 'clubName': '1.FC Union Berlin', 'clubID': '89', 'value': '€10.00m'}, {'date': '09/11/2022', 'age': '26', 'clubName': '1.FC Union Berlin', 'clubID': '89', 'value': '€10.00m'}, {'date': '29/03/2023', 'age': '26', 'clubName': '1.FC Union Berlin', 'clubID': '89', 'value': '€9.00m'}, {'date': '22/06/2023', 'age': '27', 'clubName': '1.FC Union Berlin', 'clubID': '89', 'value': '€7.00m'}, {'date': '18/10/2023', 'age': '27', 'clubName': 'Borussia Mönchengladbach', 'clubID': '18', 'value': '€6.00m'}, {'date': '14/12/2023', 'age': '27', 'clubName': 'Borussia Mönchengladbach', 'clubID': '18', 'value': '€6.00m'}, {'date': '29/05/2024', 'age': '28', 'clubName': 'Borussia Mönchengladbach', 'clubID': '18', 'value': '€4.00m'}, {'date': '20/12/2024', 'age': '28', 'clubName': '1.FC Union Berlin', 'clubID': '89', 'value': '€3.00m'}, {'date': '03/06/2025', 'age': '29', 'clubName': 'Stade Reims', 'clubID': '1421', 'value': '€3.00m'}, {'date': '18/12/2025', 'age': '29', 'clubName': 'CD Tondela', 'clubID': '7179', 'value': '€2.00m'}]}</t>
        </is>
      </c>
      <c r="L338" t="inlineStr">
        <is>
          <t>United States</t>
        </is>
      </c>
      <c r="M338" t="inlineStr">
        <is>
          <t>1996-04-26</t>
        </is>
      </c>
      <c r="N338" t="inlineStr">
        <is>
          <t>United States</t>
        </is>
      </c>
      <c r="O338">
        <f>(5+7+10+10)/4</f>
        <v/>
      </c>
      <c r="P338">
        <f>(4.5+5)/2</f>
        <v/>
      </c>
    </row>
    <row r="339">
      <c r="A339" t="inlineStr">
        <is>
          <t>Vranckx</t>
        </is>
      </c>
      <c r="B339" t="inlineStr">
        <is>
          <t>Wolfsburg</t>
        </is>
      </c>
      <c r="C339" t="inlineStr">
        <is>
          <t>Midfielder</t>
        </is>
      </c>
      <c r="D339" t="n">
        <v>337</v>
      </c>
      <c r="E339" t="n">
        <v>4</v>
      </c>
      <c r="F339" t="n">
        <v>0</v>
      </c>
      <c r="G339" t="n">
        <v>0</v>
      </c>
      <c r="H339" t="n">
        <v>41.5</v>
      </c>
      <c r="I339" t="n">
        <v>30.7</v>
      </c>
      <c r="J339" t="n">
        <v>503881</v>
      </c>
      <c r="K339" t="inlineStr">
        <is>
          <t>{'marketValueHistory': [{'date': 'Jul 24, 2019', 'age': '16', 'clubName': 'KV Mechelen', 'clubID': '354', 'value': '€150k'}, {'date': 'Sep 13, 2019', 'age': '16', 'clubName': 'KV Mechelen', 'clubID': '354', 'value': '€500k'}, {'date': 'Dec 13, 2019', 'age': '17', 'clubName': 'KV Mechelen', 'clubID': '354', 'value': '€700k'}, {'date': 'Mar 30, 2020', 'age': '17', 'clubName': 'KV Mechelen', 'clubID': '354', 'value': '€4.50m'}, {'date': 'Apr 8, 2020', 'age': '17', 'clubName': 'KV Mechelen', 'clubID': '354', 'value': '€4.00m'}, {'date': 'Aug 6, 2020', 'age': '17', 'clubName': 'KV Mechelen', 'clubID': '354', 'value': '€5.00m'}, {'date': 'Oct 16, 2020', 'age': '18', 'clubName': 'KV Mechelen', 'clubID': '354', 'value': '€7.50m'}, {'date': 'Mar 17, 2021', 'age': '18', 'clubName': 'KV Mechelen', 'clubID': '354', 'value': '€6.80m'}, {'date': 'Jun 7, 2021', 'age': '18', 'clubName': 'KV Mechelen', 'clubID': '354', 'value': '€6.80m'}, {'date': 'Dec 22, 2021', 'age': '19', 'clubName': 'VfL Wolfsburg', 'clubID': '82', 'value': '€10.00m'}, {'date': 'Jun 9, 2022', 'age': '19', 'clubName': 'VfL Wolfsburg', 'clubID': '82', 'value': '€10.00m'}, {'date': 'Nov 11, 2022', 'age': '20', 'clubName': 'AC Milan', 'clubID': '5', 'value': '€10.00m'}, {'date': 'Mar 21, 2023', 'age': '20', 'clubName': 'AC Milan', 'clubID': '5', 'value': '€8.50m'}, {'date': 'Jun 15, 2023', 'age': '20', 'clubName': 'AC Milan', 'clubID': '5', 'value': '€8.50m'}, {'date': 'Dec 14, 2023', 'age': '21', 'clubName': 'VfL Wolfsburg', 'clubID': '82', 'value': '€12.00m'}, {'date': 'May 29, 2024', 'age': '21', 'clubName': 'VfL Wolfsburg', 'clubID': '82', 'value': '€12.00m'}, {'date': 'Dec 20, 2024', 'age': '22', 'clubName': 'VfL Wolfsburg', 'clubID': '82', 'value': '€12.00m'}, {'date': 'Mar 27, 2025', 'age': '22', 'clubName': 'VfL Wolfsburg', 'clubID': '82', 'value': '€9.00m'}, {'date': 'Jun 5, 2025', 'age': '22', 'clubName': 'VfL Wolfsburg', 'clubID': '82', 'value': '€7.00m'}, {'date': 'Dec 23, 2025', 'age': '23', 'clubName': 'US Sassuolo', 'clubID': '6574', 'value': '€7.00m'}]}</t>
        </is>
      </c>
      <c r="L339" t="inlineStr">
        <is>
          <t>Belgium</t>
        </is>
      </c>
      <c r="M339" t="inlineStr">
        <is>
          <t>2002-10-04</t>
        </is>
      </c>
      <c r="N339" t="inlineStr">
        <is>
          <t>Belgium</t>
        </is>
      </c>
      <c r="O339">
        <f>(10+10)/2</f>
        <v/>
      </c>
      <c r="P339">
        <f>(6.8+6.8+10)/3</f>
        <v/>
      </c>
    </row>
    <row r="340">
      <c r="A340" t="inlineStr">
        <is>
          <t>Chiesa</t>
        </is>
      </c>
      <c r="B340" t="inlineStr">
        <is>
          <t>Juventus</t>
        </is>
      </c>
      <c r="C340" t="inlineStr">
        <is>
          <t>Forward</t>
        </is>
      </c>
      <c r="D340" t="n">
        <v>336</v>
      </c>
      <c r="E340" t="n">
        <v>4</v>
      </c>
      <c r="F340" t="n">
        <v>2</v>
      </c>
      <c r="G340" t="n">
        <v>0</v>
      </c>
      <c r="H340" t="n">
        <v>37.5</v>
      </c>
      <c r="I340" t="n">
        <v>35.7</v>
      </c>
      <c r="J340" t="n">
        <v>341092</v>
      </c>
      <c r="K340" t="inlineStr">
        <is>
          <t>{'marketValueHistory': [{'date': '23/09/2014', 'age': '16', 'clubName': 'Fiorentina Primavera', 'clubID': '430', 'value': '€50k'}, {'date': '17/06/2015', 'age': '17', 'clubName': 'Fiorentina Primavera', 'clubID': '430', 'value': '€50k'}, {'date': '25/11/2015', 'age': '18', 'clubName': 'Fiorentina Primavera', 'clubID': '430', 'value': '€75k'}, {'date': '07/06/2016', 'age': '18', 'clubName': 'Fiorentina Primavera', 'clubID': '430', 'value': '€100k'}, {'date': '14/10/2016', 'age': '18', 'clubName': 'ACF Fiorentina', 'clubID': '430', 'value': '€500k'}, {'date': '02/01/2017', 'age': '19', 'clubName': 'ACF Fiorentina', 'clubID': '430', 'value': '€2.00m'}, {'date': '28/03/2017', 'age': '19', 'clubName': 'ACF Fiorentina', 'clubID': '430', 'value': '€8.00m'}, {'date': '08/06/2017', 'age': '19', 'clubName': 'ACF Fiorentina', 'clubID': '430', 'value': '€10.00m'}, {'date': '13/10/2017', 'age': '19', 'clubName': 'ACF Fiorentina', 'clubID': '430', 'value': '€17.00m'}, {'date': '29/12/2017', 'age': '20', 'clubName': 'ACF Fiorentina', 'clubID': '430', 'value': '€35.00m'}, {'date': '07/06/2018', 'age': '20', 'clubName': 'ACF Fiorentina', 'clubID': '430', 'value': '€45.00m'}, {'date': '12/10/2018', 'age': '20', 'clubName': 'ACF Fiorentina', 'clubID': '430', 'value': '€50.00m'}, {'date': '20/12/2018', 'age': '21', 'clubName': 'ACF Fiorentina', 'clubID': '430', 'value': '€50.00m'}, {'date': '06/06/2019', 'age': '21', 'clubName': 'ACF Fiorentina', 'clubID': '430', 'value': '€60.00m'}, {'date': '12/12/2019', 'age': '22', 'clubName': 'ACF Fiorentina', 'clubID': '430', 'value': '€60.00m'}, {'date': '08/04/2020', 'age': '22', 'clubName': 'ACF Fiorentina', 'clubID': '430', 'value': '€48.00m'}, {'date': '25/08/2020', 'age': '22', 'clubName': 'ACF Fiorentina', 'clubID': '430', 'value': '€48.00m'}, {'date': '29/12/2020', 'age': '23', 'clubName': 'Juventus FC', 'clubID': '506', 'value': '€48.00m'}, {'date': '23/03/2021', 'age': '23', 'clubName': 'Juventus FC', 'clubID': '506', 'value': '€60.00m'}, {'date': '25/05/2021', 'age': '23', 'clubName': 'Juventus FC', 'clubID': '506', 'value': '€60.00m'}, {'date': '15/07/2021', 'age': '23', 'clubName': 'Juventus FC', 'clubID': '506', 'value': '€70.00m'}, {'date': '28/12/2021', 'age': '24', 'clubName': 'Juventus FC', 'clubID': '506', 'value': '€70.00m'}, {'date': '07/06/2022', 'age': '24', 'clubName': 'Juventus FC', 'clubID': '506', 'value': '€65.00m'}, {'date': '11/11/2022', 'age': '25', 'clubName': 'Juventus FC', 'clubID': '506', 'value': '€60.00m'}, {'date': '21/03/2023', 'age': '25', 'clubName': 'Juventus FC', 'clubID': '506', 'value': '€50.00m'}, {'date': '15/06/2023', 'age': '25', 'clubName': 'Juventus FC', 'clubID': '506', 'value': '€40.00m'}, {'date': '11/10/2023', 'age': '25', 'clubName': 'Juventus FC', 'clubID': '506', 'value': '€45.00m'}, {'date': '20/12/2023', 'age': '26', 'clubName': 'Juventus FC', 'clubID': '506', 'value': '€50.00m'}, {'date': '12/03/2024', 'age': '26', 'clubName': 'Juventus FC', 'clubID': '506', 'value': '€40.00m'}, {'date': '05/06/2024', 'age': '26', 'clubName': 'Juventus FC', 'clubID': '506', 'value': '€35.00m'}, {'date': '01/10/2024', 'age': '26', 'clubName': 'Liverpool FC', 'clubID': '31', 'value': '€30.00m'}, {'date': '16/12/2024', 'age': '27', 'clubName': 'Liverpool FC', 'clubID': '31', 'value': '€22.00m'}, {'date': '18/03/2025', 'age': '27', 'clubName': 'Liverpool FC', 'clubID': '31', 'value': '€18.00m'}, {'date': '30/05/2025', 'age': '27', 'clubName': 'Liverpool FC', 'clubID': '31', 'value': '€14.00m'}, {'date': '17/10/2025', 'age': '27', 'clubName': 'Liverpool FC', 'clubID': '31', 'value': '€18.00m'}, {'date': '09/12/2025', 'age': '28', 'clubName': 'Liverpool FC', 'clubID': '31', 'value': '€18.00m'}, {'date': '09/03/2026', 'age': '28', 'clubName': 'Liverpool FC', 'clubID': '31', 'value': '€15.00m'}]}</t>
        </is>
      </c>
      <c r="L340" t="inlineStr">
        <is>
          <t>Italy</t>
        </is>
      </c>
      <c r="M340" t="inlineStr">
        <is>
          <t>1997-10-25</t>
        </is>
      </c>
      <c r="N340" t="inlineStr">
        <is>
          <t>Italy</t>
        </is>
      </c>
      <c r="O340">
        <f>(65+60)/2</f>
        <v/>
      </c>
      <c r="P340">
        <f>(60+60+70+70)/4</f>
        <v/>
      </c>
    </row>
    <row r="341">
      <c r="A341" t="inlineStr">
        <is>
          <t>Gvardiol</t>
        </is>
      </c>
      <c r="B341" t="inlineStr">
        <is>
          <t>Leipzig</t>
        </is>
      </c>
      <c r="C341" t="inlineStr">
        <is>
          <t>Defender</t>
        </is>
      </c>
      <c r="D341" t="n">
        <v>334</v>
      </c>
      <c r="E341" t="n">
        <v>6</v>
      </c>
      <c r="F341" t="n">
        <v>0</v>
      </c>
      <c r="G341" t="n">
        <v>0</v>
      </c>
      <c r="H341" t="n">
        <v>41.5</v>
      </c>
      <c r="I341" t="n">
        <v>34.3</v>
      </c>
      <c r="J341" t="n">
        <v>475959</v>
      </c>
      <c r="K341" t="inlineStr">
        <is>
          <t>{'marketValueHistory': [{'date': '16/09/2019', 'age': '17', 'clubName': 'GNK Dinamo Zagreb', 'clubID': '419', 'value': '€300k'}, {'date': '27/12/2019', 'age': '17', 'clubName': 'GNK Dinamo Zagreb', 'clubID': '419', 'value': '€1.50m'}, {'date': '08/04/2020', 'age': '18', 'clubName': 'GNK Dinamo Zagreb', 'clubID': '419', 'value': '€1.30m'}, {'date': '27/07/2020', 'age': '18', 'clubName': 'GNK Dinamo Zagreb', 'clubID': '419', 'value': '€6.00m'}, {'date': '28/12/2020', 'age': '18', 'clubName': 'GNK Dinamo Zagreb', 'clubID': '419', 'value': '€16.00m'}, {'date': '28/05/2021', 'age': '19', 'clubName': 'GNK Dinamo Zagreb', 'clubID': '419', 'value': '€19.00m'}, {'date': '22/12/2021', 'age': '19', 'clubName': 'RB Leipzig', 'clubID': '23826', 'value': '€25.00m'}, {'date': '24/03/2022', 'age': '20', 'clubName': 'RB Leipzig', 'clubID': '23826', 'value': '€30.00m'}, {'date': '09/06/2022', 'age': '20', 'clubName': 'RB Leipzig', 'clubID': '23826', 'value': '€35.00m'}, {'date': '21/09/2022', 'age': '20', 'clubName': 'RB Leipzig', 'clubID': '23826', 'value': '€60.00m'}, {'date': '09/11/2022', 'age': '20', 'clubName': 'RB Leipzig', 'clubID': '23826', 'value': '€60.00m'}, {'date': '23/12/2022', 'age': '20', 'clubName': 'RB Leipzig', 'clubID': '23826', 'value': '€75.00m'}, {'date': '22/06/2023', 'age': '21', 'clubName': 'RB Leipzig', 'clubID': '23826', 'value': '€75.00m'}, {'date': '09/10/2023', 'age': '21', 'clubName': 'Manchester City', 'clubID': '281', 'value': '€80.00m'}, {'date': '19/12/2023', 'age': '21', 'clubName': 'Manchester City', 'clubID': '281', 'value': '€80.00m'}, {'date': '14/03/2024', 'age': '22', 'clubName': 'Manchester City', 'clubID': '281', 'value': '€75.00m'}, {'date': '27/05/2024', 'age': '22', 'clubName': 'Manchester City', 'clubID': '281', 'value': '€75.00m'}, {'date': '16/12/2024', 'age': '22', 'clubName': 'Manchester City', 'clubID': '281', 'value': '€75.00m'}, {'date': '30/05/2025', 'age': '23', 'clubName': 'Manchester City', 'clubID': '281', 'value': '€75.00m'}, {'date': '09/12/2025', 'age': '23', 'clubName': 'Manchester City', 'clubID': '281', 'value': '€70.00m'}]}</t>
        </is>
      </c>
      <c r="L341" t="inlineStr">
        <is>
          <t>Croatia</t>
        </is>
      </c>
      <c r="M341" t="inlineStr">
        <is>
          <t>2002-01-23</t>
        </is>
      </c>
      <c r="N341" t="inlineStr">
        <is>
          <t>46</t>
        </is>
      </c>
      <c r="O341">
        <f>(30+35+60+60+75)/5</f>
        <v/>
      </c>
      <c r="P341">
        <f>(19+25)/2</f>
        <v/>
      </c>
    </row>
    <row r="342">
      <c r="A342" t="inlineStr">
        <is>
          <t>Tonali</t>
        </is>
      </c>
      <c r="B342" t="inlineStr">
        <is>
          <t>Milan</t>
        </is>
      </c>
      <c r="C342" t="inlineStr">
        <is>
          <t>Midfielder</t>
        </is>
      </c>
      <c r="D342" t="n">
        <v>333</v>
      </c>
      <c r="E342" t="n">
        <v>6</v>
      </c>
      <c r="F342" t="n">
        <v>0</v>
      </c>
      <c r="G342" t="n">
        <v>0</v>
      </c>
      <c r="H342" t="n">
        <v>44.4</v>
      </c>
      <c r="I342" t="n">
        <v>33.8</v>
      </c>
      <c r="J342" t="n">
        <v>397033</v>
      </c>
      <c r="K342" t="inlineStr">
        <is>
          <t>{'marketValueHistory': [{'date': '01/02/2018', 'age': '17', 'clubName': 'Brescia Calcio (- 2025)', 'clubID': '19', 'value': '€250k'}, {'date': '18/06/2018', 'age': '18', 'clubName': 'Brescia Calcio (- 2025)', 'clubID': '19', 'value': '€7.00m'}, {'date': '17/01/2019', 'age': '18', 'clubName': 'Brescia Calcio (- 2025)', 'clubID': '19', 'value': '€15.00m'}, {'date': '05/06/2019', 'age': '19', 'clubName': 'Brescia Calcio (- 2025)', 'clubID': '19', 'value': '€25.00m'}, {'date': '08/10/2019', 'age': '19', 'clubName': 'Brescia Calcio (- 2025)', 'clubID': '19', 'value': '€30.00m'}, {'date': '12/12/2019', 'age': '19', 'clubName': 'Brescia Calcio (- 2025)', 'clubID': '19', 'value': '€30.00m'}, {'date': '03/03/2020', 'age': '19', 'clubName': 'Brescia Calcio (- 2025)', 'clubID': '19', 'value': '€35.00m'}, {'date': '08/04/2020', 'age': '19', 'clubName': 'Brescia Calcio (- 2025)', 'clubID': '19', 'value': '€31.50m'}, {'date': '25/08/2020', 'age': '20', 'clubName': 'Brescia Calcio (- 2025)', 'clubID': '19', 'value': '€32.00m'}, {'date': '29/12/2020', 'age': '20', 'clubName': 'AC Milan', 'clubID': '5', 'value': '€32.00m'}, {'date': '03/06/2021', 'age': '21', 'clubName': 'AC Milan', 'clubID': '5', 'value': '€27.00m'}, {'date': '28/12/2021', 'age': '21', 'clubName': 'AC Milan', 'clubID': '5', 'value': '€35.00m'}, {'date': '15/03/2022', 'age': '21', 'clubName': 'AC Milan', 'clubID': '5', 'value': '€40.00m'}, {'date': '07/06/2022', 'age': '22', 'clubName': 'AC Milan', 'clubID': '5', 'value': '€50.00m'}, {'date': '11/11/2022', 'age': '22', 'clubName': 'AC Milan', 'clubID': '5', 'value': '€50.00m'}, {'date': '15/06/2023', 'age': '23', 'clubName': 'AC Milan', 'clubID': '5', 'value': '€50.00m'}, {'date': '09/10/2023', 'age': '23', 'clubName': 'Newcastle United', 'clubID': '762', 'value': '€60.00m'}, {'date': '19/12/2023', 'age': '23', 'clubName': 'Newcastle United', 'clubID': '762', 'value': '€40.00m'}, {'date': '27/05/2024', 'age': '24', 'clubName': 'Newcastle United', 'clubID': '762', 'value': '€38.00m'}, {'date': '16/12/2024', 'age': '24', 'clubName': 'Newcastle United', 'clubID': '762', 'value': '€38.00m'}, {'date': '18/03/2025', 'age': '24', 'clubName': 'Newcastle United', 'clubID': '762', 'value': '€45.00m'}, {'date': '30/05/2025', 'age': '25', 'clubName': 'Newcastle United', 'clubID': '762', 'value': '€60.00m'}, {'date': '17/10/2025', 'age': '25', 'clubName': 'Newcastle United', 'clubID': '762', 'value': '€75.00m'}, {'date': '09/12/2025', 'age': '25', 'clubName': 'Newcastle United', 'clubID': '762', 'value': '€75.00m'}, {'date': '09/03/2026', 'age': '25', 'clubName': 'Newcastle United', 'clubID': '762', 'value': '€80.00m'}]}</t>
        </is>
      </c>
      <c r="L342" t="inlineStr">
        <is>
          <t>England</t>
        </is>
      </c>
      <c r="M342" t="inlineStr">
        <is>
          <t>2000-08-05</t>
        </is>
      </c>
      <c r="N342" t="inlineStr">
        <is>
          <t>32</t>
        </is>
      </c>
      <c r="O342">
        <f>(40+50+50)/3</f>
        <v/>
      </c>
      <c r="P342">
        <f>(27+35)/2</f>
        <v/>
      </c>
    </row>
    <row r="343">
      <c r="A343" t="inlineStr">
        <is>
          <t>Jesus Navas</t>
        </is>
      </c>
      <c r="B343" t="inlineStr">
        <is>
          <t>Sevilla</t>
        </is>
      </c>
      <c r="C343" t="inlineStr">
        <is>
          <t>Forward</t>
        </is>
      </c>
      <c r="D343" t="n">
        <v>332</v>
      </c>
      <c r="E343" t="n">
        <v>4</v>
      </c>
      <c r="F343" t="n">
        <v>0</v>
      </c>
      <c r="G343" t="n">
        <v>0</v>
      </c>
      <c r="H343" t="n">
        <v>40</v>
      </c>
      <c r="I343" t="n">
        <v>32</v>
      </c>
      <c r="J343" t="n">
        <v>15956</v>
      </c>
      <c r="K343" t="inlineStr">
        <is>
          <t>{'marketValueHistory': [{'date': '04/10/2004', 'age': '18', 'clubName': 'Sevilla FC', 'clubID': '368', 'value': '€50k'}, {'date': '12/10/2004', 'age': '18', 'clubName': 'Sevilla FC', 'clubID': '368', 'value': '€1.50m'}, {'date': '15/11/2004', 'age': '18', 'clubName': 'Sevilla FC', 'clubID': '368', 'value': '€2.50m'}, {'date': '12/10/2006', 'age': '20', 'clubName': 'Sevilla FC', 'clubID': '368', 'value': '€3.50m'}, {'date': '31/01/2007', 'age': '21', 'clubName': 'Sevilla FC', 'clubID': '368', 'value': '€7.00m'}, {'date': '04/02/2008', 'age': '22', 'clubName': 'Sevilla FC', 'clubID': '368', 'value': '€9.00m'}, {'date': '04/04/2008', 'age': '22', 'clubName': 'Sevilla FC', 'clubID': '368', 'value': '€10.00m'}, {'date': '14/07/2008', 'age': '22', 'clubName': 'Sevilla FC', 'clubID': '368', 'value': '€10.00m'}, {'date': '15/10/2008', 'age': '22', 'clubName': 'Sevilla FC', 'clubID': '368', 'value': '€14.00m'}, {'date': '25/01/2009', 'age': '23', 'clubName': 'Sevilla FC', 'clubID': '368', 'value': '€17.00m'}, {'date': '22/07/2009', 'age': '23', 'clubName': 'Sevilla FC', 'clubID': '368', 'value': '€22.00m'}, {'date': '03/12/2009', 'age': '24', 'clubName': 'Sevilla FC', 'clubID': '368', 'value': '€25.00m'}, {'date': '12/04/2010', 'age': '24', 'clubName': 'Sevilla FC', 'clubID': '368', 'value': '€28.00m'}, {'date': '27/08/2010', 'age': '24', 'clubName': 'Sevilla FC', 'clubID': '368', 'value': '€30.00m'}, {'date': '04/02/2011', 'age': '25', 'clubName': 'Sevilla FC', 'clubID': '368', 'value': '€25.00m'}, {'date': '29/07/2011', 'age': '25', 'clubName': 'Sevilla FC', 'clubID': '368', 'value': '€24.00m'}, {'date': '03/02/2012', 'age': '26', 'clubName': 'Sevilla FC', 'clubID': '368', 'value': '€20.00m'}, {'date': '07/08/2012', 'age': '26', 'clubName': 'Sevilla FC', 'clubID': '368', 'value': '€20.00m'}, {'date': '11/01/2013', 'age': '27', 'clubName': 'Sevilla FC', 'clubID': '368', 'value': '€20.00m'}, {'date': '12/06/2013', 'age': '27', 'clubName': 'Sevilla FC', 'clubID': '368', 'value': '€20.00m'}, {'date': '15/01/2014', 'age': '28', 'clubName': 'Manchester City', 'clubID': '281', 'value': '€20.00m'}, {'date': '12/08/2014', 'age': '28', 'clubName': 'Manchester City', 'clubID': '281', 'value': '€20.00m'}, {'date': '12/02/2015', 'age': '29', 'clubName': 'Manchester City', 'clubID': '281', 'value': '€20.00m'}, {'date': '01/07/2015', 'age': '29', 'clubName': 'Manchester City', 'clubID': '281', 'value': '€20.00m'}, {'date': '09/02/2016', 'age': '30', 'clubName': 'Manchester City', 'clubID': '281', 'value': '€20.00m'}, {'date': '01/08/2016', 'age': '30', 'clubName': 'Manchester City', 'clubID': '281', 'value': '€20.00m'}, {'date': '20/02/2017', 'age': '31', 'clubName': 'Manchester City', 'clubID': '281', 'value': '€15.00m'}, {'date': '28/06/2017', 'age': '31', 'clubName': 'Manchester City', 'clubID': '281', 'value': '€12.00m'}, {'date': '17/08/2017', 'age': '31', 'clubName': 'Sevilla FC', 'clubID': '368', 'value': '€9.00m'}, {'date': '01/01/2018', 'age': '32', 'clubName': 'Sevilla FC', 'clubID': '368', 'value': '€6.00m'}, {'date': '30/05/2018', 'age': '32', 'clubName': 'Sevilla FC', 'clubID': '368', 'value': '€5.00m'}, {'date': '21/12/2018', 'age': '33', 'clubName': 'Sevilla FC', 'clubID': '368', 'value': '€4.00m'}, {'date': '11/06/2019', 'age': '33', 'clubName': 'Sevilla FC', 'clubID': '368', 'value': '€4.00m'}, {'date': '20/12/2019', 'age': '34', 'clubName': 'Sevilla FC', 'clubID': '368', 'value': '€4.00m'}, {'date': '08/04/2020', 'age': '34', 'clubName': 'Sevilla FC', 'clubID': '368', 'value': '€3.20m'}, {'date': '08/10/2020', 'age': '34', 'clubName': 'Sevilla FC', 'clubID': '368', 'value': '€3.00m'}, {'date': '05/01/2021', 'age': '35', 'clubName': 'Sevilla FC', 'clubID': '368', 'value': '€3.00m'}, {'date': '10/06/2021', 'age': '35', 'clubName': 'Sevilla FC', 'clubID': '368', 'value': '€3.00m'}, {'date': '30/12/2021', 'age': '36', 'clubName': 'Sevilla FC', 'clubID': '368', 'value': '€3.00m'}, {'date': '03/06/2022', 'age': '36', 'clubName': 'Sevilla FC', 'clubID': '368', 'value': '€3.00m'}, {'date': '07/11/2022', 'age': '36', 'clubName': 'Sevilla FC', 'clubID': '368', 'value': '€3.00m'}, {'date': '13/06/2023', 'age': '37', 'clubName': 'Sevilla FC', 'clubID': '368', 'value': '€3.00m'}, {'date': '22/12/2023', 'age': '38', 'clubName': 'Sevilla FC', 'clubID': '368', 'value': '€3.00m'}, {'date': '07/06/2024', 'age': '38', 'clubName': 'Sevilla FC', 'clubID': '368', 'value': '€2.50m'}, {'date': '27/12/2024', 'age': '39', 'clubName': 'Sevilla FC', 'clubID': '368', 'value': '€2.50m'}, {'date': '01/01/2025', 'age': '39', 'clubName': 'Retired', 'clubID': '123', 'value': '-'}]}</t>
        </is>
      </c>
      <c r="L343" t="inlineStr">
        <is>
          <t>Spain</t>
        </is>
      </c>
      <c r="M343" t="inlineStr">
        <is>
          <t>1985-11-21</t>
        </is>
      </c>
      <c r="N343" t="inlineStr">
        <is>
          <t>56</t>
        </is>
      </c>
      <c r="O343">
        <f>(3+3)/2</f>
        <v/>
      </c>
      <c r="P343">
        <f>(3+3+3)/3</f>
        <v/>
      </c>
    </row>
    <row r="344">
      <c r="A344" t="inlineStr">
        <is>
          <t>Sobol</t>
        </is>
      </c>
      <c r="B344" t="inlineStr">
        <is>
          <t>Club Brugge</t>
        </is>
      </c>
      <c r="C344" t="inlineStr">
        <is>
          <t>Defender</t>
        </is>
      </c>
      <c r="D344" t="n">
        <v>331</v>
      </c>
      <c r="E344" t="n">
        <v>4</v>
      </c>
      <c r="F344" t="n">
        <v>0</v>
      </c>
      <c r="G344" t="n">
        <v>1</v>
      </c>
      <c r="H344" t="n">
        <v>39.1</v>
      </c>
      <c r="I344" t="n">
        <v>32.5</v>
      </c>
      <c r="J344" t="n">
        <v>464259</v>
      </c>
      <c r="K344" t="inlineStr">
        <is>
          <t>{'id': '464259', 'marketValue': '€8.00m', 'marketValueHistory': [{'age': '19', 'date': 'Dec 2, 2016', 'clubName': 'Tom Tomsk II', 'value': '€50k', 'clubID': '11754'}, {'age': '20', 'date': 'Jun 1, 2017', 'clubName': 'Tom Tomsk', 'value': '€200k', 'clubID': '3691'}, {'age': '20', 'date': 'Dec 6, 2017', 'clubName': 'Tom Tomsk', 'value': '€350k', 'clubID': '3691'}, {'age': '21', 'date': 'Jun 6, 2018', 'clubName': 'Krylya Sovetov Samara', 'value': '€800k', 'clubID': '2696'}, {'age': '21', 'date': 'Dec 20, 2018', 'clubName': 'Krylya Sovetov Samara', 'value': '€1.00m', 'clubID': '2696'}, {'age': '22', 'date': 'Jun 14, 2019', 'clubName': 'Enisey Krasnoyarsk', 'value': '€1.20m', 'clubID': '3714'}, {'age': '22', 'date': 'Sep 10, 2019', 'clubName': 'Krylya Sovetov Samara', 'value': '€2.00m', 'clubID': '2696'}, {'age': '22', 'date': 'Dec 23, 2019', 'clubName': 'Krylya Sovetov Samara', 'value': '€4.50m', 'clubID': '2696'}, {'age': '23', 'date': 'Apr 8, 2020', 'clubName': 'Spartak Moscow', 'value': '€3.50m', 'clubID': '232'}, {'age': '23', 'date': 'Jul 29, 2020', 'clubName': 'Spartak Moscow', 'value': '€4.50m', 'clubID': '232'}, {'age': '23', 'date': 'Oct 19, 2020', 'clubName': 'Spartak Moscow', 'value': '€6.00m', 'clubID': '232'}, {'age': '23', 'date': 'Dec 29, 2020', 'clubName': 'Spartak Moscow', 'value': '€6.00m', 'clubID': '232'}, {'age': '24', 'date': 'Apr 13, 2021', 'clubName': 'Spartak Moscow', 'value': '€9.00m', 'clubID': '232'}, {'age': '24', 'date': 'May 26, 2021', 'clubName': 'Spartak Moscow', 'value': '€11.00m', 'clubID': '232'}, {'age': '24', 'date': 'Sep 15, 2021', 'clubName': 'Spartak Moscow', 'value': '€10.00m', 'clubID': '232'}, {'age': '24', 'date': 'Dec 29, 2021', 'clubName': 'Spartak Moscow', 'value': '€9.00m', 'clubID': '232'}, {'age': '25', 'date': 'Jun 2, 2022', 'clubName': 'Spartak Moscow', 'value': '€8.00m', 'clubID': '232'}, {'age': '25', 'date': 'Nov 21, 2022', 'clubName': 'Spartak Moscow', 'value': '€9.00m', 'clubID': '232'}, {'age': '26', 'date': 'Jun 14, 2023', 'clubName': 'Spartak Moscow', 'value': '€9.00m', 'clubID': '232'}, {'age': '26', 'date': 'Dec 13, 2023', 'clubName': 'Spartak Moscow', 'value': '€8.00m', 'clubID': '232'}], 'ranking': {'Worldwide': '1.233', 'Premier Liga': '16', 'Spartak Moscow': '1', 'Russia': '9', 'Centre-Forward': '171', 'Year 1997': '147'}, 'updatedAt': datetime.datetime(2024, 5, 23, 22, 31, 23, 366874)}</t>
        </is>
      </c>
      <c r="L344" t="inlineStr">
        <is>
          <t>Russia</t>
        </is>
      </c>
      <c r="M344" t="inlineStr">
        <is>
          <t>1997-03-07</t>
        </is>
      </c>
      <c r="N344" t="inlineStr">
        <is>
          <t>14</t>
        </is>
      </c>
      <c r="O344">
        <f>(8+9)/2</f>
        <v/>
      </c>
      <c r="P344">
        <f>(9+11+10+9)/4</f>
        <v/>
      </c>
    </row>
    <row r="345">
      <c r="A345" t="inlineStr">
        <is>
          <t>Brooks</t>
        </is>
      </c>
      <c r="B345" t="inlineStr">
        <is>
          <t>Wolfsburg</t>
        </is>
      </c>
      <c r="C345" t="inlineStr">
        <is>
          <t>Defender</t>
        </is>
      </c>
      <c r="D345" t="n">
        <v>331</v>
      </c>
      <c r="E345" t="n">
        <v>4</v>
      </c>
      <c r="F345" t="n">
        <v>0</v>
      </c>
      <c r="G345" t="n">
        <v>0</v>
      </c>
      <c r="H345" t="n">
        <v>36.3</v>
      </c>
      <c r="I345" t="n">
        <v>32.7</v>
      </c>
      <c r="J345" t="n">
        <v>277033</v>
      </c>
      <c r="K345" t="inlineStr">
        <is>
          <t>{'marketValueHistory': [{'date': '18/09/2017', 'age': '20', 'clubName': 'Sheffield United', 'clubID': '350', 'value': '€250k'}, {'date': '27/02/2018', 'age': '20', 'clubName': 'Sheffield United', 'clubID': '350', 'value': '€5.00m'}, {'date': '13/08/2018', 'age': '21', 'clubName': 'AFC Bournemouth', 'clubID': '989', 'value': '€9.00m'}, {'date': '17/10/2018', 'age': '21', 'clubName': 'AFC Bournemouth', 'clubID': '989', 'value': '€10.00m'}, {'date': '19/12/2018', 'age': '21', 'clubName': 'AFC Bournemouth', 'clubID': '989', 'value': '€12.00m'}, {'date': '05/03/2019', 'age': '21', 'clubName': 'AFC Bournemouth', 'clubID': '989', 'value': '€20.00m'}, {'date': '13/06/2019', 'age': '21', 'clubName': 'AFC Bournemouth', 'clubID': '989', 'value': '€30.00m'}, {'date': '10/12/2019', 'age': '22', 'clubName': 'AFC Bournemouth', 'clubID': '989', 'value': '€30.00m'}, {'date': '08/04/2020', 'age': '22', 'clubName': 'AFC Bournemouth', 'clubID': '989', 'value': '€24.00m'}, {'date': '30/07/2020', 'age': '23', 'clubName': 'AFC Bournemouth', 'clubID': '989', 'value': '€20.00m'}, {'date': '15/10/2020', 'age': '23', 'clubName': 'AFC Bournemouth', 'clubID': '989', 'value': '€18.00m'}, {'date': '10/03/2021', 'age': '23', 'clubName': 'AFC Bournemouth', 'clubID': '989', 'value': '€18.00m'}, {'date': '25/05/2021', 'age': '23', 'clubName': 'AFC Bournemouth', 'clubID': '989', 'value': '€16.00m'}, {'date': '24/11/2021', 'age': '24', 'clubName': 'AFC Bournemouth', 'clubID': '989', 'value': '€16.00m'}, {'date': '13/05/2022', 'age': '24', 'clubName': 'AFC Bournemouth', 'clubID': '989', 'value': '€16.00m'}, {'date': '03/11/2022', 'age': '25', 'clubName': 'AFC Bournemouth', 'clubID': '989', 'value': '€14.00m'}, {'date': '16/03/2023', 'age': '25', 'clubName': 'AFC Bournemouth', 'clubID': '989', 'value': '€12.00m'}, {'date': '20/06/2023', 'age': '25', 'clubName': 'AFC Bournemouth', 'clubID': '989', 'value': '€12.00m'}, {'date': '19/12/2023', 'age': '26', 'clubName': 'AFC Bournemouth', 'clubID': '989', 'value': '€9.00m'}, {'date': '24/05/2024', 'age': '26', 'clubName': 'Southampton FC', 'clubID': '180', 'value': '€8.00m'}, {'date': '16/12/2024', 'age': '27', 'clubName': 'AFC Bournemouth', 'clubID': '989', 'value': '€9.00m'}, {'date': '18/03/2025', 'age': '27', 'clubName': 'AFC Bournemouth', 'clubID': '989', 'value': '€12.00m'}, {'date': '30/05/2025', 'age': '27', 'clubName': 'AFC Bournemouth', 'clubID': '989', 'value': '€10.00m'}, {'date': '17/10/2025', 'age': '28', 'clubName': 'AFC Bournemouth', 'clubID': '989', 'value': '€12.00m'}, {'date': '09/12/2025', 'age': '28', 'clubName': 'AFC Bournemouth', 'clubID': '989', 'value': '€12.00m'}, {'date': '09/03/2026', 'age': '28', 'clubName': 'AFC Bournemouth', 'clubID': '989', 'value': '€14.00m'}]}</t>
        </is>
      </c>
      <c r="L345" t="inlineStr">
        <is>
          <t>United Kingdom</t>
        </is>
      </c>
      <c r="M345" t="inlineStr">
        <is>
          <t>1997-07-08</t>
        </is>
      </c>
      <c r="N345" t="inlineStr">
        <is>
          <t>Wales</t>
        </is>
      </c>
      <c r="O345">
        <f>(16+14)/2</f>
        <v/>
      </c>
      <c r="P345">
        <f>(18+16+16)/3</f>
        <v/>
      </c>
    </row>
    <row r="346">
      <c r="A346" t="inlineStr">
        <is>
          <t>Trigueros</t>
        </is>
      </c>
      <c r="B346" t="inlineStr">
        <is>
          <t>Villarreal</t>
        </is>
      </c>
      <c r="C346" t="inlineStr">
        <is>
          <t>Midfielder</t>
        </is>
      </c>
      <c r="D346" t="n">
        <v>330</v>
      </c>
      <c r="E346" t="n">
        <v>9</v>
      </c>
      <c r="F346" t="n">
        <v>1</v>
      </c>
      <c r="G346" t="n">
        <v>0</v>
      </c>
      <c r="H346" t="n">
        <v>42.9</v>
      </c>
      <c r="I346" t="n">
        <v>28.5</v>
      </c>
      <c r="J346" t="n">
        <v>188854</v>
      </c>
      <c r="K346" t="inlineStr">
        <is>
          <t>{'marketValueHistory': [{'date': 'Apr 30, 2012', 'age': '20', 'clubName': 'Villarreal CF B', 'clubID': '11972', 'value': '€300k'}, {'date': 'Aug 8, 2012', 'age': '20', 'clubName': 'Villarreal CF', 'clubID': '1050', 'value': '€600k'}, {'date': 'Dec 2, 2012', 'age': '21', 'clubName': 'Villarreal CF', 'clubID': '1050', 'value': '€800k'}, {'date': 'Jan 22, 2013', 'age': '21', 'clubName': 'Villarreal CF', 'clubID': '1050', 'value': '€1.50m'}, {'date': 'May 10, 2013', 'age': '21', 'clubName': 'Villarreal CF', 'clubID': '1050', 'value': '€2.00m'}, {'date': 'Jan 23, 2014', 'age': '22', 'clubName': 'Villarreal CF', 'clubID': '1050', 'value': '€4.00m'}, {'date': 'Jul 20, 2014', 'age': '22', 'clubName': 'Villarreal CF', 'clubID': '1050', 'value': '€6.00m'}, {'date': 'Jan 23, 2015', 'age': '23', 'clubName': 'Villarreal CF', 'clubID': '1050', 'value': '€6.00m'}, {'date': 'Jul 1, 2015', 'age': '23', 'clubName': 'Villarreal CF', 'clubID': '1050', 'value': '€6.00m'}, {'date': 'Feb 22, 2016', 'age': '24', 'clubName': 'Villarreal CF', 'clubID': '1050', 'value': '€7.00m'}, {'date': 'Jul 15, 2016', 'age': '24', 'clubName': 'Villarreal CF', 'clubID': '1050', 'value': '€7.00m'}, {'date': 'Oct 27, 2016', 'age': '25', 'clubName': 'Villarreal CF', 'clubID': '1050', 'value': '€8.00m'}, {'date': 'Jan 24, 2017', 'age': '25', 'clubName': 'Villarreal CF', 'clubID': '1050', 'value': '€12.00m'}, {'date': 'Jun 5, 2017', 'age': '25', 'clubName': 'Villarreal CF', 'clubID': '1050', 'value': '€15.00m'}, {'date': 'Jan 1, 2018', 'age': '26', 'clubName': 'Villarreal CF', 'clubID': '1050', 'value': '€15.00m'}, {'date': 'Mar 22, 2018', 'age': '26', 'clubName': 'Villarreal CF', 'clubID': '1050', 'value': '€20.00m'}, {'date': 'May 30, 2018', 'age': '26', 'clubName': 'Villarreal CF', 'clubID': '1050', 'value': '€20.00m'}, {'date': 'Dec 21, 2018', 'age': '27', 'clubName': 'Villarreal CF', 'clubID': '1050', 'value': '€20.00m'}, {'date': 'Jun 11, 2019', 'age': '27', 'clubName': 'Villarreal CF', 'clubID': '1050', 'value': '€15.00m'}, {'date': 'Dec 20, 2019', 'age': '28', 'clubName': 'Villarreal CF', 'clubID': '1050', 'value': '€12.00m'}, {'date': 'Mar 5, 2020', 'age': '28', 'clubName': 'Villarreal CF', 'clubID': '1050', 'value': '€15.00m'}, {'date': 'Apr 8, 2020', 'age': '28', 'clubName': 'Villarreal CF', 'clubID': '1050', 'value': '€12.00m'}, {'date': 'Oct 8, 2020', 'age': '28', 'clubName': 'Villarreal CF', 'clubID': '1050', 'value': '€11.00m'}, {'date': 'Jan 5, 2021', 'age': '29', 'clubName': 'Villarreal CF', 'clubID': '1050', 'value': '€11.00m'}, {'date': 'Jun 10, 2021', 'age': '29', 'clubName': 'Villarreal CF', 'clubID': '1050', 'value': '€12.00m'}, {'date': 'Dec 30, 2021', 'age': '30', 'clubName': 'Villarreal CF', 'clubID': '1050', 'value': '€12.00m'}, {'date': 'Jun 3, 2022', 'age': '30', 'clubName': 'Villarreal CF', 'clubID': '1050', 'value': '€14.00m'}, {'date': 'Sep 23, 2022', 'age': '30', 'clubName': 'Villarreal CF', 'clubID': '1050', 'value': '€12.00m'}, {'date': 'Nov 7, 2022', 'age': '31', 'clubName': 'Villarreal CF', 'clubID': '1050', 'value': '€6.00m'}, {'date': 'Jun 13, 2023', 'age': '31', 'clubName': 'Villarreal CF', 'clubID': '1050', 'value': '€4.00m'}, {'date': 'Oct 13, 2023', 'age': '31', 'clubName': 'Villarreal CF', 'clubID': '1050', 'value': '€2.50m'}, {'date': 'Dec 22, 2023', 'age': '32', 'clubName': 'Villarreal CF', 'clubID': '1050', 'value': '€2.50m'}, {'date': 'Mar 21, 2024', 'age': '32', 'clubName': 'Villarreal CF', 'clubID': '1050', 'value': '€2.00m'}, {'date': 'Jun 7, 2024', 'age': '32', 'clubName': 'Villarreal CF', 'clubID': '1050', 'value': '€1.50m'}, {'date': 'Dec 13, 2024', 'age': '33', 'clubName': 'Granada CF', 'clubID': '16795', 'value': '€1.00m'}, {'date': 'Mar 27, 2025', 'age': '33', 'clubName': 'Granada CF', 'clubID': '16795', 'value': '€600k'}, {'date': 'Jun 24, 2025', 'age': '33', 'clubName': 'Granada CF', 'clubID': '16795', 'value': '€500k'}, {'date': 'Dec 30, 2025', 'age': '34', 'clubName': 'Granada CF', 'clubID': '16795', 'value': '€400k'}]}</t>
        </is>
      </c>
      <c r="L346" t="inlineStr">
        <is>
          <t>Spain</t>
        </is>
      </c>
      <c r="M346" t="inlineStr">
        <is>
          <t>1991-10-17</t>
        </is>
      </c>
      <c r="N346" t="inlineStr">
        <is>
          <t>Spain</t>
        </is>
      </c>
      <c r="O346">
        <f>(14+12+6)/3</f>
        <v/>
      </c>
      <c r="P346">
        <f>(11+12+12)/3</f>
        <v/>
      </c>
    </row>
    <row r="347">
      <c r="A347" t="inlineStr">
        <is>
          <t>Pedro Goncalves</t>
        </is>
      </c>
      <c r="B347" t="inlineStr">
        <is>
          <t>Sporting CP</t>
        </is>
      </c>
      <c r="C347" t="inlineStr">
        <is>
          <t>Midfielder</t>
        </is>
      </c>
      <c r="D347" t="n">
        <v>329</v>
      </c>
      <c r="E347" t="n">
        <v>5</v>
      </c>
      <c r="F347" t="n">
        <v>4</v>
      </c>
      <c r="G347" t="n">
        <v>2</v>
      </c>
      <c r="H347" t="n">
        <v>41.3</v>
      </c>
      <c r="I347" t="n">
        <v>32.5</v>
      </c>
      <c r="J347" t="n">
        <v>670681</v>
      </c>
      <c r="K347" t="inlineStr">
        <is>
          <t>{'marketValueHistory': [{'date': '27/06/2022', 'age': '17', 'clubName': 'SL Benfica U19', 'clubID': '8889', 'value': '€400k'}, {'date': '28/12/2022', 'age': '18', 'clubName': 'SL Benfica B', 'clubID': '10330', 'value': '€500k'}, {'date': '02/03/2023', 'age': '18', 'clubName': 'SL Benfica', 'clubID': '294', 'value': '€2.50m'}, {'date': '16/06/2023', 'age': '18', 'clubName': 'SL Benfica', 'clubID': '294', 'value': '€10.00m'}, {'date': '29/09/2023', 'age': '19', 'clubName': 'SL Benfica', 'clubID': '294', 'value': '€20.00m'}, {'date': '27/12/2023', 'age': '19', 'clubName': 'SL Benfica', 'clubID': '294', 'value': '€45.00m'}, {'date': '06/06/2024', 'age': '19', 'clubName': 'SL Benfica', 'clubID': '294', 'value': '€55.00m'}, {'date': '07/10/2024', 'age': '20', 'clubName': 'Paris Saint-Germain', 'clubID': '583', 'value': '€60.00m'}, {'date': '10/12/2024', 'age': '20', 'clubName': 'Paris Saint-Germain', 'clubID': '583', 'value': '€60.00m'}, {'date': '24/03/2025', 'age': '20', 'clubName': 'Paris Saint-Germain', 'clubID': '583', 'value': '€65.00m'}, {'date': '03/06/2025', 'age': '20', 'clubName': 'Paris Saint-Germain', 'clubID': '583', 'value': '€80.00m'}, {'date': '10/10/2025', 'age': '21', 'clubName': 'Paris Saint-Germain', 'clubID': '583', 'value': '€90.00m'}, {'date': '15/12/2025', 'age': '21', 'clubName': 'Paris Saint-Germain', 'clubID': '583', 'value': '€110.00m'}]}</t>
        </is>
      </c>
      <c r="L347" t="inlineStr">
        <is>
          <t>Portugal</t>
        </is>
      </c>
      <c r="M347" t="inlineStr">
        <is>
          <t>2004-09-27</t>
        </is>
      </c>
      <c r="N347" t="inlineStr">
        <is>
          <t>21</t>
        </is>
      </c>
      <c r="O347">
        <f>(0.4+0.5)/2</f>
        <v/>
      </c>
    </row>
    <row r="348">
      <c r="A348" t="inlineStr">
        <is>
          <t>Mbabu</t>
        </is>
      </c>
      <c r="B348" t="inlineStr">
        <is>
          <t>Wolfsburg</t>
        </is>
      </c>
      <c r="C348" t="inlineStr">
        <is>
          <t>Defender</t>
        </is>
      </c>
      <c r="D348" t="n">
        <v>328</v>
      </c>
      <c r="E348" t="n">
        <v>6</v>
      </c>
      <c r="F348" t="n">
        <v>0</v>
      </c>
      <c r="G348" t="n">
        <v>0</v>
      </c>
      <c r="H348" t="n">
        <v>38.6</v>
      </c>
      <c r="I348" t="n">
        <v>33</v>
      </c>
      <c r="J348" t="n">
        <v>183321</v>
      </c>
      <c r="K348" t="inlineStr">
        <is>
          <t>{'marketValueHistory': [{'date': 'Sep 5, 2012', 'age': '17', 'clubName': 'Servette FC', 'clubID': '61', 'value': '€50k'}, {'date': 'Feb 9, 2013', 'age': '17', 'clubName': 'Newcastle United', 'clubID': '762', 'value': '-'}, {'date': 'Feb 9, 2016', 'age': '20', 'clubName': 'Newcastle United', 'clubID': '762', 'value': '€250k'}, {'date': 'Dec 20, 2016', 'age': '21', 'clubName': 'BSC Young Boys', 'clubID': '452', 'value': '€750k'}, {'date': 'Jul 12, 2017', 'age': '22', 'clubName': 'BSC Young Boys', 'clubID': '452', 'value': '€1.50m'}, {'date': 'Sep 29, 2017', 'age': '22', 'clubName': 'BSC Young Boys', 'clubID': '452', 'value': '€2.25m'}, {'date': 'Jan 8, 2018', 'age': '22', 'clubName': 'BSC Young Boys', 'clubID': '452', 'value': '€3.50m'}, {'date': 'Apr 24, 2018', 'age': '23', 'clubName': 'BSC Young Boys', 'clubID': '452', 'value': '€7.00m'}, {'date': 'Jul 12, 2018', 'age': '23', 'clubName': 'BSC Young Boys', 'clubID': '452', 'value': '€9.50m'}, {'date': 'Jan 21, 2019', 'age': '23', 'clubName': 'BSC Young Boys', 'clubID': '452', 'value': '€10.00m'}, {'date': 'Apr 15, 2019', 'age': '23', 'clubName': 'BSC Young Boys', 'clubID': '452', 'value': '€10.00m'}, {'date': 'Jun 4, 2019', 'age': '24', 'clubName': 'BSC Young Boys', 'clubID': '452', 'value': '€10.00m'}, {'date': 'Dec 17, 2019', 'age': '24', 'clubName': 'VfL Wolfsburg', 'clubID': '82', 'value': '€8.00m'}, {'date': 'Apr 8, 2020', 'age': '24', 'clubName': 'VfL Wolfsburg', 'clubID': '82', 'value': '€6.50m'}, {'date': 'Jul 8, 2020', 'age': '25', 'clubName': 'VfL Wolfsburg', 'clubID': '82', 'value': '€8.50m'}, {'date': 'Feb 10, 2021', 'age': '25', 'clubName': 'VfL Wolfsburg', 'clubID': '82', 'value': '€9.00m'}, {'date': 'May 25, 2021', 'age': '26', 'clubName': 'VfL Wolfsburg', 'clubID': '82', 'value': '€12.00m'}, {'date': 'Oct 7, 2021', 'age': '26', 'clubName': 'VfL Wolfsburg', 'clubID': '82', 'value': '€14.00m'}, {'date': 'Dec 22, 2021', 'age': '26', 'clubName': 'VfL Wolfsburg', 'clubID': '82', 'value': '€12.00m'}, {'date': 'Jun 9, 2022', 'age': '27', 'clubName': 'VfL Wolfsburg', 'clubID': '82', 'value': '€9.00m'}, {'date': 'Nov 3, 2022', 'age': '27', 'clubName': 'Fulham FC', 'clubID': '931', 'value': '€7.00m'}, {'date': 'Mar 28, 2023', 'age': '27', 'clubName': 'Servette FC', 'clubID': '61', 'value': '€5.00m'}, {'date': 'Jun 7, 2023', 'age': '28', 'clubName': 'Servette FC', 'clubID': '61', 'value': '€3.50m'}, {'date': 'Dec 14, 2023', 'age': '28', 'clubName': 'FC Augsburg', 'clubID': '167', 'value': '€3.50m'}, {'date': 'May 29, 2024', 'age': '29', 'clubName': 'FC Augsburg', 'clubID': '167', 'value': '€4.00m'}, {'date': 'Dec 9, 2024', 'age': '29', 'clubName': 'FC Midtjylland', 'clubID': '865', 'value': '€4.00m'}, {'date': 'Jun 16, 2025', 'age': '30', 'clubName': 'FC Midtjylland', 'clubID': '865', 'value': '€3.50m'}, {'date': 'Dec 15, 2025', 'age': '30', 'clubName': 'FC Midtjylland', 'clubID': '865', 'value': '€3.00m'}]}</t>
        </is>
      </c>
      <c r="L348" t="inlineStr">
        <is>
          <t>Switzerland</t>
        </is>
      </c>
      <c r="M348" t="inlineStr">
        <is>
          <t>1995-04-19</t>
        </is>
      </c>
      <c r="N348" t="inlineStr">
        <is>
          <t>25</t>
        </is>
      </c>
      <c r="O348">
        <f>(9+7)/2</f>
        <v/>
      </c>
      <c r="P348">
        <f>(9+12+14+12)/4</f>
        <v/>
      </c>
    </row>
    <row r="349">
      <c r="A349" t="inlineStr">
        <is>
          <t>Solet</t>
        </is>
      </c>
      <c r="B349" t="inlineStr">
        <is>
          <t>Salzburg</t>
        </is>
      </c>
      <c r="C349" t="inlineStr">
        <is>
          <t>Defender</t>
        </is>
      </c>
      <c r="D349" t="n">
        <v>328</v>
      </c>
      <c r="E349" t="n">
        <v>5</v>
      </c>
      <c r="F349" t="n">
        <v>0</v>
      </c>
      <c r="G349" t="n">
        <v>0</v>
      </c>
      <c r="H349" t="n">
        <v>38.9</v>
      </c>
      <c r="I349" t="n">
        <v>32.5</v>
      </c>
      <c r="J349" t="n">
        <v>463665</v>
      </c>
      <c r="K349" t="inlineStr">
        <is>
          <t>{'marketValueHistory': [{'date': '24/01/2018', 'age': '17', 'clubName': 'Olympique Lyon', 'clubID': '1041', 'value': '€1.00m'}, {'date': '04/06/2018', 'age': '18', 'clubName': 'Olympique Lyon', 'clubID': '1041', 'value': '€1.00m'}, {'date': '17/12/2018', 'age': '18', 'clubName': 'Olympique Lyon', 'clubID': '1041', 'value': '€1.00m'}, {'date': '03/06/2019', 'age': '19', 'clubName': 'Olympique Lyon', 'clubID': '1041', 'value': '€1.00m'}, {'date': '19/12/2019', 'age': '19', 'clubName': 'Olympique Lyon', 'clubID': '1041', 'value': '€1.00m'}, {'date': '08/04/2020', 'age': '20', 'clubName': 'Olympique Lyon', 'clubID': '1041', 'value': '€900k'}, {'date': '30/07/2020', 'age': '20', 'clubName': 'Red Bull Salzburg', 'clubID': '409', 'value': '€4.50m'}, {'date': '21/12/2020', 'age': '20', 'clubName': 'Red Bull Salzburg', 'clubID': '409', 'value': '€4.00m'}, {'date': '02/06/2021', 'age': '21', 'clubName': 'Red Bull Salzburg', 'clubID': '409', 'value': '€3.00m'}, {'date': '06/09/2021', 'age': '21', 'clubName': 'Red Bull Salzburg', 'clubID': '409', 'value': '€6.00m'}, {'date': '16/12/2021', 'age': '21', 'clubName': 'Red Bull Salzburg', 'clubID': '409', 'value': '€8.00m'}, {'date': '27/05/2022', 'age': '22', 'clubName': 'Red Bull Salzburg', 'clubID': '409', 'value': '€12.00m'}, {'date': '10/11/2022', 'age': '22', 'clubName': 'Red Bull Salzburg', 'clubID': '409', 'value': '€15.00m'}, {'date': '12/06/2023', 'age': '23', 'clubName': 'Red Bull Salzburg', 'clubID': '409', 'value': '€17.00m'}, {'date': '11/12/2023', 'age': '23', 'clubName': 'Red Bull Salzburg', 'clubID': '409', 'value': '€17.00m'}, {'date': '11/03/2024', 'age': '24', 'clubName': 'Red Bull Salzburg', 'clubID': '409', 'value': '€13.00m'}, {'date': '21/05/2024', 'age': '24', 'clubName': 'Red Bull Salzburg', 'clubID': '409', 'value': '€10.00m'}, {'date': '16/10/2024', 'age': '24', 'clubName': 'Without Club', 'clubID': '515', 'value': '€8.00m'}, {'date': '25/03/2025', 'age': '25', 'clubName': 'Udinese Calcio', 'clubID': '410', 'value': '€14.00m'}, {'date': '17/06/2025', 'age': '25', 'clubName': 'Udinese Calcio', 'clubID': '410', 'value': '€18.00m'}, {'date': '23/12/2025', 'age': '25', 'clubName': 'Udinese Calcio', 'clubID': '410', 'value': '€20.00m'}]}</t>
        </is>
      </c>
      <c r="L349" t="inlineStr">
        <is>
          <t>France</t>
        </is>
      </c>
      <c r="M349" t="inlineStr">
        <is>
          <t>2000-02-07</t>
        </is>
      </c>
      <c r="N349" t="inlineStr">
        <is>
          <t>2</t>
        </is>
      </c>
      <c r="O349">
        <f>(12+15)/2</f>
        <v/>
      </c>
      <c r="P349">
        <f>(3+6+8)/3</f>
        <v/>
      </c>
    </row>
    <row r="350">
      <c r="A350" t="inlineStr">
        <is>
          <t>Christiansen</t>
        </is>
      </c>
      <c r="B350" t="inlineStr">
        <is>
          <t>Malmo</t>
        </is>
      </c>
      <c r="C350" t="inlineStr">
        <is>
          <t>Midfielder</t>
        </is>
      </c>
      <c r="D350" t="n">
        <v>328</v>
      </c>
      <c r="E350" t="n">
        <v>4</v>
      </c>
      <c r="F350" t="n">
        <v>0</v>
      </c>
      <c r="G350" t="n">
        <v>0</v>
      </c>
      <c r="H350" t="n">
        <v>41.9</v>
      </c>
      <c r="I350" t="n">
        <v>27.9</v>
      </c>
      <c r="J350" t="n">
        <v>101287</v>
      </c>
      <c r="L350" t="inlineStr">
        <is>
          <t>Kingdom of Denmark</t>
        </is>
      </c>
      <c r="M350" t="inlineStr">
        <is>
          <t>1967-10-19</t>
        </is>
      </c>
      <c r="N350" t="inlineStr">
        <is>
          <t>5</t>
        </is>
      </c>
    </row>
    <row r="351">
      <c r="A351" t="inlineStr">
        <is>
          <t>Jordan</t>
        </is>
      </c>
      <c r="B351" t="inlineStr">
        <is>
          <t>Sevilla</t>
        </is>
      </c>
      <c r="C351" t="inlineStr">
        <is>
          <t>Midfielder</t>
        </is>
      </c>
      <c r="D351" t="n">
        <v>327</v>
      </c>
      <c r="E351" t="n">
        <v>6</v>
      </c>
      <c r="F351" t="n">
        <v>1</v>
      </c>
      <c r="G351" t="n">
        <v>0</v>
      </c>
      <c r="H351" t="n">
        <v>43.3</v>
      </c>
      <c r="I351" t="n">
        <v>29.1</v>
      </c>
      <c r="J351" t="n">
        <v>182877</v>
      </c>
      <c r="K351" t="inlineStr">
        <is>
          <t>{'marketValueHistory': [{'date': 'Jul 2, 2013', 'age': '17', 'clubName': 'AS Monaco', 'clubID': '162', 'value': '€4.00m'}, {'date': 'Jan 14, 2014', 'age': '18', 'clubName': 'AS Monaco', 'clubID': '162', 'value': '€4.75m'}, {'date': 'Feb 5, 2014', 'age': '18', 'clubName': 'AS Monaco', 'clubID': '162', 'value': '€5.00m'}, {'date': 'Aug 7, 2014', 'age': '18', 'clubName': 'AS Monaco', 'clubID': '162', 'value': '€5.00m'}, {'date': 'Jan 14, 2015', 'age': '19', 'clubName': 'AS Monaco', 'clubID': '162', 'value': '€5.00m'}, {'date': 'Jun 6, 2015', 'age': '19', 'clubName': 'AS Monaco', 'clubID': '162', 'value': '€8.00m'}, {'date': 'Oct 14, 2015', 'age': '19', 'clubName': 'Manchester United', 'clubID': '985', 'value': '€25.00m'}, {'date': 'Feb 9, 2016', 'age': '20', 'clubName': 'Manchester United', 'clubID': '985', 'value': '€30.00m'}, {'date': 'Jun 1, 2016', 'age': '20', 'clubName': 'Manchester United', 'clubID': '985', 'value': '€32.00m'}, {'date': 'Aug 1, 2016', 'age': '20', 'clubName': 'Manchester United', 'clubID': '985', 'value': '€32.00m'}, {'date': 'Feb 20, 2017', 'age': '21', 'clubName': 'Manchester United', 'clubID': '985', 'value': '€30.00m'}, {'date': 'Jun 28, 2017', 'age': '21', 'clubName': 'Manchester United', 'clubID': '985', 'value': '€30.00m'}, {'date': 'Oct 23, 2017', 'age': '21', 'clubName': 'Manchester United', 'clubID': '985', 'value': '€35.00m'}, {'date': 'Jan 2, 2018', 'age': '22', 'clubName': 'Manchester United', 'clubID': '985', 'value': '€65.00m'}, {'date': 'May 28, 2018', 'age': '22', 'clubName': 'Manchester United', 'clubID': '985', 'value': '€65.00m'}, {'date': 'Oct 17, 2018', 'age': '22', 'clubName': 'Manchester United', 'clubID': '985', 'value': '€60.00m'}, {'date': 'Dec 19, 2018', 'age': '23', 'clubName': 'Manchester United', 'clubID': '985', 'value': '€60.00m'}, {'date': 'Jun 13, 2019', 'age': '23', 'clubName': 'Manchester United', 'clubID': '985', 'value': '€60.00m'}, {'date': 'Dec 10, 2019', 'age': '24', 'clubName': 'Manchester United', 'clubID': '985', 'value': '€60.00m'}, {'date': 'Apr 8, 2020', 'age': '24', 'clubName': 'Manchester United', 'clubID': '985', 'value': '€48.00m'}, {'date': 'Jul 30, 2020', 'age': '24', 'clubName': 'Manchester United', 'clubID': '985', 'value': '€58.00m'}, {'date': 'Oct 13, 2020', 'age': '24', 'clubName': 'Manchester United', 'clubID': '985', 'value': '€60.00m'}, {'date': 'Dec 17, 2020', 'age': '25', 'clubName': 'Manchester United', 'clubID': '985', 'value': '€55.00m'}, {'date': 'Mar 18, 2021', 'age': '25', 'clubName': 'Manchester United', 'clubID': '985', 'value': '€50.00m'}, {'date': 'Jun 8, 2021', 'age': '25', 'clubName': 'Manchester United', 'clubID': '985', 'value': '€45.00m'}, {'date': 'Oct 5, 2021', 'age': '25', 'clubName': 'Manchester United', 'clubID': '985', 'value': '€35.00m'}, {'date': 'Dec 23, 2021', 'age': '26', 'clubName': 'Manchester United', 'clubID': '985', 'value': '€32.00m'}, {'date': 'Mar 21, 2022', 'age': '26', 'clubName': 'Sevilla FC', 'clubID': '368', 'value': '€28.00m'}, {'date': 'Jun 3, 2022', 'age': '26', 'clubName': 'Sevilla FC', 'clubID': '368', 'value': '€16.00m'}, {'date': 'Nov 3, 2022', 'age': '26', 'clubName': 'Manchester United', 'clubID': '985', 'value': '€15.00m'}, {'date': 'Jun 20, 2023', 'age': '27', 'clubName': 'Manchester United', 'clubID': '985', 'value': '€15.00m'}, {'date': 'Dec 19, 2023', 'age': '28', 'clubName': 'Manchester United', 'clubID': '985', 'value': '€15.00m'}, {'date': 'Mar 14, 2024', 'age': '28', 'clubName': 'Manchester United', 'clubID': '985', 'value': '€10.00m'}, {'date': 'May 27, 2024', 'age': '28', 'clubName': 'Manchester United', 'clubID': '985', 'value': '€10.00m'}, {'date': 'Sep 26, 2024', 'age': '28', 'clubName': 'AEK Athens', 'clubID': '2441', 'value': '€9.00m'}, {'date': 'Dec 18, 2024', 'age': '29', 'clubName': 'AEK Athens', 'clubID': '2441', 'value': '€9.00m'}, {'date': 'May 23, 2025', 'age': '29', 'clubName': 'AEK Athens', 'clubID': '2441', 'value': '€7.50m'}, {'date': 'Dec 29, 2025', 'age': '30', 'clubName': 'CF Monterrey', 'clubID': '2407', 'value': '€6.00m'}, {'date': 'Mar 26, 2026', 'age': '30', 'clubName': 'CF Monterrey', 'clubID': '2407', 'value': '€5.00m'}]}</t>
        </is>
      </c>
      <c r="L351" t="inlineStr">
        <is>
          <t>France</t>
        </is>
      </c>
      <c r="M351" t="inlineStr">
        <is>
          <t>1995-12-05</t>
        </is>
      </c>
      <c r="N351" t="inlineStr">
        <is>
          <t>30</t>
        </is>
      </c>
      <c r="O351">
        <f>(28+16+15)/3</f>
        <v/>
      </c>
      <c r="P351">
        <f>(50+45+35+32)/4</f>
        <v/>
      </c>
    </row>
    <row r="352">
      <c r="A352" t="inlineStr">
        <is>
          <t>Herrera</t>
        </is>
      </c>
      <c r="B352" t="inlineStr">
        <is>
          <t>Paris</t>
        </is>
      </c>
      <c r="C352" t="inlineStr">
        <is>
          <t>Midfielder</t>
        </is>
      </c>
      <c r="D352" t="n">
        <v>326</v>
      </c>
      <c r="E352" t="n">
        <v>6</v>
      </c>
      <c r="F352" t="n">
        <v>1</v>
      </c>
      <c r="G352" t="n">
        <v>0</v>
      </c>
      <c r="H352" t="n">
        <v>44.3</v>
      </c>
      <c r="I352" t="n">
        <v>30.6</v>
      </c>
      <c r="J352" t="n">
        <v>99343</v>
      </c>
      <c r="K352" t="inlineStr">
        <is>
          <t>{'marketValueHistory': [{'date': '20/04/2009', 'age': '19', 'clubName': 'Real Zaragoza', 'clubID': '142', 'value': '€1.00m'}, {'date': '22/07/2009', 'age': '19', 'clubName': 'Real Zaragoza', 'clubID': '142', 'value': '€3.00m'}, {'date': '02/12/2009', 'age': '20', 'clubName': 'Real Zaragoza', 'clubID': '142', 'value': '€3.00m'}, {'date': '11/04/2010', 'age': '20', 'clubName': 'Real Zaragoza', 'clubID': '142', 'value': '€6.00m'}, {'date': '20/08/2010', 'age': '21', 'clubName': 'Real Zaragoza', 'clubID': '142', 'value': '€10.00m'}, {'date': '10/12/2010', 'age': '21', 'clubName': 'Real Zaragoza', 'clubID': '142', 'value': '€8.00m'}, {'date': '08/02/2011', 'age': '21', 'clubName': 'Real Zaragoza', 'clubID': '142', 'value': '€7.50m'}, {'date': '29/07/2011', 'age': '21', 'clubName': 'Athletic Bilbao', 'clubID': '621', 'value': '€7.50m'}, {'date': '03/02/2012', 'age': '22', 'clubName': 'Athletic Bilbao', 'clubID': '621', 'value': '€8.00m'}, {'date': '07/08/2012', 'age': '22', 'clubName': 'Athletic Bilbao', 'clubID': '621', 'value': '€8.00m'}, {'date': '17/08/2012', 'age': '23', 'clubName': 'Athletic Bilbao', 'clubID': '621', 'value': '€10.00m'}, {'date': '11/01/2013', 'age': '23', 'clubName': 'Athletic Bilbao', 'clubID': '621', 'value': '€8.00m'}, {'date': '12/06/2013', 'age': '23', 'clubName': 'Athletic Bilbao', 'clubID': '621', 'value': '€8.00m'}, {'date': '17/09/2013', 'age': '24', 'clubName': 'Athletic Bilbao', 'clubID': '621', 'value': '€20.00m'}, {'date': '23/01/2014', 'age': '24', 'clubName': 'Athletic Bilbao', 'clubID': '621', 'value': '€20.00m'}, {'date': '12/08/2014', 'age': '24', 'clubName': 'Manchester United', 'clubID': '985', 'value': '€27.00m'}, {'date': '12/02/2015', 'age': '25', 'clubName': 'Manchester United', 'clubID': '985', 'value': '€25.00m'}, {'date': '01/07/2015', 'age': '25', 'clubName': 'Manchester United', 'clubID': '985', 'value': '€28.00m'}, {'date': '09/02/2016', 'age': '26', 'clubName': 'Manchester United', 'clubID': '985', 'value': '€28.00m'}, {'date': '01/08/2016', 'age': '26', 'clubName': 'Manchester United', 'clubID': '985', 'value': '€28.00m'}, {'date': '20/02/2017', 'age': '27', 'clubName': 'Manchester United', 'clubID': '985', 'value': '€28.00m'}, {'date': '28/06/2017', 'age': '27', 'clubName': 'Manchester United', 'clubID': '985', 'value': '€30.00m'}, {'date': '02/01/2018', 'age': '28', 'clubName': 'Manchester United', 'clubID': '985', 'value': '€30.00m'}, {'date': '28/05/2018', 'age': '28', 'clubName': 'Manchester United', 'clubID': '985', 'value': '€30.00m'}, {'date': '19/12/2018', 'age': '29', 'clubName': 'Manchester United', 'clubID': '985', 'value': '€28.00m'}, {'date': '13/06/2019', 'age': '29', 'clubName': 'Manchester United', 'clubID': '985', 'value': '€25.00m'}, {'date': '19/12/2019', 'age': '30', 'clubName': 'Paris Saint-Germain', 'clubID': '583', 'value': '€20.00m'}, {'date': '08/04/2020', 'age': '30', 'clubName': 'Paris Saint-Germain', 'clubID': '583', 'value': '€16.00m'}, {'date': '15/10/2020', 'age': '31', 'clubName': 'Paris Saint-Germain', 'clubID': '583', 'value': '€15.00m'}, {'date': '04/06/2021', 'age': '31', 'clubName': 'Paris Saint-Germain', 'clubID': '583', 'value': '€13.00m'}, {'date': '16/12/2021', 'age': '32', 'clubName': 'Paris Saint-Germain', 'clubID': '583', 'value': '€12.00m'}, {'date': '30/05/2022', 'age': '32', 'clubName': 'Paris Saint-Germain', 'clubID': '583', 'value': '€10.00m'}, {'date': '23/09/2022', 'age': '33', 'clubName': 'Athletic Bilbao', 'clubID': '621', 'value': '€8.00m'}, {'date': '07/11/2022', 'age': '33', 'clubName': 'Athletic Bilbao', 'clubID': '621', 'value': '€4.00m'}, {'date': '23/03/2023', 'age': '33', 'clubName': 'Athletic Bilbao', 'clubID': '621', 'value': '€3.00m'}, {'date': '13/06/2023', 'age': '33', 'clubName': 'Athletic Bilbao', 'clubID': '621', 'value': '€2.50m'}, {'date': '22/12/2023', 'age': '34', 'clubName': 'Athletic Bilbao', 'clubID': '621', 'value': '€2.50m'}, {'date': '07/06/2024', 'age': '34', 'clubName': 'Athletic Bilbao', 'clubID': '621', 'value': '€2.00m'}, {'date': '27/12/2024', 'age': '35', 'clubName': 'Athletic Bilbao', 'clubID': '621', 'value': '€1.50m'}, {'date': '02/04/2025', 'age': '35', 'clubName': 'CA Boca Juniors', 'clubID': '189', 'value': '€1.20m'}, {'date': '02/06/2025', 'age': '35', 'clubName': 'CA Boca Juniors', 'clubID': '189', 'value': '€800k'}, {'date': '24/09/2025', 'age': '36', 'clubName': 'CA Boca Juniors', 'clubID': '189', 'value': '€500k'}, {'date': '17/12/2025', 'age': '36', 'clubName': 'CA Boca Juniors', 'clubID': '189', 'value': '€500k'}]}</t>
        </is>
      </c>
      <c r="L352" t="inlineStr">
        <is>
          <t>Spain</t>
        </is>
      </c>
      <c r="M352" t="inlineStr">
        <is>
          <t>1989-08-14</t>
        </is>
      </c>
      <c r="N352" t="inlineStr">
        <is>
          <t>Spain</t>
        </is>
      </c>
      <c r="O352">
        <f>(10+8+4)/3</f>
        <v/>
      </c>
      <c r="P352">
        <f>(13+12)/2</f>
        <v/>
      </c>
    </row>
    <row r="353">
      <c r="A353" t="inlineStr">
        <is>
          <t>Garmash</t>
        </is>
      </c>
      <c r="B353" t="inlineStr">
        <is>
          <t>Dynamo Kyiv</t>
        </is>
      </c>
      <c r="C353" t="inlineStr">
        <is>
          <t>Midfielder</t>
        </is>
      </c>
      <c r="D353" t="n">
        <v>325</v>
      </c>
      <c r="E353" t="n">
        <v>6</v>
      </c>
      <c r="F353" t="n">
        <v>1</v>
      </c>
      <c r="G353" t="n">
        <v>0</v>
      </c>
      <c r="H353" t="n">
        <v>42.7</v>
      </c>
      <c r="I353" t="n">
        <v>31</v>
      </c>
      <c r="J353" t="n">
        <v>70754</v>
      </c>
      <c r="K353" t="inlineStr">
        <is>
          <t>{'marketValueHistory': [{'date': '21/10/2008', 'age': '18', 'clubName': 'Dynamo Kyiv II', 'clubID': '21218', 'value': '€50k'}, {'date': '10/12/2008', 'age': '18', 'clubName': 'Dynamo Kyiv II', 'clubID': '21218', 'value': '€175k'}, {'date': '30/12/2008', 'age': '18', 'clubName': 'Dynamo Kyiv II', 'clubID': '21218', 'value': '€350k'}, {'date': '06/08/2009', 'age': '19', 'clubName': 'Dynamo Kyiv', 'clubID': '338', 'value': '€450k'}, {'date': '22/09/2009', 'age': '19', 'clubName': 'Dynamo Kyiv', 'clubID': '338', 'value': '€800k'}, {'date': '18/02/2010', 'age': '19', 'clubName': 'Dynamo Kyiv', 'clubID': '338', 'value': '€800k'}, {'date': '28/08/2010', 'age': '20', 'clubName': 'Dynamo Kyiv', 'clubID': '338', 'value': '€2.00m'}, {'date': '05/01/2011', 'age': '20', 'clubName': 'Dynamo Kyiv', 'clubID': '338', 'value': '€1.80m'}, {'date': '05/01/2012', 'age': '21', 'clubName': 'Dynamo Kyiv', 'clubID': '338', 'value': '€3.00m'}, {'date': '02/07/2012', 'age': '22', 'clubName': 'Dynamo Kyiv', 'clubID': '338', 'value': '€4.50m'}, {'date': '22/11/2012', 'age': '22', 'clubName': 'Dynamo Kyiv', 'clubID': '338', 'value': '€5.50m'}, {'date': '17/06/2013', 'age': '23', 'clubName': 'Dynamo Kyiv', 'clubID': '338', 'value': '€6.50m'}, {'date': '30/06/2014', 'age': '24', 'clubName': 'Dynamo Kyiv', 'clubID': '338', 'value': '€6.00m'}, {'date': '25/12/2014', 'age': '24', 'clubName': 'Dynamo Kyiv', 'clubID': '338', 'value': '€5.50m'}, {'date': '07/06/2015', 'age': '25', 'clubName': 'Dynamo Kyiv', 'clubID': '338', 'value': '€4.50m'}, {'date': '18/12/2015', 'age': '25', 'clubName': 'Dynamo Kyiv', 'clubID': '338', 'value': '€5.00m'}, {'date': '01/06/2016', 'age': '26', 'clubName': 'Dynamo Kyiv', 'clubID': '338', 'value': '€5.00m'}, {'date': '21/07/2016', 'age': '26', 'clubName': 'Dynamo Kyiv', 'clubID': '338', 'value': '€4.00m'}, {'date': '03/01/2017', 'age': '26', 'clubName': 'Dynamo Kyiv', 'clubID': '338', 'value': '€3.50m'}, {'date': '26/06/2017', 'age': '27', 'clubName': 'Dynamo Kyiv', 'clubID': '338', 'value': '€4.00m'}, {'date': '12/01/2018', 'age': '27', 'clubName': 'Dynamo Kyiv', 'clubID': '338', 'value': '€4.50m'}, {'date': '06/08/2018', 'age': '28', 'clubName': 'Dynamo Kyiv', 'clubID': '338', 'value': '€5.00m'}, {'date': '10/12/2018', 'age': '28', 'clubName': 'Dynamo Kyiv', 'clubID': '338', 'value': '€4.50m'}, {'date': '22/03/2019', 'age': '28', 'clubName': 'Dynamo Kyiv', 'clubID': '338', 'value': '€4.00m'}, {'date': '20/06/2019', 'age': '29', 'clubName': 'Dynamo Kyiv', 'clubID': '338', 'value': '€3.50m'}, {'date': '08/01/2020', 'age': '29', 'clubName': 'Caykur Rizespor', 'clubID': '126', 'value': '€3.00m'}, {'date': '25/03/2020', 'age': '29', 'clubName': 'Caykur Rizespor', 'clubID': '126', 'value': '€2.40m'}, {'date': '08/04/2020', 'age': '29', 'clubName': 'Caykur Rizespor', 'clubID': '126', 'value': '€1.90m'}, {'date': '04/08/2020', 'age': '30', 'clubName': 'Dynamo Kyiv', 'clubID': '338', 'value': '€1.60m'}, {'date': '04/09/2020', 'age': '30', 'clubName': 'Dynamo Kyiv', 'clubID': '338', 'value': '€1.50m'}, {'date': '14/01/2021', 'age': '30', 'clubName': 'Dynamo Kyiv', 'clubID': '338', 'value': '€1.50m'}, {'date': '07/06/2021', 'age': '31', 'clubName': 'Dynamo Kyiv', 'clubID': '338', 'value': '€1.50m'}, {'date': '20/12/2021', 'age': '31', 'clubName': 'Dynamo Kyiv', 'clubID': '338', 'value': '€1.80m'}, {'date': '18/05/2022', 'age': '32', 'clubName': 'Dynamo Kyiv', 'clubID': '338', 'value': '€1.80m'}, {'date': '06/12/2022', 'age': '32', 'clubName': 'Dynamo Kyiv', 'clubID': '338', 'value': '€1.50m'}, {'date': '21/06/2023', 'age': '33', 'clubName': 'Dynamo Kyiv', 'clubID': '338', 'value': '€1.20m'}, {'date': '14/09/2023', 'age': '33', 'clubName': 'NK Osijek', 'clubID': '327', 'value': '€800k'}, {'date': '18/12/2023', 'age': '33', 'clubName': 'NK Osijek', 'clubID': '327', 'value': '€600k'}, {'date': '06/06/2024', 'age': '34', 'clubName': 'Metalist 1925 Kharkiv', 'clubID': '55686', 'value': '€300k'}, {'date': '17/12/2024', 'age': '34', 'clubName': 'Metalist 1925 Kharkiv', 'clubID': '55686', 'value': '€200k'}, {'date': '20/01/2025', 'age': '34', 'clubName': 'FCLisne', 'clubID': '97548', 'value': '-'}]}</t>
        </is>
      </c>
      <c r="L353" t="inlineStr">
        <is>
          <t>Ukraine</t>
        </is>
      </c>
      <c r="M353" t="inlineStr">
        <is>
          <t>1990-04-19</t>
        </is>
      </c>
      <c r="N353" t="inlineStr">
        <is>
          <t>Ukraine</t>
        </is>
      </c>
      <c r="O353">
        <f>(1.8+1.5)/2</f>
        <v/>
      </c>
      <c r="P353">
        <f>(1.5+1.5+1.8)/3</f>
        <v/>
      </c>
    </row>
    <row r="354">
      <c r="A354" t="inlineStr">
        <is>
          <t>Ake</t>
        </is>
      </c>
      <c r="B354" t="inlineStr">
        <is>
          <t>Man City</t>
        </is>
      </c>
      <c r="C354" t="inlineStr">
        <is>
          <t>Defender</t>
        </is>
      </c>
      <c r="D354" t="n">
        <v>324</v>
      </c>
      <c r="E354" t="n">
        <v>6</v>
      </c>
      <c r="F354" t="n">
        <v>1</v>
      </c>
      <c r="G354" t="n">
        <v>0</v>
      </c>
      <c r="H354" t="n">
        <v>36.9</v>
      </c>
      <c r="I354" t="n">
        <v>32.6</v>
      </c>
      <c r="J354" t="n">
        <v>405398</v>
      </c>
      <c r="K354" t="inlineStr">
        <is>
          <t>{'marketValueHistory': [{'date': 'Jan 5, 2018', 'age': '16', 'clubName': 'FC Tokyo', 'clubID': '6631', 'value': '€300k'}, {'date': 'Jan 5, 2019', 'age': '17', 'clubName': 'Yokohama F. Marinos', 'clubID': '3828', 'value': '€500k'}, {'date': 'Jun 27, 2019', 'age': '18', 'clubName': 'FC Tokyo', 'clubID': '6631', 'value': '€2.00m'}, {'date': 'Sep 10, 2019', 'age': '18', 'clubName': 'RCD Mallorca', 'clubID': '237', 'value': '€10.00m'}, {'date': 'Dec 20, 2019', 'age': '18', 'clubName': 'RCD Mallorca', 'clubID': '237', 'value': '€15.00m'}, {'date': 'Apr 8, 2020', 'age': '18', 'clubName': 'RCD Mallorca', 'clubID': '237', 'value': '€13.50m'}, {'date': 'Jul 23, 2020', 'age': '19', 'clubName': 'Real Madrid', 'clubID': '418', 'value': '€30.00m'}, {'date': 'Oct 8, 2020', 'age': '19', 'clubName': 'Villarreal CF', 'clubID': '1050', 'value': '€30.00m'}, {'date': 'Jan 5, 2021', 'age': '19', 'clubName': 'Villarreal CF', 'clubID': '1050', 'value': '€20.00m'}, {'date': 'Mar 19, 2021', 'age': '19', 'clubName': 'Getafe CF', 'clubID': '3709', 'value': '€15.00m'}, {'date': 'Jun 10, 2021', 'age': '20', 'clubName': 'Getafe CF', 'clubID': '3709', 'value': '€15.00m'}, {'date': 'Oct 13, 2021', 'age': '20', 'clubName': 'RCD Mallorca', 'clubID': '237', 'value': '€10.00m'}, {'date': 'Dec 30, 2021', 'age': '20', 'clubName': 'RCD Mallorca', 'clubID': '237', 'value': '€10.00m'}, {'date': 'Mar 21, 2022', 'age': '20', 'clubName': 'RCD Mallorca', 'clubID': '237', 'value': '€9.00m'}, {'date': 'Jun 3, 2022', 'age': '20', 'clubName': 'RCD Mallorca', 'clubID': '237', 'value': '€7.50m'}, {'date': 'Sep 23, 2022', 'age': '21', 'clubName': 'Real Sociedad', 'clubID': '681', 'value': '€9.00m'}, {'date': 'Nov 7, 2022', 'age': '21', 'clubName': 'Real Sociedad', 'clubID': '681', 'value': '€12.00m'}, {'date': 'Mar 23, 2023', 'age': '21', 'clubName': 'Real Sociedad', 'clubID': '681', 'value': '€15.00m'}, {'date': 'Jun 13, 2023', 'age': '22', 'clubName': 'Real Sociedad', 'clubID': '681', 'value': '€25.00m'}, {'date': 'Oct 13, 2023', 'age': '22', 'clubName': 'Real Sociedad', 'clubID': '681', 'value': '€50.00m'}, {'date': 'Dec 22, 2023', 'age': '22', 'clubName': 'Real Sociedad', 'clubID': '681', 'value': '€60.00m'}, {'date': 'Jun 7, 2024', 'age': '23', 'clubName': 'Real Sociedad', 'clubID': '681', 'value': '€50.00m'}, {'date': 'Dec 27, 2024', 'age': '23', 'clubName': 'Real Sociedad', 'clubID': '681', 'value': '€40.00m'}, {'date': 'Jun 9, 2025', 'age': '24', 'clubName': 'Real Sociedad', 'clubID': '681', 'value': '€30.00m'}, {'date': 'Dec 12, 2025', 'age': '24', 'clubName': 'Real Sociedad', 'clubID': '681', 'value': '€30.00m'}]}</t>
        </is>
      </c>
      <c r="L354" t="inlineStr">
        <is>
          <t>Japan</t>
        </is>
      </c>
      <c r="M354" t="inlineStr">
        <is>
          <t>2001-06-04</t>
        </is>
      </c>
      <c r="N354" t="inlineStr">
        <is>
          <t>Japan</t>
        </is>
      </c>
      <c r="O354">
        <f>(9+7.5+9+12)/4</f>
        <v/>
      </c>
      <c r="P354">
        <f>(20+15+15+10+10)/5</f>
        <v/>
      </c>
    </row>
    <row r="355">
      <c r="A355" t="inlineStr">
        <is>
          <t>Firmino</t>
        </is>
      </c>
      <c r="B355" t="inlineStr">
        <is>
          <t>Liverpool</t>
        </is>
      </c>
      <c r="C355" t="inlineStr">
        <is>
          <t>Forward</t>
        </is>
      </c>
      <c r="D355" t="n">
        <v>323</v>
      </c>
      <c r="E355" t="n">
        <v>7</v>
      </c>
      <c r="F355" t="n">
        <v>5</v>
      </c>
      <c r="G355" t="n">
        <v>0</v>
      </c>
      <c r="H355" t="n">
        <v>43</v>
      </c>
      <c r="I355" t="n">
        <v>32.2</v>
      </c>
      <c r="J355" t="n">
        <v>131789</v>
      </c>
      <c r="K355" t="inlineStr">
        <is>
          <t>{'id': '131789', 'marketValue': '€10.00m', 'marketValueHistory': [{'age': '19', 'date': 'Jan 12, 2011', 'clubName': 'TSG 1899 Hoffenheim', 'value': '€4.00m', 'clubID': '533'}, {'age': '19', 'date': 'Jun 29, 2011', 'clubName': 'TSG 1899 Hoffenheim', 'value': '€4.00m', 'clubID': '533'}, {'age': '20', 'date': 'Oct 18, 2011', 'clubName': 'TSG 1899 Hoffenheim', 'value': '€6.00m', 'clubID': '533'}, {'age': '20', 'date': 'Jan 23, 2012', 'clubName': 'TSG 1899 Hoffenheim', 'value': '€6.00m', 'clubID': '533'}, {'age': '20', 'date': 'Jun 29, 2012', 'clubName': 'TSG 1899 Hoffenheim', 'value': '€7.00m', 'clubID': '533'}, {'age': '21', 'date': 'Jan 13, 2013', 'clubName': 'TSG 1899 Hoffenheim', 'value': '€6.50m', 'clubID': '533'}, {'age': '21', 'date': 'Jun 30, 2013', 'clubName': 'TSG 1899 Hoffenheim', 'value': '€6.50m', 'clubID': '533'}, {'age': '21', 'date': 'Aug 27, 2013', 'clubName': 'TSG 1899 Hoffenheim', 'value': '€11.00m', 'clubID': '533'}, {'age': '22', 'date': 'Feb 12, 2014', 'clubName': 'TSG 1899 Hoffenheim', 'value': '€15.00m', 'clubID': '533'}, {'age': '22', 'date': 'Jul 10, 2014', 'clubName': 'TSG 1899 Hoffenheim', 'value': '€25.00m', 'clubID': '533'}, {'age': '23', 'date': 'Feb 4, 2015', 'clubName': 'TSG 1899 Hoffenheim', 'value': '€25.00m', 'clubID': '533'}, {'age': '23', 'date': 'Jul 1, 2015', 'clubName': 'Liverpool FC', 'value': '€25.00m', 'clubID': '31'}, {'age': '24', 'date': 'Oct 14, 2015', 'clubName': 'Liverpool FC', 'value': '€35.00m', 'clubID': '31'}, {'age': '24', 'date': 'Feb 9, 2016', 'clubName': 'Liverpool FC', 'value': '€35.00m', 'clubID': '31'}, {'age': '24', 'date': 'Aug 1, 2016', 'clubName': 'Liverpool FC', 'value': '€35.00m', 'clubID': '31'}, {'age': '25', 'date': 'Feb 20, 2017', 'clubName': 'Liverpool FC', 'value': '€35.00m', 'clubID': '31'}, {'age': '25', 'date': 'Jun 28, 2017', 'clubName': 'Liverpool FC', 'value': '€38.00m', 'clubID': '31'}, {'age': '26', 'date': 'Jan 2, 2018', 'clubName': 'Liverpool FC', 'value': '€50.00m', 'clubID': '31'}, {'age': '26', 'date': 'May 28, 2018', 'clubName': 'Liverpool FC', 'value': '€80.00m', 'clubID': '31'}, {'age': '27', 'date': 'Dec 19, 2018', 'clubName': 'Liverpool FC', 'value': '€80.00m', 'clubID': '31'}, {'age': '27', 'date': 'Jun 13, 2019', 'clubName': 'Liverpool FC', 'value': '€80.00m', 'clubID': '31'}, {'age': '28', 'date': 'Dec 10, 2019', 'clubName': 'Liverpool FC', 'value': '€90.00m', 'clubID': '31'}, {'age': '28', 'date': 'Apr 8, 2020', 'clubName': 'Liverpool FC', 'value': '€72.00m', 'clubID': '31'}, {'age': '29', 'date': 'Oct 13, 2020', 'clubName': 'Liverpool FC', 'value': '€72.00m', 'clubID': '31'}, {'age': '29', 'date': 'Mar 18, 2021', 'clubName': 'Liverpool FC', 'value': '€55.00m', 'clubID': '31'}, {'age': '29', 'date': 'Jun 8, 2021', 'clubName': 'Liverpool FC', 'value': '€50.00m', 'clubID': '31'}, {'age': '30', 'date': 'Oct 5, 2021', 'clubName': 'Liverpool FC', 'value': '€40.00m', 'clubID': '31'}, {'age': '30', 'date': 'Dec 23, 2021', 'clubName': 'Liverpool FC', 'value': '€38.00m', 'clubID': '31'}, {'age': '30', 'date': 'Jun 15, 2022', 'clubName': 'Liverpool FC', 'value': '€32.00m', 'clubID': '31'}, {'age': '31', 'date': 'Nov 3, 2022', 'clubName': 'Liverpool FC', 'value': '€28.00m', 'clubID': '31'}, {'age': '31', 'date': 'Mar 16, 2023', 'clubName': 'Liverpool FC', 'value': '€22.00m', 'clubID': '31'}, {'age': '31', 'date': 'Jun 20, 2023', 'clubName': 'Liverpool FC', 'value': '€18.00m', 'clubID': '31'}, {'age': '32', 'date': 'Oct 24, 2023', 'clubName': 'Al-Ahli SFC', 'value': '€15.00m', 'clubID': '18487'}, {'age': '32', 'date': 'Dec 15, 2023', 'clubName': 'Al-Ahli SFC', 'value': '€10.00m', 'clubID': '18487'}], 'ranking': {'Worldwide': '987', 'Saudi Pro League': '28', 'Al-Ahli': '7', 'Brazil': '82', 'Centre-Forward': '141', 'Year 1991': '11'}, 'updatedAt': datetime.datetime(2024, 5, 23, 22, 22, 49, 692304)}</t>
        </is>
      </c>
      <c r="L355" t="inlineStr">
        <is>
          <t>Brazil</t>
        </is>
      </c>
      <c r="M355" t="inlineStr">
        <is>
          <t>1991-10-02</t>
        </is>
      </c>
      <c r="N355" t="inlineStr">
        <is>
          <t>55</t>
        </is>
      </c>
      <c r="O355">
        <f>(32+28)/2</f>
        <v/>
      </c>
      <c r="P355">
        <f>(55+50+40+38)/4</f>
        <v/>
      </c>
    </row>
    <row r="356">
      <c r="A356" t="inlineStr">
        <is>
          <t>L. Nmecha</t>
        </is>
      </c>
      <c r="B356" t="inlineStr">
        <is>
          <t>Wolfsburg</t>
        </is>
      </c>
      <c r="C356" t="inlineStr">
        <is>
          <t>Forward</t>
        </is>
      </c>
      <c r="D356" t="n">
        <v>322</v>
      </c>
      <c r="E356" t="n">
        <v>5</v>
      </c>
      <c r="F356" t="n">
        <v>2</v>
      </c>
      <c r="G356" t="n">
        <v>0</v>
      </c>
      <c r="H356" t="n">
        <v>42</v>
      </c>
      <c r="I356" t="n">
        <v>34.4</v>
      </c>
      <c r="J356" t="n">
        <v>314288</v>
      </c>
      <c r="K356" t="inlineStr">
        <is>
          <t>{'marketValueHistory': [{'date': 'Sep 24, 2018', 'age': '19', 'clubName': 'Preston North End', 'clubID': '466', 'value': '€500k'}, {'date': 'Feb 27, 2019', 'age': '20', 'clubName': 'Preston North End', 'clubID': '466', 'value': '€1.00m'}, {'date': 'Dec 17, 2019', 'age': '21', 'clubName': 'VfL Wolfsburg', 'clubID': '82', 'value': '€4.00m'}, {'date': 'Feb 27, 2020', 'age': '21', 'clubName': 'Middlesbrough FC', 'clubID': '641', 'value': '€4.00m'}, {'date': 'Apr 8, 2020', 'age': '21', 'clubName': 'Middlesbrough FC', 'clubID': '641', 'value': '€3.60m'}, {'date': 'Oct 16, 2020', 'age': '21', 'clubName': 'RSC Anderlecht', 'clubID': '58', 'value': '€4.50m'}, {'date': 'Jan 4, 2021', 'age': '22', 'clubName': 'RSC Anderlecht', 'clubID': '58', 'value': '€8.00m'}, {'date': 'Jun 7, 2021', 'age': '22', 'clubName': 'RSC Anderlecht', 'clubID': '58', 'value': '€12.00m'}, {'date': 'Dec 22, 2021', 'age': '23', 'clubName': 'VfL Wolfsburg', 'clubID': '82', 'value': '€18.00m'}, {'date': 'Jun 9, 2022', 'age': '23', 'clubName': 'VfL Wolfsburg', 'clubID': '82', 'value': '€18.00m'}, {'date': 'Nov 9, 2022', 'age': '23', 'clubName': 'VfL Wolfsburg', 'clubID': '82', 'value': '€18.00m'}, {'date': 'Mar 29, 2023', 'age': '24', 'clubName': 'VfL Wolfsburg', 'clubID': '82', 'value': '€14.00m'}, {'date': 'Jun 22, 2023', 'age': '24', 'clubName': 'VfL Wolfsburg', 'clubID': '82', 'value': '€12.00m'}, {'date': 'Dec 14, 2023', 'age': '25', 'clubName': 'VfL Wolfsburg', 'clubID': '82', 'value': '€9.00m'}, {'date': 'Mar 27, 2024', 'age': '25', 'clubName': 'VfL Wolfsburg', 'clubID': '82', 'value': '€7.00m'}, {'date': 'May 29, 2024', 'age': '25', 'clubName': 'VfL Wolfsburg', 'clubID': '82', 'value': '€5.00m'}, {'date': 'Dec 20, 2024', 'age': '26', 'clubName': 'VfL Wolfsburg', 'clubID': '82', 'value': '€4.00m'}, {'date': 'Mar 27, 2025', 'age': '26', 'clubName': 'VfL Wolfsburg', 'clubID': '82', 'value': '€3.00m'}, {'date': 'Jun 5, 2025', 'age': '26', 'clubName': 'VfL Wolfsburg', 'clubID': '82', 'value': '€3.00m'}, {'date': 'Oct 17, 2025', 'age': '26', 'clubName': 'Leeds United', 'clubID': '399', 'value': '€5.00m'}, {'date': 'Dec 9, 2025', 'age': '26', 'clubName': 'Leeds United', 'clubID': '399', 'value': '€8.00m'}, {'date': 'Mar 9, 2026', 'age': '27', 'clubName': 'Leeds United', 'clubID': '399', 'value': '€10.00m'}]}</t>
        </is>
      </c>
      <c r="L356" t="inlineStr">
        <is>
          <t>United Kingdom</t>
        </is>
      </c>
      <c r="M356" t="inlineStr">
        <is>
          <t>1998-12-14</t>
        </is>
      </c>
      <c r="N356" t="inlineStr">
        <is>
          <t>Germany</t>
        </is>
      </c>
      <c r="O356">
        <f>(18+18)/2</f>
        <v/>
      </c>
      <c r="P356">
        <f>(8+12+18)/3</f>
        <v/>
      </c>
    </row>
    <row r="357">
      <c r="A357" t="inlineStr">
        <is>
          <t>Solomon</t>
        </is>
      </c>
      <c r="B357" t="inlineStr">
        <is>
          <t>Shakhtar Donetsk</t>
        </is>
      </c>
      <c r="C357" t="inlineStr">
        <is>
          <t>Midfielder</t>
        </is>
      </c>
      <c r="D357" t="n">
        <v>322</v>
      </c>
      <c r="E357" t="n">
        <v>5</v>
      </c>
      <c r="F357" t="n">
        <v>0</v>
      </c>
      <c r="G357" t="n">
        <v>0</v>
      </c>
      <c r="H357" t="n">
        <v>42.3</v>
      </c>
      <c r="I357" t="n">
        <v>33.1</v>
      </c>
      <c r="J357" t="n">
        <v>209212</v>
      </c>
      <c r="K357" t="inlineStr">
        <is>
          <t>{'marketValueHistory': [{'date': '07/03/2014', 'age': '19', 'clubName': 'Brighton &amp; Hove Albion', 'clubID': '1237', 'value': '€75k'}, {'date': '19/08/2014', 'age': '20', 'clubName': 'Brighton &amp; Hove Albion', 'clubID': '1237', 'value': '€150k'}, {'date': '24/02/2015', 'age': '20', 'clubName': 'Brighton &amp; Hove Albion', 'clubID': '1237', 'value': '€150k'}, {'date': '24/09/2015', 'age': '21', 'clubName': 'Brighton &amp; Hove Albion', 'clubID': '1237', 'value': '€200k'}, {'date': '20/04/2016', 'age': '21', 'clubName': 'Brighton &amp; Hove Albion', 'clubID': '1237', 'value': '€200k'}, {'date': '01/09/2016', 'age': '22', 'clubName': 'Brighton &amp; Hove Albion', 'clubID': '1237', 'value': '€200k'}, {'date': '27/02/2017', 'age': '22', 'clubName': 'Brighton &amp; Hove Albion', 'clubID': '1237', 'value': '€250k'}, {'date': '28/06/2017', 'age': '22', 'clubName': 'Brighton &amp; Hove Albion', 'clubID': '1237', 'value': '€500k'}, {'date': '23/10/2017', 'age': '23', 'clubName': 'Brighton &amp; Hove Albion', 'clubID': '1237', 'value': '€2.50m'}, {'date': '02/01/2018', 'age': '23', 'clubName': 'Brighton &amp; Hove Albion', 'clubID': '1237', 'value': '€3.50m'}, {'date': '28/05/2018', 'age': '23', 'clubName': 'Brighton &amp; Hove Albion', 'clubID': '1237', 'value': '€5.00m'}, {'date': '19/12/2018', 'age': '24', 'clubName': 'Brighton &amp; Hove Albion', 'clubID': '1237', 'value': '€7.00m'}, {'date': '13/06/2019', 'age': '24', 'clubName': 'Brighton &amp; Hove Albion', 'clubID': '1237', 'value': '€8.00m'}, {'date': '10/12/2019', 'age': '25', 'clubName': 'Brighton &amp; Hove Albion', 'clubID': '1237', 'value': '€8.00m'}, {'date': '08/04/2020', 'age': '25', 'clubName': 'Brighton &amp; Hove Albion', 'clubID': '1237', 'value': '€6.50m'}, {'date': '13/10/2020', 'age': '26', 'clubName': 'Brighton &amp; Hove Albion', 'clubID': '1237', 'value': '€9.00m'}, {'date': '18/03/2021', 'age': '26', 'clubName': 'Brighton &amp; Hove Albion', 'clubID': '1237', 'value': '€9.00m'}, {'date': '08/06/2021', 'age': '26', 'clubName': 'Brighton &amp; Hove Albion', 'clubID': '1237', 'value': '€9.00m'}, {'date': '23/12/2021', 'age': '27', 'clubName': 'Brighton &amp; Hove Albion', 'clubID': '1237', 'value': '€9.00m'}, {'date': '15/06/2022', 'age': '27', 'clubName': 'Brighton &amp; Hove Albion', 'clubID': '1237', 'value': '€9.00m'}, {'date': '15/09/2022', 'age': '28', 'clubName': 'Brighton &amp; Hove Albion', 'clubID': '1237', 'value': '€12.00m'}, {'date': '03/11/2022', 'age': '28', 'clubName': 'Brighton &amp; Hove Albion', 'clubID': '1237', 'value': '€12.00m'}, {'date': '16/03/2023', 'age': '28', 'clubName': 'Brighton &amp; Hove Albion', 'clubID': '1237', 'value': '€18.00m'}, {'date': '20/06/2023', 'age': '28', 'clubName': 'Brighton &amp; Hove Albion', 'clubID': '1237', 'value': '€22.00m'}, {'date': '19/12/2023', 'age': '29', 'clubName': 'Brighton &amp; Hove Albion', 'clubID': '1237', 'value': '€22.00m'}, {'date': '27/05/2024', 'age': '29', 'clubName': 'Brighton &amp; Hove Albion', 'clubID': '1237', 'value': '€18.00m'}, {'date': '01/10/2024', 'age': '30', 'clubName': 'Brighton &amp; Hove Albion', 'clubID': '1237', 'value': '€15.00m'}, {'date': '16/12/2024', 'age': '30', 'clubName': 'Brighton &amp; Hove Albion', 'clubID': '1237', 'value': '€10.00m'}, {'date': '18/03/2025', 'age': '30', 'clubName': 'Brighton &amp; Hove Albion', 'clubID': '1237', 'value': '€8.00m'}, {'date': '30/05/2025', 'age': '30', 'clubName': 'Brighton &amp; Hove Albion', 'clubID': '1237', 'value': '€6.00m'}, {'date': '17/10/2025', 'age': '31', 'clubName': 'Brighton &amp; Hove Albion', 'clubID': '1237', 'value': '€5.00m'}, {'date': '09/12/2025', 'age': '31', 'clubName': 'Brighton &amp; Hove Albion', 'clubID': '1237', 'value': '€3.00m'}, {'date': '09/03/2026', 'age': '31', 'clubName': 'Brighton &amp; Hove Albion', 'clubID': '1237', 'value': '€2.00m'}]}</t>
        </is>
      </c>
      <c r="L357" t="inlineStr">
        <is>
          <t>United Kingdom</t>
        </is>
      </c>
      <c r="M357" t="inlineStr">
        <is>
          <t>1994-07-20</t>
        </is>
      </c>
      <c r="N357" t="inlineStr">
        <is>
          <t>England</t>
        </is>
      </c>
      <c r="O357">
        <f>(9+12+12)/3</f>
        <v/>
      </c>
      <c r="P357">
        <f>(9+9+9)/3</f>
        <v/>
      </c>
    </row>
    <row r="358">
      <c r="A358" t="inlineStr">
        <is>
          <t>Gomez</t>
        </is>
      </c>
      <c r="B358" t="inlineStr">
        <is>
          <t>Sevilla</t>
        </is>
      </c>
      <c r="C358" t="inlineStr">
        <is>
          <t>Forward</t>
        </is>
      </c>
      <c r="D358" t="n">
        <v>322</v>
      </c>
      <c r="E358" t="n">
        <v>5</v>
      </c>
      <c r="F358" t="n">
        <v>0</v>
      </c>
      <c r="G358" t="n">
        <v>0</v>
      </c>
      <c r="H358" t="n">
        <v>36.7</v>
      </c>
      <c r="I358" t="n">
        <v>30.9</v>
      </c>
      <c r="J358" t="n">
        <v>48280</v>
      </c>
      <c r="K358" t="inlineStr">
        <is>
          <t>{'marketValueHistory': [{'date': '08/04/2007', 'age': '20', 'clubName': 'US Palermo', 'clubID': '458', 'value': '€4.85m'}, {'date': '09/02/2008', 'age': '20', 'clubName': 'US Palermo', 'clubID': '458', 'value': '€5.00m'}, {'date': '03/02/2009', 'age': '21', 'clubName': 'US Palermo', 'clubID': '458', 'value': '€8.00m'}, {'date': '06/08/2009', 'age': '22', 'clubName': 'US Palermo', 'clubID': '458', 'value': '€10.50m'}, {'date': '27/01/2010', 'age': '22', 'clubName': 'US Palermo', 'clubID': '458', 'value': '€11.00m'}, {'date': '01/08/2010', 'age': '23', 'clubName': 'SSC Napoli', 'clubID': '6195', 'value': '€15.50m'}, {'date': '10/01/2011', 'age': '23', 'clubName': 'SSC Napoli', 'clubID': '6195', 'value': '€19.00m'}, {'date': '21/06/2011', 'age': '24', 'clubName': 'SSC Napoli', 'clubID': '6195', 'value': '€24.50m'}, {'date': '11/01/2012', 'age': '24', 'clubName': 'SSC Napoli', 'clubID': '6195', 'value': '€28.00m'}, {'date': '28/06/2012', 'age': '25', 'clubName': 'SSC Napoli', 'clubID': '6195', 'value': '€35.00m'}, {'date': '14/01/2013', 'age': '25', 'clubName': 'SSC Napoli', 'clubID': '6195', 'value': '€45.00m'}, {'date': '09/04/2013', 'age': '26', 'clubName': 'SSC Napoli', 'clubID': '6195', 'value': '€55.00m'}, {'date': '19/06/2013', 'age': '26', 'clubName': 'SSC Napoli', 'clubID': '6195', 'value': '€55.00m'}, {'date': '22/07/2013', 'age': '26', 'clubName': 'Paris Saint-Germain', 'clubID': '583', 'value': '€60.00m'}, {'date': '14/01/2014', 'age': '26', 'clubName': 'Paris Saint-Germain', 'clubID': '583', 'value': '€60.00m'}, {'date': '01/08/2014', 'age': '27', 'clubName': 'Paris Saint-Germain', 'clubID': '583', 'value': '€57.00m'}, {'date': '14/01/2015', 'age': '27', 'clubName': 'Paris Saint-Germain', 'clubID': '583', 'value': '€50.00m'}, {'date': '06/06/2015', 'age': '28', 'clubName': 'Paris Saint-Germain', 'clubID': '583', 'value': '€42.00m'}, {'date': '04/02/2016', 'age': '28', 'clubName': 'Paris Saint-Germain', 'clubID': '583', 'value': '€40.00m'}, {'date': '13/07/2016', 'age': '29', 'clubName': 'Paris Saint-Germain', 'clubID': '583', 'value': '€37.00m'}, {'date': '01/11/2016', 'age': '29', 'clubName': 'Paris Saint-Germain', 'clubID': '583', 'value': '€40.00m'}, {'date': '16/01/2017', 'age': '29', 'clubName': 'Paris Saint-Germain', 'clubID': '583', 'value': '€45.00m'}, {'date': '01/06/2017', 'age': '30', 'clubName': 'Paris Saint-Germain', 'clubID': '583', 'value': '€45.00m'}, {'date': '24/01/2018', 'age': '30', 'clubName': 'Paris Saint-Germain', 'clubID': '583', 'value': '€60.00m'}, {'date': '04/06/2018', 'age': '31', 'clubName': 'Paris Saint-Germain', 'clubID': '583', 'value': '€60.00m'}, {'date': '17/12/2018', 'age': '31', 'clubName': 'Paris Saint-Germain', 'clubID': '583', 'value': '€55.00m'}, {'date': '07/03/2019', 'age': '32', 'clubName': 'Paris Saint-Germain', 'clubID': '583', 'value': '€50.00m'}, {'date': '03/06/2019', 'age': '32', 'clubName': 'Paris Saint-Germain', 'clubID': '583', 'value': '€40.00m'}, {'date': '19/12/2019', 'age': '32', 'clubName': 'Paris Saint-Germain', 'clubID': '583', 'value': '€25.00m'}, {'date': '08/04/2020', 'age': '33', 'clubName': 'Paris Saint-Germain', 'clubID': '583', 'value': '€20.00m'}, {'date': '13/10/2020', 'age': '33', 'clubName': 'Manchester United', 'clubID': '985', 'value': '€12.00m'}, {'date': '18/03/2021', 'age': '34', 'clubName': 'Manchester United', 'clubID': '985', 'value': '€7.00m'}, {'date': '08/06/2021', 'age': '34', 'clubName': 'Manchester United', 'clubID': '985', 'value': '€6.00m'}, {'date': '23/12/2021', 'age': '34', 'clubName': 'Manchester United', 'clubID': '985', 'value': '€4.00m'}, {'date': '15/06/2022', 'age': '35', 'clubName': 'Manchester United', 'clubID': '985', 'value': '€4.00m'}, {'date': '07/11/2022', 'age': '35', 'clubName': 'Valencia CF', 'clubID': '1049', 'value': '€5.00m'}, {'date': '23/03/2023', 'age': '36', 'clubName': 'Valencia CF', 'clubID': '1049', 'value': '€4.00m'}, {'date': '13/06/2023', 'age': '36', 'clubName': 'Valencia CF', 'clubID': '1049', 'value': '€3.00m'}, {'date': '04/10/2023', 'age': '36', 'clubName': 'CA Boca Juniors', 'clubID': '189', 'value': '€2.50m'}, {'date': '19/12/2023', 'age': '36', 'clubName': 'CA Boca Juniors', 'clubID': '189', 'value': '€2.00m'}, {'date': '11/03/2024', 'age': '37', 'clubName': 'CA Boca Juniors', 'clubID': '189', 'value': '€1.00m'}, {'date': '12/06/2024', 'age': '37', 'clubName': 'CA Boca Juniors', 'clubID': '189', 'value': '€1.00m'}, {'date': '13/12/2024', 'age': '37', 'clubName': 'CA Boca Juniors', 'clubID': '189', 'value': '€1.00m'}, {'date': '02/06/2025', 'age': '38', 'clubName': 'CA Boca Juniors', 'clubID': '189', 'value': '€1.00m'}, {'date': '24/09/2025', 'age': '38', 'clubName': 'CA Boca Juniors', 'clubID': '189', 'value': '€500k'}, {'date': '17/12/2025', 'age': '38', 'clubName': 'CA Boca Juniors', 'clubID': '189', 'value': '€500k'}]}</t>
        </is>
      </c>
      <c r="L358" t="inlineStr">
        <is>
          <t>Uruguay</t>
        </is>
      </c>
      <c r="M358" t="inlineStr">
        <is>
          <t>1987-02-14</t>
        </is>
      </c>
      <c r="N358" t="inlineStr">
        <is>
          <t>Uruguay</t>
        </is>
      </c>
      <c r="O358">
        <f>(4+5)/2</f>
        <v/>
      </c>
      <c r="P358">
        <f>(7+6+4)/3</f>
        <v/>
      </c>
    </row>
    <row r="359">
      <c r="A359" t="inlineStr">
        <is>
          <t>Kessie</t>
        </is>
      </c>
      <c r="B359" t="inlineStr">
        <is>
          <t>Milan</t>
        </is>
      </c>
      <c r="C359" t="inlineStr">
        <is>
          <t>Midfielder</t>
        </is>
      </c>
      <c r="D359" t="n">
        <v>321</v>
      </c>
      <c r="E359" t="n">
        <v>5</v>
      </c>
      <c r="F359" t="n">
        <v>0</v>
      </c>
      <c r="G359" t="n">
        <v>1</v>
      </c>
      <c r="H359" t="n">
        <v>41.2</v>
      </c>
      <c r="I359" t="n">
        <v>30.1</v>
      </c>
      <c r="J359" t="n">
        <v>294808</v>
      </c>
      <c r="K359" t="inlineStr">
        <is>
          <t>{'id': '294808', 'marketValue': '€20.00m', 'marketValueHistory': [{'age': '18', 'date': 'Mar 2, 2015', 'clubName': 'Atalanta Primavera', 'value': '€300k', 'clubID': '11998'}, {'age': '19', 'date': 'Dec 28, 2015', 'clubName': 'AC Cesena', 'value': '€2.80m', 'clubID': '1429'}, {'age': '19', 'date': 'Jun 13, 2016', 'clubName': 'AC Cesena', 'value': '€4.00m', 'clubID': '1429'}, {'age': '19', 'date': 'Oct 14, 2016', 'clubName': 'Atalanta BC', 'value': '€7.50m', 'clubID': '800'}, {'age': '20', 'date': 'Jan 2, 2017', 'clubName': 'Atalanta BC', 'value': '€12.00m', 'clubID': '800'}, {'age': '20', 'date': 'Mar 28, 2017', 'clubName': 'Atalanta BC', 'value': '€15.00m', 'clubID': '800'}, {'age': '20', 'date': 'Jun 8, 2017', 'clubName': 'Atalanta BC', 'value': '€20.00m', 'clubID': '800'}, {'age': '21', 'date': 'Dec 29, 2017', 'clubName': 'AC Milan', 'value': '€20.00m', 'clubID': '5'}, {'age': '21', 'date': 'Mar 24, 2018', 'clubName': 'AC Milan', 'value': '€25.00m', 'clubID': '5'}, {'age': '21', 'date': 'Jun 7, 2018', 'clubName': 'AC Milan', 'value': '€30.00m', 'clubID': '5'}, {'age': '21', 'date': 'Oct 12, 2018', 'clubName': 'AC Milan', 'value': '€35.00m', 'clubID': '5'}, {'age': '22', 'date': 'Dec 20, 2018', 'clubName': 'AC Milan', 'value': '€35.00m', 'clubID': '5'}, {'age': '22', 'date': 'Jun 6, 2019', 'clubName': 'AC Milan', 'value': '€33.00m', 'clubID': '5'}, {'age': '22', 'date': 'Oct 8, 2019', 'clubName': 'AC Milan', 'value': '€30.00m', 'clubID': '5'}, {'age': '22', 'date': 'Dec 12, 2019', 'clubName': 'AC Milan', 'value': '€25.00m', 'clubID': '5'}, {'age': '23', 'date': 'Apr 8, 2020', 'clubName': 'AC Milan', 'value': '€20.00m', 'clubID': '5'}, {'age': '23', 'date': 'Aug 25, 2020', 'clubName': 'AC Milan', 'value': '€27.00m', 'clubID': '5'}, {'age': '23', 'date': 'Oct 29, 2020', 'clubName': 'AC Milan', 'value': '€35.00m', 'clubID': '5'}, {'age': '24', 'date': 'Dec 29, 2020', 'clubName': 'AC Milan', 'value': '€40.00m', 'clubID': '5'}, {'age': '24', 'date': 'Mar 23, 2021', 'clubName': 'AC Milan', 'value': '€50.00m', 'clubID': '5'}, {'age': '24', 'date': 'Jun 3, 2021', 'clubName': 'AC Milan', 'value': '€55.00m', 'clubID': '5'}, {'age': '25', 'date': 'Dec 28, 2021', 'clubName': 'AC Milan', 'value': '€48.00m', 'clubID': '5'}, {'age': '25', 'date': 'Mar 15, 2022', 'clubName': 'AC Milan', 'value': '€45.00m', 'clubID': '5'}, {'age': '25', 'date': 'Jun 7, 2022', 'clubName': 'AC Milan', 'value': '€45.00m', 'clubID': '5'}, {'age': '25', 'date': 'Nov 7, 2022', 'clubName': 'FC Barcelona', 'value': '€35.00m', 'clubID': '131'}, {'age': '26', 'date': 'Mar 23, 2023', 'clubName': 'FC Barcelona', 'value': '€28.00m', 'clubID': '131'}, {'age': '26', 'date': 'Jun 13, 2023', 'clubName': 'FC Barcelona', 'value': '€25.00m', 'clubID': '131'}, {'age': '26', 'date': 'Oct 24, 2023', 'clubName': 'Al-Ahli SFC', 'value': '€20.00m', 'clubID': '18487'}, {'age': '26', 'date': 'Dec 15, 2023', 'clubName': 'Al-Ahli SFC', 'value': '€20.00m', 'clubID': '18487'}], 'ranking': {'Worldwide': '453', 'Saudi Pro League': '11', 'Al-Ahli': '3', "Cote d'Ivoire": '7', 'Central Midfield': '66', 'Year 1996': '44'}, 'updatedAt': datetime.datetime(2024, 5, 23, 22, 26, 31, 624654)}</t>
        </is>
      </c>
      <c r="L359" t="inlineStr">
        <is>
          <t>Ivory Coast</t>
        </is>
      </c>
      <c r="M359" t="inlineStr">
        <is>
          <t>1996-12-19</t>
        </is>
      </c>
      <c r="N359" t="inlineStr">
        <is>
          <t>99</t>
        </is>
      </c>
      <c r="O359">
        <f>(45+45+35)/3</f>
        <v/>
      </c>
      <c r="P359">
        <f>(50+55+48)/3</f>
        <v/>
      </c>
    </row>
    <row r="360">
      <c r="A360" t="inlineStr">
        <is>
          <t>Lukaku</t>
        </is>
      </c>
      <c r="B360" t="inlineStr">
        <is>
          <t>Chelsea</t>
        </is>
      </c>
      <c r="C360" t="inlineStr">
        <is>
          <t>Forward</t>
        </is>
      </c>
      <c r="D360" t="n">
        <v>320</v>
      </c>
      <c r="E360" t="n">
        <v>6</v>
      </c>
      <c r="F360" t="n">
        <v>2</v>
      </c>
      <c r="G360" t="n">
        <v>0</v>
      </c>
      <c r="H360" t="n">
        <v>31.5</v>
      </c>
      <c r="I360" t="n">
        <v>32.6</v>
      </c>
      <c r="J360" t="n">
        <v>96341</v>
      </c>
      <c r="K360" t="inlineStr">
        <is>
          <t>{'marketValueHistory': [{'date': 'May 27, 2009', 'age': '16', 'clubName': 'RSC Anderlecht U17', 'clubID': '58', 'value': '€400k'}, {'date': 'Sep 29, 2009', 'age': '16', 'clubName': 'RSC Anderlecht', 'clubID': '58', 'value': '€2.00m'}, {'date': 'Dec 7, 2009', 'age': '16', 'clubName': 'RSC Anderlecht', 'clubID': '58', 'value': '€5.00m'}, {'date': 'Feb 26, 2010', 'age': '16', 'clubName': 'RSC Anderlecht', 'clubID': '58', 'value': '€10.00m'}, {'date': 'Dec 28, 2010', 'age': '17', 'clubName': 'RSC Anderlecht', 'clubID': '58', 'value': '€14.00m'}, {'date': 'Jun 28, 2011', 'age': '18', 'clubName': 'RSC Anderlecht', 'clubID': '58', 'value': '€15.00m'}, {'date': 'Feb 6, 2012', 'age': '18', 'clubName': 'Chelsea FC', 'clubID': '631', 'value': '€15.00m'}, {'date': 'Jun 24, 2012', 'age': '19', 'clubName': 'Chelsea FC', 'clubID': '631', 'value': '€14.00m'}, {'date': 'Jan 28, 2013', 'age': '19', 'clubName': 'West Bromwich Albion', 'clubID': '984', 'value': '€19.00m'}, {'date': 'Jul 2, 2013', 'age': '20', 'clubName': 'Chelsea FC', 'clubID': '631', 'value': '€24.00m'}, {'date': 'Jan 15, 2014', 'age': '20', 'clubName': 'Everton FC', 'clubID': '29', 'value': '€25.00m'}, {'date': 'Aug 12, 2014', 'age': '21', 'clubName': 'Everton FC', 'clubID': '29', 'value': '€30.00m'}, {'date': 'Feb 12, 2015', 'age': '21', 'clubName': 'Everton FC', 'clubID': '29', 'value': '€30.00m'}, {'date': 'Jul 1, 2015', 'age': '22', 'clubName': 'Everton FC', 'clubID': '29', 'value': '€28.00m'}, {'date': 'Feb 9, 2016', 'age': '22', 'clubName': 'Everton FC', 'clubID': '29', 'value': '€35.00m'}, {'date': 'Jun 1, 2016', 'age': '23', 'clubName': 'Everton FC', 'clubID': '29', 'value': '€40.00m'}, {'date': 'Aug 1, 2016', 'age': '23', 'clubName': 'Everton FC', 'clubID': '29', 'value': '€40.00m'}, {'date': 'Feb 20, 2017', 'age': '23', 'clubName': 'Everton FC', 'clubID': '29', 'value': '€50.00m'}, {'date': 'Jun 28, 2017', 'age': '24', 'clubName': 'Everton FC', 'clubID': '29', 'value': '€50.00m'}, {'date': 'Aug 16, 2017', 'age': '24', 'clubName': 'Manchester United', 'clubID': '985', 'value': '€60.00m'}, {'date': 'Oct 23, 2017', 'age': '24', 'clubName': 'Manchester United', 'clubID': '985', 'value': '€70.00m'}, {'date': 'Jan 2, 2018', 'age': '24', 'clubName': 'Manchester United', 'clubID': '985', 'value': '€85.00m'}, {'date': 'May 28, 2018', 'age': '25', 'clubName': 'Manchester United', 'clubID': '985', 'value': '€90.00m'}, {'date': 'Jul 16, 2018', 'age': '25', 'clubName': 'Manchester United', 'clubID': '985', 'value': '€100.00m'}, {'date': 'Dec 19, 2018', 'age': '25', 'clubName': 'Manchester United', 'clubID': '985', 'value': '€85.00m'}, {'date': 'Jun 13, 2019', 'age': '26', 'clubName': 'Manchester United', 'clubID': '985', 'value': '€75.00m'}, {'date': 'Dec 12, 2019', 'age': '26', 'clubName': 'Inter Milan', 'clubID': '46', 'value': '€75.00m'}, {'date': 'Mar 3, 2020', 'age': '26', 'clubName': 'Inter Milan', 'clubID': '46', 'value': '€85.00m'}, {'date': 'Apr 8, 2020', 'age': '26', 'clubName': 'Inter Milan', 'clubID': '46', 'value': '€68.00m'}, {'date': 'Aug 25, 2020', 'age': '27', 'clubName': 'Inter Milan', 'clubID': '46', 'value': '€85.00m'}, {'date': 'Dec 29, 2020', 'age': '27', 'clubName': 'Inter Milan', 'clubID': '46', 'value': '€90.00m'}, {'date': 'May 26, 2021', 'age': '28', 'clubName': 'Inter Milan', 'clubID': '46', 'value': '€100.00m'}, {'date': 'Dec 23, 2021', 'age': '28', 'clubName': 'Chelsea FC', 'clubID': '631', 'value': '€100.00m'}, {'date': 'Mar 29, 2022', 'age': '28', 'clubName': 'Chelsea FC', 'clubID': '631', 'value': '€85.00m'}, {'date': 'Jun 15, 2022', 'age': '29', 'clubName': 'Chelsea FC', 'clubID': '631', 'value': '€70.00m'}, {'date': 'Nov 11, 2022', 'age': '29', 'clubName': 'Inter Milan', 'clubID': '46', 'value': '€55.00m'}, {'date': 'Mar 21, 2023', 'age': '29', 'clubName': 'Inter Milan', 'clubID': '46', 'value': '€40.00m'}, {'date': 'Jun 15, 2023', 'age': '30', 'clubName': 'Inter Milan', 'clubID': '46', 'value': '€40.00m'}, {'date': 'Dec 20, 2023', 'age': '30', 'clubName': 'AS Roma', 'clubID': '12', 'value': '€35.00m'}, {'date': 'Mar 12, 2024', 'age': '30', 'clubName': 'AS Roma', 'clubID': '12', 'value': '€30.00m'}, {'date': 'Jun 5, 2024', 'age': '31', 'clubName': 'AS Roma', 'clubID': '12', 'value': '€30.00m'}, {'date': 'Dec 18, 2024', 'age': '31', 'clubName': 'SSC Napoli', 'clubID': '6195', 'value': '€25.00m'}, {'date': 'Mar 25, 2025', 'age': '31', 'clubName': 'SSC Napoli', 'clubID': '6195', 'value': '€22.00m'}, {'date': 'Jun 17, 2025', 'age': '32', 'clubName': 'SSC Napoli', 'clubID': '6195', 'value': '€22.00m'}, {'date': 'Oct 7, 2025', 'age': '32', 'clubName': 'SSC Napoli', 'clubID': '6195', 'value': '€15.00m'}, {'date': 'Dec 23, 2025', 'age': '32', 'clubName': 'SSC Napoli', 'clubID': '6195', 'value': '€15.00m'}, {'date': 'Mar 24, 2026', 'age': '32', 'clubName': 'SSC Napoli', 'clubID': '6195', 'value': '€12.00m'}]}</t>
        </is>
      </c>
      <c r="L360" t="inlineStr">
        <is>
          <t>Belgium</t>
        </is>
      </c>
      <c r="M360" t="inlineStr">
        <is>
          <t>1993-05-13</t>
        </is>
      </c>
      <c r="N360" t="inlineStr">
        <is>
          <t>Belgium</t>
        </is>
      </c>
      <c r="O360">
        <f>(85+70+55)/3</f>
        <v/>
      </c>
      <c r="P360">
        <f>(100+100)/2</f>
        <v/>
      </c>
    </row>
    <row r="361">
      <c r="A361" t="inlineStr">
        <is>
          <t>Grujic</t>
        </is>
      </c>
      <c r="B361" t="inlineStr">
        <is>
          <t>FC Porto</t>
        </is>
      </c>
      <c r="C361" t="inlineStr">
        <is>
          <t>Midfielder</t>
        </is>
      </c>
      <c r="D361" t="n">
        <v>320</v>
      </c>
      <c r="E361" t="n">
        <v>6</v>
      </c>
      <c r="F361" t="n">
        <v>0</v>
      </c>
      <c r="G361" t="n">
        <v>1</v>
      </c>
      <c r="H361" t="n">
        <v>40.9</v>
      </c>
      <c r="I361" t="n">
        <v>30.7</v>
      </c>
      <c r="J361" t="n">
        <v>222813</v>
      </c>
      <c r="K361" t="inlineStr">
        <is>
          <t>{'marketValueHistory': [{'date': '29/05/2015', 'age': '19', 'clubName': 'Red Star Belgrade', 'clubID': '159', 'value': '€25k'}, {'date': '15/06/2015', 'age': '19', 'clubName': 'Red Star Belgrade', 'clubID': '159', 'value': '€500k'}, {'date': '23/11/2015', 'age': '19', 'clubName': 'Red Star Belgrade', 'clubID': '159', 'value': '€3.00m'}, {'date': '29/05/2016', 'age': '20', 'clubName': 'Red Star Belgrade', 'clubID': '159', 'value': '€5.00m'}, {'date': '01/08/2016', 'age': '20', 'clubName': 'Liverpool FC', 'clubID': '31', 'value': '€5.00m'}, {'date': '20/02/2017', 'age': '20', 'clubName': 'Liverpool FC', 'clubID': '31', 'value': '€5.00m'}, {'date': '28/06/2017', 'age': '21', 'clubName': 'Liverpool FC', 'clubID': '31', 'value': '€5.00m'}, {'date': '02/01/2018', 'age': '21', 'clubName': 'Liverpool FC', 'clubID': '31', 'value': '€5.00m'}, {'date': '18/12/2018', 'age': '22', 'clubName': 'Hertha BSC', 'clubID': '44', 'value': '€12.00m'}, {'date': '06/03/2019', 'age': '22', 'clubName': 'Hertha BSC', 'clubID': '44', 'value': '€18.00m'}, {'date': '05/06/2019', 'age': '23', 'clubName': 'Hertha BSC', 'clubID': '44', 'value': '€20.00m'}, {'date': '17/12/2019', 'age': '23', 'clubName': 'Hertha BSC', 'clubID': '44', 'value': '€18.00m'}, {'date': '08/04/2020', 'age': '23', 'clubName': 'Hertha BSC', 'clubID': '44', 'value': '€14.50m'}, {'date': '22/10/2020', 'age': '24', 'clubName': 'FC Porto', 'clubID': '720', 'value': '€14.50m'}, {'date': '28/01/2021', 'age': '24', 'clubName': 'FC Porto', 'clubID': '720', 'value': '€14.00m'}, {'date': '21/05/2021', 'age': '25', 'clubName': 'FC Porto', 'clubID': '720', 'value': '€15.00m'}, {'date': '27/12/2021', 'age': '25', 'clubName': 'FC Porto', 'clubID': '720', 'value': '€13.00m'}, {'date': '10/03/2022', 'age': '25', 'clubName': 'FC Porto', 'clubID': '720', 'value': '€12.00m'}, {'date': '31/05/2022', 'age': '26', 'clubName': 'FC Porto', 'clubID': '720', 'value': '€12.00m'}, {'date': '01/11/2022', 'age': '26', 'clubName': 'FC Porto', 'clubID': '720', 'value': '€9.00m'}, {'date': '16/06/2023', 'age': '27', 'clubName': 'FC Porto', 'clubID': '720', 'value': '€9.00m'}, {'date': '27/12/2023', 'age': '27', 'clubName': 'FC Porto', 'clubID': '720', 'value': '€8.00m'}, {'date': '08/03/2024', 'age': '27', 'clubName': 'FC Porto', 'clubID': '720', 'value': '€7.00m'}, {'date': '06/06/2024', 'age': '28', 'clubName': 'FC Porto', 'clubID': '720', 'value': '€6.00m'}, {'date': '19/12/2024', 'age': '28', 'clubName': 'FC Porto', 'clubID': '720', 'value': '€5.00m'}, {'date': '30/05/2025', 'age': '29', 'clubName': 'FC Porto', 'clubID': '720', 'value': '€4.00m'}, {'date': '12/12/2025', 'age': '29', 'clubName': 'AEK Athens', 'clubID': '2441', 'value': '€3.00m'}, {'date': '06/03/2026', 'age': '29', 'clubName': 'AEK Athens', 'clubID': '2441', 'value': '€2.50m'}]}</t>
        </is>
      </c>
      <c r="L361" t="inlineStr">
        <is>
          <t>Serbia</t>
        </is>
      </c>
      <c r="M361" t="inlineStr">
        <is>
          <t>1996-04-13</t>
        </is>
      </c>
      <c r="N361" t="inlineStr">
        <is>
          <t>Serbia</t>
        </is>
      </c>
      <c r="O361">
        <f>(12+12+9)/3</f>
        <v/>
      </c>
      <c r="P361">
        <f>(14+15+13)/3</f>
        <v/>
      </c>
    </row>
    <row r="362">
      <c r="A362" t="inlineStr">
        <is>
          <t>Paredes</t>
        </is>
      </c>
      <c r="B362" t="inlineStr">
        <is>
          <t>Paris</t>
        </is>
      </c>
      <c r="C362" t="inlineStr">
        <is>
          <t>Midfielder</t>
        </is>
      </c>
      <c r="D362" t="n">
        <v>315</v>
      </c>
      <c r="E362" t="n">
        <v>5</v>
      </c>
      <c r="F362" t="n">
        <v>0</v>
      </c>
      <c r="G362" t="n">
        <v>0</v>
      </c>
      <c r="H362" t="n">
        <v>36.9</v>
      </c>
      <c r="I362" t="n">
        <v>30.6</v>
      </c>
      <c r="J362" t="n">
        <v>166237</v>
      </c>
      <c r="K362" t="inlineStr">
        <is>
          <t>{'id': '166237', 'marketValue': '€8.00m', 'marketValueHistory': [{'age': '16', 'date': 'Jan 1, 2011', 'clubName': 'Unknown', 'value': '€50k', 'clubID': '75'}, {'age': '18', 'date': 'Nov 5, 2012', 'clubName': 'CA Boca Juniors', 'value': '€2.50m', 'clubID': '189'}, {'age': '18', 'date': 'Dec 26, 2012', 'clubName': 'CA Boca Juniors', 'value': '€4.00m', 'clubID': '189'}, {'age': '19', 'date': 'Jun 30, 2013', 'clubName': 'CA Boca Juniors', 'value': '€3.50m', 'clubID': '189'}, {'age': '19', 'date': 'Feb 20, 2014', 'clubName': 'Chievo Verona', 'value': '€4.00m', 'clubID': '862'}, {'age': '20', 'date': 'Jul 1, 2014', 'clubName': 'AS Roma', 'value': '€4.00m', 'clubID': '12'}, {'age': '20', 'date': 'Jan 7, 2015', 'clubName': 'AS Roma', 'value': '€3.70m', 'clubID': '12'}, {'age': '21', 'date': 'Jul 1, 2015', 'clubName': 'AS Roma', 'value': '€3.50m', 'clubID': '12'}, {'age': '21', 'date': 'Jan 4, 2016', 'clubName': 'FC Empoli', 'value': '€5.00m', 'clubID': '749'}, {'age': '21', 'date': 'Apr 1, 2016', 'clubName': 'FC Empoli', 'value': '€6.00m', 'clubID': '749'}, {'age': '22', 'date': 'Jul 15, 2016', 'clubName': 'AS Roma', 'value': '€10.00m', 'clubID': '12'}, {'age': '22', 'date': 'Jan 2, 2017', 'clubName': 'AS Roma', 'value': '€10.00m', 'clubID': '12'}, {'age': '22', 'date': 'Jun 8, 2017', 'clubName': 'AS Roma', 'value': '€13.00m', 'clubID': '12'}, {'age': '23', 'date': 'Oct 2, 2017', 'clubName': 'Zenit St. Petersburg', 'value': '€18.00m', 'clubID': '964'}, {'age': '23', 'date': 'Dec 23, 2017', 'clubName': 'Zenit St. Petersburg', 'value': '€18.00m', 'clubID': '964'}, {'age': '23', 'date': 'Jun 6, 2018', 'clubName': 'Zenit St. Petersburg', 'value': '€20.00m', 'clubID': '964'}, {'age': '24', 'date': 'Dec 20, 2018', 'clubName': 'Zenit St. Petersburg', 'value': '€25.00m', 'clubID': '964'}, {'age': '24', 'date': 'Mar 7, 2019', 'clubName': 'Paris Saint-Germain', 'value': '€40.00m', 'clubID': '583'}, {'age': '24', 'date': 'Jun 3, 2019', 'clubName': 'Paris Saint-Germain', 'value': '€35.00m', 'clubID': '583'}, {'age': '25', 'date': 'Sep 27, 2019', 'clubName': 'Paris Saint-Germain', 'value': '€25.00m', 'clubID': '583'}, {'age': '25', 'date': 'Dec 19, 2019', 'clubName': 'Paris Saint-Germain', 'value': '€25.00m', 'clubID': '583'}, {'age': '25', 'date': 'Apr 8, 2020', 'clubName': 'Paris Saint-Germain', 'value': '€20.00m', 'clubID': '583'}, {'age': '26', 'date': 'Oct 15, 2020', 'clubName': 'Paris Saint-Germain', 'value': '€20.00m', 'clubID': '583'}, {'age': '26', 'date': 'Jun 4, 2021', 'clubName': 'Paris Saint-Germain', 'value': '€20.00m', 'clubID': '583'}, {'age': '27', 'date': 'Jul 16, 2021', 'clubName': 'Paris Saint-Germain', 'value': '€22.00m', 'clubID': '583'}, {'age': '27', 'date': 'Dec 16, 2021', 'clubName': 'Paris Saint-Germain', 'value': '€20.00m', 'clubID': '583'}, {'age': '27', 'date': 'May 30, 2022', 'clubName': 'Paris Saint-Germain', 'value': '€17.00m', 'clubID': '583'}, {'age': '28', 'date': 'Nov 11, 2022', 'clubName': 'Juventus FC', 'value': '€15.00m', 'clubID': '506'}, {'age': '28', 'date': 'Mar 21, 2023', 'clubName': 'Juventus FC', 'value': '€12.00m', 'clubID': '506'}, {'age': '28', 'date': 'Jun 15, 2023', 'clubName': 'Juventus FC', 'value': '€12.00m', 'clubID': '506'}, {'age': '29', 'date': 'Oct 11, 2023', 'clubName': 'AS Roma', 'value': '€9.00m', 'clubID': '12'}, {'age': '29', 'date': 'Dec 20, 2023', 'clubName': 'AS Roma', 'value': '€8.00m', 'clubID': '12'}], 'ranking': {'Worldwide': '1.233', 'Serie A': '157', 'AS Roma': '15', 'Argentina': '53', 'Defensive Midfield': '108', 'Year 1994': '69'}, 'updatedAt': datetime.datetime(2024, 5, 23, 22, 25, 21, 764362)}</t>
        </is>
      </c>
      <c r="L362" t="inlineStr">
        <is>
          <t>Argentina</t>
        </is>
      </c>
      <c r="M362" t="inlineStr">
        <is>
          <t>1994-06-29</t>
        </is>
      </c>
      <c r="N362" t="inlineStr">
        <is>
          <t>Argentina</t>
        </is>
      </c>
      <c r="O362">
        <f>(17+15)/2</f>
        <v/>
      </c>
      <c r="P362">
        <f>(20+22+20)/3</f>
        <v/>
      </c>
    </row>
    <row r="363">
      <c r="A363" t="inlineStr">
        <is>
          <t>Calabria</t>
        </is>
      </c>
      <c r="B363" t="inlineStr">
        <is>
          <t>Milan</t>
        </is>
      </c>
      <c r="C363" t="inlineStr">
        <is>
          <t>Defender</t>
        </is>
      </c>
      <c r="D363" t="n">
        <v>315</v>
      </c>
      <c r="E363" t="n">
        <v>4</v>
      </c>
      <c r="F363" t="n">
        <v>0</v>
      </c>
      <c r="G363" t="n">
        <v>0</v>
      </c>
      <c r="H363" t="n">
        <v>38.5</v>
      </c>
      <c r="I363" t="n">
        <v>32.6</v>
      </c>
      <c r="J363" t="n">
        <v>262523</v>
      </c>
      <c r="K363" t="inlineStr">
        <is>
          <t>{'marketValueHistory': [{'date': '31/10/2013', 'age': '16', 'clubName': 'Milan Primavera', 'clubID': '10958', 'value': '€75k'}, {'date': '18/05/2014', 'age': '17', 'clubName': 'Milan Primavera', 'clubID': '10958', 'value': '€125k'}, {'date': '17/06/2015', 'age': '18', 'clubName': 'Milan Primavera', 'clubID': '10958', 'value': '€150k'}, {'date': '05/11/2015', 'age': '18', 'clubName': 'AC Milan', 'clubID': '5', 'value': '€700k'}, {'date': '04/01/2016', 'age': '19', 'clubName': 'AC Milan', 'clubID': '5', 'value': '€800k'}, {'date': '15/07/2016', 'age': '19', 'clubName': 'AC Milan', 'clubID': '5', 'value': '€1.00m'}, {'date': '14/10/2016', 'age': '19', 'clubName': 'AC Milan', 'clubID': '5', 'value': '€2.50m'}, {'date': '30/12/2016', 'age': '20', 'clubName': 'AC Milan', 'clubID': '5', 'value': '€2.50m'}, {'date': '08/06/2017', 'age': '20', 'clubName': 'AC Milan', 'clubID': '5', 'value': '€4.00m'}, {'date': '29/12/2017', 'age': '21', 'clubName': 'AC Milan', 'clubID': '5', 'value': '€5.00m'}, {'date': '24/03/2018', 'age': '21', 'clubName': 'AC Milan', 'clubID': '5', 'value': '€10.00m'}, {'date': '07/06/2018', 'age': '21', 'clubName': 'AC Milan', 'clubID': '5', 'value': '€13.00m'}, {'date': '20/12/2018', 'age': '22', 'clubName': 'AC Milan', 'clubID': '5', 'value': '€17.00m'}, {'date': '01/03/2019', 'age': '22', 'clubName': 'AC Milan', 'clubID': '5', 'value': '€20.00m'}, {'date': '06/06/2019', 'age': '22', 'clubName': 'AC Milan', 'clubID': '5', 'value': '€20.00m'}, {'date': '08/10/2019', 'age': '22', 'clubName': 'AC Milan', 'clubID': '5', 'value': '€18.00m'}, {'date': '12/12/2019', 'age': '23', 'clubName': 'AC Milan', 'clubID': '5', 'value': '€15.00m'}, {'date': '03/03/2020', 'age': '23', 'clubName': 'AC Milan', 'clubID': '5', 'value': '€12.00m'}, {'date': '08/04/2020', 'age': '23', 'clubName': 'AC Milan', 'clubID': '5', 'value': '€9.50m'}, {'date': '25/08/2020', 'age': '23', 'clubName': 'AC Milan', 'clubID': '5', 'value': '€10.00m'}, {'date': '29/12/2020', 'age': '24', 'clubName': 'AC Milan', 'clubID': '5', 'value': '€18.00m'}, {'date': '23/03/2021', 'age': '24', 'clubName': 'AC Milan', 'clubID': '5', 'value': '€25.00m'}, {'date': '03/06/2021', 'age': '24', 'clubName': 'AC Milan', 'clubID': '5', 'value': '€25.00m'}, {'date': '28/12/2021', 'age': '25', 'clubName': 'AC Milan', 'clubID': '5', 'value': '€25.00m'}, {'date': '07/06/2022', 'age': '25', 'clubName': 'AC Milan', 'clubID': '5', 'value': '€25.00m'}, {'date': '11/11/2022', 'age': '25', 'clubName': 'AC Milan', 'clubID': '5', 'value': '€25.00m'}, {'date': '21/03/2023', 'age': '26', 'clubName': 'AC Milan', 'clubID': '5', 'value': '€20.00m'}, {'date': '15/06/2023', 'age': '26', 'clubName': 'AC Milan', 'clubID': '5', 'value': '€20.00m'}, {'date': '20/12/2023', 'age': '27', 'clubName': 'AC Milan', 'clubID': '5', 'value': '€15.00m'}, {'date': '05/06/2024', 'age': '27', 'clubName': 'AC Milan', 'clubID': '5', 'value': '€13.00m'}, {'date': '18/10/2024', 'age': '27', 'clubName': 'AC Milan', 'clubID': '5', 'value': '€10.00m'}, {'date': '18/12/2024', 'age': '28', 'clubName': 'AC Milan', 'clubID': '5', 'value': '€7.50m'}, {'date': '17/06/2025', 'age': '28', 'clubName': 'Bologna FC 1909', 'clubID': '1025', 'value': '€4.50m'}, {'date': '12/12/2025', 'age': '29', 'clubName': 'Panathinaikos', 'clubID': '265', 'value': '€4.50m'}]}</t>
        </is>
      </c>
      <c r="L363" t="inlineStr">
        <is>
          <t>Italy</t>
        </is>
      </c>
      <c r="M363" t="inlineStr">
        <is>
          <t>1996-12-06</t>
        </is>
      </c>
      <c r="N363" t="inlineStr">
        <is>
          <t>7</t>
        </is>
      </c>
      <c r="O363">
        <f>(25+25)/2</f>
        <v/>
      </c>
      <c r="P363">
        <f>(25+25+25)/3</f>
        <v/>
      </c>
    </row>
    <row r="364">
      <c r="A364" t="inlineStr">
        <is>
          <t>Orban</t>
        </is>
      </c>
      <c r="B364" t="inlineStr">
        <is>
          <t>Leipzig</t>
        </is>
      </c>
      <c r="C364" t="inlineStr">
        <is>
          <t>Defender</t>
        </is>
      </c>
      <c r="D364" t="n">
        <v>315</v>
      </c>
      <c r="E364" t="n">
        <v>4</v>
      </c>
      <c r="F364" t="n">
        <v>0</v>
      </c>
      <c r="G364" t="n">
        <v>0</v>
      </c>
      <c r="H364" t="n">
        <v>35.6</v>
      </c>
      <c r="I364" t="n">
        <v>30.4</v>
      </c>
      <c r="J364" t="n">
        <v>93740</v>
      </c>
      <c r="K364" t="inlineStr">
        <is>
          <t>{'marketValueHistory': [{'date': 'Jul 3, 2011', 'age': '18', 'clubName': '1.FC Kaiserslautern', 'clubID': '2', 'value': '€100k'}, {'date': 'Sep 1, 2011', 'age': '18', 'clubName': '1.FC Kaiserslautern', 'clubID': '2', 'value': '€150k'}, {'date': 'Jan 23, 2012', 'age': '19', 'clubName': '1.FC Kaiserslautern', 'clubID': '2', 'value': '€250k'}, {'date': 'Jun 29, 2012', 'age': '19', 'clubName': '1.FC Kaiserslautern', 'clubID': '2', 'value': '€250k'}, {'date': 'Jan 4, 2013', 'age': '20', 'clubName': '1.FC Kaiserslautern', 'clubID': '2', 'value': '€200k'}, {'date': 'Jun 29, 2013', 'age': '20', 'clubName': '1.FC Kaiserslautern', 'clubID': '2', 'value': '€450k'}, {'date': 'Oct 14, 2013', 'age': '20', 'clubName': '1.FC Kaiserslautern', 'clubID': '2', 'value': '€900k'}, {'date': 'Jan 20, 2014', 'age': '21', 'clubName': '1.FC Kaiserslautern', 'clubID': '2', 'value': '€900k'}, {'date': 'Jun 30, 2014', 'age': '21', 'clubName': '1.FC Kaiserslautern', 'clubID': '2', 'value': '€900k'}, {'date': 'Jan 13, 2015', 'age': '22', 'clubName': '1.FC Kaiserslautern', 'clubID': '2', 'value': '€1.50m'}, {'date': 'Mar 29, 2015', 'age': '22', 'clubName': '1.FC Kaiserslautern', 'clubID': '2', 'value': '€1.80m'}, {'date': 'Jul 1, 2015', 'age': '22', 'clubName': 'RB Leipzig', 'clubID': '23826', 'value': '€2.50m'}, {'date': 'Feb 11, 2016', 'age': '23', 'clubName': 'RB Leipzig', 'clubID': '23826', 'value': '€2.50m'}, {'date': 'Jul 22, 2016', 'age': '23', 'clubName': 'RB Leipzig', 'clubID': '23826', 'value': '€3.00m'}, {'date': 'Feb 7, 2017', 'age': '24', 'clubName': 'RB Leipzig', 'clubID': '23826', 'value': '€6.00m'}, {'date': 'Jun 19, 2017', 'age': '24', 'clubName': 'RB Leipzig', 'clubID': '23826', 'value': '€8.00m'}, {'date': 'Dec 28, 2017', 'age': '25', 'clubName': 'RB Leipzig', 'clubID': '23826', 'value': '€10.00m'}, {'date': 'Apr 4, 2018', 'age': '25', 'clubName': 'RB Leipzig', 'clubID': '23826', 'value': '€15.00m'}, {'date': 'Jun 5, 2018', 'age': '25', 'clubName': 'RB Leipzig', 'clubID': '23826', 'value': '€15.00m'}, {'date': 'Dec 18, 2018', 'age': '26', 'clubName': 'RB Leipzig', 'clubID': '23826', 'value': '€15.00m'}, {'date': 'Jun 5, 2019', 'age': '26', 'clubName': 'RB Leipzig', 'clubID': '23826', 'value': '€20.00m'}, {'date': 'Dec 17, 2019', 'age': '27', 'clubName': 'RB Leipzig', 'clubID': '23826', 'value': '€20.00m'}, {'date': 'Apr 8, 2020', 'age': '27', 'clubName': 'RB Leipzig', 'clubID': '23826', 'value': '€16.00m'}, {'date': 'Sep 16, 2020', 'age': '27', 'clubName': 'RB Leipzig', 'clubID': '23826', 'value': '€12.00m'}, {'date': 'Feb 10, 2021', 'age': '28', 'clubName': 'RB Leipzig', 'clubID': '23826', 'value': '€14.00m'}, {'date': 'Jun 1, 2021', 'age': '28', 'clubName': 'RB Leipzig', 'clubID': '23826', 'value': '€16.00m'}, {'date': 'Dec 22, 2021', 'age': '29', 'clubName': 'RB Leipzig', 'clubID': '23826', 'value': '€14.00m'}, {'date': 'Jun 9, 2022', 'age': '29', 'clubName': 'RB Leipzig', 'clubID': '23826', 'value': '€10.00m'}, {'date': 'Nov 9, 2022', 'age': '30', 'clubName': 'RB Leipzig', 'clubID': '23826', 'value': '€10.00m'}, {'date': 'Jun 22, 2023', 'age': '30', 'clubName': 'RB Leipzig', 'clubID': '23826', 'value': '€10.00m'}, {'date': 'Dec 14, 2023', 'age': '31', 'clubName': 'RB Leipzig', 'clubID': '23826', 'value': '€10.00m'}, {'date': 'May 29, 2024', 'age': '31', 'clubName': 'RB Leipzig', 'clubID': '23826', 'value': '€10.00m'}, {'date': 'Dec 20, 2024', 'age': '32', 'clubName': 'RB Leipzig', 'clubID': '23826', 'value': '€10.00m'}, {'date': 'Jun 5, 2025', 'age': '32', 'clubName': 'RB Leipzig', 'clubID': '23826', 'value': '€8.00m'}, {'date': 'Dec 19, 2025', 'age': '33', 'clubName': 'RB Leipzig', 'clubID': '23826', 'value': '€6.00m'}]}</t>
        </is>
      </c>
      <c r="L364" t="inlineStr">
        <is>
          <t>Hungary</t>
        </is>
      </c>
      <c r="M364" t="inlineStr">
        <is>
          <t>1992-11-03</t>
        </is>
      </c>
      <c r="N364" t="inlineStr">
        <is>
          <t>66</t>
        </is>
      </c>
      <c r="O364">
        <f>(10+10)/2</f>
        <v/>
      </c>
      <c r="P364">
        <f>(14+16+14)/3</f>
        <v/>
      </c>
    </row>
    <row r="365">
      <c r="A365" t="inlineStr">
        <is>
          <t>Lovren</t>
        </is>
      </c>
      <c r="B365" t="inlineStr">
        <is>
          <t>Zenit</t>
        </is>
      </c>
      <c r="C365" t="inlineStr">
        <is>
          <t>Defender</t>
        </is>
      </c>
      <c r="D365" t="n">
        <v>315</v>
      </c>
      <c r="E365" t="n">
        <v>4</v>
      </c>
      <c r="F365" t="n">
        <v>0</v>
      </c>
      <c r="G365" t="n">
        <v>0</v>
      </c>
      <c r="H365" t="n">
        <v>34.7</v>
      </c>
      <c r="I365" t="n">
        <v>31.7</v>
      </c>
      <c r="J365" t="n">
        <v>37838</v>
      </c>
      <c r="K365" t="inlineStr">
        <is>
          <t>{'marketValueHistory': [{'date': '21/02/2006', 'age': '16', 'clubName': 'GNK Dinamo Zagreb', 'clubID': '419', 'value': '€800k'}, {'date': '06/10/2006', 'age': '17', 'clubName': 'NK Inter Zapresic', 'clubID': '918', 'value': '€600k'}, {'date': '09/10/2007', 'age': '18', 'clubName': 'NK Inter Zapresic', 'clubID': '918', 'value': '€900k'}, {'date': '13/04/2008', 'age': '18', 'clubName': 'NK Inter Zapresic', 'clubID': '918', 'value': '€1.10m'}, {'date': '15/09/2008', 'age': '19', 'clubName': 'GNK Dinamo Zagreb', 'clubID': '419', 'value': '€1.30m'}, {'date': '08/02/2009', 'age': '19', 'clubName': 'GNK Dinamo Zagreb', 'clubID': '419', 'value': '€1.60m'}, {'date': '05/10/2009', 'age': '20', 'clubName': 'GNK Dinamo Zagreb', 'clubID': '419', 'value': '€2.50m'}, {'date': '14/01/2010', 'age': '20', 'clubName': 'Olympique Lyon', 'clubID': '1041', 'value': '€7.50m'}, {'date': '18/05/2010', 'age': '20', 'clubName': 'Olympique Lyon', 'clubID': '1041', 'value': '€7.00m'}, {'date': '24/05/2011', 'age': '21', 'clubName': 'Olympique Lyon', 'clubID': '1041', 'value': '€7.25m'}, {'date': '24/12/2011', 'age': '22', 'clubName': 'Olympique Lyon', 'clubID': '1041', 'value': '€8.00m'}, {'date': '23/05/2012', 'age': '22', 'clubName': 'Olympique Lyon', 'clubID': '1041', 'value': '€8.00m'}, {'date': '07/01/2013', 'age': '23', 'clubName': 'Olympique Lyon', 'clubID': '1041', 'value': '€8.00m'}, {'date': '30/05/2013', 'age': '23', 'clubName': 'Olympique Lyon', 'clubID': '1041', 'value': '€7.00m'}, {'date': '18/09/2013', 'age': '24', 'clubName': 'Southampton FC', 'clubID': '180', 'value': '€10.00m'}, {'date': '15/01/2014', 'age': '24', 'clubName': 'Southampton FC', 'clubID': '180', 'value': '€12.00m'}, {'date': '12/08/2014', 'age': '25', 'clubName': 'Liverpool FC', 'clubID': '31', 'value': '€20.00m'}, {'date': '12/02/2015', 'age': '25', 'clubName': 'Liverpool FC', 'clubID': '31', 'value': '€15.00m'}, {'date': '01/07/2015', 'age': '25', 'clubName': 'Liverpool FC', 'clubID': '31', 'value': '€13.00m'}, {'date': '09/02/2016', 'age': '26', 'clubName': 'Liverpool FC', 'clubID': '31', 'value': '€13.00m'}, {'date': '01/08/2016', 'age': '27', 'clubName': 'Liverpool FC', 'clubID': '31', 'value': '€15.00m'}, {'date': '20/02/2017', 'age': '27', 'clubName': 'Liverpool FC', 'clubID': '31', 'value': '€15.00m'}, {'date': '28/06/2017', 'age': '27', 'clubName': 'Liverpool FC', 'clubID': '31', 'value': '€17.00m'}, {'date': '02/01/2018', 'age': '28', 'clubName': 'Liverpool FC', 'clubID': '31', 'value': '€17.00m'}, {'date': '28/05/2018', 'age': '28', 'clubName': 'Liverpool FC', 'clubID': '31', 'value': '€20.00m'}, {'date': '19/12/2018', 'age': '29', 'clubName': 'Liverpool FC', 'clubID': '31', 'value': '€20.00m'}, {'date': '13/06/2019', 'age': '29', 'clubName': 'Liverpool FC', 'clubID': '31', 'value': '€20.00m'}, {'date': '10/12/2019', 'age': '30', 'clubName': 'Liverpool FC', 'clubID': '31', 'value': '€20.00m'}, {'date': '08/04/2020', 'age': '30', 'clubName': 'Liverpool FC', 'clubID': '31', 'value': '€16.00m'}, {'date': '30/07/2020', 'age': '31', 'clubName': 'Liverpool FC', 'clubID': '31', 'value': '€12.00m'}, {'date': '29/12/2020', 'age': '31', 'clubName': 'Zenit St. Petersburg', 'clubID': '964', 'value': '€11.00m'}, {'date': '28/05/2021', 'age': '31', 'clubName': 'Zenit St. Petersburg', 'clubID': '964', 'value': '€10.00m'}, {'date': '29/12/2021', 'age': '32', 'clubName': 'Zenit St. Petersburg', 'clubID': '964', 'value': '€7.00m'}, {'date': '02/06/2022', 'age': '32', 'clubName': 'Zenit St. Petersburg', 'clubID': '964', 'value': '€4.50m'}, {'date': '14/11/2022', 'age': '33', 'clubName': 'Zenit St. Petersburg', 'clubID': '964', 'value': '€3.50m'}, {'date': '27/03/2023', 'age': '33', 'clubName': 'Olympique Lyon', 'clubID': '1041', 'value': '€3.00m'}, {'date': '27/06/2023', 'age': '33', 'clubName': 'Olympique Lyon', 'clubID': '1041', 'value': '€2.50m'}, {'date': '18/12/2023', 'age': '34', 'clubName': 'Olympique Lyon', 'clubID': '1041', 'value': '€2.00m'}, {'date': '03/06/2024', 'age': '34', 'clubName': 'Olympique Lyon', 'clubID': '1041', 'value': '€1.20m'}, {'date': '26/09/2024', 'age': '35', 'clubName': 'PAOK Thessaloniki', 'clubID': '1091', 'value': '€1.00m'}, {'date': '18/12/2024', 'age': '35', 'clubName': 'PAOK Thessaloniki', 'clubID': '1091', 'value': '€800k'}, {'date': '23/05/2025', 'age': '35', 'clubName': 'PAOK Thessaloniki', 'clubID': '1091', 'value': '€600k'}, {'date': '12/12/2025', 'age': '36', 'clubName': 'PAOK Thessaloniki', 'clubID': '1091', 'value': '€500k'}]}</t>
        </is>
      </c>
      <c r="L365" t="inlineStr">
        <is>
          <t>Croatia</t>
        </is>
      </c>
      <c r="M365" t="inlineStr">
        <is>
          <t>1989-07-05</t>
        </is>
      </c>
      <c r="N365" t="inlineStr">
        <is>
          <t>Croatia</t>
        </is>
      </c>
      <c r="O365">
        <f>(4.5+3.5)/2</f>
        <v/>
      </c>
      <c r="P365">
        <f>(10+7)/2</f>
        <v/>
      </c>
    </row>
    <row r="366">
      <c r="A366" t="inlineStr">
        <is>
          <t>Dahlin</t>
        </is>
      </c>
      <c r="B366" t="inlineStr">
        <is>
          <t>Malmo</t>
        </is>
      </c>
      <c r="C366" t="inlineStr">
        <is>
          <t>Goalkeeper</t>
        </is>
      </c>
      <c r="D366" t="n">
        <v>315</v>
      </c>
      <c r="E366" t="n">
        <v>4</v>
      </c>
      <c r="F366" t="n">
        <v>0</v>
      </c>
      <c r="G366" t="n">
        <v>0</v>
      </c>
      <c r="H366" t="n">
        <v>14.2</v>
      </c>
      <c r="I366" t="n">
        <v>24.6</v>
      </c>
      <c r="J366" t="n">
        <v>41653</v>
      </c>
      <c r="K366" t="inlineStr">
        <is>
          <t>{'marketValueHistory': [{'date': 'Sep 9, 2007', 'age': '21', 'clubName': 'Lyn 1896 FK', 'clubID': '175', 'value': '€300k'}, {'date': 'Jun 17, 2008', 'age': '21', 'clubName': 'Trelleborgs FF', 'clubID': '701', 'value': '€500k'}, {'date': 'Jun 14, 2009', 'age': '22', 'clubName': 'Lyn 1896 FK', 'clubID': '175', 'value': '€600k'}, {'date': 'Jul 4, 2009', 'age': '22', 'clubName': 'Malmö FF', 'clubID': '496', 'value': '€800k'}, {'date': 'Aug 21, 2009', 'age': '22', 'clubName': 'Malmö FF', 'clubID': '496', 'value': '€1.00m'}, {'date': 'Sep 4, 2009', 'age': '22', 'clubName': 'Malmö FF', 'clubID': '496', 'value': '€1.50m'}, {'date': 'Jan 23, 2011', 'age': '24', 'clubName': 'Malmö FF', 'clubID': '496', 'value': '€2.00m'}, {'date': 'Jul 25, 2011', 'age': '24', 'clubName': 'Malmö FF', 'clubID': '496', 'value': '€1.50m'}, {'date': 'Nov 10, 2011', 'age': '25', 'clubName': 'Malmö FF', 'clubID': '496', 'value': '€1.50m'}, {'date': 'Sep 23, 2012', 'age': '26', 'clubName': 'Malmö FF', 'clubID': '496', 'value': '€1.50m'}, {'date': 'Aug 7, 2013', 'age': '26', 'clubName': 'Malmö FF', 'clubID': '496', 'value': '€1.30m'}, {'date': 'Jan 27, 2014', 'age': '27', 'clubName': 'Genclerbirligi Ankara', 'clubID': '820', 'value': '€1.50m'}, {'date': 'Jul 23, 2014', 'age': '27', 'clubName': 'Genclerbirligi Ankara', 'clubID': '820', 'value': '€2.00m'}, {'date': 'Jan 27, 2015', 'age': '28', 'clubName': 'FC Midtjylland', 'clubID': '865', 'value': '€1.20m'}, {'date': 'Sep 2, 2015', 'age': '28', 'clubName': 'FC Midtjylland', 'clubID': '865', 'value': '€1.25m'}, {'date': 'Jan 21, 2016', 'age': '29', 'clubName': 'FC Midtjylland', 'clubID': '865', 'value': '€1.00m'}, {'date': 'Aug 12, 2016', 'age': '29', 'clubName': 'FC Midtjylland', 'clubID': '865', 'value': '€700k'}, {'date': 'Dec 12, 2016', 'age': '30', 'clubName': 'FC Midtjylland', 'clubID': '865', 'value': '€600k'}, {'date': 'Mar 27, 2017', 'age': '30', 'clubName': 'FC Midtjylland', 'clubID': '865', 'value': '€500k'}, {'date': 'Jun 21, 2017', 'age': '30', 'clubName': 'FC Midtjylland', 'clubID': '865', 'value': '€500k'}, {'date': 'Nov 17, 2017', 'age': '31', 'clubName': 'Malmö FF', 'clubID': '496', 'value': '€750k'}, {'date': 'Jun 20, 2018', 'age': '31', 'clubName': 'Malmö FF', 'clubID': '496', 'value': '€750k'}, {'date': 'Jan 16, 2019', 'age': '32', 'clubName': 'Malmö FF', 'clubID': '496', 'value': '€900k'}, {'date': 'Jun 28, 2019', 'age': '32', 'clubName': 'Malmö FF', 'clubID': '496', 'value': '€1.00m'}, {'date': 'Nov 20, 2019', 'age': '33', 'clubName': 'Malmö FF', 'clubID': '496', 'value': '€1.00m'}, {'date': 'Apr 8, 2020', 'age': '33', 'clubName': 'Malmö FF', 'clubID': '496', 'value': '€800k'}, {'date': 'Aug 5, 2020', 'age': '33', 'clubName': 'Malmö FF', 'clubID': '496', 'value': '€800k'}, {'date': 'Dec 10, 2020', 'age': '34', 'clubName': 'Malmö FF', 'clubID': '496', 'value': '€600k'}, {'date': 'Jun 9, 2021', 'age': '34', 'clubName': 'Malmö FF', 'clubID': '496', 'value': '€400k'}, {'date': 'Dec 17, 2021', 'age': '35', 'clubName': 'Malmö FF', 'clubID': '496', 'value': '€400k'}, {'date': 'Jun 24, 2022', 'age': '35', 'clubName': 'Malmö FF', 'clubID': '496', 'value': '€400k'}, {'date': 'Dec 14, 2022', 'age': '36', 'clubName': 'Malmö FF', 'clubID': '496', 'value': '€300k'}, {'date': 'Jun 27, 2023', 'age': '36', 'clubName': 'Malmö FF', 'clubID': '496', 'value': '€250k'}, {'date': 'Dec 8, 2023', 'age': '37', 'clubName': 'Malmö FF', 'clubID': '496', 'value': '€250k'}, {'date': 'Jun 13, 2024', 'age': '37', 'clubName': 'Malmö FF', 'clubID': '496', 'value': '€250k'}, {'date': 'Sep 26, 2024', 'age': '38', 'clubName': 'Malmö FF', 'clubID': '496', 'value': '€200k'}, {'date': 'Dec 20, 2024', 'age': '38', 'clubName': 'Malmö FF', 'clubID': '496', 'value': '€200k'}, {'date': 'Jun 18, 2025', 'age': '38', 'clubName': 'Malmö FF', 'clubID': '496', 'value': '€175k'}, {'date': 'Sep 16, 2025', 'age': '39', 'clubName': 'Malmö FF', 'clubID': '496', 'value': '€150k'}, {'date': 'Nov 19, 2025', 'age': '39', 'clubName': 'Malmö FF', 'clubID': '496', 'value': '€100k'}]}</t>
        </is>
      </c>
      <c r="L366" t="inlineStr">
        <is>
          <t>Sweden</t>
        </is>
      </c>
      <c r="M366" t="inlineStr">
        <is>
          <t>1986-09-08</t>
        </is>
      </c>
      <c r="N366" t="inlineStr">
        <is>
          <t>Sweden</t>
        </is>
      </c>
      <c r="O366">
        <f>(0.4+0.3)/2</f>
        <v/>
      </c>
      <c r="P366">
        <f>(0.4+0.4)/2</f>
        <v/>
      </c>
    </row>
    <row r="367">
      <c r="A367" t="inlineStr">
        <is>
          <t>Evanilson</t>
        </is>
      </c>
      <c r="B367" t="inlineStr">
        <is>
          <t>FC Porto</t>
        </is>
      </c>
      <c r="C367" t="inlineStr">
        <is>
          <t>Forward</t>
        </is>
      </c>
      <c r="D367" t="n">
        <v>313</v>
      </c>
      <c r="E367" t="n">
        <v>4</v>
      </c>
      <c r="F367" t="n">
        <v>0</v>
      </c>
      <c r="G367" t="n">
        <v>0</v>
      </c>
      <c r="H367" t="n">
        <v>34.9</v>
      </c>
      <c r="I367" t="n">
        <v>31.6</v>
      </c>
      <c r="J367" t="n">
        <v>711337</v>
      </c>
      <c r="K367" t="inlineStr">
        <is>
          <t>{'marketValueHistory': [{'date': 'Oct 16, 2019', 'age': '20', 'clubName': 'Fluminense Football Club', 'clubID': '2462', 'value': '€50k'}, {'date': 'Nov 27, 2019', 'age': '20', 'clubName': 'Fluminense Football Club', 'clubID': '2462', 'value': '€50k'}, {'date': 'Feb 20, 2020', 'age': '20', 'clubName': 'Fluminense Football Club', 'clubID': '2462', 'value': '€4.50m'}, {'date': 'Apr 8, 2020', 'age': '20', 'clubName': 'Fluminense Football Club', 'clubID': '2462', 'value': '€4.00m'}, {'date': 'Sep 9, 2020', 'age': '20', 'clubName': 'FC Porto', 'clubID': '720', 'value': '€7.50m'}, {'date': 'Jan 28, 2021', 'age': '21', 'clubName': 'FC Porto', 'clubID': '720', 'value': '€7.50m'}, {'date': 'May 21, 2021', 'age': '21', 'clubName': 'FC Porto', 'clubID': '720', 'value': '€7.50m'}, {'date': 'Dec 27, 2021', 'age': '22', 'clubName': 'FC Porto', 'clubID': '720', 'value': '€9.00m'}, {'date': 'Mar 10, 2022', 'age': '22', 'clubName': 'FC Porto', 'clubID': '720', 'value': '€20.00m'}, {'date': 'May 31, 2022', 'age': '22', 'clubName': 'FC Porto', 'clubID': '720', 'value': '€22.00m'}, {'date': 'Nov 1, 2022', 'age': '23', 'clubName': 'FC Porto', 'clubID': '720', 'value': '€22.00m'}, {'date': 'Jun 16, 2023', 'age': '23', 'clubName': 'FC Porto', 'clubID': '720', 'value': '€22.00m'}, {'date': 'Dec 27, 2023', 'age': '24', 'clubName': 'FC Porto', 'clubID': '720', 'value': '€25.00m'}, {'date': 'Mar 8, 2024', 'age': '24', 'clubName': 'FC Porto', 'clubID': '720', 'value': '€30.00m'}, {'date': 'Jun 6, 2024', 'age': '24', 'clubName': 'FC Porto', 'clubID': '720', 'value': '€35.00m'}, {'date': 'Dec 16, 2024', 'age': '25', 'clubName': 'AFC Bournemouth', 'clubID': '989', 'value': '€35.00m'}, {'date': 'May 30, 2025', 'age': '25', 'clubName': 'AFC Bournemouth', 'clubID': '989', 'value': '€35.00m'}, {'date': 'Oct 17, 2025', 'age': '26', 'clubName': 'AFC Bournemouth', 'clubID': '989', 'value': '€40.00m'}, {'date': 'Dec 9, 2025', 'age': '26', 'clubName': 'AFC Bournemouth', 'clubID': '989', 'value': '€40.00m'}, {'date': 'Mar 9, 2026', 'age': '26', 'clubName': 'AFC Bournemouth', 'clubID': '989', 'value': '€35.00m'}]}</t>
        </is>
      </c>
      <c r="L367" t="inlineStr">
        <is>
          <t>Brazil</t>
        </is>
      </c>
      <c r="M367" t="inlineStr">
        <is>
          <t>1999-10-06</t>
        </is>
      </c>
      <c r="N367" t="inlineStr">
        <is>
          <t>Brazil</t>
        </is>
      </c>
      <c r="O367">
        <f>(20+22+22)/3</f>
        <v/>
      </c>
      <c r="P367">
        <f>(7.5+7.5+9)/3</f>
        <v/>
      </c>
    </row>
    <row r="368">
      <c r="A368" t="inlineStr">
        <is>
          <t>Welinton</t>
        </is>
      </c>
      <c r="B368" t="inlineStr">
        <is>
          <t>Besiktas</t>
        </is>
      </c>
      <c r="C368" t="inlineStr">
        <is>
          <t>Defender</t>
        </is>
      </c>
      <c r="D368" t="n">
        <v>313</v>
      </c>
      <c r="E368" t="n">
        <v>4</v>
      </c>
      <c r="F368" t="n">
        <v>0</v>
      </c>
      <c r="G368" t="n">
        <v>0</v>
      </c>
      <c r="H368" t="n">
        <v>33</v>
      </c>
      <c r="I368" t="n">
        <v>31.6</v>
      </c>
      <c r="J368" t="n">
        <v>95152</v>
      </c>
      <c r="K368" t="inlineStr">
        <is>
          <t>{'marketValueHistory': [{'date': '16/02/2009', 'age': '19', 'clubName': 'CR Flamengo', 'clubID': '614', 'value': '€50k'}, {'date': '22/02/2009', 'age': '19', 'clubName': 'CR Flamengo', 'clubID': '614', 'value': '€400k'}, {'date': '27/06/2009', 'age': '20', 'clubName': 'CR Flamengo', 'clubID': '614', 'value': '€900k'}, {'date': '06/09/2009', 'age': '20', 'clubName': 'CR Flamengo', 'clubID': '614', 'value': '€1.00m'}, {'date': '08/12/2009', 'age': '20', 'clubName': 'CR Flamengo', 'clubID': '614', 'value': '€900k'}, {'date': '15/04/2010', 'age': '21', 'clubName': 'CR Flamengo', 'clubID': '614', 'value': '€400k'}, {'date': '30/07/2010', 'age': '21', 'clubName': 'CR Flamengo', 'clubID': '614', 'value': '€800k'}, {'date': '10/12/2010', 'age': '21', 'clubName': 'CR Flamengo', 'clubID': '614', 'value': '€1.00m'}, {'date': '30/05/2011', 'age': '22', 'clubName': 'CR Flamengo', 'clubID': '614', 'value': '€1.50m'}, {'date': '08/08/2011', 'age': '22', 'clubName': 'CR Flamengo', 'clubID': '614', 'value': '€2.00m'}, {'date': '08/12/2011', 'age': '22', 'clubName': 'CR Flamengo', 'clubID': '614', 'value': '€2.00m'}, {'date': '24/05/2012', 'age': '23', 'clubName': 'CR Flamengo', 'clubID': '614', 'value': '€2.00m'}, {'date': '05/12/2012', 'age': '23', 'clubName': 'CR Flamengo', 'clubID': '614', 'value': '€1.50m'}, {'date': '24/06/2013', 'age': '24', 'clubName': 'Alania Vladikavkaz', 'clubID': '2703', 'value': '€1.00m'}, {'date': '07/08/2014', 'age': '25', 'clubName': 'Coritiba Foot Ball Club', 'clubID': '776', 'value': '€900k'}, {'date': '01/02/2015', 'age': '25', 'clubName': 'Coritiba Foot Ball Club', 'clubID': '776', 'value': '€1.25m'}, {'date': '31/05/2015', 'age': '26', 'clubName': 'Coritiba Foot Ball Club', 'clubID': '776', 'value': '€1.75m'}, {'date': '07/02/2016', 'age': '26', 'clubName': 'Umm Salal SC', 'clubID': '10920', 'value': '€1.40m'}, {'date': '15/07/2016', 'age': '27', 'clubName': 'CR Flamengo', 'clubID': '614', 'value': '€1.40m'}, {'date': '21/12/2016', 'age': '27', 'clubName': 'Al-Khor SC', 'clubID': '5381', 'value': '€1.30m'}, {'date': '05/05/2017', 'age': '28', 'clubName': 'Al-Khor SC', 'clubID': '5381', 'value': '€1.30m'}, {'date': '12/02/2018', 'age': '28', 'clubName': 'Alanyaspor', 'clubID': '11282', 'value': '€1.30m'}, {'date': '29/05/2018', 'age': '29', 'clubName': 'Alanyaspor', 'clubID': '11282', 'value': '€1.20m'}, {'date': '04/01/2019', 'age': '29', 'clubName': 'Alanyaspor', 'clubID': '11282', 'value': '€750k'}, {'date': '04/06/2019', 'age': '30', 'clubName': 'Alanyaspor', 'clubID': '11282', 'value': '€850k'}, {'date': '04/10/2019', 'age': '30', 'clubName': 'Alanyaspor', 'clubID': '11282', 'value': '€1.00m'}, {'date': '03/01/2020', 'age': '30', 'clubName': 'Alanyaspor', 'clubID': '11282', 'value': '€1.30m'}, {'date': '25/03/2020', 'age': '30', 'clubName': 'Alanyaspor', 'clubID': '11282', 'value': '€1.20m'}, {'date': '08/04/2020', 'age': '30', 'clubName': 'Alanyaspor', 'clubID': '11282', 'value': '€950k'}, {'date': '04/08/2020', 'age': '31', 'clubName': 'Alanyaspor', 'clubID': '11282', 'value': '€1.00m'}, {'date': '12/10/2020', 'age': '31', 'clubName': 'Besiktas JK', 'clubID': '114', 'value': '€750k'}, {'date': '23/12/2020', 'age': '31', 'clubName': 'Besiktas JK', 'clubID': '114', 'value': '€750k'}, {'date': '16/03/2021', 'age': '31', 'clubName': 'Besiktas JK', 'clubID': '114', 'value': '€1.20m'}, {'date': '21/05/2021', 'age': '32', 'clubName': 'Besiktas JK', 'clubID': '114', 'value': '€1.60m'}, {'date': '12/10/2021', 'age': '32', 'clubName': 'Besiktas JK', 'clubID': '114', 'value': '€1.60m'}, {'date': '04/01/2022', 'age': '32', 'clubName': 'Besiktas JK', 'clubID': '114', 'value': '€1.20m'}, {'date': '31/03/2022', 'age': '32', 'clubName': 'Besiktas JK', 'clubID': '114', 'value': '€1.00m'}, {'date': '01/06/2022', 'age': '33', 'clubName': 'Besiktas JK', 'clubID': '114', 'value': '€1.00m'}, {'date': '27/10/2022', 'age': '33', 'clubName': 'Besiktas JK', 'clubID': '114', 'value': '€525k'}, {'date': '14/03/2023', 'age': '33', 'clubName': 'Besiktas JK', 'clubID': '114', 'value': '€575k'}, {'date': '08/06/2023', 'age': '34', 'clubName': 'Besiktas JK', 'clubID': '114', 'value': '€325k'}, {'date': '27/09/2023', 'age': '34', 'clubName': 'Pendikspor', 'clubID': '3209', 'value': '€225k'}, {'date': '21/12/2023', 'age': '34', 'clubName': 'Pendikspor', 'clubID': '3209', 'value': '€200k'}, {'date': '15/03/2024', 'age': '34', 'clubName': 'Pendikspor', 'clubID': '3209', 'value': '€200k'}, {'date': '31/05/2024', 'age': '35', 'clubName': 'Pendikspor', 'clubID': '3209', 'value': '€125k'}, {'date': '16/10/2024', 'age': '35', 'clubName': 'Pendikspor', 'clubID': '3209', 'value': '€100k'}, {'date': '09/01/2025', 'age': '35', 'clubName': 'Pendikspor', 'clubID': '3209', 'value': '€75k'}, {'date': '02/04/2025', 'age': '35', 'clubName': 'Pendikspor', 'clubID': '3209', 'value': '€50k'}, {'date': '25/06/2025', 'age': '36', 'clubName': 'Pendikspor', 'clubID': '3209', 'value': '€25k'}, {'date': '29/09/2025', 'age': '36', 'clubName': 'Without Club', 'clubID': '515', 'value': '-'}]}</t>
        </is>
      </c>
      <c r="L368" t="inlineStr">
        <is>
          <t>Brazil</t>
        </is>
      </c>
      <c r="M368" t="inlineStr">
        <is>
          <t>1989-04-10</t>
        </is>
      </c>
      <c r="N368" t="inlineStr">
        <is>
          <t>Brazil</t>
        </is>
      </c>
      <c r="O368">
        <f>(1.2+1+1+0.525)/4</f>
        <v/>
      </c>
      <c r="P368">
        <f>(1.2+1.6+1.6)/3</f>
        <v/>
      </c>
    </row>
    <row r="369">
      <c r="A369" t="inlineStr">
        <is>
          <t>Bruno</t>
        </is>
      </c>
      <c r="B369" t="inlineStr">
        <is>
          <t>Sheriff</t>
        </is>
      </c>
      <c r="C369" t="inlineStr">
        <is>
          <t>Forward</t>
        </is>
      </c>
      <c r="D369" t="n">
        <v>312</v>
      </c>
      <c r="E369" t="n">
        <v>6</v>
      </c>
      <c r="F369" t="n">
        <v>0</v>
      </c>
      <c r="G369" t="n">
        <v>0</v>
      </c>
      <c r="H369" t="n">
        <v>38.5</v>
      </c>
      <c r="I369" t="n">
        <v>34.4</v>
      </c>
      <c r="J369" t="n">
        <v>240306</v>
      </c>
      <c r="K369" t="inlineStr">
        <is>
          <t>{'marketValueHistory': [{'date': 'Oct 25, 2012', 'age': '18', 'clubName': 'Novara Calcio 1908', 'clubID': '6692', 'value': '€50k'}, {'date': 'Dec 25, 2012', 'age': '18', 'clubName': 'Novara Calcio 1908', 'clubID': '6692', 'value': '€75k'}, {'date': 'Feb 25, 2013', 'age': '18', 'clubName': 'Novara Calcio 1908', 'clubID': '6692', 'value': '€100k'}, {'date': 'Jun 25, 2013', 'age': '18', 'clubName': 'Novara Calcio 1908', 'clubID': '6692', 'value': '€3.50m'}, {'date': 'Jan 7, 2014', 'age': '19', 'clubName': 'Udinese Calcio', 'clubID': '410', 'value': '€4.50m'}, {'date': 'Jul 1, 2014', 'age': '19', 'clubName': 'Udinese Calcio', 'clubID': '410', 'value': '€7.00m'}, {'date': 'Jan 7, 2015', 'age': '20', 'clubName': 'Udinese Calcio', 'clubID': '410', 'value': '€7.00m'}, {'date': 'Jul 1, 2015', 'age': '20', 'clubName': 'Udinese Calcio', 'clubID': '410', 'value': '€6.50m'}, {'date': 'Jan 4, 2016', 'age': '21', 'clubName': 'Udinese Calcio', 'clubID': '410', 'value': '€6.50m'}, {'date': 'Jul 15, 2016', 'age': '21', 'clubName': 'Udinese Calcio', 'clubID': '410', 'value': '€6.50m'}, {'date': 'Jan 2, 2017', 'age': '22', 'clubName': 'UC Sampdoria', 'clubID': '1038', 'value': '€7.00m'}, {'date': 'Jun 8, 2017', 'age': '22', 'clubName': 'UC Sampdoria', 'clubID': '1038', 'value': '€7.50m'}, {'date': 'Nov 6, 2017', 'age': '23', 'clubName': 'Sporting CP', 'clubID': '336', 'value': '€12.00m'}, {'date': 'Feb 7, 2018', 'age': '23', 'clubName': 'Sporting CP', 'clubID': '336', 'value': '€17.00m'}, {'date': 'Apr 16, 2018', 'age': '23', 'clubName': 'Sporting CP', 'clubID': '336', 'value': '€20.00m'}, {'date': 'Jun 13, 2018', 'age': '23', 'clubName': 'Sporting CP', 'clubID': '336', 'value': '€30.00m'}, {'date': 'Nov 1, 2018', 'age': '24', 'clubName': 'Sporting CP', 'clubID': '336', 'value': '€26.00m'}, {'date': 'Jan 11, 2019', 'age': '24', 'clubName': 'Sporting CP', 'clubID': '336', 'value': '€30.00m'}, {'date': 'Mar 18, 2019', 'age': '24', 'clubName': 'Sporting CP', 'clubID': '336', 'value': '€35.00m'}, {'date': 'Jun 7, 2019', 'age': '24', 'clubName': 'Sporting CP', 'clubID': '336', 'value': '€55.00m'}, {'date': 'Oct 11, 2019', 'age': '25', 'clubName': 'Sporting CP', 'clubID': '336', 'value': '€60.00m'}, {'date': 'Dec 30, 2019', 'age': '25', 'clubName': 'Sporting CP', 'clubID': '336', 'value': '€60.00m'}, {'date': 'Apr 8, 2020', 'age': '25', 'clubName': 'Manchester United', 'clubID': '985', 'value': '€48.00m'}, {'date': 'Jul 30, 2020', 'age': '25', 'clubName': 'Manchester United', 'clubID': '985', 'value': '€70.00m'}, {'date': 'Oct 13, 2020', 'age': '26', 'clubName': 'Manchester United', 'clubID': '985', 'value': '€80.00m'}, {'date': 'Dec 17, 2020', 'age': '26', 'clubName': 'Manchester United', 'clubID': '985', 'value': '€90.00m'}, {'date': 'Mar 18, 2021', 'age': '26', 'clubName': 'Manchester United', 'clubID': '985', 'value': '€90.00m'}, {'date': 'Jun 1, 2021', 'age': '26', 'clubName': 'Manchester United', 'clubID': '985', 'value': '€90.00m'}, {'date': 'Dec 23, 2021', 'age': '27', 'clubName': 'Manchester United', 'clubID': '985', 'value': '€90.00m'}, {'date': 'Jun 15, 2022', 'age': '27', 'clubName': 'Manchester United', 'clubID': '985', 'value': '€85.00m'}, {'date': 'Nov 3, 2022', 'age': '28', 'clubName': 'Manchester United', 'clubID': '985', 'value': '€75.00m'}, {'date': 'Jun 20, 2023', 'age': '28', 'clubName': 'Manchester United', 'clubID': '985', 'value': '€75.00m'}, {'date': 'Dec 19, 2023', 'age': '29', 'clubName': 'Manchester United', 'clubID': '985', 'value': '€70.00m'}, {'date': 'May 27, 2024', 'age': '29', 'clubName': 'Manchester United', 'clubID': '985', 'value': '€70.00m'}, {'date': 'Oct 1, 2024', 'age': '30', 'clubName': 'Manchester United', 'clubID': '985', 'value': '€65.00m'}, {'date': 'Dec 16, 2024', 'age': '30', 'clubName': 'Manchester United', 'clubID': '985', 'value': '€55.00m'}, {'date': 'May 30, 2025', 'age': '30', 'clubName': 'Manchester United', 'clubID': '985', 'value': '€50.00m'}, {'date': 'Oct 17, 2025', 'age': '31', 'clubName': 'Manchester United', 'clubID': '985', 'value': '€45.00m'}, {'date': 'Dec 9, 2025', 'age': '31', 'clubName': 'Manchester United', 'clubID': '985', 'value': '€40.00m'}]}</t>
        </is>
      </c>
      <c r="L369" t="inlineStr">
        <is>
          <t>Portugal</t>
        </is>
      </c>
      <c r="M369" t="inlineStr">
        <is>
          <t>1994-09-08</t>
        </is>
      </c>
      <c r="N369" t="inlineStr">
        <is>
          <t>Portugal</t>
        </is>
      </c>
      <c r="O369">
        <f>(85+75)/2</f>
        <v/>
      </c>
      <c r="P369">
        <f>(90+90+90)/3</f>
        <v/>
      </c>
    </row>
    <row r="370">
      <c r="A370" t="inlineStr">
        <is>
          <t>Moreno</t>
        </is>
      </c>
      <c r="B370" t="inlineStr">
        <is>
          <t>Villarreal</t>
        </is>
      </c>
      <c r="C370" t="inlineStr">
        <is>
          <t>Defender</t>
        </is>
      </c>
      <c r="D370" t="n">
        <v>309</v>
      </c>
      <c r="E370" t="n">
        <v>7</v>
      </c>
      <c r="F370" t="n">
        <v>1</v>
      </c>
      <c r="G370" t="n">
        <v>0</v>
      </c>
      <c r="H370" t="n">
        <v>41.7</v>
      </c>
      <c r="I370" t="n">
        <v>33.5</v>
      </c>
      <c r="J370" t="n">
        <v>282411</v>
      </c>
      <c r="K370" t="inlineStr">
        <is>
          <t>{'marketValueHistory': [{'date': '07/03/2014', 'age': '19', 'clubName': 'Real Madrid U19', 'clubID': '28870', 'value': '€200k'}, {'date': '04/08/2014', 'age': '19', 'clubName': 'Real Madrid Castilla', 'clubID': '6767', 'value': '-'}, {'date': '01/08/2016', 'age': '21', 'clubName': 'Real Madrid', 'clubID': '418', 'value': '€800k'}, {'date': '27/10/2016', 'age': '21', 'clubName': 'Deportivo Alavés', 'clubID': '1108', 'value': '€5.00m'}, {'date': '24/01/2017', 'age': '21', 'clubName': 'Deportivo Alavés', 'clubID': '1108', 'value': '€7.50m'}, {'date': '05/06/2017', 'age': '22', 'clubName': 'Deportivo Alavés', 'clubID': '1108', 'value': '€15.00m'}, {'date': '01/01/2018', 'age': '22', 'clubName': 'Real Madrid', 'clubID': '418', 'value': '€15.00m'}, {'date': '22/03/2018', 'age': '23', 'clubName': 'Real Madrid', 'clubID': '418', 'value': '€12.00m'}, {'date': '30/05/2018', 'age': '23', 'clubName': 'Real Madrid', 'clubID': '418', 'value': '€12.00m'}, {'date': '21/12/2018', 'age': '23', 'clubName': 'Real Madrid', 'clubID': '418', 'value': '€15.00m'}, {'date': '11/06/2019', 'age': '24', 'clubName': 'Real Madrid', 'clubID': '418', 'value': '€20.00m'}, {'date': '10/09/2019', 'age': '24', 'clubName': 'Atlético de Madrid', 'clubID': '13', 'value': '€30.00m'}, {'date': '20/12/2019', 'age': '24', 'clubName': 'Atlético de Madrid', 'clubID': '13', 'value': '€20.00m'}, {'date': '08/04/2020', 'age': '25', 'clubName': 'Atlético de Madrid', 'clubID': '13', 'value': '€16.00m'}, {'date': '23/07/2020', 'age': '25', 'clubName': 'Atlético de Madrid', 'clubID': '13', 'value': '€40.00m'}, {'date': '08/10/2020', 'age': '25', 'clubName': 'Atlético de Madrid', 'clubID': '13', 'value': '€40.00m'}, {'date': '23/11/2020', 'age': '25', 'clubName': 'Atlético de Madrid', 'clubID': '13', 'value': '€45.00m'}, {'date': '05/01/2021', 'age': '25', 'clubName': 'Atlético de Madrid', 'clubID': '13', 'value': '€50.00m'}, {'date': '19/03/2021', 'age': '26', 'clubName': 'Atlético de Madrid', 'clubID': '13', 'value': '€70.00m'}, {'date': '31/05/2021', 'age': '26', 'clubName': 'Atlético de Madrid', 'clubID': '13', 'value': '€80.00m'}, {'date': '30/12/2021', 'age': '26', 'clubName': 'Atlético de Madrid', 'clubID': '13', 'value': '€60.00m'}, {'date': '03/06/2022', 'age': '27', 'clubName': 'Atlético de Madrid', 'clubID': '13', 'value': '€45.00m'}, {'date': '23/09/2022', 'age': '27', 'clubName': 'Atlético de Madrid', 'clubID': '13', 'value': '€40.00m'}, {'date': '07/11/2022', 'age': '27', 'clubName': 'Atlético de Madrid', 'clubID': '13', 'value': '€35.00m'}, {'date': '13/06/2023', 'age': '28', 'clubName': 'Atlético de Madrid', 'clubID': '13', 'value': '€35.00m'}, {'date': '22/12/2023', 'age': '28', 'clubName': 'Atlético de Madrid', 'clubID': '13', 'value': '€30.00m'}, {'date': '07/06/2024', 'age': '29', 'clubName': 'Atlético de Madrid', 'clubID': '13', 'value': '€30.00m'}, {'date': '27/12/2024', 'age': '29', 'clubName': 'Atlético de Madrid', 'clubID': '13', 'value': '€28.00m'}, {'date': '09/06/2025', 'age': '30', 'clubName': 'Atlético de Madrid', 'clubID': '13', 'value': '€25.00m'}, {'date': '12/12/2025', 'age': '30', 'clubName': 'Atlético de Madrid', 'clubID': '13', 'value': '€22.00m'}]}</t>
        </is>
      </c>
      <c r="L370" t="inlineStr">
        <is>
          <t>Spain</t>
        </is>
      </c>
      <c r="M370" t="inlineStr">
        <is>
          <t>1995-01-30</t>
        </is>
      </c>
      <c r="N370" t="inlineStr">
        <is>
          <t>23</t>
        </is>
      </c>
      <c r="O370">
        <f>(45+40+35)/3</f>
        <v/>
      </c>
      <c r="P370">
        <f>(50+70+80+60)/4</f>
        <v/>
      </c>
    </row>
    <row r="371">
      <c r="A371" t="inlineStr">
        <is>
          <t>Montero</t>
        </is>
      </c>
      <c r="B371" t="inlineStr">
        <is>
          <t>Besiktas</t>
        </is>
      </c>
      <c r="C371" t="inlineStr">
        <is>
          <t>Defender</t>
        </is>
      </c>
      <c r="D371" t="n">
        <v>306</v>
      </c>
      <c r="E371" t="n">
        <v>4</v>
      </c>
      <c r="F371" t="n">
        <v>1</v>
      </c>
      <c r="G371" t="n">
        <v>0</v>
      </c>
      <c r="H371" t="n">
        <v>34.6</v>
      </c>
      <c r="I371" t="n">
        <v>31.3</v>
      </c>
      <c r="J371" t="n">
        <v>143448</v>
      </c>
      <c r="L371" t="inlineStr">
        <is>
          <t>Uruguay</t>
        </is>
      </c>
      <c r="M371" t="inlineStr">
        <is>
          <t>1944-04-25</t>
        </is>
      </c>
      <c r="N371" t="inlineStr">
        <is>
          <t>Uruguay</t>
        </is>
      </c>
    </row>
    <row r="372">
      <c r="A372" t="inlineStr">
        <is>
          <t>Vrsaljko</t>
        </is>
      </c>
      <c r="B372" t="inlineStr">
        <is>
          <t>Atletico de Madrid</t>
        </is>
      </c>
      <c r="C372" t="inlineStr">
        <is>
          <t>Defender</t>
        </is>
      </c>
      <c r="D372" t="n">
        <v>304</v>
      </c>
      <c r="E372" t="n">
        <v>5</v>
      </c>
      <c r="F372" t="n">
        <v>0</v>
      </c>
      <c r="G372" t="n">
        <v>0</v>
      </c>
      <c r="H372" t="n">
        <v>36.9</v>
      </c>
      <c r="I372" t="n">
        <v>30.5</v>
      </c>
      <c r="J372" t="n">
        <v>76061</v>
      </c>
      <c r="K372" t="inlineStr">
        <is>
          <t>{'marketValueHistory': [{'date': '06/09/2009', 'age': '17', 'clubName': 'NK Lokomotiva Zagreb', 'clubID': '11194', 'value': '€300k'}, {'date': '28/01/2010', 'age': '18', 'clubName': 'GNK Dinamo Zagreb', 'clubID': '419', 'value': '€500k'}, {'date': '13/09/2010', 'age': '18', 'clubName': 'GNK Dinamo Zagreb', 'clubID': '419', 'value': '€1.50m'}, {'date': '13/02/2011', 'age': '19', 'clubName': 'GNK Dinamo Zagreb', 'clubID': '419', 'value': '€4.00m'}, {'date': '29/08/2011', 'age': '19', 'clubName': 'GNK Dinamo Zagreb', 'clubID': '419', 'value': '€5.50m'}, {'date': '29/02/2012', 'age': '20', 'clubName': 'GNK Dinamo Zagreb', 'clubID': '419', 'value': '€5.50m'}, {'date': '30/09/2012', 'age': '20', 'clubName': 'GNK Dinamo Zagreb', 'clubID': '419', 'value': '€4.00m'}, {'date': '03/03/2013', 'age': '21', 'clubName': 'GNK Dinamo Zagreb', 'clubID': '419', 'value': '€5.00m'}, {'date': '11/11/2013', 'age': '21', 'clubName': 'Genoa CFC', 'clubID': '252', 'value': '€6.50m'}, {'date': '07/01/2014', 'age': '21', 'clubName': 'Genoa CFC', 'clubID': '252', 'value': '€7.50m'}, {'date': '11/07/2014', 'age': '22', 'clubName': 'Genoa CFC', 'clubID': '252', 'value': '€7.50m'}, {'date': '07/01/2015', 'age': '22', 'clubName': 'US Sassuolo', 'clubID': '6574', 'value': '€7.50m'}, {'date': '01/07/2015', 'age': '23', 'clubName': 'US Sassuolo', 'clubID': '6574', 'value': '€7.50m'}, {'date': '04/01/2016', 'age': '23', 'clubName': 'US Sassuolo', 'clubID': '6574', 'value': '€9.00m'}, {'date': '01/06/2016', 'age': '24', 'clubName': 'US Sassuolo', 'clubID': '6574', 'value': '€13.00m'}, {'date': '15/07/2016', 'age': '24', 'clubName': 'Atlético de Madrid', 'clubID': '13', 'value': '€16.00m'}, {'date': '27/10/2016', 'age': '24', 'clubName': 'Atlético de Madrid', 'clubID': '13', 'value': '€14.00m'}, {'date': '24/01/2017', 'age': '25', 'clubName': 'Atlético de Madrid', 'clubID': '13', 'value': '€14.00m'}, {'date': '29/03/2017', 'age': '25', 'clubName': 'Atlético de Madrid', 'clubID': '13', 'value': '€16.00m'}, {'date': '05/06/2017', 'age': '25', 'clubName': 'Atlético de Madrid', 'clubID': '13', 'value': '€16.00m'}, {'date': '01/01/2018', 'age': '25', 'clubName': 'Atlético de Madrid', 'clubID': '13', 'value': '€20.00m'}, {'date': '22/03/2018', 'age': '26', 'clubName': 'Atlético de Madrid', 'clubID': '13', 'value': '€25.00m'}, {'date': '30/05/2018', 'age': '26', 'clubName': 'Atlético de Madrid', 'clubID': '13', 'value': '€25.00m'}, {'date': '20/12/2018', 'age': '26', 'clubName': 'Inter Milan', 'clubID': '46', 'value': '€25.00m'}, {'date': '01/03/2019', 'age': '27', 'clubName': 'Inter Milan', 'clubID': '46', 'value': '€20.00m'}, {'date': '06/06/2019', 'age': '27', 'clubName': 'Inter Milan', 'clubID': '46', 'value': '€20.00m'}, {'date': '20/12/2019', 'age': '27', 'clubName': 'Atlético de Madrid', 'clubID': '13', 'value': '€15.00m'}, {'date': '08/04/2020', 'age': '28', 'clubName': 'Atlético de Madrid', 'clubID': '13', 'value': '€12.00m'}, {'date': '08/10/2020', 'age': '28', 'clubName': 'Atlético de Madrid', 'clubID': '13', 'value': '€10.00m'}, {'date': '05/01/2021', 'age': '28', 'clubName': 'Atlético de Madrid', 'clubID': '13', 'value': '€8.00m'}, {'date': '28/05/2021', 'age': '29', 'clubName': 'Atlético de Madrid', 'clubID': '13', 'value': '€5.00m'}, {'date': '30/12/2021', 'age': '29', 'clubName': 'Atlético de Madrid', 'clubID': '13', 'value': '€5.00m'}, {'date': '03/06/2022', 'age': '30', 'clubName': 'Atlético de Madrid', 'clubID': '13', 'value': '€5.00m'}, {'date': '07/11/2022', 'age': '30', 'clubName': 'Olympiacos Piraeus', 'clubID': '683', 'value': '€4.00m'}, {'date': '23/03/2023', 'age': '31', 'clubName': 'Retired', 'clubID': '123', 'value': '-'}]}</t>
        </is>
      </c>
      <c r="L372" t="inlineStr">
        <is>
          <t>Croatia</t>
        </is>
      </c>
      <c r="M372" t="inlineStr">
        <is>
          <t>1992-01-10</t>
        </is>
      </c>
      <c r="N372" t="inlineStr">
        <is>
          <t>Croatia</t>
        </is>
      </c>
      <c r="O372">
        <f>(5+4)/2</f>
        <v/>
      </c>
      <c r="P372">
        <f>(8+5+5)/3</f>
        <v/>
      </c>
    </row>
    <row r="373">
      <c r="A373" t="inlineStr">
        <is>
          <t>Greenwood</t>
        </is>
      </c>
      <c r="B373" t="inlineStr">
        <is>
          <t>Man United</t>
        </is>
      </c>
      <c r="C373" t="inlineStr">
        <is>
          <t>Forward</t>
        </is>
      </c>
      <c r="D373" t="n">
        <v>304</v>
      </c>
      <c r="E373" t="n">
        <v>4</v>
      </c>
      <c r="F373" t="n">
        <v>1</v>
      </c>
      <c r="G373" t="n">
        <v>1</v>
      </c>
      <c r="H373" t="n">
        <v>38.1</v>
      </c>
      <c r="I373" t="n">
        <v>31.8</v>
      </c>
      <c r="J373" t="n">
        <v>532826</v>
      </c>
      <c r="K373" t="inlineStr">
        <is>
          <t>{'marketValueHistory': [{'date': 'Aug 7, 2019', 'age': '17', 'clubName': 'Manchester United', 'clubID': '985', 'value': '€7.00m'}, {'date': 'Sep 12, 2019', 'age': '17', 'clubName': 'Manchester United', 'clubID': '985', 'value': '€10.00m'}, {'date': 'Dec 10, 2019', 'age': '18', 'clubName': 'Manchester United', 'clubID': '985', 'value': '€20.00m'}, {'date': 'Mar 9, 2020', 'age': '18', 'clubName': 'Manchester United', 'clubID': '985', 'value': '€32.00m'}, {'date': 'Apr 8, 2020', 'age': '18', 'clubName': 'Manchester United', 'clubID': '985', 'value': '€29.00m'}, {'date': 'Jul 30, 2020', 'age': '18', 'clubName': 'Manchester United', 'clubID': '985', 'value': '€45.00m'}, {'date': 'Oct 13, 2020', 'age': '19', 'clubName': 'Manchester United', 'clubID': '985', 'value': '€50.00m'}, {'date': 'Mar 18, 2021', 'age': '19', 'clubName': 'Manchester United', 'clubID': '985', 'value': '€50.00m'}, {'date': 'May 28, 2021', 'age': '19', 'clubName': 'Manchester United', 'clubID': '985', 'value': '€50.00m'}, {'date': 'Dec 23, 2021', 'age': '20', 'clubName': 'Manchester United', 'clubID': '985', 'value': '€50.00m'}, {'date': 'Mar 29, 2022', 'age': '20', 'clubName': 'Manchester United', 'clubID': '985', 'value': '-'}, {'date': 'Sep 1, 2023', 'age': '21', 'clubName': 'Getafe CF', 'clubID': '3709', 'value': '€5.00m'}, {'date': 'Dec 22, 2023', 'age': '22', 'clubName': 'Getafe CF', 'clubID': '3709', 'value': '€7.50m'}, {'date': 'Mar 21, 2024', 'age': '22', 'clubName': 'Getafe CF', 'clubID': '3709', 'value': '€15.00m'}, {'date': 'Jun 7, 2024', 'age': '22', 'clubName': 'Getafe CF', 'clubID': '3709', 'value': '€25.00m'}, {'date': 'Oct 7, 2024', 'age': '23', 'clubName': 'Olympique Marseille', 'clubID': '244', 'value': '€35.00m'}, {'date': 'Dec 10, 2024', 'age': '23', 'clubName': 'Olympique Marseille', 'clubID': '244', 'value': '€35.00m'}, {'date': 'Jun 3, 2025', 'age': '23', 'clubName': 'Olympique Marseille', 'clubID': '244', 'value': '€40.00m'}, {'date': 'Dec 15, 2025', 'age': '24', 'clubName': 'Olympique Marseille', 'clubID': '244', 'value': '€50.00m'}, {'date': 'Mar 27, 2026', 'age': '24', 'clubName': 'Olympique Marseille', 'clubID': '244', 'value': '€55.00m'}]}</t>
        </is>
      </c>
      <c r="L373" t="inlineStr">
        <is>
          <t>United Kingdom</t>
        </is>
      </c>
      <c r="M373" t="inlineStr">
        <is>
          <t>2001-10-01</t>
        </is>
      </c>
      <c r="N373" t="inlineStr">
        <is>
          <t>England</t>
        </is>
      </c>
      <c r="P373">
        <f>(50+50+50)/3</f>
        <v/>
      </c>
    </row>
    <row r="374">
      <c r="A374" t="inlineStr">
        <is>
          <t>Azmoun</t>
        </is>
      </c>
      <c r="B374" t="inlineStr">
        <is>
          <t>Zenit</t>
        </is>
      </c>
      <c r="C374" t="inlineStr">
        <is>
          <t>Forward</t>
        </is>
      </c>
      <c r="D374" t="n">
        <v>303</v>
      </c>
      <c r="E374" t="n">
        <v>5</v>
      </c>
      <c r="F374" t="n">
        <v>2</v>
      </c>
      <c r="G374" t="n">
        <v>1</v>
      </c>
      <c r="H374" t="n">
        <v>30.3</v>
      </c>
      <c r="I374" t="n">
        <v>34.6</v>
      </c>
      <c r="J374" t="n">
        <v>180337</v>
      </c>
      <c r="K374" t="inlineStr">
        <is>
          <t>{'id': '180337', 'marketValue': '€10.00m', 'marketValueHistory': [{'age': '16', 'date': 'Mar 13, 2011', 'clubName': 'Sepahan FC U17', 'value': '€75k', 'clubID': '45424'}, {'age': '18', 'date': 'Jul 30, 2013', 'clubName': 'Rubin Kazan', 'value': '€150k', 'clubID': '2698'}, {'age': '19', 'date': 'Mar 3, 2014', 'clubName': 'Rubin Kazan', 'value': '€500k', 'clubID': '2698'}, {'age': '19', 'date': 'Jul 31, 2014', 'clubName': 'Rubin Kazan', 'value': '€1.00m', 'clubID': '2698'}, {'age': '20', 'date': 'Feb 23, 2015', 'clubName': 'Rubin Kazan', 'value': '€2.50m', 'clubID': '2698'}, {'age': '20', 'date': 'Jun 18, 2015', 'clubName': 'FK Rostov', 'value': '€2.50m', 'clubID': '1083'}, {'age': '21', 'date': 'Jan 6, 2016', 'clubName': 'FK Rostov', 'value': '€2.50m', 'clubID': '1083'}, {'age': '21', 'date': 'May 25, 2016', 'clubName': 'FK Rostov', 'value': '€7.00m', 'clubID': '1083'}, {'age': '21', 'date': 'Dec 27, 2016', 'clubName': 'FK Rostov', 'value': '€13.00m', 'clubID': '1083'}, {'age': '22', 'date': 'Jun 1, 2017', 'clubName': 'FK Rostov', 'value': '€11.00m', 'clubID': '1083'}, {'age': '22', 'date': 'Dec 23, 2017', 'clubName': 'Rubin Kazan', 'value': '€9.00m', 'clubID': '2698'}, {'age': '23', 'date': 'Jun 6, 2018', 'clubName': 'Rubin Kazan', 'value': '€9.00m', 'clubID': '2698'}, {'age': '23', 'date': 'Dec 20, 2018', 'clubName': 'Rubin Kazan', 'value': '€9.50m', 'clubID': '2698'}, {'age': '24', 'date': 'Feb 12, 2019', 'clubName': 'Zenit St. Petersburg', 'value': '€11.00m', 'clubID': '964'}, {'age': '24', 'date': 'Apr 24, 2019', 'clubName': 'Zenit St. Petersburg', 'value': '€13.00m', 'clubID': '964'}, {'age': '24', 'date': 'Jun 14, 2019', 'clubName': 'Zenit St. Petersburg', 'value': '€17.00m', 'clubID': '964'}, {'age': '24', 'date': 'Dec 23, 2019', 'clubName': 'Zenit St. Petersburg', 'value': '€18.00m', 'clubID': '964'}, {'age': '25', 'date': 'Apr 8, 2020', 'clubName': 'Zenit St. Petersburg', 'value': '€14.50m', 'clubID': '964'}, {'age': '25', 'date': 'Jul 29, 2020', 'clubName': 'Zenit St. Petersburg', 'value': '€18.00m', 'clubID': '964'}, {'age': '25', 'date': 'Oct 19, 2020', 'clubName': 'Zenit St. Petersburg', 'value': '€20.00m', 'clubID': '964'}, {'age': '25', 'date': 'Dec 29, 2020', 'clubName': 'Zenit St. Petersburg', 'value': '€23.00m', 'clubID': '964'}, {'age': '26', 'date': 'Jun 2, 2021', 'clubName': 'Zenit St. Petersburg', 'value': '€25.00m', 'clubID': '964'}, {'age': '26', 'date': 'Dec 29, 2021', 'clubName': 'Zenit St. Petersburg', 'value': '€25.00m', 'clubID': '964'}, {'age': '27', 'date': 'Jun 9, 2022', 'clubName': 'Bayer 04 Leverkusen', 'value': '€22.00m', 'clubID': '15'}, {'age': '27', 'date': 'Sep 21, 2022', 'clubName': 'Bayer 04 Leverkusen', 'value': '€18.00m', 'clubID': '15'}, {'age': '27', 'date': 'Nov 9, 2022', 'clubName': 'Bayer 04 Leverkusen', 'value': '€12.00m', 'clubID': '15'}, {'age': '28', 'date': 'Jun 22, 2023', 'clubName': 'Bayer 04 Leverkusen', 'value': '€12.00m', 'clubID': '15'}, {'age': '28', 'date': 'Dec 20, 2023', 'clubName': 'AS Roma', 'value': '€10.00m', 'clubID': '12'}], 'ranking': {'Worldwide': '987', 'Serie A': '132', 'AS Roma': '12', 'Iran': '1', 'Centre-Forward': '141', 'Year 1995': '63'}, 'updatedAt': datetime.datetime(2024, 5, 23, 22, 35, 6, 82795)}</t>
        </is>
      </c>
      <c r="L374" t="inlineStr">
        <is>
          <t>Iran</t>
        </is>
      </c>
      <c r="M374" t="inlineStr">
        <is>
          <t>1995-01-01</t>
        </is>
      </c>
      <c r="N374" t="inlineStr">
        <is>
          <t>91</t>
        </is>
      </c>
      <c r="O374">
        <f>(22+18+12)/3</f>
        <v/>
      </c>
      <c r="P374">
        <f>(25+25)/2</f>
        <v/>
      </c>
    </row>
    <row r="375">
      <c r="A375" t="inlineStr">
        <is>
          <t>Malinovskyi</t>
        </is>
      </c>
      <c r="B375" t="inlineStr">
        <is>
          <t>Atalanta</t>
        </is>
      </c>
      <c r="C375" t="inlineStr">
        <is>
          <t>Midfielder</t>
        </is>
      </c>
      <c r="D375" t="n">
        <v>301</v>
      </c>
      <c r="E375" t="n">
        <v>5</v>
      </c>
      <c r="F375" t="n">
        <v>1</v>
      </c>
      <c r="G375" t="n">
        <v>0</v>
      </c>
      <c r="H375" t="n">
        <v>38.5</v>
      </c>
      <c r="I375" t="n">
        <v>31.5</v>
      </c>
      <c r="J375" t="n">
        <v>207877</v>
      </c>
      <c r="K375" t="inlineStr">
        <is>
          <t>{'marketValueHistory': [{'date': '14/09/2012', 'age': '19', 'clubName': 'FC Sevastopol', 'clubID': '16245', 'value': '€100k'}, {'date': '16/06/2013', 'age': '20', 'clubName': 'FC Sevastopol', 'clubID': '16245', 'value': '€200k'}, {'date': '30/06/2014', 'age': '21', 'clubName': 'Zorya Lugansk', 'clubID': '10690', 'value': '€300k'}, {'date': '25/12/2014', 'age': '21', 'clubName': 'Zorya Lugansk', 'clubID': '10690', 'value': '€700k'}, {'date': '07/06/2015', 'age': '22', 'clubName': 'Zorya Lugansk', 'clubID': '10690', 'value': '€1.20m'}, {'date': '18/12/2015', 'age': '22', 'clubName': 'Zorya Lugansk', 'clubID': '10690', 'value': '€1.80m'}, {'date': '21/07/2016', 'age': '23', 'clubName': 'KRC Genk', 'clubID': '1184', 'value': '€2.00m'}, {'date': '21/01/2017', 'age': '23', 'clubName': 'KRC Genk', 'clubID': '1184', 'value': '€2.00m'}, {'date': '30/03/2017', 'age': '23', 'clubName': 'KRC Genk', 'clubID': '1184', 'value': '€3.50m'}, {'date': '06/06/2017', 'age': '24', 'clubName': 'KRC Genk', 'clubID': '1184', 'value': '€4.00m'}, {'date': '09/01/2018', 'age': '24', 'clubName': 'KRC Genk', 'clubID': '1184', 'value': '€3.50m'}, {'date': '03/06/2018', 'age': '25', 'clubName': 'KRC Genk', 'clubID': '1184', 'value': '€4.00m'}, {'date': '11/09/2018', 'age': '25', 'clubName': 'KRC Genk', 'clubID': '1184', 'value': '€7.00m'}, {'date': '27/12/2018', 'age': '25', 'clubName': 'KRC Genk', 'clubID': '1184', 'value': '€9.00m'}, {'date': '04/03/2019', 'age': '25', 'clubName': 'KRC Genk', 'clubID': '1184', 'value': '€10.00m'}, {'date': '10/06/2019', 'age': '26', 'clubName': 'KRC Genk', 'clubID': '1184', 'value': '€12.50m'}, {'date': '12/12/2019', 'age': '26', 'clubName': 'Atalanta BC', 'clubID': '800', 'value': '€14.00m'}, {'date': '08/04/2020', 'age': '26', 'clubName': 'Atalanta BC', 'clubID': '800', 'value': '€11.00m'}, {'date': '25/08/2020', 'age': '27', 'clubName': 'Atalanta BC', 'clubID': '800', 'value': '€21.00m'}, {'date': '29/12/2020', 'age': '27', 'clubName': 'Atalanta BC', 'clubID': '800', 'value': '€21.00m'}, {'date': '27/05/2021', 'age': '28', 'clubName': 'Atalanta BC', 'clubID': '800', 'value': '€30.00m'}, {'date': '28/12/2021', 'age': '28', 'clubName': 'Atalanta BC', 'clubID': '800', 'value': '€30.00m'}, {'date': '07/06/2022', 'age': '29', 'clubName': 'Atalanta BC', 'clubID': '800', 'value': '€28.00m'}, {'date': '11/11/2022', 'age': '29', 'clubName': 'Atalanta BC', 'clubID': '800', 'value': '€18.00m'}, {'date': '27/06/2023', 'age': '30', 'clubName': 'Olympique Marseille', 'clubID': '244', 'value': '€15.00m'}, {'date': '11/10/2023', 'age': '30', 'clubName': 'Genoa CFC', 'clubID': '252', 'value': '€10.00m'}, {'date': '20/12/2023', 'age': '30', 'clubName': 'Genoa CFC', 'clubID': '252', 'value': '€10.00m'}, {'date': '05/06/2024', 'age': '31', 'clubName': 'Genoa CFC', 'clubID': '252', 'value': '€8.00m'}, {'date': '18/10/2024', 'age': '31', 'clubName': 'Genoa CFC', 'clubID': '252', 'value': '€5.00m'}, {'date': '18/12/2024', 'age': '31', 'clubName': 'Genoa CFC', 'clubID': '252', 'value': '€3.50m'}, {'date': '17/06/2025', 'age': '32', 'clubName': 'Genoa CFC', 'clubID': '252', 'value': '€2.50m'}, {'date': '23/12/2025', 'age': '32', 'clubName': 'Genoa CFC', 'clubID': '252', 'value': '€2.50m'}]}</t>
        </is>
      </c>
      <c r="L375" t="inlineStr">
        <is>
          <t>Ukraine</t>
        </is>
      </c>
      <c r="M375" t="inlineStr">
        <is>
          <t>1993-05-04</t>
        </is>
      </c>
      <c r="N375" t="inlineStr">
        <is>
          <t>Ukraine</t>
        </is>
      </c>
      <c r="O375">
        <f>(28+18)/2</f>
        <v/>
      </c>
      <c r="P375">
        <f>(30+30)/2</f>
        <v/>
      </c>
    </row>
    <row r="376">
      <c r="A376" t="inlineStr">
        <is>
          <t>Sergio Oliveira</t>
        </is>
      </c>
      <c r="B376" t="inlineStr">
        <is>
          <t>FC Porto</t>
        </is>
      </c>
      <c r="C376" t="inlineStr">
        <is>
          <t>Midfielder</t>
        </is>
      </c>
      <c r="D376" t="n">
        <v>300</v>
      </c>
      <c r="E376" t="n">
        <v>6</v>
      </c>
      <c r="F376" t="n">
        <v>1</v>
      </c>
      <c r="G376" t="n">
        <v>0</v>
      </c>
      <c r="H376" t="n">
        <v>39.7</v>
      </c>
      <c r="I376" t="n">
        <v>30.7</v>
      </c>
      <c r="J376" t="n">
        <v>112465</v>
      </c>
      <c r="K376" t="inlineStr">
        <is>
          <t>{'marketValueHistory': [{'date': 'Oct 18, 2010', 'age': '18', 'clubName': 'SC Beira-Mar', 'clubID': '1436', 'value': '€300k'}, {'date': 'Jan 10, 2012', 'age': '19', 'clubName': 'FC Penafiel', 'clubID': '3327', 'value': '€450k'}, {'date': 'Jun 25, 2012', 'age': '20', 'clubName': 'FC Penafiel', 'clubID': '3327', 'value': '€450k'}, {'date': 'Nov 10, 2012', 'age': '20', 'clubName': 'FC Porto B', 'clubID': '10331', 'value': '€600k'}, {'date': 'Feb 26, 2014', 'age': '21', 'clubName': 'FC Paços de Ferreira', 'clubID': '2995', 'value': '€1.00m'}, {'date': 'Jul 25, 2014', 'age': '22', 'clubName': 'FC Paços de Ferreira', 'clubID': '2995', 'value': '€1.50m'}, {'date': 'Feb 17, 2015', 'age': '22', 'clubName': 'FC Paços de Ferreira', 'clubID': '2995', 'value': '€1.80m'}, {'date': 'Jul 1, 2015', 'age': '23', 'clubName': 'FC Porto', 'clubID': '720', 'value': '€2.50m'}, {'date': 'Feb 24, 2016', 'age': '23', 'clubName': 'FC Porto', 'clubID': '720', 'value': '€2.00m'}, {'date': 'Jul 29, 2016', 'age': '24', 'clubName': 'FC Porto', 'clubID': '720', 'value': '€2.50m'}, {'date': 'Feb 22, 2017', 'age': '24', 'clubName': 'FC Nantes', 'clubID': '995', 'value': '€1.50m'}, {'date': 'Jun 1, 2017', 'age': '24', 'clubName': 'FC Nantes', 'clubID': '995', 'value': '€1.50m'}, {'date': 'Feb 7, 2018', 'age': '25', 'clubName': 'FC Porto', 'clubID': '720', 'value': '€2.50m'}, {'date': 'Apr 16, 2018', 'age': '25', 'clubName': 'FC Porto', 'clubID': '720', 'value': '€6.00m'}, {'date': 'Jun 13, 2018', 'age': '26', 'clubName': 'FC Porto', 'clubID': '720', 'value': '€8.00m'}, {'date': 'Jan 11, 2019', 'age': '26', 'clubName': 'FC Porto', 'clubID': '720', 'value': '€7.00m'}, {'date': 'May 21, 2019', 'age': '26', 'clubName': 'PAOK Thessaloniki', 'clubID': '1091', 'value': '€9.00m'}, {'date': 'Dec 30, 2019', 'age': '27', 'clubName': 'FC Porto', 'clubID': '720', 'value': '€6.00m'}, {'date': 'Apr 8, 2020', 'age': '27', 'clubName': 'FC Porto', 'clubID': '720', 'value': '€4.80m'}, {'date': 'Aug 17, 2020', 'age': '28', 'clubName': 'FC Porto', 'clubID': '720', 'value': '€8.00m'}, {'date': 'Jan 28, 2021', 'age': '28', 'clubName': 'FC Porto', 'clubID': '720', 'value': '€11.00m'}, {'date': 'Mar 25, 2021', 'age': '28', 'clubName': 'FC Porto', 'clubID': '720', 'value': '€16.00m'}, {'date': 'Jun 1, 2021', 'age': '28', 'clubName': 'FC Porto', 'clubID': '720', 'value': '€19.00m'}, {'date': 'Sep 21, 2021', 'age': '29', 'clubName': 'FC Porto', 'clubID': '720', 'value': '€17.00m'}, {'date': 'Dec 27, 2021', 'age': '29', 'clubName': 'FC Porto', 'clubID': '720', 'value': '€15.00m'}, {'date': 'Mar 15, 2022', 'age': '29', 'clubName': 'AS Roma', 'clubID': '12', 'value': '€13.00m'}, {'date': 'Jun 7, 2022', 'age': '30', 'clubName': 'AS Roma', 'clubID': '12', 'value': '€12.00m'}, {'date': 'Sep 13, 2022', 'age': '30', 'clubName': 'Galatasaray', 'clubID': '141', 'value': '€6.50m'}, {'date': 'Oct 27, 2022', 'age': '30', 'clubName': 'Galatasaray', 'clubID': '141', 'value': '€6.50m'}, {'date': 'Mar 14, 2023', 'age': '30', 'clubName': 'Galatasaray', 'clubID': '141', 'value': '€7.00m'}, {'date': 'Jun 8, 2023', 'age': '31', 'clubName': 'Galatasaray', 'clubID': '141', 'value': '€7.00m'}, {'date': 'Sep 27, 2023', 'age': '31', 'clubName': 'Galatasaray', 'clubID': '141', 'value': '€6.00m'}, {'date': 'Dec 21, 2023', 'age': '31', 'clubName': 'Galatasaray', 'clubID': '141', 'value': '€5.00m'}, {'date': 'Mar 15, 2024', 'age': '31', 'clubName': 'Galatasaray', 'clubID': '141', 'value': '€3.50m'}, {'date': 'May 31, 2024', 'age': '31', 'clubName': 'Galatasaray', 'clubID': '141', 'value': '€2.50m'}, {'date': 'Dec 18, 2024', 'age': '32', 'clubName': 'Olympiacos Piraeus', 'clubID': '683', 'value': '€2.00m'}, {'date': 'Jun 6, 2025', 'age': '33', 'clubName': 'Sport Club do Recife', 'clubID': '8718', 'value': '€1.70m'}, {'date': 'Dec 10, 2025', 'age': '33', 'clubName': 'Sport Club do Recife', 'clubID': '8718', 'value': '€1.20m'}, {'date': 'Apr 9, 2026', 'age': '33', 'clubName': 'Without Club', 'clubID': '515', 'value': '€800k'}]}</t>
        </is>
      </c>
      <c r="L376" t="inlineStr">
        <is>
          <t>Portugal</t>
        </is>
      </c>
      <c r="M376" t="inlineStr">
        <is>
          <t>1992-06-02</t>
        </is>
      </c>
      <c r="N376" t="inlineStr">
        <is>
          <t>Portugal</t>
        </is>
      </c>
      <c r="O376">
        <f>(13+12+6.5+6.5)/4</f>
        <v/>
      </c>
      <c r="P376">
        <f>(11+16+19+17+15)/5</f>
        <v/>
      </c>
    </row>
    <row r="377">
      <c r="A377" t="inlineStr">
        <is>
          <t>Oxlade-Chamberlain</t>
        </is>
      </c>
      <c r="B377" t="inlineStr">
        <is>
          <t>Liverpool</t>
        </is>
      </c>
      <c r="C377" t="inlineStr">
        <is>
          <t>Midfielder</t>
        </is>
      </c>
      <c r="D377" t="n">
        <v>300</v>
      </c>
      <c r="E377" t="n">
        <v>6</v>
      </c>
      <c r="F377" t="n">
        <v>0</v>
      </c>
      <c r="G377" t="n">
        <v>1</v>
      </c>
      <c r="H377" t="n">
        <v>38.6</v>
      </c>
      <c r="I377" t="n">
        <v>33.7</v>
      </c>
      <c r="J377" t="n">
        <v>143424</v>
      </c>
      <c r="K377" t="inlineStr">
        <is>
          <t>{'id': '143424', 'marketValue': '€5.00m', 'marketValueHistory': [{'age': '16', 'date': 'Apr 27, 2010', 'clubName': 'Southampton FC U18', 'value': '€50k', 'clubID': '6893'}, {'age': '17', 'date': 'Oct 24, 2010', 'clubName': 'Southampton FC', 'value': '€100k', 'clubID': '180'}, {'age': '17', 'date': 'Dec 28, 2010', 'clubName': 'Southampton FC', 'value': '€250k', 'clubID': '180'}, {'age': '17', 'date': 'Jan 21, 2011', 'clubName': 'Southampton FC', 'value': '€2.50m', 'clubID': '180'}, {'age': '18', 'date': 'Sep 6, 2011', 'clubName': 'Arsenal FC', 'value': '€6.00m', 'clubID': '11'}, {'age': '18', 'date': 'Feb 6, 2012', 'clubName': 'Arsenal FC', 'value': '€10.00m', 'clubID': '11'}, {'age': '18', 'date': 'Jun 24, 2012', 'clubName': 'Arsenal FC', 'value': '€13.50m', 'clubID': '11'}, {'age': '19', 'date': 'Jan 28, 2013', 'clubName': 'Arsenal FC', 'value': '€15.00m', 'clubID': '11'}, {'age': '19', 'date': 'Jul 2, 2013', 'clubName': 'Arsenal FC', 'value': '€17.00m', 'clubID': '11'}, {'age': '20', 'date': 'Jan 15, 2014', 'clubName': 'Arsenal FC', 'value': '€17.00m', 'clubID': '11'}, {'age': '20', 'date': 'Aug 12, 2014', 'clubName': 'Arsenal FC', 'value': '€17.00m', 'clubID': '11'}, {'age': '21', 'date': 'Feb 12, 2015', 'clubName': 'Arsenal FC', 'value': '€18.00m', 'clubID': '11'}, {'age': '21', 'date': 'Jul 1, 2015', 'clubName': 'Arsenal FC', 'value': '€20.00m', 'clubID': '11'}, {'age': '22', 'date': 'Feb 9, 2016', 'clubName': 'Arsenal FC', 'value': '€20.00m', 'clubID': '11'}, {'age': '22', 'date': 'Aug 1, 2016', 'clubName': 'Arsenal FC', 'value': '€20.00m', 'clubID': '11'}, {'age': '23', 'date': 'Feb 20, 2017', 'clubName': 'Arsenal FC', 'value': '€20.00m', 'clubID': '11'}, {'age': '23', 'date': 'Jun 28, 2017', 'clubName': 'Arsenal FC', 'value': '€22.00m', 'clubID': '11'}, {'age': '24', 'date': 'Oct 23, 2017', 'clubName': 'Liverpool FC', 'value': '€30.00m', 'clubID': '31'}, {'age': '24', 'date': 'Jan 2, 2018', 'clubName': 'Liverpool FC', 'value': '€30.00m', 'clubID': '31'}, {'age': '24', 'date': 'May 28, 2018', 'clubName': 'Liverpool FC', 'value': '€40.00m', 'clubID': '31'}, {'age': '25', 'date': 'Dec 19, 2018', 'clubName': 'Liverpool FC', 'value': '€40.00m', 'clubID': '31'}, {'age': '25', 'date': 'Jun 13, 2019', 'clubName': 'Liverpool FC', 'value': '€35.00m', 'clubID': '31'}, {'age': '26', 'date': 'Dec 10, 2019', 'clubName': 'Liverpool FC', 'value': '€35.00m', 'clubID': '31'}, {'age': '26', 'date': 'Apr 8, 2020', 'clubName': 'Liverpool FC', 'value': '€28.00m', 'clubID': '31'}, {'age': '27', 'date': 'Oct 13, 2020', 'clubName': 'Liverpool FC', 'value': '€24.00m', 'clubID': '31'}, {'age': '27', 'date': 'Mar 18, 2021', 'clubName': 'Liverpool FC', 'value': '€20.00m', 'clubID': '31'}, {'age': '27', 'date': 'Jun 8, 2021', 'clubName': 'Liverpool FC', 'value': '€18.00m', 'clubID': '31'}, {'age': '28', 'date': 'Dec 23, 2021', 'clubName': 'Liverpool FC', 'value': '€18.00m', 'clubID': '31'}, {'age': '28', 'date': 'Jun 15, 2022', 'clubName': 'Liverpool FC', 'value': '€16.00m', 'clubID': '31'}, {'age': '29', 'date': 'Sep 15, 2022', 'clubName': 'Liverpool FC', 'value': '€13.00m', 'clubID': '31'}, {'age': '29', 'date': 'Nov 3, 2022', 'clubName': 'Liverpool FC', 'value': '€10.00m', 'clubID': '31'}, {'age': '29', 'date': 'Jun 20, 2023', 'clubName': 'Liverpool FC', 'value': '€7.00m', 'clubID': '31'}, {'age': '30', 'date': 'Sep 27, 2023', 'clubName': 'Besiktas JK', 'value': '€6.00m', 'clubID': '114'}, {'age': '30', 'date': 'Dec 21, 2023', 'clubName': 'Besiktas JK', 'value': '€6.00m', 'clubID': '114'}, {'age': '30', 'date': 'Mar 15, 2024', 'clubName': 'Besiktas JK', 'value': '€5.00m', 'clubID': '114'}], 'ranking': {'Worldwide': '1.821', 'Süper Lig': '46', 'Besiktas': '10', 'England': '162', 'Central Midfield': '251', 'Year 1993': '86'}, 'updatedAt': datetime.datetime(2024, 5, 23, 22, 34, 9, 12616)}</t>
        </is>
      </c>
      <c r="L377" t="inlineStr">
        <is>
          <t>United Kingdom</t>
        </is>
      </c>
      <c r="M377" t="inlineStr">
        <is>
          <t>1993-08-15</t>
        </is>
      </c>
      <c r="N377" t="inlineStr">
        <is>
          <t>35</t>
        </is>
      </c>
      <c r="O377">
        <f>(16+13+10)/3</f>
        <v/>
      </c>
      <c r="P377">
        <f>(20+18+18)/3</f>
        <v/>
      </c>
    </row>
    <row r="378">
      <c r="A378" t="inlineStr">
        <is>
          <t>Karavaev</t>
        </is>
      </c>
      <c r="B378" t="inlineStr">
        <is>
          <t>Zenit</t>
        </is>
      </c>
      <c r="C378" t="inlineStr">
        <is>
          <t>Defender</t>
        </is>
      </c>
      <c r="D378" t="n">
        <v>299</v>
      </c>
      <c r="E378" t="n">
        <v>4</v>
      </c>
      <c r="F378" t="n">
        <v>0</v>
      </c>
      <c r="G378" t="n">
        <v>1</v>
      </c>
      <c r="H378" t="n">
        <v>38.3</v>
      </c>
      <c r="I378" t="n">
        <v>31.8</v>
      </c>
      <c r="J378" t="n">
        <v>170620</v>
      </c>
      <c r="K378" t="inlineStr">
        <is>
          <t>{'marketValueHistory': [{'date': 'Mar 15, 2012', 'age': '16', 'clubName': 'CSKA Moscow II', 'clubID': '11755', 'value': '€25k'}, {'date': 'Aug 19, 2013', 'age': '18', 'clubName': 'CSKA Moscow', 'clubID': '2410', 'value': '€75k'}, {'date': 'Mar 28, 2014', 'age': '18', 'clubName': 'CSKA Moscow', 'clubID': '2410', 'value': '€100k'}, {'date': 'Sep 3, 2014', 'age': '19', 'clubName': 'FK Dukla Prague', 'clubID': '450', 'value': '€300k'}, {'date': 'Jul 24, 2015', 'age': '20', 'clubName': 'FK Jablonec', 'clubID': '1322', 'value': '€500k'}, {'date': 'Oct 14, 2015', 'age': '20', 'clubName': 'FK Jablonec', 'clubID': '1322', 'value': '€600k'}, {'date': 'Jul 1, 2016', 'age': '21', 'clubName': 'CSKA Moscow', 'clubID': '2410', 'value': '€1.00m'}, {'date': 'Oct 16, 2016', 'age': '21', 'clubName': 'AC Sparta Prague', 'clubID': '197', 'value': '€1.50m'}, {'date': 'Dec 19, 2016', 'age': '21', 'clubName': 'AC Sparta Prague', 'clubID': '197', 'value': '€2.00m'}, {'date': 'Apr 15, 2017', 'age': '21', 'clubName': 'AC Sparta Prague', 'clubID': '197', 'value': '€2.30m'}, {'date': 'Jun 10, 2017', 'age': '22', 'clubName': 'AC Sparta Prague', 'clubID': '197', 'value': '€3.00m'}, {'date': 'Dec 21, 2017', 'age': '22', 'clubName': 'AC Sparta Prague', 'clubID': '197', 'value': '€2.80m'}, {'date': 'Mar 27, 2018', 'age': '22', 'clubName': 'Vitesse Arnhem', 'clubID': '499', 'value': '€1.50m'}, {'date': 'Jun 12, 2018', 'age': '23', 'clubName': 'Vitesse Arnhem', 'clubID': '499', 'value': '€1.50m'}, {'date': 'Dec 28, 2018', 'age': '23', 'clubName': 'Vitesse Arnhem', 'clubID': '499', 'value': '€2.00m'}, {'date': 'Jun 12, 2019', 'age': '24', 'clubName': 'Vitesse Arnhem', 'clubID': '499', 'value': '€3.00m'}, {'date': 'Sep 10, 2019', 'age': '24', 'clubName': 'Zenit St. Petersburg', 'clubID': '964', 'value': '€6.00m'}, {'date': 'Dec 23, 2019', 'age': '24', 'clubName': 'Zenit St. Petersburg', 'clubID': '964', 'value': '€7.00m'}, {'date': 'Apr 8, 2020', 'age': '24', 'clubName': 'Zenit St. Petersburg', 'clubID': '964', 'value': '€5.50m'}, {'date': 'Jul 29, 2020', 'age': '25', 'clubName': 'Zenit St. Petersburg', 'clubID': '964', 'value': '€6.00m'}, {'date': 'Dec 29, 2020', 'age': '25', 'clubName': 'Zenit St. Petersburg', 'clubID': '964', 'value': '€6.00m'}, {'date': 'May 26, 2021', 'age': '26', 'clubName': 'Zenit St. Petersburg', 'clubID': '964', 'value': '€7.00m'}, {'date': 'Dec 29, 2021', 'age': '26', 'clubName': 'Zenit St. Petersburg', 'clubID': '964', 'value': '€7.00m'}, {'date': 'Jun 2, 2022', 'age': '27', 'clubName': 'Zenit St. Petersburg', 'clubID': '964', 'value': '€6.00m'}, {'date': 'Nov 21, 2022', 'age': '27', 'clubName': 'Zenit St. Petersburg', 'clubID': '964', 'value': '€6.00m'}, {'date': 'Jun 14, 2023', 'age': '28', 'clubName': 'Zenit St. Petersburg', 'clubID': '964', 'value': '€6.00m'}, {'date': 'Dec 13, 2023', 'age': '28', 'clubName': 'Zenit St. Petersburg', 'clubID': '964', 'value': '€5.00m'}, {'date': 'Jun 4, 2024', 'age': '29', 'clubName': 'Zenit St. Petersburg', 'clubID': '964', 'value': '€5.00m'}, {'date': 'Dec 12, 2024', 'age': '29', 'clubName': 'Zenit St. Petersburg', 'clubID': '964', 'value': '€5.00m'}, {'date': 'Mar 19, 2025', 'age': '29', 'clubName': 'Zenit St. Petersburg', 'clubID': '964', 'value': '€4.50m'}, {'date': 'Jun 4, 2025', 'age': '30', 'clubName': 'Zenit St. Petersburg', 'clubID': '964', 'value': '€3.50m'}, {'date': 'Dec 16, 2025', 'age': '30', 'clubName': 'Zenit St. Petersburg', 'clubID': '964', 'value': '€2.50m'}]}</t>
        </is>
      </c>
      <c r="L378" t="inlineStr">
        <is>
          <t>Russia</t>
        </is>
      </c>
      <c r="M378" t="inlineStr">
        <is>
          <t>1995-05-20</t>
        </is>
      </c>
      <c r="N378" t="inlineStr">
        <is>
          <t>Russia</t>
        </is>
      </c>
      <c r="O378">
        <f>(6+6)/2</f>
        <v/>
      </c>
      <c r="P378">
        <f>(7+7)/2</f>
        <v/>
      </c>
    </row>
    <row r="379">
      <c r="A379" t="inlineStr">
        <is>
          <t>Sowah</t>
        </is>
      </c>
      <c r="B379" t="inlineStr">
        <is>
          <t>Club Brugge</t>
        </is>
      </c>
      <c r="C379" t="inlineStr">
        <is>
          <t>Midfielder</t>
        </is>
      </c>
      <c r="D379" t="n">
        <v>298</v>
      </c>
      <c r="E379" t="n">
        <v>5</v>
      </c>
      <c r="F379" t="n">
        <v>0</v>
      </c>
      <c r="G379" t="n">
        <v>0</v>
      </c>
      <c r="H379" t="n">
        <v>38.4</v>
      </c>
      <c r="I379" t="n">
        <v>32.3</v>
      </c>
      <c r="J379" t="n">
        <v>564489</v>
      </c>
      <c r="K379" t="inlineStr">
        <is>
          <t>{'id': '564489', 'marketValue': '€2.00m', 'marketValueHistory': [{'age': '18', 'date': 'Apr 5, 2018', 'clubName': 'Oud-Heverlee Leuven', 'value': '€50k', 'clubID': '2727'}, {'age': '18', 'date': 'Sep 14, 2018', 'clubName': 'Oud-Heverlee Leuven', 'value': '€150k', 'clubID': '2727'}, {'age': '19', 'date': 'Jan 18, 2019', 'clubName': 'Oud-Heverlee Leuven', 'value': '€150k', 'clubID': '2727'}, {'age': '19', 'date': 'Jun 10, 2019', 'clubName': 'Oud-Heverlee Leuven', 'value': '€100k', 'clubID': '2727'}, {'age': '19', 'date': 'Nov 13, 2019', 'clubName': 'Oud-Heverlee Leuven', 'value': '€350k', 'clubID': '2727'}, {'age': '20', 'date': 'Mar 30, 2020', 'clubName': 'Oud-Heverlee Leuven', 'value': '€500k', 'clubID': '2727'}, {'age': '20', 'date': 'Apr 8, 2020', 'clubName': 'Oud-Heverlee Leuven', 'value': '€450k', 'clubID': '2727'}, {'age': '20', 'date': 'Oct 16, 2020', 'clubName': 'Oud-Heverlee Leuven', 'value': '€1.80m', 'clubID': '2727'}, {'age': '20', 'date': 'Jan 4, 2021', 'clubName': 'Oud-Heverlee Leuven', 'value': '€3.00m', 'clubID': '2727'}, {'age': '21', 'date': 'Jun 7, 2021', 'clubName': 'Oud-Heverlee Leuven', 'value': '€3.00m', 'clubID': '2727'}, {'age': '21', 'date': 'Oct 6, 2021', 'clubName': 'Club Brugge KV', 'value': '€7.00m', 'clubID': '2282'}, {'age': '21', 'date': 'Jan 6, 2022', 'clubName': 'Club Brugge KV', 'value': '€5.00m', 'clubID': '2282'}, {'age': '22', 'date': 'Mar 17, 2022', 'clubName': 'AZ Alkmaar', 'value': '€4.00m', 'clubID': '1090'}, {'age': '22', 'date': 'Jun 8, 2022', 'clubName': 'AZ Alkmaar', 'value': '€3.50m', 'clubID': '1090'}, {'age': '22', 'date': 'Nov 4, 2022', 'clubName': 'Club Brugge KV', 'value': '€6.00m', 'clubID': '2282'}, {'age': '23', 'date': 'Mar 22, 2023', 'clubName': 'Club Brugge KV', 'value': '€4.00m', 'clubID': '2282'}, {'age': '23', 'date': 'Jun 9, 2023', 'clubName': 'Club Brugge KV', 'value': '€3.00m', 'clubID': '2282'}, {'age': '23', 'date': 'Dec 19, 2023', 'clubName': 'Standard Liège', 'value': '€2.50m', 'clubID': '3057'}, {'age': '24', 'date': 'Mar 22, 2024', 'clubName': 'Standard Liège', 'value': '€2.00m', 'clubID': '3057'}], 'ranking': {'Worldwide': '4.041', 'Jupiler Pro League': '139', 'Standard Liège': '12', 'Ghana': '38', 'Right Winger': '307', 'Year 2000': '395'}, 'updatedAt': datetime.datetime(2024, 5, 23, 22, 18, 22, 22551)}</t>
        </is>
      </c>
      <c r="L379" t="inlineStr">
        <is>
          <t>Ghana</t>
        </is>
      </c>
      <c r="M379" t="inlineStr">
        <is>
          <t>2000-01-09</t>
        </is>
      </c>
      <c r="N379" t="inlineStr">
        <is>
          <t>1</t>
        </is>
      </c>
      <c r="O379">
        <f>(5+4+3.5+6)/4</f>
        <v/>
      </c>
      <c r="P379">
        <f>(3+3+7)/3</f>
        <v/>
      </c>
    </row>
    <row r="380">
      <c r="A380" t="inlineStr">
        <is>
          <t>Ikone</t>
        </is>
      </c>
      <c r="B380" t="inlineStr">
        <is>
          <t>Lille</t>
        </is>
      </c>
      <c r="C380" t="inlineStr">
        <is>
          <t>Forward</t>
        </is>
      </c>
      <c r="D380" t="n">
        <v>297</v>
      </c>
      <c r="E380" t="n">
        <v>5</v>
      </c>
      <c r="F380" t="n">
        <v>1</v>
      </c>
      <c r="G380" t="n">
        <v>2</v>
      </c>
      <c r="H380" t="n">
        <v>35.3</v>
      </c>
      <c r="I380" t="n">
        <v>33.3</v>
      </c>
      <c r="J380" t="n">
        <v>324690</v>
      </c>
      <c r="K380" t="inlineStr">
        <is>
          <t>{'marketValueHistory': [{'date': '01/07/2016', 'age': '18', 'clubName': 'Paris Saint-Germain', 'clubID': '583', 'value': '€250k'}, {'date': '01/06/2017', 'age': '19', 'clubName': 'Montpellier HSC', 'clubID': '969', 'value': '€700k'}, {'date': '24/01/2018', 'age': '19', 'clubName': 'Montpellier HSC', 'clubID': '969', 'value': '€700k'}, {'date': '04/06/2018', 'age': '20', 'clubName': 'Montpellier HSC', 'clubID': '969', 'value': '€700k'}, {'date': '06/09/2018', 'age': '20', 'clubName': 'LOSC Lille', 'clubID': '1082', 'value': '€5.00m'}, {'date': '17/12/2018', 'age': '20', 'clubName': 'LOSC Lille', 'clubID': '1082', 'value': '€5.00m'}, {'date': '07/03/2019', 'age': '20', 'clubName': 'LOSC Lille', 'clubID': '1082', 'value': '€9.00m'}, {'date': '03/06/2019', 'age': '21', 'clubName': 'LOSC Lille', 'clubID': '1082', 'value': '€15.00m'}, {'date': '27/09/2019', 'age': '21', 'clubName': 'LOSC Lille', 'clubID': '1082', 'value': '€27.00m'}, {'date': '19/12/2019', 'age': '21', 'clubName': 'LOSC Lille', 'clubID': '1082', 'value': '€30.00m'}, {'date': '13/03/2020', 'age': '21', 'clubName': 'LOSC Lille', 'clubID': '1082', 'value': '€40.00m'}, {'date': '08/04/2020', 'age': '21', 'clubName': 'LOSC Lille', 'clubID': '1082', 'value': '€36.00m'}, {'date': '15/10/2020', 'age': '22', 'clubName': 'LOSC Lille', 'clubID': '1082', 'value': '€36.00m'}, {'date': '07/01/2021', 'age': '22', 'clubName': 'LOSC Lille', 'clubID': '1082', 'value': '€28.00m'}, {'date': '09/04/2021', 'age': '22', 'clubName': 'LOSC Lille', 'clubID': '1082', 'value': '€30.00m'}, {'date': '04/06/2021', 'age': '23', 'clubName': 'LOSC Lille', 'clubID': '1082', 'value': '€30.00m'}, {'date': '08/10/2021', 'age': '23', 'clubName': 'LOSC Lille', 'clubID': '1082', 'value': '€25.00m'}, {'date': '16/12/2021', 'age': '23', 'clubName': 'LOSC Lille', 'clubID': '1082', 'value': '€22.00m'}, {'date': '07/06/2022', 'age': '24', 'clubName': 'ACF Fiorentina', 'clubID': '430', 'value': '€18.00m'}, {'date': '11/11/2022', 'age': '24', 'clubName': 'ACF Fiorentina', 'clubID': '430', 'value': '€16.00m'}, {'date': '15/06/2023', 'age': '25', 'clubName': 'ACF Fiorentina', 'clubID': '430', 'value': '€16.00m'}, {'date': '20/12/2023', 'age': '25', 'clubName': 'ACF Fiorentina', 'clubID': '430', 'value': '€13.00m'}, {'date': '05/06/2024', 'age': '26', 'clubName': 'ACF Fiorentina', 'clubID': '430', 'value': '€10.00m'}, {'date': '18/12/2024', 'age': '26', 'clubName': 'ACF Fiorentina', 'clubID': '430', 'value': '€8.00m'}, {'date': '17/06/2025', 'age': '27', 'clubName': 'Como 1907', 'clubID': '1047', 'value': '€7.00m'}, {'date': '10/10/2025', 'age': '27', 'clubName': 'Paris FC', 'clubID': '10004', 'value': '€6.00m'}, {'date': '15/12/2025', 'age': '27', 'clubName': 'Paris FC', 'clubID': '10004', 'value': '€5.00m'}, {'date': '27/03/2026', 'age': '27', 'clubName': 'Paris FC', 'clubID': '10004', 'value': '€4.00m'}]}</t>
        </is>
      </c>
      <c r="L380" t="inlineStr">
        <is>
          <t>France</t>
        </is>
      </c>
      <c r="M380" t="inlineStr">
        <is>
          <t>1998-05-02</t>
        </is>
      </c>
      <c r="N380" t="inlineStr">
        <is>
          <t>France</t>
        </is>
      </c>
      <c r="O380">
        <f>(18+16)/2</f>
        <v/>
      </c>
      <c r="P380">
        <f>(28+30+30+25+22)/5</f>
        <v/>
      </c>
    </row>
    <row r="381">
      <c r="A381" t="inlineStr">
        <is>
          <t>Simakan</t>
        </is>
      </c>
      <c r="B381" t="inlineStr">
        <is>
          <t>Leipzig</t>
        </is>
      </c>
      <c r="C381" t="inlineStr">
        <is>
          <t>Defender</t>
        </is>
      </c>
      <c r="D381" t="n">
        <v>297</v>
      </c>
      <c r="E381" t="n">
        <v>4</v>
      </c>
      <c r="F381" t="n">
        <v>0</v>
      </c>
      <c r="G381" t="n">
        <v>0</v>
      </c>
      <c r="H381" t="n">
        <v>32</v>
      </c>
      <c r="I381" t="n">
        <v>34.6</v>
      </c>
      <c r="J381" t="n">
        <v>666234</v>
      </c>
      <c r="K381" t="inlineStr">
        <is>
          <t>{'marketValueHistory': [{'date': '27/09/2019', 'age': '19', 'clubName': 'RC Strasbourg Alsace', 'clubID': '667', 'value': '€2.50m'}, {'date': '19/12/2019', 'age': '19', 'clubName': 'RC Strasbourg Alsace', 'clubID': '667', 'value': '€6.00m'}, {'date': '11/02/2020', 'age': '19', 'clubName': 'RC Strasbourg Alsace', 'clubID': '667', 'value': '€8.00m'}, {'date': '08/04/2020', 'age': '19', 'clubName': 'RC Strasbourg Alsace', 'clubID': '667', 'value': '€7.20m'}, {'date': '03/08/2020', 'age': '20', 'clubName': 'RC Strasbourg Alsace', 'clubID': '667', 'value': '€12.00m'}, {'date': '15/10/2020', 'age': '20', 'clubName': 'RC Strasbourg Alsace', 'clubID': '667', 'value': '€15.00m'}, {'date': '07/01/2021', 'age': '20', 'clubName': 'RC Strasbourg Alsace', 'clubID': '667', 'value': '€18.00m'}, {'date': '04/06/2021', 'age': '21', 'clubName': 'RC Strasbourg Alsace', 'clubID': '667', 'value': '€18.00m'}, {'date': '22/12/2021', 'age': '21', 'clubName': 'RB Leipzig', 'clubID': '23826', 'value': '€18.00m'}, {'date': '09/06/2022', 'age': '22', 'clubName': 'RB Leipzig', 'clubID': '23826', 'value': '€22.00m'}, {'date': '09/11/2022', 'age': '22', 'clubName': 'RB Leipzig', 'clubID': '23826', 'value': '€28.00m'}, {'date': '22/06/2023', 'age': '23', 'clubName': 'RB Leipzig', 'clubID': '23826', 'value': '€25.00m'}, {'date': '18/10/2023', 'age': '23', 'clubName': 'RB Leipzig', 'clubID': '23826', 'value': '€35.00m'}, {'date': '14/12/2023', 'age': '23', 'clubName': 'RB Leipzig', 'clubID': '23826', 'value': '€35.00m'}, {'date': '29/05/2024', 'age': '24', 'clubName': 'RB Leipzig', 'clubID': '23826', 'value': '€35.00m'}, {'date': '13/12/2024', 'age': '24', 'clubName': 'Al-Nassr FC', 'clubID': '18544', 'value': '€28.00m'}, {'date': '27/05/2025', 'age': '25', 'clubName': 'Al-Nassr FC', 'clubID': '18544', 'value': '€23.00m'}, {'date': '18/12/2025', 'age': '25', 'clubName': 'Al-Nassr FC', 'clubID': '18544', 'value': '€20.00m'}]}</t>
        </is>
      </c>
      <c r="L381" t="inlineStr">
        <is>
          <t>France</t>
        </is>
      </c>
      <c r="M381" t="inlineStr">
        <is>
          <t>2000-05-03</t>
        </is>
      </c>
      <c r="N381" t="inlineStr">
        <is>
          <t>France</t>
        </is>
      </c>
      <c r="O381">
        <f>(22+28)/2</f>
        <v/>
      </c>
      <c r="P381">
        <f>(18+18+18)/3</f>
        <v/>
      </c>
    </row>
    <row r="382">
      <c r="A382" t="inlineStr">
        <is>
          <t>Camavinga</t>
        </is>
      </c>
      <c r="B382" t="inlineStr">
        <is>
          <t>Real Madrid</t>
        </is>
      </c>
      <c r="C382" t="inlineStr">
        <is>
          <t>Midfielder</t>
        </is>
      </c>
      <c r="D382" t="n">
        <v>296</v>
      </c>
      <c r="E382" t="n">
        <v>10</v>
      </c>
      <c r="F382" t="n">
        <v>0</v>
      </c>
      <c r="G382" t="n">
        <v>1</v>
      </c>
      <c r="H382" t="n">
        <v>40.3</v>
      </c>
      <c r="I382" t="n">
        <v>33.5</v>
      </c>
      <c r="J382" t="n">
        <v>640428</v>
      </c>
      <c r="K382" t="inlineStr">
        <is>
          <t>{'marketValueHistory': [{'date': 'Jun 3, 2019', 'age': '16', 'clubName': 'Stade Rennais FC', 'clubID': '273', 'value': '€4.00m'}, {'date': 'Sep 27, 2019', 'age': '16', 'clubName': 'Stade Rennais FC', 'clubID': '273', 'value': '€20.00m'}, {'date': 'Dec 19, 2019', 'age': '17', 'clubName': 'Stade Rennais FC', 'clubID': '273', 'value': '€35.00m'}, {'date': 'Mar 13, 2020', 'age': '17', 'clubName': 'Stade Rennais FC', 'clubID': '273', 'value': '€42.00m'}, {'date': 'Apr 8, 2020', 'age': '17', 'clubName': 'Stade Rennais FC', 'clubID': '273', 'value': '€37.50m'}, {'date': 'Oct 15, 2020', 'age': '17', 'clubName': 'Stade Rennais FC', 'clubID': '273', 'value': '€50.00m'}, {'date': 'Jan 7, 2021', 'age': '18', 'clubName': 'Stade Rennais FC', 'clubID': '273', 'value': '€60.00m'}, {'date': 'Jun 4, 2021', 'age': '18', 'clubName': 'Stade Rennais FC', 'clubID': '273', 'value': '€55.00m'}, {'date': 'Dec 30, 2021', 'age': '19', 'clubName': 'Real Madrid', 'clubID': '418', 'value': '€55.00m'}, {'date': 'Jun 3, 2022', 'age': '19', 'clubName': 'Real Madrid', 'clubID': '418', 'value': '€55.00m'}, {'date': 'Nov 7, 2022', 'age': '19', 'clubName': 'Real Madrid', 'clubID': '418', 'value': '€50.00m'}, {'date': 'Mar 23, 2023', 'age': '20', 'clubName': 'Real Madrid', 'clubID': '418', 'value': '€60.00m'}, {'date': 'Jun 13, 2023', 'age': '20', 'clubName': 'Real Madrid', 'clubID': '418', 'value': '€85.00m'}, {'date': 'Oct 13, 2023', 'age': '20', 'clubName': 'Real Madrid', 'clubID': '418', 'value': '€90.00m'}, {'date': 'Dec 22, 2023', 'age': '21', 'clubName': 'Real Madrid', 'clubID': '418', 'value': '€90.00m'}, {'date': 'Jun 7, 2024', 'age': '21', 'clubName': 'Real Madrid', 'clubID': '418', 'value': '€100.00m'}, {'date': 'Dec 27, 2024', 'age': '22', 'clubName': 'Real Madrid', 'clubID': '418', 'value': '€80.00m'}, {'date': 'Mar 21, 2025', 'age': '22', 'clubName': 'Real Madrid', 'clubID': '418', 'value': '€70.00m'}, {'date': 'Jun 9, 2025', 'age': '22', 'clubName': 'Real Madrid', 'clubID': '418', 'value': '€60.00m'}, {'date': 'Oct 2, 2025', 'age': '22', 'clubName': 'Real Madrid', 'clubID': '418', 'value': '€50.00m'}, {'date': 'Dec 12, 2025', 'age': '23', 'clubName': 'Real Madrid', 'clubID': '418', 'value': '€50.00m'}]}</t>
        </is>
      </c>
      <c r="L382" t="inlineStr">
        <is>
          <t>France</t>
        </is>
      </c>
      <c r="M382" t="inlineStr">
        <is>
          <t>2002-11-10</t>
        </is>
      </c>
      <c r="N382" t="inlineStr">
        <is>
          <t>France</t>
        </is>
      </c>
      <c r="O382">
        <f>(55+50)/2</f>
        <v/>
      </c>
      <c r="P382">
        <f>(60+55+55)/3</f>
        <v/>
      </c>
    </row>
    <row r="383">
      <c r="A383" t="inlineStr">
        <is>
          <t>Lukebakio</t>
        </is>
      </c>
      <c r="B383" t="inlineStr">
        <is>
          <t>Wolfsburg</t>
        </is>
      </c>
      <c r="C383" t="inlineStr">
        <is>
          <t>Forward</t>
        </is>
      </c>
      <c r="D383" t="n">
        <v>296</v>
      </c>
      <c r="E383" t="n">
        <v>6</v>
      </c>
      <c r="F383" t="n">
        <v>0</v>
      </c>
      <c r="G383" t="n">
        <v>0</v>
      </c>
      <c r="H383" t="n">
        <v>35.9</v>
      </c>
      <c r="I383" t="n">
        <v>32.9</v>
      </c>
      <c r="J383" t="n">
        <v>303259</v>
      </c>
      <c r="K383" t="inlineStr">
        <is>
          <t>{'marketValueHistory': [{'date': '07/02/2016', 'age': '18', 'clubName': 'RSC Anderlecht', 'clubID': '58', 'value': '€1.00m'}, {'date': '15/07/2016', 'age': '18', 'clubName': 'RSC Anderlecht', 'clubID': '58', 'value': '€1.00m'}, {'date': '16/01/2017', 'age': '19', 'clubName': 'FC Toulouse', 'clubID': '415', 'value': '€800k'}, {'date': '01/06/2017', 'age': '19', 'clubName': 'FC Toulouse', 'clubID': '415', 'value': '€800k'}, {'date': '20/10/2017', 'age': '20', 'clubName': 'Royal Charleroi SC', 'clubID': '172', 'value': '€1.20m'}, {'date': '09/01/2018', 'age': '20', 'clubName': 'Royal Charleroi SC', 'clubID': '172', 'value': '€3.00m'}, {'date': '28/05/2018', 'age': '20', 'clubName': 'Watford FC', 'clubID': '1010', 'value': '€3.00m'}, {'date': '18/12/2018', 'age': '21', 'clubName': 'Fortuna Düsseldorf', 'clubID': '38', 'value': '€6.00m'}, {'date': '06/03/2019', 'age': '21', 'clubName': 'Fortuna Düsseldorf', 'clubID': '38', 'value': '€10.00m'}, {'date': '05/06/2019', 'age': '21', 'clubName': 'Fortuna Düsseldorf', 'clubID': '38', 'value': '€18.00m'}, {'date': '17/12/2019', 'age': '22', 'clubName': 'Hertha BSC', 'clubID': '44', 'value': '€21.00m'}, {'date': '08/04/2020', 'age': '22', 'clubName': 'Hertha BSC', 'clubID': '44', 'value': '€17.00m'}, {'date': '08/07/2020', 'age': '22', 'clubName': 'Hertha BSC', 'clubID': '44', 'value': '€19.00m'}, {'date': '10/02/2021', 'age': '23', 'clubName': 'Hertha BSC', 'clubID': '44', 'value': '€15.00m'}, {'date': '09/06/2021', 'age': '23', 'clubName': 'Hertha BSC', 'clubID': '44', 'value': '€13.00m'}, {'date': '22/12/2021', 'age': '24', 'clubName': 'VfL Wolfsburg', 'clubID': '82', 'value': '€13.00m'}, {'date': '24/03/2022', 'age': '24', 'clubName': 'VfL Wolfsburg', 'clubID': '82', 'value': '€9.00m'}, {'date': '09/06/2022', 'age': '24', 'clubName': 'VfL Wolfsburg', 'clubID': '82', 'value': '€7.50m'}, {'date': '09/11/2022', 'age': '25', 'clubName': 'Hertha BSC', 'clubID': '44', 'value': '€12.00m'}, {'date': '22/06/2023', 'age': '25', 'clubName': 'Hertha BSC', 'clubID': '44', 'value': '€12.00m'}, {'date': '13/10/2023', 'age': '26', 'clubName': 'Sevilla FC', 'clubID': '368', 'value': '€15.00m'}, {'date': '22/12/2023', 'age': '26', 'clubName': 'Sevilla FC', 'clubID': '368', 'value': '€15.00m'}, {'date': '07/06/2024', 'age': '26', 'clubName': 'Sevilla FC', 'clubID': '368', 'value': '€12.00m'}, {'date': '27/12/2024', 'age': '27', 'clubName': 'Sevilla FC', 'clubID': '368', 'value': '€20.00m'}, {'date': '21/03/2025', 'age': '27', 'clubName': 'Sevilla FC', 'clubID': '368', 'value': '€25.00m'}, {'date': '09/06/2025', 'age': '27', 'clubName': 'Sevilla FC', 'clubID': '368', 'value': '€20.00m'}, {'date': '18/12/2025', 'age': '28', 'clubName': 'SL Benfica', 'clubID': '294', 'value': '€20.00m'}]}</t>
        </is>
      </c>
      <c r="L383" t="inlineStr">
        <is>
          <t>Portugal</t>
        </is>
      </c>
      <c r="M383" t="inlineStr">
        <is>
          <t>1998-01-06</t>
        </is>
      </c>
      <c r="N383" t="inlineStr">
        <is>
          <t>29</t>
        </is>
      </c>
      <c r="O383">
        <f>(9+7.5+12)/3</f>
        <v/>
      </c>
      <c r="P383">
        <f>(15+13+13)/3</f>
        <v/>
      </c>
    </row>
    <row r="384">
      <c r="A384" t="inlineStr">
        <is>
          <t>Rafael Leao</t>
        </is>
      </c>
      <c r="B384" t="inlineStr">
        <is>
          <t>Milan</t>
        </is>
      </c>
      <c r="C384" t="inlineStr">
        <is>
          <t>Forward</t>
        </is>
      </c>
      <c r="D384" t="n">
        <v>294</v>
      </c>
      <c r="E384" t="n">
        <v>4</v>
      </c>
      <c r="F384" t="n">
        <v>1</v>
      </c>
      <c r="G384" t="n">
        <v>1</v>
      </c>
      <c r="H384" t="n">
        <v>32.4</v>
      </c>
      <c r="I384" t="n">
        <v>34.2</v>
      </c>
      <c r="J384" t="n">
        <v>357164</v>
      </c>
      <c r="K384" t="inlineStr">
        <is>
          <t>{'marketValueHistory': [{'date': 'Sep 8, 2017', 'age': '18', 'clubName': 'Sporting CP B', 'clubID': '10949', 'value': '€500k'}, {'date': 'Feb 23, 2018', 'age': '18', 'clubName': 'Sporting CP', 'clubID': '336', 'value': '€1.50m'}, {'date': 'Apr 16, 2018', 'age': '18', 'clubName': 'Sporting CP', 'clubID': '336', 'value': '€4.00m'}, {'date': 'Jun 13, 2018', 'age': '19', 'clubName': 'Sporting CP', 'clubID': '336', 'value': '€6.00m'}, {'date': 'Dec 17, 2018', 'age': '19', 'clubName': 'LOSC Lille', 'clubID': '1082', 'value': '€6.00m'}, {'date': 'Mar 7, 2019', 'age': '19', 'clubName': 'LOSC Lille', 'clubID': '1082', 'value': '€12.00m'}, {'date': 'Jun 3, 2019', 'age': '19', 'clubName': 'LOSC Lille', 'clubID': '1082', 'value': '€15.00m'}, {'date': 'Oct 8, 2019', 'age': '20', 'clubName': 'AC Milan', 'clubID': '5', 'value': '€22.00m'}, {'date': 'Dec 12, 2019', 'age': '20', 'clubName': 'AC Milan', 'clubID': '5', 'value': '€22.00m'}, {'date': 'Apr 8, 2020', 'age': '20', 'clubName': 'AC Milan', 'clubID': '5', 'value': '€20.00m'}, {'date': 'Aug 25, 2020', 'age': '21', 'clubName': 'AC Milan', 'clubID': '5', 'value': '€24.00m'}, {'date': 'Oct 29, 2020', 'age': '21', 'clubName': 'AC Milan', 'clubID': '5', 'value': '€28.00m'}, {'date': 'Dec 29, 2020', 'age': '21', 'clubName': 'AC Milan', 'clubID': '5', 'value': '€28.00m'}, {'date': 'Jun 3, 2021', 'age': '21', 'clubName': 'AC Milan', 'clubID': '5', 'value': '€25.00m'}, {'date': 'Dec 28, 2021', 'age': '22', 'clubName': 'AC Milan', 'clubID': '5', 'value': '€35.00m'}, {'date': 'Mar 15, 2022', 'age': '22', 'clubName': 'AC Milan', 'clubID': '5', 'value': '€50.00m'}, {'date': 'Jun 7, 2022', 'age': '22', 'clubName': 'AC Milan', 'clubID': '5', 'value': '€70.00m'}, {'date': 'Nov 11, 2022', 'age': '23', 'clubName': 'AC Milan', 'clubID': '5', 'value': '€85.00m'}, {'date': 'Mar 21, 2023', 'age': '23', 'clubName': 'AC Milan', 'clubID': '5', 'value': '€80.00m'}, {'date': 'Jun 15, 2023', 'age': '24', 'clubName': 'AC Milan', 'clubID': '5', 'value': '€90.00m'}, {'date': 'Dec 20, 2023', 'age': '24', 'clubName': 'AC Milan', 'clubID': '5', 'value': '€90.00m'}, {'date': 'Jun 5, 2024', 'age': '24', 'clubName': 'AC Milan', 'clubID': '5', 'value': '€90.00m'}, {'date': 'Oct 18, 2024', 'age': '25', 'clubName': 'AC Milan', 'clubID': '5', 'value': '€75.00m'}, {'date': 'Dec 18, 2024', 'age': '25', 'clubName': 'AC Milan', 'clubID': '5', 'value': '€75.00m'}, {'date': 'Jun 17, 2025', 'age': '26', 'clubName': 'AC Milan', 'clubID': '5', 'value': '€70.00m'}, {'date': 'Dec 23, 2025', 'age': '26', 'clubName': 'AC Milan', 'clubID': '5', 'value': '€70.00m'}, {'date': 'Mar 24, 2026', 'age': '26', 'clubName': 'AC Milan', 'clubID': '5', 'value': '€65.00m'}]}</t>
        </is>
      </c>
      <c r="L384" t="inlineStr">
        <is>
          <t>Portugal</t>
        </is>
      </c>
      <c r="M384" t="inlineStr">
        <is>
          <t>1999-06-10</t>
        </is>
      </c>
      <c r="N384" t="inlineStr">
        <is>
          <t>Portugal</t>
        </is>
      </c>
      <c r="O384">
        <f>(50+70+85)/3</f>
        <v/>
      </c>
      <c r="P384">
        <f>(25+35)/2</f>
        <v/>
      </c>
    </row>
    <row r="385">
      <c r="A385" t="inlineStr">
        <is>
          <t>Sutormin</t>
        </is>
      </c>
      <c r="B385" t="inlineStr">
        <is>
          <t>Zenit</t>
        </is>
      </c>
      <c r="C385" t="inlineStr">
        <is>
          <t>Midfielder</t>
        </is>
      </c>
      <c r="D385" t="n">
        <v>293</v>
      </c>
      <c r="E385" t="n">
        <v>4</v>
      </c>
      <c r="F385" t="n">
        <v>1</v>
      </c>
      <c r="G385" t="n">
        <v>0</v>
      </c>
      <c r="H385" t="n">
        <v>34.3</v>
      </c>
      <c r="I385" t="n">
        <v>30.9</v>
      </c>
      <c r="J385" t="n">
        <v>217033</v>
      </c>
      <c r="K385" t="inlineStr">
        <is>
          <t>{'marketValueHistory': [{'date': 'Apr 15, 2012', 'age': '18', 'clubName': 'Zenit St. Petersburg II', 'clubID': '6082', 'value': '€25k'}, {'date': 'Aug 26, 2015', 'age': '21', 'clubName': 'Volgar Astrakhan', 'clubID': '6432', 'value': '€100k'}, {'date': 'Jan 10, 2016', 'age': '22', 'clubName': 'Volgar Astrakhan', 'clubID': '6432', 'value': '€200k'}, {'date': 'Jul 1, 2016', 'age': '22', 'clubName': 'Volgar Astrakhan', 'clubID': '6432', 'value': '€250k'}, {'date': 'Dec 27, 2016', 'age': '22', 'clubName': 'Volgar Astrakhan', 'clubID': '6432', 'value': '€250k'}, {'date': 'Jun 1, 2017', 'age': '23', 'clubName': 'Volgar Astrakhan', 'clubID': '6432', 'value': '€350k'}, {'date': 'Dec 5, 2017', 'age': '23', 'clubName': 'Volgar Astrakhan', 'clubID': '6432', 'value': '€500k'}, {'date': 'Jun 6, 2018', 'age': '24', 'clubName': 'FC Orenburg', 'clubID': '14589', 'value': '€750k'}, {'date': 'Dec 20, 2018', 'age': '24', 'clubName': 'FC Orenburg', 'clubID': '14589', 'value': '€1.50m'}, {'date': 'Apr 24, 2019', 'age': '25', 'clubName': 'FC Orenburg', 'clubID': '14589', 'value': '€2.50m'}, {'date': 'Jun 14, 2019', 'age': '25', 'clubName': 'FC Orenburg', 'clubID': '14589', 'value': '€3.50m'}, {'date': 'Dec 23, 2019', 'age': '25', 'clubName': 'Zenit St. Petersburg', 'clubID': '964', 'value': '€3.00m'}, {'date': 'Apr 8, 2020', 'age': '26', 'clubName': 'Zenit St. Petersburg', 'clubID': '964', 'value': '€2.40m'}, {'date': 'Jul 29, 2020', 'age': '26', 'clubName': 'Zenit St. Petersburg', 'clubID': '964', 'value': '€2.00m'}, {'date': 'Dec 29, 2020', 'age': '26', 'clubName': 'Zenit St. Petersburg', 'clubID': '964', 'value': '€2.50m'}, {'date': 'Jun 2, 2021', 'age': '27', 'clubName': 'Zenit St. Petersburg', 'clubID': '964', 'value': '€2.50m'}, {'date': 'Dec 29, 2021', 'age': '27', 'clubName': 'Zenit St. Petersburg', 'clubID': '964', 'value': '€3.00m'}, {'date': 'Jun 2, 2022', 'age': '28', 'clubName': 'Zenit St. Petersburg', 'clubID': '964', 'value': '€3.00m'}, {'date': 'Nov 21, 2022', 'age': '28', 'clubName': 'Zenit St. Petersburg', 'clubID': '964', 'value': '€2.50m'}, {'date': 'Apr 13, 2023', 'age': '29', 'clubName': 'Zenit St. Petersburg', 'clubID': '964', 'value': '€2.00m'}, {'date': 'Jun 14, 2023', 'age': '29', 'clubName': 'Zenit St. Petersburg', 'clubID': '964', 'value': '€1.80m'}, {'date': 'Dec 13, 2023', 'age': '29', 'clubName': 'Zenit St. Petersburg', 'clubID': '964', 'value': '€1.50m'}, {'date': 'Jun 4, 2024', 'age': '30', 'clubName': 'FC Sochi', 'clubID': '41231', 'value': '€1.20m'}, {'date': 'Sep 18, 2024', 'age': '30', 'clubName': 'FC Rostov', 'clubID': '1083', 'value': '€1.50m'}, {'date': 'Dec 12, 2024', 'age': '30', 'clubName': 'FC Rostov', 'clubID': '1083', 'value': '€1.20m'}, {'date': 'Jun 4, 2025', 'age': '31', 'clubName': 'FC Rostov', 'clubID': '1083', 'value': '€1.00m'}, {'date': 'Dec 16, 2025', 'age': '31', 'clubName': 'Krylya Sovetov Samara', 'clubID': '2696', 'value': '€800k'}]}</t>
        </is>
      </c>
      <c r="L385" t="inlineStr">
        <is>
          <t>Russia</t>
        </is>
      </c>
      <c r="M385" t="inlineStr">
        <is>
          <t>1994-01-10</t>
        </is>
      </c>
      <c r="N385" t="inlineStr">
        <is>
          <t>Russia</t>
        </is>
      </c>
      <c r="O385">
        <f>(3+2.5)/2</f>
        <v/>
      </c>
      <c r="P385">
        <f>(2.5+3)/2</f>
        <v/>
      </c>
    </row>
    <row r="386">
      <c r="A386" t="inlineStr">
        <is>
          <t>Alex Telles</t>
        </is>
      </c>
      <c r="B386" t="inlineStr">
        <is>
          <t>Man United</t>
        </is>
      </c>
      <c r="C386" t="inlineStr">
        <is>
          <t>Defender</t>
        </is>
      </c>
      <c r="D386" t="n">
        <v>293</v>
      </c>
      <c r="E386" t="n">
        <v>4</v>
      </c>
      <c r="F386" t="n">
        <v>1</v>
      </c>
      <c r="G386" t="n">
        <v>0</v>
      </c>
      <c r="H386" t="n">
        <v>33.5</v>
      </c>
      <c r="I386" t="n">
        <v>32.7</v>
      </c>
      <c r="J386" t="n">
        <v>255755</v>
      </c>
      <c r="K386" t="inlineStr">
        <is>
          <t>{'id': '255755', 'marketValue': '€7.00m', 'marketValueHistory': [{'age': '20', 'date': 'Feb 15, 2013', 'clubName': 'Grêmio Foot-Ball Porto Alegrense', 'value': '€250k', 'clubID': '210'}, {'age': '20', 'date': 'Aug 26, 2013', 'clubName': 'Grêmio Foot-Ball Porto Alegrense', 'value': '€1.50m', 'clubID': '210'}, {'age': '21', 'date': 'Jan 27, 2014', 'clubName': 'Galatasaray', 'value': '€6.00m', 'clubID': '141'}, {'age': '21', 'date': 'Aug 11, 2014', 'clubName': 'Galatasaray', 'value': '€7.00m', 'clubID': '141'}, {'age': '22', 'date': 'Jan 26, 2015', 'clubName': 'Galatasaray', 'value': '€6.00m', 'clubID': '141'}, {'age': '22', 'date': 'Jun 25, 2015', 'clubName': 'Galatasaray', 'value': '€6.50m', 'clubID': '141'}, {'age': '23', 'date': 'Jan 4, 2016', 'clubName': 'Inter Milan', 'value': '€8.50m', 'clubID': '46'}, {'age': '23', 'date': 'Jul 29, 2016', 'clubName': 'FC Porto', 'value': '€8.00m', 'clubID': '720'}, {'age': '24', 'date': 'Feb 22, 2017', 'clubName': 'FC Porto', 'value': '€9.00m', 'clubID': '720'}, {'age': '24', 'date': 'Jun 26, 2017', 'clubName': 'FC Porto', 'value': '€9.00m', 'clubID': '720'}, {'age': '25', 'date': 'Feb 7, 2018', 'clubName': 'FC Porto', 'value': '€16.00m', 'clubID': '720'}, {'age': '25', 'date': 'Jun 13, 2018', 'clubName': 'FC Porto', 'value': '€25.00m', 'clubID': '720'}, {'age': '26', 'date': 'Jan 11, 2019', 'clubName': 'FC Porto', 'value': '€30.00m', 'clubID': '720'}, {'age': '26', 'date': 'Jun 7, 2019', 'clubName': 'FC Porto', 'value': '€35.00m', 'clubID': '720'}, {'age': '27', 'date': 'Dec 30, 2019', 'clubName': 'FC Porto', 'value': '€40.00m', 'clubID': '720'}, {'age': '27', 'date': 'Apr 8, 2020', 'clubName': 'FC Porto', 'value': '€32.00m', 'clubID': '720'}, {'age': '27', 'date': 'Aug 17, 2020', 'clubName': 'FC Porto', 'value': '€40.00m', 'clubID': '720'}, {'age': '27', 'date': 'Oct 13, 2020', 'clubName': 'Manchester United', 'value': '€40.00m', 'clubID': '985'}, {'age': '28', 'date': 'Dec 17, 2020', 'clubName': 'Manchester United', 'value': '€35.00m', 'clubID': '985'}, {'age': '28', 'date': 'Mar 18, 2021', 'clubName': 'Manchester United', 'value': '€28.00m', 'clubID': '985'}, {'age': '28', 'date': 'Jun 8, 2021', 'clubName': 'Manchester United', 'value': '€20.00m', 'clubID': '985'}, {'age': '29', 'date': 'Dec 23, 2021', 'clubName': 'Manchester United', 'value': '€18.00m', 'clubID': '985'}, {'age': '29', 'date': 'Jun 15, 2022', 'clubName': 'Manchester United', 'value': '€18.00m', 'clubID': '985'}, {'age': '29', 'date': 'Nov 7, 2022', 'clubName': 'Sevilla FC', 'value': '€14.00m', 'clubID': '368'}, {'age': '30', 'date': 'Mar 23, 2023', 'clubName': 'Sevilla FC', 'value': '€12.00m', 'clubID': '368'}, {'age': '30', 'date': 'Jun 13, 2023', 'clubName': 'Sevilla FC', 'value': '€7.50m', 'clubID': '368'}, {'age': '30', 'date': 'Oct 24, 2023', 'clubName': 'Al-Nassr FC', 'value': '€7.00m', 'clubID': '18544'}, {'age': '31', 'date': 'Dec 15, 2023', 'clubName': 'Al-Nassr FC', 'value': '€7.00m', 'clubID': '18544'}], 'ranking': {'Worldwide': '1.420', 'Saudi Pro League': '35', 'Al-Nassr': '7', 'Brazil': '118', 'Left-Back': '84', 'Year 1992': '44'}, 'updatedAt': datetime.datetime(2024, 5, 23, 22, 23, 31, 774442)}</t>
        </is>
      </c>
      <c r="L386" t="inlineStr">
        <is>
          <t>Brazil</t>
        </is>
      </c>
      <c r="M386" t="inlineStr">
        <is>
          <t>1992-12-15</t>
        </is>
      </c>
      <c r="N386" t="inlineStr">
        <is>
          <t>12</t>
        </is>
      </c>
      <c r="O386">
        <f>(18+14)/2</f>
        <v/>
      </c>
      <c r="P386">
        <f>(28+20+18)/3</f>
        <v/>
      </c>
    </row>
    <row r="387">
      <c r="A387" t="inlineStr">
        <is>
          <t>Bernardeschi</t>
        </is>
      </c>
      <c r="B387" t="inlineStr">
        <is>
          <t>Juventus</t>
        </is>
      </c>
      <c r="C387" t="inlineStr">
        <is>
          <t>Midfielder</t>
        </is>
      </c>
      <c r="D387" t="n">
        <v>292</v>
      </c>
      <c r="E387" t="n">
        <v>5</v>
      </c>
      <c r="F387" t="n">
        <v>0</v>
      </c>
      <c r="G387" t="n">
        <v>2</v>
      </c>
      <c r="H387" t="n">
        <v>36.3</v>
      </c>
      <c r="I387" t="n">
        <v>31.3</v>
      </c>
      <c r="J387" t="n">
        <v>197300</v>
      </c>
      <c r="K387" t="inlineStr">
        <is>
          <t>{'marketValueHistory': [{'date': '04/11/2011', 'age': '17', 'clubName': 'Fiorentina Primavera', 'clubID': '430', 'value': '€75k'}, {'date': '29/02/2012', 'age': '18', 'clubName': 'Fiorentina Primavera', 'clubID': '430', 'value': '€100k'}, {'date': '06/06/2013', 'age': '19', 'clubName': 'Fiorentina Primavera', 'clubID': '430', 'value': '€200k'}, {'date': '29/01/2014', 'age': '19', 'clubName': 'FC Crotone', 'clubID': '4083', 'value': '€1.20m'}, {'date': '15/07/2014', 'age': '20', 'clubName': 'ACF Fiorentina', 'clubID': '430', 'value': '€3.00m'}, {'date': '08/11/2014', 'age': '20', 'clubName': 'ACF Fiorentina', 'clubID': '430', 'value': '€4.50m'}, {'date': '07/01/2015', 'age': '20', 'clubName': 'ACF Fiorentina', 'clubID': '430', 'value': '€4.50m'}, {'date': '01/07/2015', 'age': '21', 'clubName': 'ACF Fiorentina', 'clubID': '430', 'value': '€4.50m'}, {'date': '05/11/2015', 'age': '21', 'clubName': 'ACF Fiorentina', 'clubID': '430', 'value': '€6.00m'}, {'date': '04/01/2016', 'age': '21', 'clubName': 'ACF Fiorentina', 'clubID': '430', 'value': '€15.00m'}, {'date': '01/06/2016', 'age': '22', 'clubName': 'ACF Fiorentina', 'clubID': '430', 'value': '€16.00m'}, {'date': '15/07/2016', 'age': '22', 'clubName': 'ACF Fiorentina', 'clubID': '430', 'value': '€16.00m'}, {'date': '02/01/2017', 'age': '22', 'clubName': 'ACF Fiorentina', 'clubID': '430', 'value': '€24.00m'}, {'date': '08/06/2017', 'age': '23', 'clubName': 'ACF Fiorentina', 'clubID': '430', 'value': '€30.00m'}, {'date': '29/12/2017', 'age': '23', 'clubName': 'Juventus FC', 'clubID': '506', 'value': '€30.00m'}, {'date': '24/03/2018', 'age': '24', 'clubName': 'Juventus FC', 'clubID': '506', 'value': '€40.00m'}, {'date': '07/06/2018', 'age': '24', 'clubName': 'Juventus FC', 'clubID': '506', 'value': '€40.00m'}, {'date': '12/10/2018', 'age': '24', 'clubName': 'Juventus FC', 'clubID': '506', 'value': '€45.00m'}, {'date': '20/12/2018', 'age': '24', 'clubName': 'Juventus FC', 'clubID': '506', 'value': '€45.00m'}, {'date': '06/06/2019', 'age': '25', 'clubName': 'Juventus FC', 'clubID': '506', 'value': '€45.00m'}, {'date': '12/12/2019', 'age': '25', 'clubName': 'Juventus FC', 'clubID': '506', 'value': '€40.00m'}, {'date': '03/03/2020', 'age': '26', 'clubName': 'Juventus FC', 'clubID': '506', 'value': '€35.00m'}, {'date': '08/04/2020', 'age': '26', 'clubName': 'Juventus FC', 'clubID': '506', 'value': '€28.00m'}, {'date': '25/08/2020', 'age': '26', 'clubName': 'Juventus FC', 'clubID': '506', 'value': '€25.00m'}, {'date': '29/12/2020', 'age': '26', 'clubName': 'Juventus FC', 'clubID': '506', 'value': '€20.00m'}, {'date': '25/05/2021', 'age': '27', 'clubName': 'Juventus FC', 'clubID': '506', 'value': '€15.00m'}, {'date': '28/12/2021', 'age': '27', 'clubName': 'Juventus FC', 'clubID': '506', 'value': '€15.00m'}, {'date': '07/06/2022', 'age': '28', 'clubName': 'Juventus FC', 'clubID': '506', 'value': '€10.00m'}, {'date': '18/08/2022', 'age': '28', 'clubName': 'Toronto FC', 'clubID': '11141', 'value': '€8.00m'}, {'date': '08/11/2022', 'age': '28', 'clubName': 'Toronto FC', 'clubID': '11141', 'value': '€8.00m'}, {'date': '22/08/2023', 'age': '29', 'clubName': 'Toronto FC', 'clubID': '11141', 'value': '€6.00m'}, {'date': '18/12/2023', 'age': '29', 'clubName': 'Toronto FC', 'clubID': '11141', 'value': '€5.00m'}, {'date': '13/06/2024', 'age': '30', 'clubName': 'Toronto FC', 'clubID': '11141', 'value': '€4.50m'}, {'date': '12/12/2024', 'age': '30', 'clubName': 'Toronto FC', 'clubID': '11141', 'value': '€4.00m'}, {'date': '05/06/2025', 'age': '31', 'clubName': 'Toronto FC', 'clubID': '11141', 'value': '€3.50m'}, {'date': '23/12/2025', 'age': '31', 'clubName': 'Bologna FC 1909', 'clubID': '1025', 'value': '€3.50m'}]}</t>
        </is>
      </c>
      <c r="L387" t="inlineStr">
        <is>
          <t>Italy</t>
        </is>
      </c>
      <c r="M387" t="inlineStr">
        <is>
          <t>1994-02-16</t>
        </is>
      </c>
      <c r="N387" t="inlineStr">
        <is>
          <t>Italy</t>
        </is>
      </c>
      <c r="O387">
        <f>(10+8+8)/3</f>
        <v/>
      </c>
      <c r="P387">
        <f>(15+15)/2</f>
        <v/>
      </c>
    </row>
    <row r="388">
      <c r="A388" t="inlineStr">
        <is>
          <t>Adams</t>
        </is>
      </c>
      <c r="B388" t="inlineStr">
        <is>
          <t>Leipzig</t>
        </is>
      </c>
      <c r="C388" t="inlineStr">
        <is>
          <t>Midfielder</t>
        </is>
      </c>
      <c r="D388" t="n">
        <v>292</v>
      </c>
      <c r="E388" t="n">
        <v>5</v>
      </c>
      <c r="F388" t="n">
        <v>0</v>
      </c>
      <c r="G388" t="n">
        <v>0</v>
      </c>
      <c r="H388" t="n">
        <v>38.9</v>
      </c>
      <c r="I388" t="n">
        <v>33.3</v>
      </c>
      <c r="J388" t="n">
        <v>332705</v>
      </c>
      <c r="K388" t="inlineStr">
        <is>
          <t>{'marketValueHistory': [{'date': 'Mar 1, 2016', 'age': '17', 'clubName': 'New York Red Bulls', 'clubID': '623', 'value': '€50k'}, {'date': 'Dec 15, 2016', 'age': '17', 'clubName': 'New York Red Bulls', 'clubID': '623', 'value': '€100k'}, {'date': 'May 24, 2017', 'age': '18', 'clubName': 'New York Red Bulls', 'clubID': '623', 'value': '€500k'}, {'date': 'Dec 5, 2017', 'age': '18', 'clubName': 'New York Red Bulls', 'clubID': '623', 'value': '€800k'}, {'date': 'May 2, 2018', 'age': '19', 'clubName': 'New York Red Bulls', 'clubID': '623', 'value': '€800k'}, {'date': 'Aug 15, 2018', 'age': '19', 'clubName': 'New York Red Bulls', 'clubID': '623', 'value': '€1.00m'}, {'date': 'Dec 15, 2018', 'age': '19', 'clubName': 'New York Red Bulls', 'clubID': '623', 'value': '€4.50m'}, {'date': 'Jun 5, 2019', 'age': '20', 'clubName': 'RB Leipzig', 'clubID': '23826', 'value': '€13.00m'}, {'date': 'Dec 17, 2019', 'age': '20', 'clubName': 'RB Leipzig', 'clubID': '23826', 'value': '€13.00m'}, {'date': 'Apr 8, 2020', 'age': '21', 'clubName': 'RB Leipzig', 'clubID': '23826', 'value': '€11.50m'}, {'date': 'Jul 8, 2020', 'age': '21', 'clubName': 'RB Leipzig', 'clubID': '23826', 'value': '€14.00m'}, {'date': 'Sep 16, 2020', 'age': '21', 'clubName': 'RB Leipzig', 'clubID': '23826', 'value': '€16.00m'}, {'date': 'Feb 10, 2021', 'age': '21', 'clubName': 'RB Leipzig', 'clubID': '23826', 'value': '€20.00m'}, {'date': 'Jun 9, 2021', 'age': '22', 'clubName': 'RB Leipzig', 'clubID': '23826', 'value': '€20.00m'}, {'date': 'Dec 22, 2021', 'age': '22', 'clubName': 'RB Leipzig', 'clubID': '23826', 'value': '€20.00m'}, {'date': 'Mar 24, 2022', 'age': '23', 'clubName': 'RB Leipzig', 'clubID': '23826', 'value': '€17.00m'}, {'date': 'Jun 9, 2022', 'age': '23', 'clubName': 'RB Leipzig', 'clubID': '23826', 'value': '€17.00m'}, {'date': 'Nov 3, 2022', 'age': '23', 'clubName': 'Leeds United', 'clubID': '399', 'value': '€17.00m'}, {'date': 'Mar 16, 2023', 'age': '24', 'clubName': 'Leeds United', 'clubID': '399', 'value': '€20.00m'}, {'date': 'Jun 20, 2023', 'age': '24', 'clubName': 'Leeds United', 'clubID': '399', 'value': '€18.00m'}, {'date': 'Oct 9, 2023', 'age': '24', 'clubName': 'AFC Bournemouth', 'clubID': '989', 'value': '€20.00m'}, {'date': 'Dec 19, 2023', 'age': '24', 'clubName': 'AFC Bournemouth', 'clubID': '989', 'value': '€18.00m'}, {'date': 'May 27, 2024', 'age': '25', 'clubName': 'AFC Bournemouth', 'clubID': '989', 'value': '€15.00m'}, {'date': 'Dec 16, 2024', 'age': '25', 'clubName': 'AFC Bournemouth', 'clubID': '989', 'value': '€15.00m'}, {'date': 'Mar 18, 2025', 'age': '26', 'clubName': 'AFC Bournemouth', 'clubID': '989', 'value': '€18.00m'}, {'date': 'May 30, 2025', 'age': '26', 'clubName': 'AFC Bournemouth', 'clubID': '989', 'value': '€18.00m'}, {'date': 'Oct 17, 2025', 'age': '26', 'clubName': 'AFC Bournemouth', 'clubID': '989', 'value': '€20.00m'}, {'date': 'Dec 9, 2025', 'age': '26', 'clubName': 'AFC Bournemouth', 'clubID': '989', 'value': '€25.00m'}]}</t>
        </is>
      </c>
      <c r="L388" t="inlineStr">
        <is>
          <t>United States</t>
        </is>
      </c>
      <c r="M388" t="inlineStr">
        <is>
          <t>1999-02-14</t>
        </is>
      </c>
      <c r="N388" t="inlineStr">
        <is>
          <t>United States</t>
        </is>
      </c>
      <c r="O388">
        <f>(17+17+17)/3</f>
        <v/>
      </c>
      <c r="P388">
        <f>(20+20+20)/3</f>
        <v/>
      </c>
    </row>
    <row r="389">
      <c r="A389" t="inlineStr">
        <is>
          <t>Hudson-Odoi</t>
        </is>
      </c>
      <c r="B389" t="inlineStr">
        <is>
          <t>Chelsea</t>
        </is>
      </c>
      <c r="C389" t="inlineStr">
        <is>
          <t>Forward</t>
        </is>
      </c>
      <c r="D389" t="n">
        <v>289</v>
      </c>
      <c r="E389" t="n">
        <v>5</v>
      </c>
      <c r="F389" t="n">
        <v>1</v>
      </c>
      <c r="G389" t="n">
        <v>2</v>
      </c>
      <c r="H389" t="n">
        <v>32.3</v>
      </c>
      <c r="I389" t="n">
        <v>32.2</v>
      </c>
      <c r="J389" t="n">
        <v>392768</v>
      </c>
      <c r="K389" t="inlineStr">
        <is>
          <t>{'id': '392768', 'marketValue': '€15.00m', 'marketValueHistory': [{'age': '18', 'date': 'Feb 15, 2019', 'clubName': 'Chelsea FC', 'value': '€25.00m', 'clubID': '631'}, {'age': '18', 'date': 'Jun 13, 2019', 'clubName': 'Chelsea FC', 'value': '€35.00m', 'clubID': '631'}, {'age': '19', 'date': 'Dec 10, 2019', 'clubName': 'Chelsea FC', 'value': '€35.00m', 'clubID': '631'}, {'age': '19', 'date': 'Apr 8, 2020', 'clubName': 'Chelsea FC', 'value': '€31.50m', 'clubID': '631'}, {'age': '19', 'date': 'Oct 13, 2020', 'clubName': 'Chelsea FC', 'value': '€35.00m', 'clubID': '631'}, {'age': '20', 'date': 'Mar 18, 2021', 'clubName': 'Chelsea FC', 'value': '€35.00m', 'clubID': '631'}, {'age': '20', 'date': 'Jun 8, 2021', 'clubName': 'Chelsea FC', 'value': '€32.00m', 'clubID': '631'}, {'age': '21', 'date': 'Dec 23, 2021', 'clubName': 'Chelsea FC', 'value': '€32.00m', 'clubID': '631'}, {'age': '21', 'date': 'Mar 29, 2022', 'clubName': 'Chelsea FC', 'value': '€30.00m', 'clubID': '631'}, {'age': '21', 'date': 'Jun 15, 2022', 'clubName': 'Chelsea FC', 'value': '€25.00m', 'clubID': '631'}, {'age': '22', 'date': 'Nov 9, 2022', 'clubName': 'Bayer 04 Leverkusen', 'value': '€25.00m', 'clubID': '15'}, {'age': '22', 'date': 'Mar 29, 2023', 'clubName': 'Bayer 04 Leverkusen', 'value': '€17.00m', 'clubID': '15'}, {'age': '22', 'date': 'Jun 22, 2023', 'clubName': 'Bayer 04 Leverkusen', 'value': '€15.00m', 'clubID': '15'}, {'age': '22', 'date': 'Oct 9, 2023', 'clubName': 'Nottingham Forest', 'value': '€12.00m', 'clubID': '703'}, {'age': '23', 'date': 'Dec 19, 2023', 'clubName': 'Nottingham Forest', 'value': '€12.00m', 'clubID': '703'}, {'age': '23', 'date': 'Mar 14, 2024', 'clubName': 'Nottingham Forest', 'value': '€15.00m', 'clubID': '703'}], 'ranking': {'Worldwide': '644', 'Premier League': '247', 'Nottm Forest': '12', 'England': '83', 'Left Winger': '63', 'Year 2000': '65'}, 'updatedAt': datetime.datetime(2024, 5, 23, 22, 20, 6, 624061)}</t>
        </is>
      </c>
      <c r="L389" t="inlineStr">
        <is>
          <t>United Kingdom</t>
        </is>
      </c>
      <c r="M389" t="inlineStr">
        <is>
          <t>2000-11-07</t>
        </is>
      </c>
      <c r="N389" t="inlineStr">
        <is>
          <t>England</t>
        </is>
      </c>
      <c r="O389">
        <f>(30+25+25)/3</f>
        <v/>
      </c>
      <c r="P389">
        <f>(35+32+32)/3</f>
        <v/>
      </c>
    </row>
    <row r="390">
      <c r="A390" t="inlineStr">
        <is>
          <t>Uribe</t>
        </is>
      </c>
      <c r="B390" t="inlineStr">
        <is>
          <t>FC Porto</t>
        </is>
      </c>
      <c r="C390" t="inlineStr">
        <is>
          <t>Midfielder</t>
        </is>
      </c>
      <c r="D390" t="n">
        <v>289</v>
      </c>
      <c r="E390" t="n">
        <v>4</v>
      </c>
      <c r="F390" t="n">
        <v>0</v>
      </c>
      <c r="G390" t="n">
        <v>0</v>
      </c>
      <c r="H390" t="n">
        <v>36.8</v>
      </c>
      <c r="I390" t="n">
        <v>31.9</v>
      </c>
      <c r="J390" t="n">
        <v>214538</v>
      </c>
      <c r="K390" t="inlineStr">
        <is>
          <t>{'id': '214538', 'marketValue': '€4.00m', 'marketValueHistory': [{'age': '24', 'date': 'Mar 15, 2016', 'clubName': 'Deportes Tolima', 'value': '€650k', 'clubID': '10503'}, {'age': '25', 'date': 'Jul 28, 2016', 'clubName': 'Atlético Nacional', 'value': '€800k', 'clubID': '8172'}, {'age': '25', 'date': 'Sep 1, 2016', 'clubName': 'Atlético Nacional', 'value': '€1.00m', 'clubID': '8172'}, {'age': '25', 'date': 'Nov 10, 2016', 'clubName': 'Atlético Nacional', 'value': '€1.25m', 'clubID': '8172'}, {'age': '25', 'date': 'Jan 31, 2017', 'clubName': 'Atlético Nacional', 'value': '€1.88m', 'clubID': '8172'}, {'age': '27', 'date': 'Apr 10, 2018', 'clubName': 'CF América', 'value': '€3.50m', 'clubID': '3631'}, {'age': '27', 'date': 'Aug 23, 2018', 'clubName': 'CF América', 'value': '€7.50m', 'clubID': '3631'}, {'age': '27', 'date': 'Feb 8, 2019', 'clubName': 'CF América', 'value': '€7.50m', 'clubID': '3631'}, {'age': '28', 'date': 'Oct 11, 2019', 'clubName': 'FC Porto', 'value': '€10.00m', 'clubID': '720'}, {'age': '28', 'date': 'Dec 30, 2019', 'clubName': 'FC Porto', 'value': '€10.00m', 'clubID': '720'}, {'age': '29', 'date': 'Apr 8, 2020', 'clubName': 'FC Porto', 'value': '€8.00m', 'clubID': '720'}, {'age': '29', 'date': 'Aug 17, 2020', 'clubName': 'FC Porto', 'value': '€9.00m', 'clubID': '720'}, {'age': '29', 'date': 'Jan 28, 2021', 'clubName': 'FC Porto', 'value': '€10.00m', 'clubID': '720'}, {'age': '30', 'date': 'Mar 25, 2021', 'clubName': 'FC Porto', 'value': '€12.00m', 'clubID': '720'}, {'age': '30', 'date': 'May 21, 2021', 'clubName': 'FC Porto', 'value': '€15.00m', 'clubID': '720'}, {'age': '30', 'date': 'Dec 27, 2021', 'clubName': 'FC Porto', 'value': '€16.00m', 'clubID': '720'}, {'age': '31', 'date': 'May 31, 2022', 'clubName': 'FC Porto', 'value': '€16.00m', 'clubID': '720'}, {'age': '31', 'date': 'Nov 1, 2022', 'clubName': 'FC Porto', 'value': '€12.00m', 'clubID': '720'}, {'age': '31', 'date': 'Mar 2, 2023', 'clubName': 'FC Porto', 'value': '€10.00m', 'clubID': '720'}, {'age': '32', 'date': 'Jun 16, 2023', 'clubName': 'FC Porto', 'value': '€6.00m', 'clubID': '720'}, {'age': '32', 'date': 'Nov 27, 2023', 'clubName': 'Al-Sadd SC', 'value': '€5.00m', 'clubID': '656'}, {'age': '33', 'date': 'May 2, 2024', 'clubName': 'Al-Sadd SC', 'value': '€4.00m', 'clubID': '656'}], 'ranking': {'Worldwide': '2.272', 'Stars League': '19', 'Al-Sadd SC': '4', 'Colombia': '28', 'Defensive Midfield': '211', 'Year 1991': '40'}, 'updatedAt': datetime.datetime(2024, 5, 23, 22, 18, 6, 984211)}</t>
        </is>
      </c>
      <c r="L390" t="inlineStr">
        <is>
          <t>Colombia</t>
        </is>
      </c>
      <c r="M390" t="inlineStr">
        <is>
          <t>1991-03-21</t>
        </is>
      </c>
      <c r="N390" t="inlineStr">
        <is>
          <t>Colombia</t>
        </is>
      </c>
      <c r="O390">
        <f>(16+12)/2</f>
        <v/>
      </c>
      <c r="P390">
        <f>(10+12+15+16)/4</f>
        <v/>
      </c>
    </row>
    <row r="391">
      <c r="A391" t="inlineStr">
        <is>
          <t>De Sciglio</t>
        </is>
      </c>
      <c r="B391" t="inlineStr">
        <is>
          <t>Juventus</t>
        </is>
      </c>
      <c r="C391" t="inlineStr">
        <is>
          <t>Defender</t>
        </is>
      </c>
      <c r="D391" t="n">
        <v>286</v>
      </c>
      <c r="E391" t="n">
        <v>4</v>
      </c>
      <c r="F391" t="n">
        <v>0</v>
      </c>
      <c r="G391" t="n">
        <v>1</v>
      </c>
      <c r="H391" t="n">
        <v>33.3</v>
      </c>
      <c r="I391" t="n">
        <v>33.1</v>
      </c>
      <c r="J391" t="n">
        <v>88682</v>
      </c>
      <c r="K391" t="inlineStr">
        <is>
          <t>{'id': '88682', 'marketValue': '€2.00m', 'marketValueHistory': [{'age': '17', 'date': 'Nov 17, 2009', 'clubName': 'Milan Primavera', 'value': '€50k', 'clubID': '10958'}, {'age': '18', 'date': 'Jun 5, 2011', 'clubName': 'Milan Primavera', 'value': '€150k', 'clubID': '10958'}, {'age': '19', 'date': 'Jan 11, 2012', 'clubName': 'AC Milan', 'value': '€500k', 'clubID': '5'}, {'age': '19', 'date': 'Jun 8, 2012', 'clubName': 'AC Milan', 'value': '€1.80m', 'clubID': '5'}, {'age': '20', 'date': 'Nov 7, 2012', 'clubName': 'AC Milan', 'value': '€3.50m', 'clubID': '5'}, {'age': '20', 'date': 'Jan 15, 2013', 'clubName': 'AC Milan', 'value': '€7.00m', 'clubID': '5'}, {'age': '20', 'date': 'Apr 9, 2013', 'clubName': 'AC Milan', 'value': '€9.00m', 'clubID': '5'}, {'age': '20', 'date': 'Jun 19, 2013', 'clubName': 'AC Milan', 'value': '€12.00m', 'clubID': '5'}, {'age': '21', 'date': 'Jan 7, 2014', 'clubName': 'AC Milan', 'value': '€12.00m', 'clubID': '5'}, {'age': '21', 'date': 'Jul 11, 2014', 'clubName': 'AC Milan', 'value': '€12.00m', 'clubID': '5'}, {'age': '22', 'date': 'Nov 8, 2014', 'clubName': 'AC Milan', 'value': '€10.00m', 'clubID': '5'}, {'age': '22', 'date': 'Jan 7, 2015', 'clubName': 'AC Milan', 'value': '€10.00m', 'clubID': '5'}, {'age': '22', 'date': 'Jul 1, 2015', 'clubName': 'AC Milan', 'value': '€7.50m', 'clubID': '5'}, {'age': '23', 'date': 'Jan 4, 2016', 'clubName': 'AC Milan', 'value': '€5.00m', 'clubID': '5'}, {'age': '23', 'date': 'Jun 1, 2016', 'clubName': 'AC Milan', 'value': '€5.00m', 'clubID': '5'}, {'age': '23', 'date': 'Jul 15, 2016', 'clubName': 'AC Milan', 'value': '€6.00m', 'clubID': '5'}, {'age': '24', 'date': 'Jan 2, 2017', 'clubName': 'AC Milan', 'value': '€8.50m', 'clubID': '5'}, {'age': '24', 'date': 'Jun 8, 2017', 'clubName': 'AC Milan', 'value': '€8.50m', 'clubID': '5'}, {'age': '25', 'date': 'Dec 29, 2017', 'clubName': 'Juventus FC', 'value': '€10.00m', 'clubID': '506'}, {'age': '25', 'date': 'Jun 7, 2018', 'clubName': 'Juventus FC', 'value': '€14.00m', 'clubID': '506'}, {'age': '26', 'date': 'Dec 20, 2018', 'clubName': 'Juventus FC', 'value': '€14.00m', 'clubID': '506'}, {'age': '26', 'date': 'Jun 6, 2019', 'clubName': 'Juventus FC', 'value': '€14.00m', 'clubID': '506'}, {'age': '27', 'date': 'Dec 12, 2019', 'clubName': 'Juventus FC', 'value': '€12.00m', 'clubID': '506'}, {'age': '27', 'date': 'Apr 8, 2020', 'clubName': 'Juventus FC', 'value': '€9.50m', 'clubID': '506'}, {'age': '27', 'date': 'Aug 25, 2020', 'clubName': 'Juventus FC', 'value': '€7.50m', 'clubID': '506'}, {'age': '27', 'date': 'Oct 15, 2020', 'clubName': 'Olympique Lyon', 'value': '€7.50m', 'clubID': '1041'}, {'age': '28', 'date': 'Jun 4, 2021', 'clubName': 'Olympique Lyon', 'value': '€7.50m', 'clubID': '1041'}, {'age': '29', 'date': 'Dec 28, 2021', 'clubName': 'Juventus FC', 'value': '€6.00m', 'clubID': '506'}, {'age': '29', 'date': 'Jun 7, 2022', 'clubName': 'Juventus FC', 'value': '€6.00m', 'clubID': '506'}, {'age': '30', 'date': 'Nov 11, 2022', 'clubName': 'Juventus FC', 'value': '€4.50m', 'clubID': '506'}, {'age': '30', 'date': 'Jun 15, 2023', 'clubName': 'Juventus FC', 'value': '€3.00m', 'clubID': '506'}, {'age': '31', 'date': 'Dec 20, 2023', 'clubName': 'Juventus FC', 'value': '€2.00m', 'clubID': '506'}], 'ranking': {'Worldwide': '4.041', 'Serie A': '379', 'Juventus': '24', 'Italy': '168', 'Right-Back': '278', 'Year 1992': '146'}, 'updatedAt': datetime.datetime(2024, 5, 23, 22, 31, 43, 122842)}</t>
        </is>
      </c>
      <c r="L391" t="inlineStr">
        <is>
          <t>Italy</t>
        </is>
      </c>
      <c r="M391" t="inlineStr">
        <is>
          <t>1992-10-20</t>
        </is>
      </c>
      <c r="N391" t="inlineStr">
        <is>
          <t>40</t>
        </is>
      </c>
      <c r="O391">
        <f>(6+4.5)/2</f>
        <v/>
      </c>
      <c r="P391">
        <f>(7.5+6)/2</f>
        <v/>
      </c>
    </row>
    <row r="392">
      <c r="A392" t="inlineStr">
        <is>
          <t>M. Olsson</t>
        </is>
      </c>
      <c r="B392" t="inlineStr">
        <is>
          <t>Malmo</t>
        </is>
      </c>
      <c r="C392" t="inlineStr">
        <is>
          <t>Defender</t>
        </is>
      </c>
      <c r="D392" t="n">
        <v>284</v>
      </c>
      <c r="E392" t="n">
        <v>6</v>
      </c>
      <c r="F392" t="n">
        <v>0</v>
      </c>
      <c r="G392" t="n">
        <v>0</v>
      </c>
      <c r="H392" t="n">
        <v>34.5</v>
      </c>
      <c r="I392" t="n">
        <v>30</v>
      </c>
      <c r="J392" t="n">
        <v>38073</v>
      </c>
      <c r="K392" t="inlineStr">
        <is>
          <t>{'marketValueHistory': [{'date': '15/02/2006', 'age': '17', 'clubName': 'Blackburn Rovers U18', 'clubID': '6949', 'value': '€50k'}, {'date': '15/01/2008', 'age': '19', 'clubName': 'Blackburn Rovers', 'clubID': '164', 'value': '€300k'}, {'date': '23/02/2009', 'age': '20', 'clubName': 'Blackburn Rovers', 'clubID': '164', 'value': '€600k'}, {'date': '25/06/2009', 'age': '21', 'clubName': 'Blackburn Rovers', 'clubID': '164', 'value': '€800k'}, {'date': '24/01/2010', 'age': '21', 'clubName': 'Blackburn Rovers', 'clubID': '164', 'value': '€750k'}, {'date': '13/08/2010', 'age': '22', 'clubName': 'Blackburn Rovers', 'clubID': '164', 'value': '€1.50m'}, {'date': '01/02/2011', 'age': '22', 'clubName': 'Blackburn Rovers', 'clubID': '164', 'value': '€2.00m'}, {'date': '08/08/2011', 'age': '23', 'clubName': 'Blackburn Rovers', 'clubID': '164', 'value': '€3.00m'}, {'date': '06/02/2012', 'age': '23', 'clubName': 'Blackburn Rovers', 'clubID': '164', 'value': '€3.50m'}, {'date': '24/06/2012', 'age': '24', 'clubName': 'Blackburn Rovers', 'clubID': '164', 'value': '€4.50m'}, {'date': '02/03/2013', 'age': '24', 'clubName': 'Blackburn Rovers', 'clubID': '164', 'value': '€4.50m'}, {'date': '11/07/2013', 'age': '25', 'clubName': 'Norwich City', 'clubID': '1123', 'value': '€4.00m'}, {'date': '18/09/2013', 'age': '25', 'clubName': 'Norwich City', 'clubID': '1123', 'value': '€3.00m'}, {'date': '15/01/2014', 'age': '25', 'clubName': 'Norwich City', 'clubID': '1123', 'value': '€4.00m'}, {'date': '24/02/2015', 'age': '26', 'clubName': 'Norwich City', 'clubID': '1123', 'value': '€4.00m'}, {'date': '01/07/2015', 'age': '27', 'clubName': 'Norwich City', 'clubID': '1123', 'value': '€4.00m'}, {'date': '09/02/2016', 'age': '27', 'clubName': 'Norwich City', 'clubID': '1123', 'value': '€4.00m'}, {'date': '01/06/2016', 'age': '28', 'clubName': 'Norwich City', 'clubID': '1123', 'value': '€3.50m'}, {'date': '01/09/2016', 'age': '28', 'clubName': 'Norwich City', 'clubID': '1123', 'value': '€3.50m'}, {'date': '20/02/2017', 'age': '28', 'clubName': 'Swansea City', 'clubID': '2288', 'value': '€4.00m'}, {'date': '28/06/2017', 'age': '29', 'clubName': 'Swansea City', 'clubID': '2288', 'value': '€5.00m'}, {'date': '02/01/2018', 'age': '29', 'clubName': 'Swansea City', 'clubID': '2288', 'value': '€5.00m'}, {'date': '28/05/2018', 'age': '30', 'clubName': 'Swansea City', 'clubID': '2288', 'value': '€5.00m'}, {'date': '27/02/2019', 'age': '30', 'clubName': 'Swansea City', 'clubID': '2288', 'value': '€4.00m'}, {'date': '28/06/2019', 'age': '31', 'clubName': 'Swansea City', 'clubID': '2288', 'value': '€2.50m'}, {'date': '08/04/2020', 'age': '31', 'clubName': 'Helsingborgs IF', 'clubID': '699', 'value': '€2.00m'}, {'date': '05/08/2020', 'age': '32', 'clubName': 'Helsingborgs IF', 'clubID': '699', 'value': '€1.20m'}, {'date': '10/12/2020', 'age': '32', 'clubName': 'Helsingborgs IF', 'clubID': '699', 'value': '€800k'}, {'date': '31/05/2021', 'age': '33', 'clubName': 'BK Häcken', 'clubID': '1109', 'value': '€700k'}, {'date': '17/12/2021', 'age': '33', 'clubName': 'Malmö FF', 'clubID': '496', 'value': '€600k'}, {'date': '24/06/2022', 'age': '34', 'clubName': 'Malmö FF', 'clubID': '496', 'value': '€400k'}, {'date': '14/12/2022', 'age': '34', 'clubName': 'Malmö FF', 'clubID': '496', 'value': '€300k'}, {'date': '27/06/2023', 'age': '35', 'clubName': 'Malmö FF', 'clubID': '496', 'value': '€300k'}, {'date': '08/12/2023', 'age': '35', 'clubName': 'Malmö FF', 'clubID': '496', 'value': '€300k'}, {'date': '13/06/2024', 'age': '36', 'clubName': 'Malmö FF', 'clubID': '496', 'value': '€250k'}, {'date': '20/12/2024', 'age': '36', 'clubName': 'Malmö FF', 'clubID': '496', 'value': '€200k'}, {'date': '18/06/2025', 'age': '37', 'clubName': 'Malmö FF', 'clubID': '496', 'value': '€150k'}, {'date': '19/11/2025', 'age': '37', 'clubName': 'Malmö FF', 'clubID': '496', 'value': '€125k'}, {'date': '09/04/2026', 'age': '37', 'clubName': 'Without Club', 'clubID': '515', 'value': '€100k'}]}</t>
        </is>
      </c>
      <c r="L392" t="inlineStr">
        <is>
          <t>Sweden</t>
        </is>
      </c>
      <c r="M392" t="inlineStr">
        <is>
          <t>1988-05-17</t>
        </is>
      </c>
      <c r="N392" t="inlineStr">
        <is>
          <t>Sweden</t>
        </is>
      </c>
      <c r="O392">
        <f>(0.4+0.3)/2</f>
        <v/>
      </c>
      <c r="P392">
        <f>(0.7+0.6)/2</f>
        <v/>
      </c>
    </row>
    <row r="393">
      <c r="A393" t="inlineStr">
        <is>
          <t>Dimarco</t>
        </is>
      </c>
      <c r="B393" t="inlineStr">
        <is>
          <t>Inter</t>
        </is>
      </c>
      <c r="C393" t="inlineStr">
        <is>
          <t>Defender</t>
        </is>
      </c>
      <c r="D393" t="n">
        <v>283</v>
      </c>
      <c r="E393" t="n">
        <v>7</v>
      </c>
      <c r="F393" t="n">
        <v>0</v>
      </c>
      <c r="G393" t="n">
        <v>0</v>
      </c>
      <c r="H393" t="n">
        <v>36.3</v>
      </c>
      <c r="I393" t="n">
        <v>32.5</v>
      </c>
      <c r="J393" t="n">
        <v>198116</v>
      </c>
      <c r="K393" t="inlineStr">
        <is>
          <t>{'marketValueHistory': [{'date': '16/09/2014', 'age': '16', 'clubName': 'Inter Milan Primavera', 'clubID': '46', 'value': '€150k'}, {'date': '02/03/2015', 'age': '17', 'clubName': 'Inter Milan Primavera', 'clubID': '46', 'value': '€200k'}, {'date': '17/06/2015', 'age': '17', 'clubName': 'Inter Milan Primavera', 'clubID': '46', 'value': '€300k'}, {'date': '05/11/2015', 'age': '17', 'clubName': 'Inter Milan', 'clubID': '46', 'value': '€600k'}, {'date': '04/01/2016', 'age': '18', 'clubName': 'Inter Milan', 'clubID': '46', 'value': '€600k'}, {'date': '13/06/2016', 'age': '18', 'clubName': 'Ascoli Picchio', 'clubID': '408', 'value': '€1.30m'}, {'date': '02/01/2017', 'age': '19', 'clubName': 'FC Empoli', 'clubID': '749', 'value': '€1.50m'}, {'date': '08/06/2017', 'age': '19', 'clubName': 'FC Empoli', 'clubID': '749', 'value': '€2.00m'}, {'date': '08/01/2018', 'age': '20', 'clubName': 'FC Sion', 'clubID': '321', 'value': '€2.00m'}, {'date': '24/04/2018', 'age': '20', 'clubName': 'FC Sion', 'clubID': '321', 'value': '€2.00m'}, {'date': '12/10/2018', 'age': '20', 'clubName': 'Parma Calcio 1913', 'clubID': '130', 'value': '€3.50m'}, {'date': '20/12/2018', 'age': '21', 'clubName': 'Parma Calcio 1913', 'clubID': '130', 'value': '€3.50m'}, {'date': '06/06/2019', 'age': '21', 'clubName': 'Parma Calcio 1913', 'clubID': '130', 'value': '€5.00m'}, {'date': '12/12/2019', 'age': '22', 'clubName': 'Inter Milan', 'clubID': '46', 'value': '€5.00m'}, {'date': '08/04/2020', 'age': '22', 'clubName': 'Hellas Verona', 'clubID': '276', 'value': '€4.00m'}, {'date': '25/08/2020', 'age': '22', 'clubName': 'Hellas Verona', 'clubID': '276', 'value': '€4.50m'}, {'date': '29/12/2020', 'age': '23', 'clubName': 'Hellas Verona', 'clubID': '276', 'value': '€7.00m'}, {'date': '23/03/2021', 'age': '23', 'clubName': 'Hellas Verona', 'clubID': '276', 'value': '€10.00m'}, {'date': '03/06/2021', 'age': '23', 'clubName': 'Hellas Verona', 'clubID': '276', 'value': '€10.00m'}, {'date': '14/10/2021', 'age': '23', 'clubName': 'Inter Milan', 'clubID': '46', 'value': '€13.00m'}, {'date': '28/12/2021', 'age': '24', 'clubName': 'Inter Milan', 'clubID': '46', 'value': '€16.00m'}, {'date': '07/06/2022', 'age': '24', 'clubName': 'Inter Milan', 'clubID': '46', 'value': '€18.00m'}, {'date': '11/11/2022', 'age': '25', 'clubName': 'Inter Milan', 'clubID': '46', 'value': '€25.00m'}, {'date': '15/06/2023', 'age': '25', 'clubName': 'Inter Milan', 'clubID': '46', 'value': '€35.00m'}, {'date': '11/10/2023', 'age': '25', 'clubName': 'Inter Milan', 'clubID': '46', 'value': '€45.00m'}, {'date': '20/12/2023', 'age': '26', 'clubName': 'Inter Milan', 'clubID': '46', 'value': '€50.00m'}, {'date': '05/06/2024', 'age': '26', 'clubName': 'Inter Milan', 'clubID': '46', 'value': '€50.00m'}, {'date': '18/12/2024', 'age': '27', 'clubName': 'Inter Milan', 'clubID': '46', 'value': '€60.00m'}, {'date': '17/06/2025', 'age': '27', 'clubName': 'Inter Milan', 'clubID': '46', 'value': '€50.00m'}, {'date': '23/12/2025', 'age': '28', 'clubName': 'Inter Milan', 'clubID': '46', 'value': '€50.00m'}]}</t>
        </is>
      </c>
      <c r="L393" t="inlineStr">
        <is>
          <t>Italy</t>
        </is>
      </c>
      <c r="M393" t="inlineStr">
        <is>
          <t>1997-10-11</t>
        </is>
      </c>
      <c r="N393" t="inlineStr">
        <is>
          <t>Italy</t>
        </is>
      </c>
      <c r="O393">
        <f>(18+25)/2</f>
        <v/>
      </c>
      <c r="P393">
        <f>(10+10+13+16)/4</f>
        <v/>
      </c>
    </row>
    <row r="394">
      <c r="A394" t="inlineStr">
        <is>
          <t>Capaldo</t>
        </is>
      </c>
      <c r="B394" t="inlineStr">
        <is>
          <t>Salzburg</t>
        </is>
      </c>
      <c r="C394" t="inlineStr">
        <is>
          <t>Midfielder</t>
        </is>
      </c>
      <c r="D394" t="n">
        <v>281</v>
      </c>
      <c r="E394" t="n">
        <v>7</v>
      </c>
      <c r="F394" t="n">
        <v>0</v>
      </c>
      <c r="G394" t="n">
        <v>0</v>
      </c>
      <c r="H394" t="n">
        <v>36.9</v>
      </c>
      <c r="I394" t="n">
        <v>34.8</v>
      </c>
      <c r="J394" t="n">
        <v>649672</v>
      </c>
      <c r="K394" t="inlineStr">
        <is>
          <t>{'marketValueHistory': [{'date': 'Aug 6, 2019', 'age': '20', 'clubName': 'CA Boca Juniors', 'clubID': '189', 'value': '€500k'}, {'date': 'Dec 5, 2019', 'age': '21', 'clubName': 'CA Boca Juniors', 'clubID': '189', 'value': '€2.50m'}, {'date': 'Apr 8, 2020', 'age': '21', 'clubName': 'CA Boca Juniors', 'clubID': '189', 'value': '€2.30m'}, {'date': 'Feb 8, 2021', 'age': '22', 'clubName': 'CA Boca Juniors', 'clubID': '189', 'value': '€5.00m'}, {'date': 'Dec 16, 2021', 'age': '23', 'clubName': 'Red Bull Salzburg', 'clubID': '409', 'value': '€6.50m'}, {'date': 'May 27, 2022', 'age': '23', 'clubName': 'Red Bull Salzburg', 'clubID': '409', 'value': '€6.50m'}, {'date': 'Sep 20, 2022', 'age': '24', 'clubName': 'Red Bull Salzburg', 'clubID': '409', 'value': '€8.00m'}, {'date': 'Nov 10, 2022', 'age': '24', 'clubName': 'Red Bull Salzburg', 'clubID': '409', 'value': '€8.00m'}, {'date': 'Jun 12, 2023', 'age': '24', 'clubName': 'Red Bull Salzburg', 'clubID': '409', 'value': '€8.00m'}, {'date': 'Dec 11, 2023', 'age': '25', 'clubName': 'Red Bull Salzburg', 'clubID': '409', 'value': '€8.00m'}, {'date': 'May 21, 2024', 'age': '25', 'clubName': 'Red Bull Salzburg', 'clubID': '409', 'value': '€5.00m'}, {'date': 'Dec 17, 2024', 'age': '26', 'clubName': 'Red Bull Salzburg', 'clubID': '409', 'value': '€5.00m'}, {'date': 'Jun 6, 2025', 'age': '26', 'clubName': 'Red Bull Salzburg', 'clubID': '409', 'value': '€5.00m'}, {'date': 'Oct 14, 2025', 'age': '27', 'clubName': 'Hamburger SV', 'clubID': '41', 'value': '€4.00m'}, {'date': 'Dec 19, 2025', 'age': '27', 'clubName': 'Hamburger SV', 'clubID': '41', 'value': '€4.00m'}, {'date': 'Mar 20, 2026', 'age': '27', 'clubName': 'Hamburger SV', 'clubID': '41', 'value': '€5.00m'}]}</t>
        </is>
      </c>
      <c r="L394" t="inlineStr">
        <is>
          <t>Argentina</t>
        </is>
      </c>
      <c r="M394" t="inlineStr">
        <is>
          <t>1998-09-14</t>
        </is>
      </c>
      <c r="N394" t="inlineStr">
        <is>
          <t>9</t>
        </is>
      </c>
      <c r="O394">
        <f>(6.5+8+8)/3</f>
        <v/>
      </c>
      <c r="P394">
        <f>(5+6.5)/2</f>
        <v/>
      </c>
    </row>
    <row r="395">
      <c r="A395" t="inlineStr">
        <is>
          <t>Pena</t>
        </is>
      </c>
      <c r="B395" t="inlineStr">
        <is>
          <t>Malmo</t>
        </is>
      </c>
      <c r="C395" t="inlineStr">
        <is>
          <t>Midfielder</t>
        </is>
      </c>
      <c r="D395" t="n">
        <v>281</v>
      </c>
      <c r="E395" t="n">
        <v>5</v>
      </c>
      <c r="F395" t="n">
        <v>0</v>
      </c>
      <c r="G395" t="n">
        <v>0</v>
      </c>
      <c r="H395" t="n">
        <v>32.5</v>
      </c>
      <c r="I395" t="n">
        <v>28.6</v>
      </c>
      <c r="J395" t="n">
        <v>350219</v>
      </c>
      <c r="K395" t="inlineStr">
        <is>
          <t>{'marketValueHistory': [{'date': 'Sep 20, 2015', 'age': '19', 'clubName': 'Real Betis B', 'clubID': '150', 'value': '€200k'}, {'date': 'Sep 30, 2015', 'age': '19', 'clubName': 'Real Betis B', 'clubID': '150', 'value': '-'}, {'date': 'Feb 22, 2016', 'age': '19', 'clubName': 'Real Betis B', 'clubID': '150', 'value': '€500k'}, {'date': 'Jul 15, 2016', 'age': '20', 'clubName': 'Real Betis Balompié', 'clubID': '150', 'value': '€500k'}, {'date': 'Jan 24, 2017', 'age': '20', 'clubName': 'Elche CF', 'clubID': '1531', 'value': '€500k'}, {'date': 'Jun 29, 2017', 'age': '21', 'clubName': 'Elche CF', 'clubID': '1531', 'value': '€500k'}, {'date': 'Jan 1, 2018', 'age': '21', 'clubName': 'Real Betis Balompié', 'clubID': '150', 'value': '€7.50m'}, {'date': 'Mar 22, 2018', 'age': '21', 'clubName': 'Real Betis Balompié', 'clubID': '150', 'value': '€15.00m'}, {'date': 'May 30, 2018', 'age': '22', 'clubName': 'Real Betis Balompié', 'clubID': '150', 'value': '€20.00m'}, {'date': 'Oct 12, 2018', 'age': '22', 'clubName': 'SSC Napoli', 'clubID': '6195', 'value': '€25.00m'}, {'date': 'Dec 20, 2018', 'age': '22', 'clubName': 'SSC Napoli', 'clubID': '6195', 'value': '€32.00m'}, {'date': 'Mar 1, 2019', 'age': '22', 'clubName': 'SSC Napoli', 'clubID': '6195', 'value': '€40.00m'}, {'date': 'Jun 6, 2019', 'age': '23', 'clubName': 'SSC Napoli', 'clubID': '6195', 'value': '€50.00m'}, {'date': 'Oct 8, 2019', 'age': '23', 'clubName': 'SSC Napoli', 'clubID': '6195', 'value': '€60.00m'}, {'date': 'Dec 12, 2019', 'age': '23', 'clubName': 'SSC Napoli', 'clubID': '6195', 'value': '€60.00m'}, {'date': 'Apr 8, 2020', 'age': '24', 'clubName': 'SSC Napoli', 'clubID': '6195', 'value': '€48.00m'}, {'date': 'Aug 25, 2020', 'age': '24', 'clubName': 'SSC Napoli', 'clubID': '6195', 'value': '€50.00m'}, {'date': 'Dec 29, 2020', 'age': '24', 'clubName': 'SSC Napoli', 'clubID': '6195', 'value': '€48.00m'}, {'date': 'Mar 23, 2021', 'age': '24', 'clubName': 'SSC Napoli', 'clubID': '6195', 'value': '€44.00m'}, {'date': 'May 31, 2021', 'age': '25', 'clubName': 'SSC Napoli', 'clubID': '6195', 'value': '€45.00m'}, {'date': 'Dec 28, 2021', 'age': '25', 'clubName': 'SSC Napoli', 'clubID': '6195', 'value': '€55.00m'}, {'date': 'Jun 7, 2022', 'age': '26', 'clubName': 'SSC Napoli', 'clubID': '6195', 'value': '€55.00m'}, {'date': 'Sep 19, 2022', 'age': '26', 'clubName': 'Paris Saint-Germain', 'clubID': '583', 'value': '€45.00m'}, {'date': 'Nov 2, 2022', 'age': '26', 'clubName': 'Paris Saint-Germain', 'clubID': '583', 'value': '€45.00m'}, {'date': 'Mar 27, 2023', 'age': '26', 'clubName': 'Paris Saint-Germain', 'clubID': '583', 'value': '€38.00m'}, {'date': 'Jun 27, 2023', 'age': '27', 'clubName': 'Paris Saint-Germain', 'clubID': '583', 'value': '€32.00m'}, {'date': 'Oct 16, 2023', 'age': '27', 'clubName': 'Paris Saint-Germain', 'clubID': '583', 'value': '€30.00m'}, {'date': 'Dec 18, 2023', 'age': '27', 'clubName': 'Paris Saint-Germain', 'clubID': '583', 'value': '€30.00m'}, {'date': 'Jun 3, 2024', 'age': '28', 'clubName': 'Paris Saint-Germain', 'clubID': '583', 'value': '€30.00m'}, {'date': 'Jul 18, 2024', 'age': '28', 'clubName': 'Paris Saint-Germain', 'clubID': '583', 'value': '€35.00m'}, {'date': 'Dec 10, 2024', 'age': '28', 'clubName': 'Paris Saint-Germain', 'clubID': '583', 'value': '€35.00m'}, {'date': 'Jun 3, 2025', 'age': '29', 'clubName': 'Paris Saint-Germain', 'clubID': '583', 'value': '€40.00m'}, {'date': 'Dec 15, 2025', 'age': '29', 'clubName': 'Paris Saint-Germain', 'clubID': '583', 'value': '€40.00m'}]}</t>
        </is>
      </c>
      <c r="L395" t="inlineStr">
        <is>
          <t>Spain</t>
        </is>
      </c>
      <c r="M395" t="inlineStr">
        <is>
          <t>1996-04-03</t>
        </is>
      </c>
      <c r="N395" t="inlineStr">
        <is>
          <t>41</t>
        </is>
      </c>
      <c r="O395">
        <f>(55+45+45)/3</f>
        <v/>
      </c>
      <c r="P395">
        <f>(44+45+55)/3</f>
        <v/>
      </c>
    </row>
    <row r="396">
      <c r="A396" t="inlineStr">
        <is>
          <t>Dzyuba</t>
        </is>
      </c>
      <c r="B396" t="inlineStr">
        <is>
          <t>Zenit</t>
        </is>
      </c>
      <c r="C396" t="inlineStr">
        <is>
          <t>Forward</t>
        </is>
      </c>
      <c r="D396" t="n">
        <v>277</v>
      </c>
      <c r="E396" t="n">
        <v>6</v>
      </c>
      <c r="F396" t="n">
        <v>0</v>
      </c>
      <c r="G396" t="n">
        <v>1</v>
      </c>
      <c r="H396" t="n">
        <v>31.2</v>
      </c>
      <c r="I396" t="n">
        <v>29.9</v>
      </c>
      <c r="J396" t="n">
        <v>48067</v>
      </c>
      <c r="K396" t="inlineStr">
        <is>
          <t>{'marketValueHistory': [{'date': 'Mar 29, 2007', 'age': '18', 'clubName': 'Spartak Moscow', 'clubID': '232', 'value': '€600k'}, {'date': 'Nov 26, 2007', 'age': '19', 'clubName': 'Spartak Moscow', 'clubID': '232', 'value': '€500k'}, {'date': 'Sep 9, 2008', 'age': '20', 'clubName': 'Spartak Moscow', 'clubID': '232', 'value': '€2.00m'}, {'date': 'Dec 10, 2008', 'age': '20', 'clubName': 'Spartak Moscow', 'clubID': '232', 'value': '€1.00m'}, {'date': 'Aug 10, 2009', 'age': '20', 'clubName': 'Tom Tomsk', 'clubID': '3691', 'value': '€500k'}, {'date': 'Dec 17, 2009', 'age': '21', 'clubName': 'Tom Tomsk', 'clubID': '3691', 'value': '€750k'}, {'date': 'Mar 13, 2010', 'age': '21', 'clubName': 'Spartak Moscow', 'clubID': '232', 'value': '€700k'}, {'date': 'Feb 3, 2011', 'age': '22', 'clubName': 'Spartak Moscow', 'clubID': '232', 'value': '€1.50m'}, {'date': 'Jul 21, 2011', 'age': '22', 'clubName': 'Spartak Moscow', 'clubID': '232', 'value': '€2.00m'}, {'date': 'Dec 9, 2011', 'age': '23', 'clubName': 'Spartak Moscow', 'clubID': '232', 'value': '€3.20m'}, {'date': 'Jul 4, 2012', 'age': '23', 'clubName': 'Spartak Moscow', 'clubID': '232', 'value': '€5.00m'}, {'date': 'Jan 13, 2013', 'age': '24', 'clubName': 'Spartak Moscow', 'clubID': '232', 'value': '€5.00m'}, {'date': 'Jun 19, 2013', 'age': '24', 'clubName': 'Spartak Moscow', 'clubID': '232', 'value': '€4.50m'}, {'date': 'Mar 28, 2014', 'age': '25', 'clubName': 'FC Rostov', 'clubID': '1083', 'value': '€5.00m'}, {'date': 'Jul 31, 2014', 'age': '25', 'clubName': 'Spartak Moscow', 'clubID': '232', 'value': '€6.00m'}, {'date': 'Feb 23, 2015', 'age': '26', 'clubName': 'Spartak Moscow', 'clubID': '232', 'value': '€7.50m'}, {'date': 'Jun 18, 2015', 'age': '26', 'clubName': 'FC Rostov', 'clubID': '1083', 'value': '€6.00m'}, {'date': 'Jan 6, 2016', 'age': '27', 'clubName': 'Zenit St. Petersburg', 'clubID': '964', 'value': '€9.00m'}, {'date': 'Jun 1, 2016', 'age': '27', 'clubName': 'Zenit St. Petersburg', 'clubID': '964', 'value': '€10.00m'}, {'date': 'Jul 1, 2016', 'age': '27', 'clubName': 'Zenit St. Petersburg', 'clubID': '964', 'value': '€8.00m'}, {'date': 'Dec 27, 2016', 'age': '28', 'clubName': 'Zenit St. Petersburg', 'clubID': '964', 'value': '€9.00m'}, {'date': 'Jun 1, 2017', 'age': '28', 'clubName': 'Zenit St. Petersburg', 'clubID': '964', 'value': '€9.00m'}, {'date': 'Oct 2, 2017', 'age': '29', 'clubName': 'Zenit St. Petersburg', 'clubID': '964', 'value': '€8.00m'}, {'date': 'Dec 23, 2017', 'age': '29', 'clubName': 'Zenit St. Petersburg', 'clubID': '964', 'value': '€6.00m'}, {'date': 'Jun 6, 2018', 'age': '29', 'clubName': 'Arsenal Tula', 'clubID': '3729', 'value': '€7.00m'}, {'date': 'Jul 15, 2018', 'age': '29', 'clubName': 'Zenit St. Petersburg', 'clubID': '964', 'value': '€10.00m'}, {'date': 'Oct 15, 2018', 'age': '30', 'clubName': 'Zenit St. Petersburg', 'clubID': '964', 'value': '€11.00m'}, {'date': 'Dec 20, 2018', 'age': '30', 'clubName': 'Zenit St. Petersburg', 'clubID': '964', 'value': '€13.00m'}, {'date': 'Jun 14, 2019', 'age': '30', 'clubName': 'Zenit St. Petersburg', 'clubID': '964', 'value': '€16.00m'}, {'date': 'Dec 23, 2019', 'age': '31', 'clubName': 'Zenit St. Petersburg', 'clubID': '964', 'value': '€16.00m'}, {'date': 'Apr 8, 2020', 'age': '31', 'clubName': 'Zenit St. Petersburg', 'clubID': '964', 'value': '€13.00m'}, {'date': 'Jul 29, 2020', 'age': '31', 'clubName': 'Zenit St. Petersburg', 'clubID': '964', 'value': '€12.00m'}, {'date': 'Dec 29, 2020', 'age': '32', 'clubName': 'Zenit St. Petersburg', 'clubID': '964', 'value': '€12.00m'}, {'date': 'May 26, 2021', 'age': '32', 'clubName': 'Zenit St. Petersburg', 'clubID': '964', 'value': '€11.00m'}, {'date': 'Sep 15, 2021', 'age': '33', 'clubName': 'Zenit St. Petersburg', 'clubID': '964', 'value': '€10.00m'}, {'date': 'Dec 29, 2021', 'age': '33', 'clubName': 'Zenit St. Petersburg', 'clubID': '964', 'value': '€9.00m'}, {'date': 'Jun 2, 2022', 'age': '33', 'clubName': 'Zenit St. Petersburg', 'clubID': '964', 'value': '€6.00m'}, {'date': 'Oct 27, 2022', 'age': '34', 'clubName': 'Adana Demirspor', 'clubID': '3840', 'value': '€4.00m'}, {'date': 'Jun 14, 2023', 'age': '34', 'clubName': 'Lokomotiv Moscow', 'clubID': '932', 'value': '€3.50m'}, {'date': 'Dec 13, 2023', 'age': '35', 'clubName': 'Lokomotiv Moscow', 'clubID': '932', 'value': '€3.00m'}, {'date': 'Mar 20, 2024', 'age': '35', 'clubName': 'Lokomotiv Moscow', 'clubID': '932', 'value': '€2.80m'}, {'date': 'Jun 4, 2024', 'age': '35', 'clubName': 'Lokomotiv Moscow', 'clubID': '932', 'value': '€2.00m'}, {'date': 'Dec 12, 2024', 'age': '36', 'clubName': 'Akron Tolyatti', 'clubID': '71985', 'value': '€1.80m'}, {'date': 'Jun 4, 2025', 'age': '36', 'clubName': 'Akron Tolyatti', 'clubID': '71985', 'value': '€1.50m'}, {'date': 'Dec 16, 2025', 'age': '37', 'clubName': 'Akron Tolyatti', 'clubID': '71985', 'value': '€1.20m'}]}</t>
        </is>
      </c>
      <c r="L396" t="inlineStr">
        <is>
          <t>Russia</t>
        </is>
      </c>
      <c r="M396" t="inlineStr">
        <is>
          <t>1988-08-22</t>
        </is>
      </c>
      <c r="N396" t="inlineStr">
        <is>
          <t>Russia</t>
        </is>
      </c>
      <c r="O396">
        <f>(6+4)/2</f>
        <v/>
      </c>
      <c r="P396">
        <f>(11+10+9)/3</f>
        <v/>
      </c>
    </row>
    <row r="397">
      <c r="A397" t="inlineStr">
        <is>
          <t>Rakitic</t>
        </is>
      </c>
      <c r="B397" t="inlineStr">
        <is>
          <t>Sevilla</t>
        </is>
      </c>
      <c r="C397" t="inlineStr">
        <is>
          <t>Midfielder</t>
        </is>
      </c>
      <c r="D397" t="n">
        <v>276</v>
      </c>
      <c r="E397" t="n">
        <v>5</v>
      </c>
      <c r="F397" t="n">
        <v>2</v>
      </c>
      <c r="G397" t="n">
        <v>1</v>
      </c>
      <c r="H397" t="n">
        <v>36.4</v>
      </c>
      <c r="I397" t="n">
        <v>29.2</v>
      </c>
      <c r="J397" t="n">
        <v>32467</v>
      </c>
      <c r="K397" t="inlineStr">
        <is>
          <t>{'marketValueHistory': [{'date': 'Aug 21, 2005', 'age': '17', 'clubName': 'FC Basel 1893', 'clubID': '26', 'value': '€150k'}, {'date': 'Dec 30, 2005', 'age': '17', 'clubName': 'FC Basel 1893', 'clubID': '26', 'value': '€250k'}, {'date': 'Oct 16, 2006', 'age': '18', 'clubName': 'FC Basel 1893', 'clubID': '26', 'value': '€500k'}, {'date': 'May 25, 2007', 'age': '19', 'clubName': 'FC Basel 1893', 'clubID': '26', 'value': '€1.00m'}, {'date': 'Jun 22, 2007', 'age': '19', 'clubName': 'FC Basel 1893', 'clubID': '26', 'value': '€5.00m'}, {'date': 'Jan 1, 2008', 'age': '19', 'clubName': 'FC Schalke 04', 'clubID': '33', 'value': '€4.50m'}, {'date': 'Jun 4, 2008', 'age': '20', 'clubName': 'FC Schalke 04', 'clubID': '33', 'value': '€6.00m'}, {'date': 'Jul 3, 2008', 'age': '20', 'clubName': 'FC Schalke 04', 'clubID': '33', 'value': '€8.50m'}, {'date': 'Jan 21, 2009', 'age': '20', 'clubName': 'FC Schalke 04', 'clubID': '33', 'value': '€7.50m'}, {'date': 'Jun 13, 2010', 'age': '22', 'clubName': 'FC Schalke 04', 'clubID': '33', 'value': '€9.00m'}, {'date': 'Jan 12, 2011', 'age': '22', 'clubName': 'FC Schalke 04', 'clubID': '33', 'value': '€9.00m'}, {'date': 'Apr 1, 2011', 'age': '23', 'clubName': 'Sevilla FC', 'clubID': '368', 'value': '€10.00m'}, {'date': 'Jul 29, 2011', 'age': '23', 'clubName': 'Sevilla FC', 'clubID': '368', 'value': '€10.00m'}, {'date': 'Feb 3, 2012', 'age': '23', 'clubName': 'Sevilla FC', 'clubID': '368', 'value': '€9.00m'}, {'date': 'Aug 7, 2012', 'age': '24', 'clubName': 'Sevilla FC', 'clubID': '368', 'value': '€8.00m'}, {'date': 'Jan 11, 2013', 'age': '24', 'clubName': 'Sevilla FC', 'clubID': '368', 'value': '€10.00m'}, {'date': 'Jun 12, 2013', 'age': '25', 'clubName': 'Sevilla FC', 'clubID': '368', 'value': '€15.00m'}, {'date': 'Jan 23, 2014', 'age': '25', 'clubName': 'Sevilla FC', 'clubID': '368', 'value': '€20.00m'}, {'date': 'Jul 20, 2014', 'age': '26', 'clubName': 'FC Barcelona', 'clubID': '131', 'value': '€30.00m'}, {'date': 'Jan 23, 2015', 'age': '26', 'clubName': 'FC Barcelona', 'clubID': '131', 'value': '€30.00m'}, {'date': 'Jul 1, 2015', 'age': '27', 'clubName': 'FC Barcelona', 'clubID': '131', 'value': '€40.00m'}, {'date': 'Feb 22, 2016', 'age': '27', 'clubName': 'FC Barcelona', 'clubID': '131', 'value': '€45.00m'}, {'date': 'Jun 1, 2016', 'age': '28', 'clubName': 'FC Barcelona', 'clubID': '131', 'value': '€50.00m'}, {'date': 'Jul 15, 2016', 'age': '28', 'clubName': 'FC Barcelona', 'clubID': '131', 'value': '€50.00m'}, {'date': 'Jan 24, 2017', 'age': '28', 'clubName': 'FC Barcelona', 'clubID': '131', 'value': '€45.00m'}, {'date': 'Jun 5, 2017', 'age': '29', 'clubName': 'FC Barcelona', 'clubID': '131', 'value': '€45.00m'}, {'date': 'Jan 1, 2018', 'age': '29', 'clubName': 'FC Barcelona', 'clubID': '131', 'value': '€45.00m'}, {'date': 'Mar 22, 2018', 'age': '30', 'clubName': 'FC Barcelona', 'clubID': '131', 'value': '€50.00m'}, {'date': 'May 30, 2018', 'age': '30', 'clubName': 'FC Barcelona', 'clubID': '131', 'value': '€50.00m'}, {'date': 'Oct 31, 2018', 'age': '30', 'clubName': 'FC Barcelona', 'clubID': '131', 'value': '€70.00m'}, {'date': 'Dec 21, 2018', 'age': '30', 'clubName': 'FC Barcelona', 'clubID': '131', 'value': '€65.00m'}, {'date': 'Feb 28, 2019', 'age': '30', 'clubName': 'FC Barcelona', 'clubID': '131', 'value': '€50.00m'}, {'date': 'Jun 11, 2019', 'age': '31', 'clubName': 'FC Barcelona', 'clubID': '131', 'value': '€40.00m'}, {'date': 'Sep 10, 2019', 'age': '31', 'clubName': 'FC Barcelona', 'clubID': '131', 'value': '€35.00m'}, {'date': 'Dec 20, 2019', 'age': '31', 'clubName': 'FC Barcelona', 'clubID': '131', 'value': '€25.00m'}, {'date': 'Apr 8, 2020', 'age': '32', 'clubName': 'FC Barcelona', 'clubID': '131', 'value': '€20.00m'}, {'date': 'Oct 8, 2020', 'age': '32', 'clubName': 'Sevilla FC', 'clubID': '368', 'value': '€10.00m'}, {'date': 'Jan 5, 2021', 'age': '32', 'clubName': 'Sevilla FC', 'clubID': '368', 'value': '€10.00m'}, {'date': 'Jun 10, 2021', 'age': '33', 'clubName': 'Sevilla FC', 'clubID': '368', 'value': '€10.00m'}, {'date': 'Dec 30, 2021', 'age': '33', 'clubName': 'Sevilla FC', 'clubID': '368', 'value': '€7.00m'}, {'date': 'Jun 3, 2022', 'age': '34', 'clubName': 'Sevilla FC', 'clubID': '368', 'value': '€7.00m'}, {'date': 'Nov 7, 2022', 'age': '34', 'clubName': 'Sevilla FC', 'clubID': '368', 'value': '€4.00m'}, {'date': 'Jun 13, 2023', 'age': '35', 'clubName': 'Sevilla FC', 'clubID': '368', 'value': '€4.00m'}, {'date': 'Dec 22, 2023', 'age': '35', 'clubName': 'Sevilla FC', 'clubID': '368', 'value': '€4.00m'}, {'date': 'Jun 4, 2024', 'age': '36', 'clubName': 'Al-Shabab FC', 'clubID': '9840', 'value': '€3.50m'}, {'date': 'Dec 23, 2024', 'age': '36', 'clubName': 'HNK Hajduk Split', 'clubID': '447', 'value': '€2.50m'}, {'date': 'Mar 31, 2025', 'age': '37', 'clubName': 'HNK Hajduk Split', 'clubID': '447', 'value': '€2.00m'}, {'date': 'Jun 9, 2025', 'age': '37', 'clubName': 'HNK Hajduk Split', 'clubID': '447', 'value': '€1.50m'}, {'date': 'Jul 2, 2025', 'age': '37', 'clubName': 'HNK Hajduk Split', 'clubID': '447', 'value': '-'}]}</t>
        </is>
      </c>
      <c r="L397" t="inlineStr">
        <is>
          <t>Switzerland</t>
        </is>
      </c>
      <c r="M397" t="inlineStr">
        <is>
          <t>1988-03-10</t>
        </is>
      </c>
      <c r="N397" t="inlineStr">
        <is>
          <t>106</t>
        </is>
      </c>
      <c r="O397">
        <f>(7+4)/2</f>
        <v/>
      </c>
      <c r="P397">
        <f>(10+10+7)/3</f>
        <v/>
      </c>
    </row>
    <row r="398">
      <c r="A398" t="inlineStr">
        <is>
          <t>Larsson</t>
        </is>
      </c>
      <c r="B398" t="inlineStr">
        <is>
          <t>Malmo</t>
        </is>
      </c>
      <c r="C398" t="inlineStr">
        <is>
          <t>Defender</t>
        </is>
      </c>
      <c r="D398" t="n">
        <v>275</v>
      </c>
      <c r="E398" t="n">
        <v>4</v>
      </c>
      <c r="F398" t="n">
        <v>0</v>
      </c>
      <c r="G398" t="n">
        <v>0</v>
      </c>
      <c r="H398" t="n">
        <v>32</v>
      </c>
      <c r="I398" t="n">
        <v>29.7</v>
      </c>
      <c r="J398" t="n">
        <v>931838</v>
      </c>
      <c r="K398" t="inlineStr">
        <is>
          <t>{'marketValueHistory': [{'date': '24/06/2022', 'age': '17', 'clubName': 'Malmö FF', 'clubID': '496', 'value': '€1.50m'}, {'date': '02/09/2022', 'age': '18', 'clubName': 'Malmö FF', 'clubID': '496', 'value': '€2.00m'}, {'date': '14/12/2022', 'age': '18', 'clubName': 'Malmö FF', 'clubID': '496', 'value': '€4.00m'}, {'date': '27/06/2023', 'age': '19', 'clubName': 'Malmö FF', 'clubID': '496', 'value': '€9.00m'}, {'date': '18/10/2023', 'age': '19', 'clubName': 'Eintracht Frankfurt', 'clubID': '24', 'value': '€17.00m'}, {'date': '14/12/2023', 'age': '19', 'clubName': 'Eintracht Frankfurt', 'clubID': '24', 'value': '€28.00m'}, {'date': '29/05/2024', 'age': '19', 'clubName': 'Eintracht Frankfurt', 'clubID': '24', 'value': '€28.00m'}, {'date': '20/12/2024', 'age': '20', 'clubName': 'Eintracht Frankfurt', 'clubID': '24', 'value': '€35.00m'}, {'date': '27/03/2025', 'age': '20', 'clubName': 'Eintracht Frankfurt', 'clubID': '24', 'value': '€40.00m'}, {'date': '05/06/2025', 'age': '20', 'clubName': 'Eintracht Frankfurt', 'clubID': '24', 'value': '€40.00m'}, {'date': '19/12/2025', 'age': '21', 'clubName': 'Eintracht Frankfurt', 'clubID': '24', 'value': '€40.00m'}, {'date': '20/03/2026', 'age': '21', 'clubName': 'Eintracht Frankfurt', 'clubID': '24', 'value': '€32.00m'}]}</t>
        </is>
      </c>
      <c r="L398" t="inlineStr">
        <is>
          <t>Sweden</t>
        </is>
      </c>
      <c r="M398" t="inlineStr">
        <is>
          <t>2004-06-27</t>
        </is>
      </c>
      <c r="N398" t="inlineStr">
        <is>
          <t>Sweden</t>
        </is>
      </c>
      <c r="O398">
        <f>(1.5+2+4)/3</f>
        <v/>
      </c>
    </row>
    <row r="399">
      <c r="A399" t="inlineStr">
        <is>
          <t>Chukwueze</t>
        </is>
      </c>
      <c r="B399" t="inlineStr">
        <is>
          <t>Villarreal</t>
        </is>
      </c>
      <c r="C399" t="inlineStr">
        <is>
          <t>Forward</t>
        </is>
      </c>
      <c r="D399" t="n">
        <v>273</v>
      </c>
      <c r="E399" t="n">
        <v>9</v>
      </c>
      <c r="F399" t="n">
        <v>2</v>
      </c>
      <c r="G399" t="n">
        <v>0</v>
      </c>
      <c r="H399" t="n">
        <v>37</v>
      </c>
      <c r="I399" t="n">
        <v>31.9</v>
      </c>
      <c r="J399" t="n">
        <v>401922</v>
      </c>
      <c r="K399" t="inlineStr">
        <is>
          <t>{'marketValueHistory': [{'date': '30/06/2018', 'age': '19', 'clubName': 'Villarreal CF U19', 'clubID': '28868', 'value': '€500k'}, {'date': '21/12/2018', 'age': '19', 'clubName': 'Villarreal CF', 'clubID': '1050', 'value': '€5.00m'}, {'date': '28/02/2019', 'age': '19', 'clubName': 'Villarreal CF', 'clubID': '1050', 'value': '€10.00m'}, {'date': '11/06/2019', 'age': '20', 'clubName': 'Villarreal CF', 'clubID': '1050', 'value': '€30.00m'}, {'date': '20/12/2019', 'age': '20', 'clubName': 'Villarreal CF', 'clubID': '1050', 'value': '€30.00m'}, {'date': '08/04/2020', 'age': '20', 'clubName': 'Villarreal CF', 'clubID': '1050', 'value': '€27.00m'}, {'date': '08/10/2020', 'age': '21', 'clubName': 'Villarreal CF', 'clubID': '1050', 'value': '€25.00m'}, {'date': '05/01/2021', 'age': '21', 'clubName': 'Villarreal CF', 'clubID': '1050', 'value': '€20.00m'}, {'date': '10/06/2021', 'age': '22', 'clubName': 'Villarreal CF', 'clubID': '1050', 'value': '€20.00m'}, {'date': '30/12/2021', 'age': '22', 'clubName': 'Villarreal CF', 'clubID': '1050', 'value': '€20.00m'}, {'date': '03/06/2022', 'age': '23', 'clubName': 'Villarreal CF', 'clubID': '1050', 'value': '€20.00m'}, {'date': '07/11/2022', 'age': '23', 'clubName': 'Villarreal CF', 'clubID': '1050', 'value': '€20.00m'}, {'date': '13/06/2023', 'age': '24', 'clubName': 'Villarreal CF', 'clubID': '1050', 'value': '€25.00m'}, {'date': '20/12/2023', 'age': '24', 'clubName': 'AC Milan', 'clubID': '5', 'value': '€23.00m'}, {'date': '12/03/2024', 'age': '24', 'clubName': 'AC Milan', 'clubID': '5', 'value': '€20.00m'}, {'date': '05/06/2024', 'age': '25', 'clubName': 'AC Milan', 'clubID': '5', 'value': '€20.00m'}, {'date': '18/12/2024', 'age': '25', 'clubName': 'AC Milan', 'clubID': '5', 'value': '€18.00m'}, {'date': '25/03/2025', 'age': '25', 'clubName': 'AC Milan', 'clubID': '5', 'value': '€14.00m'}, {'date': '17/06/2025', 'age': '26', 'clubName': 'AC Milan', 'clubID': '5', 'value': '€10.00m'}, {'date': '09/12/2025', 'age': '26', 'clubName': 'Fulham FC', 'clubID': '931', 'value': '€10.00m'}, {'date': '09/03/2026', 'age': '26', 'clubName': 'Fulham FC', 'clubID': '931', 'value': '€15.00m'}]}</t>
        </is>
      </c>
      <c r="L399" t="inlineStr">
        <is>
          <t>England</t>
        </is>
      </c>
      <c r="M399" t="inlineStr">
        <is>
          <t>1999-08-10</t>
        </is>
      </c>
      <c r="N399" t="inlineStr">
        <is>
          <t>Nigeria</t>
        </is>
      </c>
      <c r="O399">
        <f>(20+20)/2</f>
        <v/>
      </c>
      <c r="P399">
        <f>(20+20+20)/3</f>
        <v/>
      </c>
    </row>
    <row r="400">
      <c r="A400" t="inlineStr">
        <is>
          <t>Rakip</t>
        </is>
      </c>
      <c r="B400" t="inlineStr">
        <is>
          <t>Malmo</t>
        </is>
      </c>
      <c r="C400" t="inlineStr">
        <is>
          <t>Midfielder</t>
        </is>
      </c>
      <c r="D400" t="n">
        <v>273</v>
      </c>
      <c r="E400" t="n">
        <v>6</v>
      </c>
      <c r="F400" t="n">
        <v>0</v>
      </c>
      <c r="G400" t="n">
        <v>0</v>
      </c>
      <c r="H400" t="n">
        <v>35.9</v>
      </c>
      <c r="I400" t="n">
        <v>29.5</v>
      </c>
      <c r="J400" t="n">
        <v>230746</v>
      </c>
      <c r="K400" t="inlineStr">
        <is>
          <t>{'marketValueHistory': [{'date': 'Aug 7, 2013', 'age': '17', 'clubName': 'Malmö FF', 'clubID': '496', 'value': '€50k'}, {'date': 'Jun 24, 2014', 'age': '18', 'clubName': 'Malmö FF', 'clubID': '496', 'value': '€100k'}, {'date': 'Apr 11, 2015', 'age': '19', 'clubName': 'Malmö FF', 'clubID': '496', 'value': '€450k'}, {'date': 'Jun 14, 2015', 'age': '19', 'clubName': 'Malmö FF', 'clubID': '496', 'value': '€500k'}, {'date': 'Nov 29, 2015', 'age': '19', 'clubName': 'Malmö FF', 'clubID': '496', 'value': '€600k'}, {'date': 'Jun 17, 2016', 'age': '20', 'clubName': 'Malmö FF', 'clubID': '496', 'value': '€600k'}, {'date': 'Dec 11, 2016', 'age': '20', 'clubName': 'Malmö FF', 'clubID': '496', 'value': '€600k'}, {'date': 'Jun 20, 2017', 'age': '21', 'clubName': 'Malmö FF', 'clubID': '496', 'value': '€800k'}, {'date': 'Nov 17, 2017', 'age': '21', 'clubName': 'Malmö FF', 'clubID': '496', 'value': '€1.20m'}, {'date': 'May 28, 2018', 'age': '22', 'clubName': 'Crystal Palace', 'clubID': '873', 'value': '€1.50m'}, {'date': 'Feb 12, 2019', 'age': '22', 'clubName': 'Malmö FF', 'clubID': '496', 'value': '€1.00m'}, {'date': 'Jun 28, 2019', 'age': '23', 'clubName': 'Malmö FF', 'clubID': '496', 'value': '€600k'}, {'date': 'Nov 20, 2019', 'age': '23', 'clubName': 'Malmö FF', 'clubID': '496', 'value': '€500k'}, {'date': 'Apr 8, 2020', 'age': '24', 'clubName': 'Malmö FF', 'clubID': '496', 'value': '€400k'}, {'date': 'Aug 5, 2020', 'age': '24', 'clubName': 'Malmö FF', 'clubID': '496', 'value': '€300k'}, {'date': 'Dec 10, 2020', 'age': '24', 'clubName': 'Malmö FF', 'clubID': '496', 'value': '€900k'}, {'date': 'Jun 9, 2021', 'age': '25', 'clubName': 'Malmö FF', 'clubID': '496', 'value': '€900k'}, {'date': 'Dec 17, 2021', 'age': '25', 'clubName': 'Malmö FF', 'clubID': '496', 'value': '€900k'}, {'date': 'Jun 24, 2022', 'age': '26', 'clubName': 'Malmö FF', 'clubID': '496', 'value': '€1.20m'}, {'date': 'Dec 14, 2022', 'age': '26', 'clubName': 'Malmö FF', 'clubID': '496', 'value': '€1.00m'}, {'date': 'Mar 14, 2023', 'age': '27', 'clubName': 'Antalyaspor', 'clubID': '589', 'value': '€1.20m'}, {'date': 'Jun 8, 2023', 'age': '27', 'clubName': 'Antalyaspor', 'clubID': '589', 'value': '€1.30m'}, {'date': 'Sep 27, 2023', 'age': '27', 'clubName': 'Antalyaspor', 'clubID': '589', 'value': '€1.00m'}, {'date': 'Dec 21, 2023', 'age': '27', 'clubName': 'Antalyaspor', 'clubID': '589', 'value': '€1.20m'}, {'date': 'Mar 15, 2024', 'age': '28', 'clubName': 'Antalyaspor', 'clubID': '589', 'value': '€1.00m'}, {'date': 'May 31, 2024', 'age': '28', 'clubName': 'Antalyaspor', 'clubID': '589', 'value': '€850k'}, {'date': 'Oct 4, 2024', 'age': '28', 'clubName': 'Antalyaspor', 'clubID': '589', 'value': '€850k'}, {'date': 'Dec 23, 2024', 'age': '28', 'clubName': 'Antalyaspor', 'clubID': '589', 'value': '€800k'}, {'date': 'Mar 20, 2025', 'age': '29', 'clubName': 'Antalyaspor', 'clubID': '589', 'value': '€800k'}, {'date': 'Jun 18, 2025', 'age': '29', 'clubName': 'Antalyaspor', 'clubID': '589', 'value': '€750k'}, {'date': 'Oct 21, 2025', 'age': '29', 'clubName': 'Without Club', 'clubID': '515', 'value': '€700k'}, {'date': 'Mar 26, 2026', 'age': '30', 'clubName': 'Miedz Legnica', 'clubID': '8936', 'value': '€400k'}]}</t>
        </is>
      </c>
      <c r="L400" t="inlineStr">
        <is>
          <t>Sweden</t>
        </is>
      </c>
      <c r="M400" t="inlineStr">
        <is>
          <t>1996-02-13</t>
        </is>
      </c>
      <c r="N400" t="inlineStr">
        <is>
          <t>Sweden</t>
        </is>
      </c>
      <c r="O400">
        <f>(1.2+1)/2</f>
        <v/>
      </c>
      <c r="P400">
        <f>(0.9+0.9)/2</f>
        <v/>
      </c>
    </row>
    <row r="401">
      <c r="A401" t="inlineStr">
        <is>
          <t>Rieder</t>
        </is>
      </c>
      <c r="B401" t="inlineStr">
        <is>
          <t>Young Boys</t>
        </is>
      </c>
      <c r="C401" t="inlineStr">
        <is>
          <t>Midfielder</t>
        </is>
      </c>
      <c r="D401" t="n">
        <v>272</v>
      </c>
      <c r="E401" t="n">
        <v>6</v>
      </c>
      <c r="F401" t="n">
        <v>1</v>
      </c>
      <c r="G401" t="n">
        <v>1</v>
      </c>
      <c r="H401" t="n">
        <v>38.6</v>
      </c>
      <c r="I401" t="n">
        <v>31.7</v>
      </c>
      <c r="J401" t="n">
        <v>507341</v>
      </c>
      <c r="K401" t="inlineStr">
        <is>
          <t>{'marketValueHistory': [{'date': '17/06/2019', 'age': '17', 'clubName': 'BSC Young Boys U18', 'clubID': '14438', 'value': '€225k'}, {'date': '06/01/2020', 'age': '17', 'clubName': 'BSC Young Boys U21', 'clubID': '5508', 'value': '€225k'}, {'date': '28/12/2020', 'age': '18', 'clubName': 'BSC Young Boys U21', 'clubID': '5508', 'value': '€2.00m'}, {'date': '23/06/2021', 'age': '19', 'clubName': 'BSC Young Boys', 'clubID': '452', 'value': '€2.50m'}, {'date': '03/01/2022', 'age': '19', 'clubName': 'BSC Young Boys', 'clubID': '452', 'value': '€4.00m'}, {'date': '28/03/2022', 'age': '20', 'clubName': 'BSC Young Boys', 'clubID': '452', 'value': '€7.00m'}, {'date': '08/06/2022', 'age': '20', 'clubName': 'BSC Young Boys', 'clubID': '452', 'value': '€8.00m'}, {'date': '10/11/2022', 'age': '20', 'clubName': 'BSC Young Boys', 'clubID': '452', 'value': '€10.00m'}, {'date': '28/03/2023', 'age': '21', 'clubName': 'BSC Young Boys', 'clubID': '452', 'value': '€12.00m'}, {'date': '07/06/2023', 'age': '21', 'clubName': 'BSC Young Boys', 'clubID': '452', 'value': '€15.00m'}, {'date': '18/12/2023', 'age': '21', 'clubName': 'Stade Rennais FC', 'clubID': '273', 'value': '€15.00m'}, {'date': '19/03/2024', 'age': '22', 'clubName': 'Stade Rennais FC', 'clubID': '273', 'value': '€10.00m'}, {'date': '03/06/2024', 'age': '22', 'clubName': 'Stade Rennais FC', 'clubID': '273', 'value': '€8.00m'}, {'date': '20/12/2024', 'age': '22', 'clubName': 'VfB Stuttgart', 'clubID': '79', 'value': '€10.00m'}, {'date': '27/03/2025', 'age': '23', 'clubName': 'VfB Stuttgart', 'clubID': '79', 'value': '€7.00m'}, {'date': '05/06/2025', 'age': '23', 'clubName': 'VfB Stuttgart', 'clubID': '79', 'value': '€6.00m'}, {'date': '19/12/2025', 'age': '23', 'clubName': 'FC Augsburg', 'clubID': '167', 'value': '€8.00m'}]}</t>
        </is>
      </c>
      <c r="L401" t="inlineStr">
        <is>
          <t>Switzerland</t>
        </is>
      </c>
      <c r="M401" t="inlineStr">
        <is>
          <t>2002-02-16</t>
        </is>
      </c>
      <c r="N401" t="inlineStr">
        <is>
          <t>Switzerland</t>
        </is>
      </c>
      <c r="O401">
        <f>(4+7+8+10)/4</f>
        <v/>
      </c>
      <c r="P401">
        <f>2.5</f>
        <v/>
      </c>
    </row>
    <row r="402">
      <c r="A402" t="inlineStr">
        <is>
          <t>Rafa Mir</t>
        </is>
      </c>
      <c r="B402" t="inlineStr">
        <is>
          <t>Sevilla</t>
        </is>
      </c>
      <c r="C402" t="inlineStr">
        <is>
          <t>Forward</t>
        </is>
      </c>
      <c r="D402" t="n">
        <v>271</v>
      </c>
      <c r="E402" t="n">
        <v>6</v>
      </c>
      <c r="F402" t="n">
        <v>1</v>
      </c>
      <c r="G402" t="n">
        <v>1</v>
      </c>
      <c r="H402" t="n">
        <v>36.4</v>
      </c>
      <c r="I402" t="n">
        <v>33.3</v>
      </c>
      <c r="J402" t="n">
        <v>361254</v>
      </c>
      <c r="K402" t="inlineStr">
        <is>
          <t>{'marketValueHistory': [{'date': '01/08/2016', 'age': '19', 'clubName': 'Valencia Mestalla', 'clubID': '6182', 'value': '€300k'}, {'date': '27/10/2016', 'age': '19', 'clubName': 'Valencia Mestalla', 'clubID': '6182', 'value': '€400k'}, {'date': '02/02/2017', 'age': '19', 'clubName': 'Valencia Mestalla', 'clubID': '6182', 'value': '€500k'}, {'date': '29/06/2017', 'age': '20', 'clubName': 'Valencia Mestalla', 'clubID': '6182', 'value': '€500k'}, {'date': '01/01/2018', 'age': '20', 'clubName': 'Valencia Mestalla', 'clubID': '6182', 'value': '€1.00m'}, {'date': '27/02/2018', 'age': '20', 'clubName': 'Wolverhampton Wanderers', 'clubID': '543', 'value': '€1.50m'}, {'date': '18/09/2018', 'age': '21', 'clubName': 'UD Las Palmas', 'clubID': '472', 'value': '€1.50m'}, {'date': '31/10/2018', 'age': '21', 'clubName': 'UD Las Palmas', 'clubID': '472', 'value': '€5.00m'}, {'date': '19/02/2019', 'age': '21', 'clubName': 'UD Las Palmas', 'clubID': '472', 'value': '€3.00m'}, {'date': '29/06/2019', 'age': '22', 'clubName': 'UD Las Palmas', 'clubID': '472', 'value': '€3.00m'}, {'date': '11/02/2020', 'age': '22', 'clubName': 'SD Huesca', 'clubID': '5358', 'value': '€3.00m'}, {'date': '08/04/2020', 'age': '22', 'clubName': 'SD Huesca', 'clubID': '5358', 'value': '€2.40m'}, {'date': '23/07/2020', 'age': '23', 'clubName': 'SD Huesca', 'clubID': '5358', 'value': '€5.00m'}, {'date': '08/10/2020', 'age': '23', 'clubName': 'SD Huesca', 'clubID': '5358', 'value': '€5.00m'}, {'date': '23/11/2020', 'age': '23', 'clubName': 'SD Huesca', 'clubID': '5358', 'value': '€6.00m'}, {'date': '05/01/2021', 'age': '23', 'clubName': 'SD Huesca', 'clubID': '5358', 'value': '€5.50m'}, {'date': '19/03/2021', 'age': '23', 'clubName': 'SD Huesca', 'clubID': '5358', 'value': '€6.00m'}, {'date': '10/06/2021', 'age': '23', 'clubName': 'SD Huesca', 'clubID': '5358', 'value': '€12.00m'}, {'date': '13/10/2021', 'age': '24', 'clubName': 'Sevilla FC', 'clubID': '368', 'value': '€16.00m'}, {'date': '30/12/2021', 'age': '24', 'clubName': 'Sevilla FC', 'clubID': '368', 'value': '€16.00m'}, {'date': '03/06/2022', 'age': '24', 'clubName': 'Sevilla FC', 'clubID': '368', 'value': '€16.00m'}, {'date': '07/11/2022', 'age': '25', 'clubName': 'Sevilla FC', 'clubID': '368', 'value': '€12.00m'}, {'date': '23/03/2023', 'age': '25', 'clubName': 'Sevilla FC', 'clubID': '368', 'value': '€10.00m'}, {'date': '13/06/2023', 'age': '25', 'clubName': 'Sevilla FC', 'clubID': '368', 'value': '€10.00m'}, {'date': '13/10/2023', 'age': '26', 'clubName': 'Sevilla FC', 'clubID': '368', 'value': '€6.00m'}, {'date': '22/12/2023', 'age': '26', 'clubName': 'Sevilla FC', 'clubID': '368', 'value': '€5.00m'}, {'date': '21/03/2024', 'age': '26', 'clubName': 'Sevilla FC', 'clubID': '368', 'value': '€3.50m'}, {'date': '07/06/2024', 'age': '26', 'clubName': 'Sevilla FC', 'clubID': '368', 'value': '€2.50m'}, {'date': '11/10/2024', 'age': '27', 'clubName': 'Valencia CF', 'clubID': '1049', 'value': '€1.00m'}, {'date': '27/12/2024', 'age': '27', 'clubName': 'Valencia CF', 'clubID': '1049', 'value': '€800k'}, {'date': '09/06/2025', 'age': '27', 'clubName': 'Valencia CF', 'clubID': '1049', 'value': '€800k'}, {'date': '02/10/2025', 'age': '28', 'clubName': 'Elche CF', 'clubID': '1531', 'value': '€2.00m'}, {'date': '12/12/2025', 'age': '28', 'clubName': 'Elche CF', 'clubID': '1531', 'value': '€4.00m'}]}</t>
        </is>
      </c>
      <c r="L402" t="inlineStr">
        <is>
          <t>Spain</t>
        </is>
      </c>
      <c r="M402" t="inlineStr">
        <is>
          <t>1997-06-18</t>
        </is>
      </c>
      <c r="N402" t="inlineStr">
        <is>
          <t>1</t>
        </is>
      </c>
      <c r="O402">
        <f>(16+12)/2</f>
        <v/>
      </c>
      <c r="P402">
        <f>(5.5+6+12+16+16)/5</f>
        <v/>
      </c>
    </row>
    <row r="403">
      <c r="A403" t="inlineStr">
        <is>
          <t>Kampl</t>
        </is>
      </c>
      <c r="B403" t="inlineStr">
        <is>
          <t>Leipzig</t>
        </is>
      </c>
      <c r="C403" t="inlineStr">
        <is>
          <t>Midfielder</t>
        </is>
      </c>
      <c r="D403" t="n">
        <v>270</v>
      </c>
      <c r="E403" t="n">
        <v>3</v>
      </c>
      <c r="F403" t="n">
        <v>0</v>
      </c>
      <c r="G403" t="n">
        <v>0</v>
      </c>
      <c r="H403" t="n">
        <v>35.8</v>
      </c>
      <c r="I403" t="n">
        <v>29.3</v>
      </c>
      <c r="J403" t="n">
        <v>53418</v>
      </c>
      <c r="K403" t="inlineStr">
        <is>
          <t>{'marketValueHistory': [{'date': 'Aug 20, 2009', 'age': '18', 'clubName': 'Bayer 04 Leverkusen II', 'clubID': '211', 'value': '€25k'}, {'date': 'Nov 13, 2009', 'age': '19', 'clubName': 'Bayer 04 Leverkusen II', 'clubID': '211', 'value': '€50k'}, {'date': 'Mar 8, 2010', 'age': '19', 'clubName': 'Bayer 04 Leverkusen II', 'clubID': '211', 'value': '€100k'}, {'date': 'Aug 26, 2010', 'age': '19', 'clubName': 'Bayer 04 Leverkusen', 'clubID': '15', 'value': '€100k'}, {'date': 'Jan 12, 2011', 'age': '20', 'clubName': 'Bayer 04 Leverkusen', 'clubID': '15', 'value': '€100k'}, {'date': 'Jun 29, 2011', 'age': '20', 'clubName': 'Bayer 04 Leverkusen', 'clubID': '15', 'value': '€100k'}, {'date': 'Aug 8, 2011', 'age': '20', 'clubName': 'VfL Osnabrück', 'clubID': '81', 'value': '€200k'}, {'date': 'Jan 12, 2012', 'age': '21', 'clubName': 'VfL Osnabrück', 'clubID': '81', 'value': '€350k'}, {'date': 'Sep 24, 2012', 'age': '21', 'clubName': 'Red Bull Salzburg', 'clubID': '409', 'value': '€1.50m'}, {'date': 'Dec 19, 2012', 'age': '22', 'clubName': 'Red Bull Salzburg', 'clubID': '409', 'value': '€2.00m'}, {'date': 'Jun 4, 2013', 'age': '22', 'clubName': 'Red Bull Salzburg', 'clubID': '409', 'value': '€3.00m'}, {'date': 'Sep 16, 2013', 'age': '22', 'clubName': 'Red Bull Salzburg', 'clubID': '409', 'value': '€5.00m'}, {'date': 'Dec 27, 2013', 'age': '23', 'clubName': 'Red Bull Salzburg', 'clubID': '409', 'value': '€7.50m'}, {'date': 'Jun 20, 2014', 'age': '23', 'clubName': 'Red Bull Salzburg', 'clubID': '409', 'value': '€9.00m'}, {'date': 'Feb 4, 2015', 'age': '24', 'clubName': 'Borussia Dortmund', 'clubID': '16', 'value': '€10.00m'}, {'date': 'Jul 1, 2015', 'age': '24', 'clubName': 'Borussia Dortmund', 'clubID': '16', 'value': '€9.00m'}, {'date': 'Feb 15, 2016', 'age': '25', 'clubName': 'Bayer 04 Leverkusen', 'clubID': '15', 'value': '€12.00m'}, {'date': 'Jul 22, 2016', 'age': '25', 'clubName': 'Bayer 04 Leverkusen', 'clubID': '15', 'value': '€12.00m'}, {'date': 'Oct 13, 2016', 'age': '26', 'clubName': 'Bayer 04 Leverkusen', 'clubID': '15', 'value': '€15.00m'}, {'date': 'Feb 7, 2017', 'age': '26', 'clubName': 'Bayer 04 Leverkusen', 'clubID': '15', 'value': '€15.00m'}, {'date': 'Jun 19, 2017', 'age': '26', 'clubName': 'Bayer 04 Leverkusen', 'clubID': '15', 'value': '€15.00m'}, {'date': 'Oct 18, 2017', 'age': '27', 'clubName': 'RB Leipzig', 'clubID': '23826', 'value': '€18.00m'}, {'date': 'Dec 28, 2017', 'age': '27', 'clubName': 'RB Leipzig', 'clubID': '23826', 'value': '€18.00m'}, {'date': 'Jun 5, 2018', 'age': '27', 'clubName': 'RB Leipzig', 'clubID': '23826', 'value': '€18.00m'}, {'date': 'Dec 18, 2018', 'age': '28', 'clubName': 'RB Leipzig', 'clubID': '23826', 'value': '€18.00m'}, {'date': 'Mar 6, 2019', 'age': '28', 'clubName': 'RB Leipzig', 'clubID': '23826', 'value': '€22.00m'}, {'date': 'Jun 5, 2019', 'age': '28', 'clubName': 'RB Leipzig', 'clubID': '23826', 'value': '€22.00m'}, {'date': 'Dec 17, 2019', 'age': '29', 'clubName': 'RB Leipzig', 'clubID': '23826', 'value': '€22.00m'}, {'date': 'Apr 8, 2020', 'age': '29', 'clubName': 'RB Leipzig', 'clubID': '23826', 'value': '€17.50m'}, {'date': 'Sep 16, 2020', 'age': '29', 'clubName': 'RB Leipzig', 'clubID': '23826', 'value': '€14.00m'}, {'date': 'Feb 10, 2021', 'age': '30', 'clubName': 'RB Leipzig', 'clubID': '23826', 'value': '€14.00m'}, {'date': 'Jun 9, 2021', 'age': '30', 'clubName': 'RB Leipzig', 'clubID': '23826', 'value': '€10.00m'}, {'date': 'Dec 22, 2021', 'age': '31', 'clubName': 'RB Leipzig', 'clubID': '23826', 'value': '€8.00m'}, {'date': 'Jun 9, 2022', 'age': '31', 'clubName': 'RB Leipzig', 'clubID': '23826', 'value': '€6.00m'}, {'date': 'Nov 9, 2022', 'age': '32', 'clubName': 'RB Leipzig', 'clubID': '23826', 'value': '€5.00m'}, {'date': 'Jun 22, 2023', 'age': '32', 'clubName': 'RB Leipzig', 'clubID': '23826', 'value': '€3.50m'}, {'date': 'Dec 14, 2023', 'age': '33', 'clubName': 'RB Leipzig', 'clubID': '23826', 'value': '€3.50m'}, {'date': 'May 29, 2024', 'age': '33', 'clubName': 'RB Leipzig', 'clubID': '23826', 'value': '€3.50m'}, {'date': 'Dec 20, 2024', 'age': '34', 'clubName': 'RB Leipzig', 'clubID': '23826', 'value': '€3.00m'}, {'date': 'Jun 5, 2025', 'age': '34', 'clubName': 'RB Leipzig', 'clubID': '23826', 'value': '€2.50m'}, {'date': 'Dec 19, 2025', 'age': '35', 'clubName': 'RB Leipzig', 'clubID': '23826', 'value': '€2.00m'}, {'date': 'Feb 1, 2026', 'age': '35', 'clubName': 'Retired', 'clubID': '123', 'value': '-'}]}</t>
        </is>
      </c>
      <c r="L403" t="inlineStr">
        <is>
          <t>Slovenia</t>
        </is>
      </c>
      <c r="M403" t="inlineStr">
        <is>
          <t>1990-10-09</t>
        </is>
      </c>
      <c r="N403" t="inlineStr">
        <is>
          <t>28</t>
        </is>
      </c>
      <c r="O403">
        <f>(6+5)/2</f>
        <v/>
      </c>
      <c r="P403">
        <f>(14+10+8)/3</f>
        <v/>
      </c>
    </row>
    <row r="404">
      <c r="A404" t="inlineStr">
        <is>
          <t>Verissimo</t>
        </is>
      </c>
      <c r="B404" t="inlineStr">
        <is>
          <t>Benfica</t>
        </is>
      </c>
      <c r="C404" t="inlineStr">
        <is>
          <t>Defender</t>
        </is>
      </c>
      <c r="D404" t="n">
        <v>270</v>
      </c>
      <c r="E404" t="n">
        <v>3</v>
      </c>
      <c r="F404" t="n">
        <v>0</v>
      </c>
      <c r="G404" t="n">
        <v>0</v>
      </c>
      <c r="H404" t="n">
        <v>30.2</v>
      </c>
      <c r="I404" t="n">
        <v>32.2</v>
      </c>
      <c r="J404" t="n">
        <v>411662</v>
      </c>
      <c r="K404" t="inlineStr">
        <is>
          <t>{'id': '411662', 'marketValue': '€6.00m', 'marketValueHistory': [{'age': '20', 'date': 'May 27, 2016', 'clubName': 'Santos FC', 'value': '€100k', 'clubID': '221'}, {'age': '21', 'date': 'Nov 28, 2016', 'clubName': 'Santos FC', 'value': '€250k', 'clubID': '221'}, {'age': '22', 'date': 'Oct 30, 2017', 'clubName': 'Santos FC', 'value': '€2.50m', 'clubID': '221'}, {'age': '22', 'date': 'Dec 7, 2017', 'clubName': 'Santos FC', 'value': '€3.50m', 'clubID': '221'}, {'age': '22', 'date': 'May 23, 2018', 'clubName': 'Santos FC', 'value': '€5.00m', 'clubID': '221'}, {'age': '23', 'date': 'Feb 18, 2019', 'clubName': 'Santos FC', 'value': '€5.00m', 'clubID': '221'}, {'age': '24', 'date': 'Nov 27, 2019', 'clubName': 'Santos FC', 'value': '€4.50m', 'clubID': '221'}, {'age': '24', 'date': 'Apr 8, 2020', 'clubName': 'Santos FC', 'value': '€3.50m', 'clubID': '221'}, {'age': '25', 'date': 'Sep 9, 2020', 'clubName': 'Santos FC', 'value': '€4.00m', 'clubID': '221'}, {'age': '25', 'date': 'Feb 9, 2021', 'clubName': 'SL Benfica', 'value': '€6.00m', 'clubID': '294'}, {'age': '25', 'date': 'May 21, 2021', 'clubName': 'SL Benfica', 'value': '€8.00m', 'clubID': '294'}, {'age': '26', 'date': 'Dec 27, 2021', 'clubName': 'SL Benfica', 'value': '€10.00m', 'clubID': '294'}, {'age': '26', 'date': 'May 31, 2022', 'clubName': 'SL Benfica', 'value': '€10.00m', 'clubID': '294'}, {'age': '27', 'date': 'Sep 16, 2022', 'clubName': 'SL Benfica', 'value': '€8.00m', 'clubID': '294'}, {'age': '27', 'date': 'Nov 1, 2022', 'clubName': 'SL Benfica', 'value': '€8.00m', 'clubID': '294'}, {'age': '27', 'date': 'Jun 16, 2023', 'clubName': 'SL Benfica', 'value': '€6.00m', 'clubID': '294'}, {'age': '28', 'date': 'Dec 11, 2023', 'clubName': 'Sport Club Corinthians Paulista', 'value': '€7.00m', 'clubID': '199'}, {'age': '28', 'date': 'May 2, 2024', 'clubName': 'Al-Duhail SC', 'value': '€6.00m', 'clubID': '26091'}], 'ranking': {'Worldwide': '1.591', 'Stars League': '8', 'Al-Duhail SC': '3', 'Brazil': '138', 'Centre-Back': '272', 'Year 1995': '98'}, 'updatedAt': datetime.datetime(2024, 5, 23, 22, 35, 12, 649082)}</t>
        </is>
      </c>
      <c r="L404" t="inlineStr">
        <is>
          <t>Brazil</t>
        </is>
      </c>
      <c r="M404" t="inlineStr">
        <is>
          <t>1995-01-01</t>
        </is>
      </c>
      <c r="N404" t="inlineStr">
        <is>
          <t>2</t>
        </is>
      </c>
      <c r="O404">
        <f>(10+8+8)/3</f>
        <v/>
      </c>
      <c r="P404">
        <f>(6+8+10)/3</f>
        <v/>
      </c>
    </row>
    <row r="405">
      <c r="A405" t="inlineStr">
        <is>
          <t>N'Sakala</t>
        </is>
      </c>
      <c r="B405" t="inlineStr">
        <is>
          <t>Besiktas</t>
        </is>
      </c>
      <c r="C405" t="inlineStr">
        <is>
          <t>Defender</t>
        </is>
      </c>
      <c r="D405" t="n">
        <v>270</v>
      </c>
      <c r="E405" t="n">
        <v>3</v>
      </c>
      <c r="F405" t="n">
        <v>0</v>
      </c>
      <c r="G405" t="n">
        <v>0</v>
      </c>
      <c r="H405" t="n">
        <v>30.1</v>
      </c>
      <c r="I405" t="n">
        <v>32.1</v>
      </c>
      <c r="J405" t="n">
        <v>86930</v>
      </c>
      <c r="K405" t="inlineStr">
        <is>
          <t>{'marketValueHistory': [{'date': '01/08/2010', 'age': '20', 'clubName': 'ESTAC Troyes', 'clubID': '1095', 'value': '€150k'}, {'date': '24/10/2010', 'age': '20', 'clubName': 'ESTAC Troyes', 'clubID': '1095', 'value': '€400k'}, {'date': '30/05/2011', 'age': '20', 'clubName': 'ESTAC Troyes', 'clubID': '1095', 'value': '€400k'}, {'date': '25/12/2011', 'age': '21', 'clubName': 'ESTAC Troyes', 'clubID': '1095', 'value': '€750k'}, {'date': '01/06/2012', 'age': '21', 'clubName': 'ESTAC Troyes', 'clubID': '1095', 'value': '€1.50m'}, {'date': '07/01/2013', 'age': '22', 'clubName': 'ESTAC Troyes', 'clubID': '1095', 'value': '€1.75m'}, {'date': '30/05/2013', 'age': '22', 'clubName': 'ESTAC Troyes', 'clubID': '1095', 'value': '€1.75m'}, {'date': '10/02/2014', 'age': '23', 'clubName': 'RSC Anderlecht', 'clubID': '58', 'value': '€2.20m'}, {'date': '28/06/2014', 'age': '23', 'clubName': 'RSC Anderlecht', 'clubID': '58', 'value': '€2.20m'}, {'date': '07/01/2015', 'age': '24', 'clubName': 'RSC Anderlecht', 'clubID': '58', 'value': '€2.50m'}, {'date': '24/06/2015', 'age': '24', 'clubName': 'RSC Anderlecht', 'clubID': '58', 'value': '€2.00m'}, {'date': '22/10/2015', 'age': '25', 'clubName': 'RSC Anderlecht', 'clubID': '58', 'value': '€1.50m'}, {'date': '07/02/2016', 'age': '25', 'clubName': 'RSC Anderlecht', 'clubID': '58', 'value': '€1.50m'}, {'date': '14/04/2016', 'age': '25', 'clubName': 'RSC Anderlecht', 'clubID': '58', 'value': '€1.20m'}, {'date': '15/07/2016', 'age': '25', 'clubName': 'RSC Anderlecht', 'clubID': '58', 'value': '€1.20m'}, {'date': '10/01/2017', 'age': '26', 'clubName': 'Alanyaspor', 'clubID': '11282', 'value': '€1.20m'}, {'date': '09/06/2017', 'age': '26', 'clubName': 'Alanyaspor', 'clubID': '11282', 'value': '€1.40m'}, {'date': '12/02/2018', 'age': '27', 'clubName': 'Alanyaspor', 'clubID': '11282', 'value': '€1.50m'}, {'date': '29/05/2018', 'age': '27', 'clubName': 'Alanyaspor', 'clubID': '11282', 'value': '€1.30m'}, {'date': '04/01/2019', 'age': '28', 'clubName': 'Alanyaspor', 'clubID': '11282', 'value': '€1.10m'}, {'date': '04/06/2019', 'age': '28', 'clubName': 'Alanyaspor', 'clubID': '11282', 'value': '€1.25m'}, {'date': '04/10/2019', 'age': '29', 'clubName': 'Alanyaspor', 'clubID': '11282', 'value': '€1.50m'}, {'date': '03/01/2020', 'age': '29', 'clubName': 'Alanyaspor', 'clubID': '11282', 'value': '€1.50m'}, {'date': '08/04/2020', 'age': '29', 'clubName': 'Alanyaspor', 'clubID': '11282', 'value': '€1.20m'}, {'date': '04/08/2020', 'age': '30', 'clubName': 'Alanyaspor', 'clubID': '11282', 'value': '€1.30m'}, {'date': '12/10/2020', 'age': '30', 'clubName': 'Besiktas JK', 'clubID': '114', 'value': '€1.20m'}, {'date': '23/12/2020', 'age': '30', 'clubName': 'Besiktas JK', 'clubID': '114', 'value': '€900k'}, {'date': '16/03/2021', 'age': '30', 'clubName': 'Besiktas JK', 'clubID': '114', 'value': '€900k'}, {'date': '21/05/2021', 'age': '30', 'clubName': 'Besiktas JK', 'clubID': '114', 'value': '€1.00m'}, {'date': '12/10/2021', 'age': '31', 'clubName': 'Besiktas JK', 'clubID': '114', 'value': '€1.00m'}, {'date': '04/01/2022', 'age': '31', 'clubName': 'Besiktas JK', 'clubID': '114', 'value': '€500k'}, {'date': '31/03/2022', 'age': '31', 'clubName': 'Besiktas JK', 'clubID': '114', 'value': '€300k'}, {'date': '01/06/2022', 'age': '31', 'clubName': 'Besiktas JK', 'clubID': '114', 'value': '€150k'}, {'date': '21/12/2023', 'age': '33', 'clubName': 'Neuchâtel Xamax FCS', 'clubID': '625', 'value': '€100k'}, {'date': '31/05/2024', 'age': '33', 'clubName': 'Neuchâtel Xamax FCS', 'clubID': '625', 'value': '€50k'}, {'date': '03/10/2024', 'age': '34', 'clubName': 'FC Annecy', 'clubID': '30204', 'value': '€100k'}, {'date': '04/12/2024', 'age': '34', 'clubName': 'FC Annecy', 'clubID': '30204', 'value': '€100k'}, {'date': '02/06/2025', 'age': '34', 'clubName': 'FC Annecy', 'clubID': '30204', 'value': '€100k'}, {'date': '11/12/2025', 'age': '35', 'clubName': 'FC Annecy', 'clubID': '30204', 'value': '€100k'}]}</t>
        </is>
      </c>
      <c r="L405" t="inlineStr">
        <is>
          <t>France</t>
        </is>
      </c>
      <c r="M405" t="inlineStr">
        <is>
          <t>1990-07-21</t>
        </is>
      </c>
      <c r="N405" t="inlineStr">
        <is>
          <t>Democratic Republic of the Congo</t>
        </is>
      </c>
      <c r="O405">
        <f>(0.5+0.3+0.15)/3</f>
        <v/>
      </c>
      <c r="P405">
        <f>(0.9+1+1)/3</f>
        <v/>
      </c>
    </row>
    <row r="406">
      <c r="A406" t="inlineStr">
        <is>
          <t>Kjaer</t>
        </is>
      </c>
      <c r="B406" t="inlineStr">
        <is>
          <t>Milan</t>
        </is>
      </c>
      <c r="C406" t="inlineStr">
        <is>
          <t>Defender</t>
        </is>
      </c>
      <c r="D406" t="n">
        <v>270</v>
      </c>
      <c r="E406" t="n">
        <v>3</v>
      </c>
      <c r="F406" t="n">
        <v>0</v>
      </c>
      <c r="G406" t="n">
        <v>0</v>
      </c>
      <c r="H406" t="n">
        <v>28.6</v>
      </c>
      <c r="I406" t="n">
        <v>30.6</v>
      </c>
      <c r="J406" t="n">
        <v>3394</v>
      </c>
      <c r="K406" t="inlineStr">
        <is>
          <t>{'marketValueHistory': [{'date': 'Oct 4, 2004', 'age': '31', 'clubName': 'Manchester United', 'clubID': '985', 'value': '€3.50m'}, {'date': 'Feb 11, 2005', 'age': '31', 'clubName': 'Manchester United', 'clubID': '985', 'value': '€2.75m'}, {'date': 'Oct 18, 2005', 'age': '32', 'clubName': 'Manchester United', 'clubID': '985', 'value': '€2.00m'}, {'date': 'Mar 18, 2006', 'age': '33', 'clubName': 'Manchester United', 'clubID': '985', 'value': '€900k'}, {'date': 'Oct 15, 2006', 'age': '33', 'clubName': 'Manchester United', 'clubID': '985', 'value': '€1.25m'}, {'date': 'Apr 25, 2007', 'age': '34', 'clubName': 'Manchester United', 'clubID': '985', 'value': '€1.10m'}, {'date': 'Jul 9, 2007', 'age': '34', 'clubName': 'Manchester United', 'clubID': '985', 'value': '€1.00m'}, {'date': 'Aug 29, 2007', 'age': '34', 'clubName': 'Retired', 'clubID': '123', 'value': '-'}]}</t>
        </is>
      </c>
      <c r="L406" t="inlineStr">
        <is>
          <t>Norway</t>
        </is>
      </c>
      <c r="M406" t="inlineStr">
        <is>
          <t>1973-02-26</t>
        </is>
      </c>
      <c r="N406" t="inlineStr">
        <is>
          <t>67</t>
        </is>
      </c>
    </row>
    <row r="407">
      <c r="A407" t="inlineStr">
        <is>
          <t>Faivre</t>
        </is>
      </c>
      <c r="B407" t="inlineStr">
        <is>
          <t>Young Boys</t>
        </is>
      </c>
      <c r="C407" t="inlineStr">
        <is>
          <t>Goalkeeper</t>
        </is>
      </c>
      <c r="D407" t="n">
        <v>270</v>
      </c>
      <c r="E407" t="n">
        <v>3</v>
      </c>
      <c r="F407" t="n">
        <v>0</v>
      </c>
      <c r="G407" t="n">
        <v>0</v>
      </c>
      <c r="H407" t="n">
        <v>20.5</v>
      </c>
      <c r="I407" t="n">
        <v>20.8</v>
      </c>
      <c r="J407" t="n">
        <v>555076</v>
      </c>
      <c r="K407" t="inlineStr">
        <is>
          <t>{'marketValueHistory': [{'date': '20/03/2018', 'age': '19', 'clubName': 'AS Monaco B', 'clubID': '9668', 'value': '€100k'}, {'date': '17/12/2018', 'age': '20', 'clubName': 'AS Monaco B', 'clubID': '9668', 'value': '€100k'}, {'date': '07/03/2019', 'age': '20', 'clubName': 'AS Monaco B', 'clubID': '9668', 'value': '€300k'}, {'date': '03/06/2019', 'age': '20', 'clubName': 'AS Monaco B', 'clubID': '9668', 'value': '€500k'}, {'date': '08/04/2020', 'age': '21', 'clubName': 'AS Monaco B', 'clubID': '9668', 'value': '€450k'}, {'date': '03/08/2020', 'age': '22', 'clubName': 'Stade Brestois 29', 'clubID': '3911', 'value': '€500k'}, {'date': '15/10/2020', 'age': '22', 'clubName': 'Stade Brestois 29', 'clubID': '3911', 'value': '€3.00m'}, {'date': '07/01/2021', 'age': '22', 'clubName': 'Stade Brestois 29', 'clubID': '3911', 'value': '€8.00m'}, {'date': '09/04/2021', 'age': '22', 'clubName': 'Stade Brestois 29', 'clubID': '3911', 'value': '€13.00m'}, {'date': '04/06/2021', 'age': '22', 'clubName': 'Stade Brestois 29', 'clubID': '3911', 'value': '€13.00m'}, {'date': '16/12/2021', 'age': '23', 'clubName': 'Stade Brestois 29', 'clubID': '3911', 'value': '€15.00m'}, {'date': '30/05/2022', 'age': '23', 'clubName': 'Olympique Lyon', 'clubID': '1041', 'value': '€15.00m'}, {'date': '19/09/2022', 'age': '24', 'clubName': 'Olympique Lyon', 'clubID': '1041', 'value': '€12.00m'}, {'date': '02/11/2022', 'age': '24', 'clubName': 'Olympique Lyon', 'clubID': '1041', 'value': '€10.00m'}, {'date': '27/03/2023', 'age': '24', 'clubName': 'FC Lorient', 'clubID': '1158', 'value': '€8.00m'}, {'date': '27/06/2023', 'age': '24', 'clubName': 'FC Lorient', 'clubID': '1158', 'value': '€10.00m'}, {'date': '16/10/2023', 'age': '25', 'clubName': 'FC Lorient', 'clubID': '1158', 'value': '€15.00m'}, {'date': '18/12/2023', 'age': '25', 'clubName': 'FC Lorient', 'clubID': '1158', 'value': '€15.00m'}, {'date': '27/05/2024', 'age': '25', 'clubName': 'AFC Bournemouth', 'clubID': '989', 'value': '€15.00m'}, {'date': '07/10/2024', 'age': '26', 'clubName': 'Stade Brestois 29', 'clubID': '3911', 'value': '€10.00m'}, {'date': '10/12/2024', 'age': '26', 'clubName': 'Stade Brestois 29', 'clubID': '3911', 'value': '€9.00m'}, {'date': '24/03/2025', 'age': '26', 'clubName': 'Stade Brestois 29', 'clubID': '3911', 'value': '€7.00m'}, {'date': '03/06/2025', 'age': '26', 'clubName': 'Stade Brestois 29', 'clubID': '3911', 'value': '€6.00m'}, {'date': '18/12/2025', 'age': '27', 'clubName': 'Al-Taawoun FC', 'clubID': '28844', 'value': '€5.00m'}]}</t>
        </is>
      </c>
      <c r="L407" t="inlineStr">
        <is>
          <t>France</t>
        </is>
      </c>
      <c r="M407" t="inlineStr">
        <is>
          <t>1998-07-14</t>
        </is>
      </c>
      <c r="N407" t="inlineStr">
        <is>
          <t>France</t>
        </is>
      </c>
      <c r="O407">
        <f>(15+12+10)/3</f>
        <v/>
      </c>
      <c r="P407">
        <f>(8+13+13+15)/4</f>
        <v/>
      </c>
    </row>
    <row r="408">
      <c r="A408" t="inlineStr">
        <is>
          <t>Tatarusanu</t>
        </is>
      </c>
      <c r="B408" t="inlineStr">
        <is>
          <t>Milan</t>
        </is>
      </c>
      <c r="C408" t="inlineStr">
        <is>
          <t>Goalkeeper</t>
        </is>
      </c>
      <c r="D408" t="n">
        <v>270</v>
      </c>
      <c r="E408" t="n">
        <v>3</v>
      </c>
      <c r="F408" t="n">
        <v>0</v>
      </c>
      <c r="G408" t="n">
        <v>0</v>
      </c>
      <c r="H408" t="n">
        <v>18.6</v>
      </c>
      <c r="I408" t="n">
        <v>23.6</v>
      </c>
      <c r="J408" t="n">
        <v>55282</v>
      </c>
      <c r="K408" t="inlineStr">
        <is>
          <t>{'id': '55282', 'marketValue': '€400k', 'marketValueHistory': [{'age': '21', 'date': 'Nov 5, 2007', 'clubName': 'CF Gloria Bistrita (- 2015)', 'value': '€500k', 'clubID': '4688'}, {'age': '24', 'date': 'Jul 27, 2010', 'clubName': 'Steaua Bucharest', 'value': '€1.20m', 'clubID': '301'}, {'age': '24', 'date': 'Jan 2, 2011', 'clubName': 'Steaua Bucharest', 'value': '€2.10m', 'clubID': '301'}, {'age': '25', 'date': 'Dec 24, 2011', 'clubName': 'Steaua Bucharest', 'value': '€2.50m', 'clubID': '301'}, {'age': '26', 'date': 'Apr 1, 2012', 'clubName': 'Steaua Bucharest', 'value': '€2.30m', 'clubID': '301'}, {'age': '26', 'date': 'Aug 21, 2012', 'clubName': 'Steaua Bucharest', 'value': '€1.80m', 'clubID': '301'}, {'age': '26', 'date': 'Dec 12, 2012', 'clubName': 'Steaua Bucharest', 'value': '€2.50m', 'clubID': '301'}, {'age': '27', 'date': 'May 2, 2013', 'clubName': 'Steaua Bucharest', 'value': '€2.80m', 'clubID': '301'}, {'age': '27', 'date': 'Sep 13, 2013', 'clubName': 'Steaua Bucharest', 'value': '€3.00m', 'clubID': '301'}, {'age': '27', 'date': 'Dec 30, 2013', 'clubName': 'Steaua Bucharest', 'value': '€3.40m', 'clubID': '301'}, {'age': '28', 'date': 'Jun 12, 2014', 'clubName': 'Steaua Bucharest', 'value': '€3.70m', 'clubID': '301'}, {'age': '28', 'date': 'Nov 8, 2014', 'clubName': 'ACF Fiorentina', 'value': '€3.00m', 'clubID': '430'}, {'age': '28', 'date': 'Jan 7, 2015', 'clubName': 'ACF Fiorentina', 'value': '€2.80m', 'clubID': '430'}, {'age': '29', 'date': 'Mar 20, 2015', 'clubName': 'ACF Fiorentina', 'value': '€3.50m', 'clubID': '430'}, {'age': '29', 'date': 'Jul 1, 2015', 'clubName': 'ACF Fiorentina', 'value': '€3.00m', 'clubID': '430'}, {'age': '29', 'date': 'Nov 5, 2015', 'clubName': 'ACF Fiorentina', 'value': '€4.50m', 'clubID': '430'}, {'age': '29', 'date': 'Jan 4, 2016', 'clubName': 'ACF Fiorentina', 'value': '€5.00m', 'clubID': '430'}, {'age': '30', 'date': 'Jun 1, 2016', 'clubName': 'ACF Fiorentina', 'value': '€5.00m', 'clubID': '430'}, {'age': '30', 'date': 'Jul 15, 2016', 'clubName': 'ACF Fiorentina', 'value': '€5.00m', 'clubID': '430'}, {'age': '30', 'date': 'Jan 2, 2017', 'clubName': 'ACF Fiorentina', 'value': '€4.50m', 'clubID': '430'}, {'age': '31', 'date': 'Jun 8, 2017', 'clubName': 'ACF Fiorentina', 'value': '€4.00m', 'clubID': '430'}, {'age': '31', 'date': 'Jan 24, 2018', 'clubName': 'FC Nantes', 'value': '€4.00m', 'clubID': '995'}, {'age': '32', 'date': 'Jun 4, 2018', 'clubName': 'FC Nantes', 'value': '€4.00m', 'clubID': '995'}, {'age': '32', 'date': 'Dec 17, 2018', 'clubName': 'FC Nantes', 'value': '€4.00m', 'clubID': '995'}, {'age': '33', 'date': 'Mar 7, 2019', 'clubName': 'FC Nantes', 'value': '€2.50m', 'clubID': '995'}, {'age': '33', 'date': 'Jun 3, 2019', 'clubName': 'FC Nantes', 'value': '€2.50m', 'clubID': '995'}, {'age': '33', 'date': 'Dec 19, 2019', 'clubName': 'Olympique Lyon', 'value': '€1.50m', 'clubID': '1041'}, {'age': '34', 'date': 'Apr 8, 2020', 'clubName': 'Olympique Lyon', 'value': '€1.20m', 'clubID': '1041'}, {'age': '34', 'date': 'Oct 29, 2020', 'clubName': 'AC Milan', 'value': '€700k', 'clubID': '5'}, {'age': '34', 'date': 'Dec 29, 2020', 'clubName': 'AC Milan', 'value': '€700k', 'clubID': '5'}, {'age': '35', 'date': 'Jun 3, 2021', 'clubName': 'AC Milan', 'value': '€600k', 'clubID': '5'}, {'age': '35', 'date': 'Dec 28, 2021', 'clubName': 'AC Milan', 'value': '€600k', 'clubID': '5'}, {'age': '36', 'date': 'Jun 7, 2022', 'clubName': 'AC Milan', 'value': '€600k', 'clubID': '5'}, {'age': '36', 'date': 'Nov 11, 2022', 'clubName': 'AC Milan', 'value': '€600k', 'clubID': '5'}, {'age': '37', 'date': 'Jun 15, 2023', 'clubName': 'AC Milan', 'value': '€400k', 'clubID': '5'}, {'age': '37', 'date': 'Dec 15, 2023', 'clubName': 'Abha Club', 'value': '€400k', 'clubID': '40039'}], 'updatedAt': datetime.datetime(2024, 5, 23, 22, 21, 51, 123048)}</t>
        </is>
      </c>
      <c r="L408" t="inlineStr">
        <is>
          <t>Romania</t>
        </is>
      </c>
      <c r="M408" t="inlineStr">
        <is>
          <t>1986-09-02</t>
        </is>
      </c>
      <c r="N408" t="inlineStr">
        <is>
          <t>74</t>
        </is>
      </c>
      <c r="O408">
        <f>(0.6+0.6)/2</f>
        <v/>
      </c>
      <c r="P408">
        <f>(0.6+0.6)/2</f>
        <v/>
      </c>
    </row>
    <row r="409">
      <c r="A409" t="inlineStr">
        <is>
          <t>Maignan</t>
        </is>
      </c>
      <c r="B409" t="inlineStr">
        <is>
          <t>Milan</t>
        </is>
      </c>
      <c r="C409" t="inlineStr">
        <is>
          <t>Goalkeeper</t>
        </is>
      </c>
      <c r="D409" t="n">
        <v>270</v>
      </c>
      <c r="E409" t="n">
        <v>3</v>
      </c>
      <c r="F409" t="n">
        <v>0</v>
      </c>
      <c r="G409" t="n">
        <v>0</v>
      </c>
      <c r="H409" t="n">
        <v>18.3</v>
      </c>
      <c r="I409" t="n">
        <v>25.4</v>
      </c>
      <c r="J409" t="n">
        <v>182906</v>
      </c>
      <c r="K409" t="inlineStr">
        <is>
          <t>{'marketValueHistory': [{'date': '02/07/2013', 'age': '17', 'clubName': 'Paris Saint-Germain', 'clubID': '583', 'value': '€250k'}, {'date': '14/01/2014', 'age': '18', 'clubName': 'Paris Saint-Germain', 'clubID': '583', 'value': '€250k'}, {'date': '01/08/2014', 'age': '19', 'clubName': 'Paris Saint-Germain', 'clubID': '583', 'value': '€250k'}, {'date': '14/01/2015', 'age': '19', 'clubName': 'Paris Saint-Germain', 'clubID': '583', 'value': '€250k'}, {'date': '06/06/2015', 'age': '19', 'clubName': 'Paris Saint-Germain', 'clubID': '583', 'value': '€250k'}, {'date': '06/09/2015', 'age': '20', 'clubName': 'LOSC Lille', 'clubID': '1082', 'value': '€1.00m'}, {'date': '04/02/2016', 'age': '20', 'clubName': 'LOSC Lille', 'clubID': '1082', 'value': '€1.00m'}, {'date': '13/07/2016', 'age': '21', 'clubName': 'LOSC Lille', 'clubID': '1082', 'value': '€800k'}, {'date': '16/01/2017', 'age': '21', 'clubName': 'LOSC Lille', 'clubID': '1082', 'value': '€800k'}, {'date': '01/06/2017', 'age': '21', 'clubName': 'LOSC Lille', 'clubID': '1082', 'value': '€800k'}, {'date': '12/10/2017', 'age': '22', 'clubName': 'LOSC Lille', 'clubID': '1082', 'value': '€1.75m'}, {'date': '24/01/2018', 'age': '22', 'clubName': 'LOSC Lille', 'clubID': '1082', 'value': '€4.00m'}, {'date': '04/06/2018', 'age': '22', 'clubName': 'LOSC Lille', 'clubID': '1082', 'value': '€4.00m'}, {'date': '24/10/2018', 'age': '23', 'clubName': 'LOSC Lille', 'clubID': '1082', 'value': '€7.00m'}, {'date': '17/12/2018', 'age': '23', 'clubName': 'LOSC Lille', 'clubID': '1082', 'value': '€9.00m'}, {'date': '07/03/2019', 'age': '23', 'clubName': 'LOSC Lille', 'clubID': '1082', 'value': '€12.00m'}, {'date': '03/06/2019', 'age': '23', 'clubName': 'LOSC Lille', 'clubID': '1082', 'value': '€17.50m'}, {'date': '27/09/2019', 'age': '24', 'clubName': 'LOSC Lille', 'clubID': '1082', 'value': '€22.00m'}, {'date': '19/12/2019', 'age': '24', 'clubName': 'LOSC Lille', 'clubID': '1082', 'value': '€22.00m'}, {'date': '08/04/2020', 'age': '24', 'clubName': 'LOSC Lille', 'clubID': '1082', 'value': '€17.50m'}, {'date': '15/10/2020', 'age': '25', 'clubName': 'LOSC Lille', 'clubID': '1082', 'value': '€20.00m'}, {'date': '09/04/2021', 'age': '25', 'clubName': 'LOSC Lille', 'clubID': '1082', 'value': '€25.00m'}, {'date': '01/06/2021', 'age': '25', 'clubName': 'LOSC Lille', 'clubID': '1082', 'value': '€25.00m'}, {'date': '28/12/2021', 'age': '26', 'clubName': 'AC Milan', 'clubID': '5', 'value': '€25.00m'}, {'date': '07/06/2022', 'age': '26', 'clubName': 'AC Milan', 'clubID': '5', 'value': '€35.00m'}, {'date': '11/11/2022', 'age': '27', 'clubName': 'AC Milan', 'clubID': '5', 'value': '€35.00m'}, {'date': '15/06/2023', 'age': '27', 'clubName': 'AC Milan', 'clubID': '5', 'value': '€45.00m'}, {'date': '20/12/2023', 'age': '28', 'clubName': 'AC Milan', 'clubID': '5', 'value': '€45.00m'}, {'date': '12/03/2024', 'age': '28', 'clubName': 'AC Milan', 'clubID': '5', 'value': '€40.00m'}, {'date': '05/06/2024', 'age': '28', 'clubName': 'AC Milan', 'clubID': '5', 'value': '€38.00m'}, {'date': '18/12/2024', 'age': '29', 'clubName': 'AC Milan', 'clubID': '5', 'value': '€35.00m'}, {'date': '25/03/2025', 'age': '29', 'clubName': 'AC Milan', 'clubID': '5', 'value': '€25.00m'}, {'date': '17/06/2025', 'age': '29', 'clubName': 'AC Milan', 'clubID': '5', 'value': '€25.00m'}, {'date': '23/12/2025', 'age': '30', 'clubName': 'AC Milan', 'clubID': '5', 'value': '€25.00m'}]}</t>
        </is>
      </c>
      <c r="L409" t="inlineStr">
        <is>
          <t>France</t>
        </is>
      </c>
      <c r="M409" t="inlineStr">
        <is>
          <t>1995-07-03</t>
        </is>
      </c>
      <c r="N409" t="inlineStr">
        <is>
          <t>38</t>
        </is>
      </c>
      <c r="O409">
        <f>(35+35)/2</f>
        <v/>
      </c>
      <c r="P409">
        <f>(25+25+25)/3</f>
        <v/>
      </c>
    </row>
    <row r="410">
      <c r="A410" t="inlineStr">
        <is>
          <t>Trubin</t>
        </is>
      </c>
      <c r="B410" t="inlineStr">
        <is>
          <t>Shakhtar Donetsk</t>
        </is>
      </c>
      <c r="C410" t="inlineStr">
        <is>
          <t>Goalkeeper</t>
        </is>
      </c>
      <c r="D410" t="n">
        <v>270</v>
      </c>
      <c r="E410" t="n">
        <v>3</v>
      </c>
      <c r="F410" t="n">
        <v>0</v>
      </c>
      <c r="G410" t="n">
        <v>0</v>
      </c>
      <c r="H410" t="n">
        <v>15.5</v>
      </c>
      <c r="I410" t="n">
        <v>21.8</v>
      </c>
      <c r="J410" t="n">
        <v>537844</v>
      </c>
      <c r="K410" t="inlineStr">
        <is>
          <t>{'marketValueHistory': [{'date': '08/01/2020', 'age': '18', 'clubName': 'Shakhtar Donetsk', 'clubID': '660', 'value': '€400k'}, {'date': '08/04/2020', 'age': '18', 'clubName': 'Shakhtar Donetsk', 'clubID': '660', 'value': '€350k'}, {'date': '04/09/2020', 'age': '19', 'clubName': 'Shakhtar Donetsk', 'clubID': '660', 'value': '€800k'}, {'date': '14/01/2021', 'age': '19', 'clubName': 'Shakhtar Donetsk', 'clubID': '660', 'value': '€7.00m'}, {'date': '27/05/2021', 'age': '19', 'clubName': 'Shakhtar Donetsk', 'clubID': '660', 'value': '€8.00m'}, {'date': '20/12/2021', 'age': '20', 'clubName': 'Shakhtar Donetsk', 'clubID': '660', 'value': '€8.00m'}, {'date': '18/05/2022', 'age': '20', 'clubName': 'Shakhtar Donetsk', 'clubID': '660', 'value': '€8.00m'}, {'date': '06/12/2022', 'age': '21', 'clubName': 'Shakhtar Donetsk', 'clubID': '660', 'value': '€11.00m'}, {'date': '28/03/2023', 'age': '21', 'clubName': 'Shakhtar Donetsk', 'clubID': '660', 'value': '€18.00m'}, {'date': '21/06/2023', 'age': '21', 'clubName': 'Shakhtar Donetsk', 'clubID': '660', 'value': '€22.00m'}, {'date': '27/12/2023', 'age': '22', 'clubName': 'SL Benfica', 'clubID': '294', 'value': '€25.00m'}, {'date': '06/06/2024', 'age': '22', 'clubName': 'SL Benfica', 'clubID': '294', 'value': '€25.00m'}, {'date': '19/12/2024', 'age': '23', 'clubName': 'SL Benfica', 'clubID': '294', 'value': '€25.00m'}, {'date': '30/05/2025', 'age': '23', 'clubName': 'SL Benfica', 'clubID': '294', 'value': '€28.00m'}, {'date': '18/12/2025', 'age': '24', 'clubName': 'SL Benfica', 'clubID': '294', 'value': '€28.00m'}, {'date': '19/03/2026', 'age': '24', 'clubName': 'SL Benfica', 'clubID': '294', 'value': '€25.00m'}]}</t>
        </is>
      </c>
      <c r="L410" t="inlineStr">
        <is>
          <t>Ukraine</t>
        </is>
      </c>
      <c r="M410" t="inlineStr">
        <is>
          <t>2001-08-01</t>
        </is>
      </c>
      <c r="N410" t="inlineStr">
        <is>
          <t>27</t>
        </is>
      </c>
      <c r="O410">
        <f>(8+11)/2</f>
        <v/>
      </c>
      <c r="P410">
        <f>(7+8+8)/3</f>
        <v/>
      </c>
    </row>
    <row r="411">
      <c r="A411" t="inlineStr">
        <is>
          <t>Navas</t>
        </is>
      </c>
      <c r="B411" t="inlineStr">
        <is>
          <t>Paris</t>
        </is>
      </c>
      <c r="C411" t="inlineStr">
        <is>
          <t>Goalkeeper</t>
        </is>
      </c>
      <c r="D411" t="n">
        <v>270</v>
      </c>
      <c r="E411" t="n">
        <v>3</v>
      </c>
      <c r="F411" t="n">
        <v>0</v>
      </c>
      <c r="G411" t="n">
        <v>0</v>
      </c>
      <c r="H411" t="n">
        <v>13.7</v>
      </c>
      <c r="I411" t="n">
        <v>23.2</v>
      </c>
      <c r="J411" t="n">
        <v>15956</v>
      </c>
      <c r="K411" t="inlineStr">
        <is>
          <t>{'marketValueHistory': [{'date': '04/10/2004', 'age': '18', 'clubName': 'Sevilla FC', 'clubID': '368', 'value': '€50k'}, {'date': '12/10/2004', 'age': '18', 'clubName': 'Sevilla FC', 'clubID': '368', 'value': '€1.50m'}, {'date': '15/11/2004', 'age': '18', 'clubName': 'Sevilla FC', 'clubID': '368', 'value': '€2.50m'}, {'date': '12/10/2006', 'age': '20', 'clubName': 'Sevilla FC', 'clubID': '368', 'value': '€3.50m'}, {'date': '31/01/2007', 'age': '21', 'clubName': 'Sevilla FC', 'clubID': '368', 'value': '€7.00m'}, {'date': '04/02/2008', 'age': '22', 'clubName': 'Sevilla FC', 'clubID': '368', 'value': '€9.00m'}, {'date': '04/04/2008', 'age': '22', 'clubName': 'Sevilla FC', 'clubID': '368', 'value': '€10.00m'}, {'date': '14/07/2008', 'age': '22', 'clubName': 'Sevilla FC', 'clubID': '368', 'value': '€10.00m'}, {'date': '15/10/2008', 'age': '22', 'clubName': 'Sevilla FC', 'clubID': '368', 'value': '€14.00m'}, {'date': '25/01/2009', 'age': '23', 'clubName': 'Sevilla FC', 'clubID': '368', 'value': '€17.00m'}, {'date': '22/07/2009', 'age': '23', 'clubName': 'Sevilla FC', 'clubID': '368', 'value': '€22.00m'}, {'date': '03/12/2009', 'age': '24', 'clubName': 'Sevilla FC', 'clubID': '368', 'value': '€25.00m'}, {'date': '12/04/2010', 'age': '24', 'clubName': 'Sevilla FC', 'clubID': '368', 'value': '€28.00m'}, {'date': '27/08/2010', 'age': '24', 'clubName': 'Sevilla FC', 'clubID': '368', 'value': '€30.00m'}, {'date': '04/02/2011', 'age': '25', 'clubName': 'Sevilla FC', 'clubID': '368', 'value': '€25.00m'}, {'date': '29/07/2011', 'age': '25', 'clubName': 'Sevilla FC', 'clubID': '368', 'value': '€24.00m'}, {'date': '03/02/2012', 'age': '26', 'clubName': 'Sevilla FC', 'clubID': '368', 'value': '€20.00m'}, {'date': '07/08/2012', 'age': '26', 'clubName': 'Sevilla FC', 'clubID': '368', 'value': '€20.00m'}, {'date': '11/01/2013', 'age': '27', 'clubName': 'Sevilla FC', 'clubID': '368', 'value': '€20.00m'}, {'date': '12/06/2013', 'age': '27', 'clubName': 'Sevilla FC', 'clubID': '368', 'value': '€20.00m'}, {'date': '15/01/2014', 'age': '28', 'clubName': 'Manchester City', 'clubID': '281', 'value': '€20.00m'}, {'date': '12/08/2014', 'age': '28', 'clubName': 'Manchester City', 'clubID': '281', 'value': '€20.00m'}, {'date': '12/02/2015', 'age': '29', 'clubName': 'Manchester City', 'clubID': '281', 'value': '€20.00m'}, {'date': '01/07/2015', 'age': '29', 'clubName': 'Manchester City', 'clubID': '281', 'value': '€20.00m'}, {'date': '09/02/2016', 'age': '30', 'clubName': 'Manchester City', 'clubID': '281', 'value': '€20.00m'}, {'date': '01/08/2016', 'age': '30', 'clubName': 'Manchester City', 'clubID': '281', 'value': '€20.00m'}, {'date': '20/02/2017', 'age': '31', 'clubName': 'Manchester City', 'clubID': '281', 'value': '€15.00m'}, {'date': '28/06/2017', 'age': '31', 'clubName': 'Manchester City', 'clubID': '281', 'value': '€12.00m'}, {'date': '17/08/2017', 'age': '31', 'clubName': 'Sevilla FC', 'clubID': '368', 'value': '€9.00m'}, {'date': '01/01/2018', 'age': '32', 'clubName': 'Sevilla FC', 'clubID': '368', 'value': '€6.00m'}, {'date': '30/05/2018', 'age': '32', 'clubName': 'Sevilla FC', 'clubID': '368', 'value': '€5.00m'}, {'date': '21/12/2018', 'age': '33', 'clubName': 'Sevilla FC', 'clubID': '368', 'value': '€4.00m'}, {'date': '11/06/2019', 'age': '33', 'clubName': 'Sevilla FC', 'clubID': '368', 'value': '€4.00m'}, {'date': '20/12/2019', 'age': '34', 'clubName': 'Sevilla FC', 'clubID': '368', 'value': '€4.00m'}, {'date': '08/04/2020', 'age': '34', 'clubName': 'Sevilla FC', 'clubID': '368', 'value': '€3.20m'}, {'date': '08/10/2020', 'age': '34', 'clubName': 'Sevilla FC', 'clubID': '368', 'value': '€3.00m'}, {'date': '05/01/2021', 'age': '35', 'clubName': 'Sevilla FC', 'clubID': '368', 'value': '€3.00m'}, {'date': '10/06/2021', 'age': '35', 'clubName': 'Sevilla FC', 'clubID': '368', 'value': '€3.00m'}, {'date': '30/12/2021', 'age': '36', 'clubName': 'Sevilla FC', 'clubID': '368', 'value': '€3.00m'}, {'date': '03/06/2022', 'age': '36', 'clubName': 'Sevilla FC', 'clubID': '368', 'value': '€3.00m'}, {'date': '07/11/2022', 'age': '36', 'clubName': 'Sevilla FC', 'clubID': '368', 'value': '€3.00m'}, {'date': '13/06/2023', 'age': '37', 'clubName': 'Sevilla FC', 'clubID': '368', 'value': '€3.00m'}, {'date': '22/12/2023', 'age': '38', 'clubName': 'Sevilla FC', 'clubID': '368', 'value': '€3.00m'}, {'date': '07/06/2024', 'age': '38', 'clubName': 'Sevilla FC', 'clubID': '368', 'value': '€2.50m'}, {'date': '27/12/2024', 'age': '39', 'clubName': 'Sevilla FC', 'clubID': '368', 'value': '€2.50m'}, {'date': '01/01/2025', 'age': '39', 'clubName': 'Retired', 'clubID': '123', 'value': '-'}]}</t>
        </is>
      </c>
      <c r="L411" t="inlineStr">
        <is>
          <t>Spain</t>
        </is>
      </c>
      <c r="M411" t="inlineStr">
        <is>
          <t>1985-11-21</t>
        </is>
      </c>
      <c r="N411" t="inlineStr">
        <is>
          <t>56</t>
        </is>
      </c>
      <c r="O411">
        <f>(3+3)/2</f>
        <v/>
      </c>
      <c r="P411">
        <f>(3+3+3)/3</f>
        <v/>
      </c>
    </row>
    <row r="412">
      <c r="A412" t="inlineStr">
        <is>
          <t>Von Ballmoos</t>
        </is>
      </c>
      <c r="B412" t="inlineStr">
        <is>
          <t>Young Boys</t>
        </is>
      </c>
      <c r="C412" t="inlineStr">
        <is>
          <t>Goalkeeper</t>
        </is>
      </c>
      <c r="D412" t="n">
        <v>270</v>
      </c>
      <c r="E412" t="n">
        <v>3</v>
      </c>
      <c r="F412" t="n">
        <v>0</v>
      </c>
      <c r="G412" t="n">
        <v>0</v>
      </c>
      <c r="H412" t="n">
        <v>12.2</v>
      </c>
      <c r="I412" t="n">
        <v>22.4</v>
      </c>
      <c r="J412" t="n">
        <v>203124</v>
      </c>
      <c r="K412" t="inlineStr">
        <is>
          <t>{'marketValueHistory': [{'date': '02/07/2013', 'age': '18', 'clubName': 'BSC Young Boys', 'clubID': '452', 'value': '€50k'}, {'date': '14/02/2014', 'age': '19', 'clubName': 'BSC Young Boys', 'clubID': '452', 'value': '€50k'}, {'date': '16/07/2014', 'age': '19', 'clubName': 'BSC Young Boys', 'clubID': '452', 'value': '€50k'}, {'date': '12/09/2014', 'age': '19', 'clubName': 'BSC Young Boys', 'clubID': '452', 'value': '€50k'}, {'date': '15/12/2014', 'age': '19', 'clubName': 'BSC Young Boys', 'clubID': '452', 'value': '€50k'}, {'date': '18/06/2015', 'age': '20', 'clubName': 'BSC Young Boys', 'clubID': '452', 'value': '€50k'}, {'date': '18/12/2015', 'age': '20', 'clubName': 'FC Winterthur', 'clubID': '242', 'value': '€350k'}, {'date': '16/07/2016', 'age': '21', 'clubName': 'FC Winterthur', 'clubID': '242', 'value': '€500k'}, {'date': '20/12/2016', 'age': '21', 'clubName': 'FC Winterthur', 'clubID': '242', 'value': '€500k'}, {'date': '12/07/2017', 'age': '22', 'clubName': 'BSC Young Boys', 'clubID': '452', 'value': '€500k'}, {'date': '29/09/2017', 'age': '22', 'clubName': 'BSC Young Boys', 'clubID': '452', 'value': '€750k'}, {'date': '08/01/2018', 'age': '23', 'clubName': 'BSC Young Boys', 'clubID': '452', 'value': '€1.00m'}, {'date': '24/04/2018', 'age': '23', 'clubName': 'BSC Young Boys', 'clubID': '452', 'value': '€1.50m'}, {'date': '12/07/2018', 'age': '23', 'clubName': 'BSC Young Boys', 'clubID': '452', 'value': '€1.50m'}, {'date': '21/01/2019', 'age': '24', 'clubName': 'BSC Young Boys', 'clubID': '452', 'value': '€2.50m'}, {'date': '15/04/2019', 'age': '24', 'clubName': 'BSC Young Boys', 'clubID': '452', 'value': '€2.50m'}, {'date': '04/06/2019', 'age': '24', 'clubName': 'BSC Young Boys', 'clubID': '452', 'value': '€2.50m'}, {'date': '07/10/2019', 'age': '24', 'clubName': 'BSC Young Boys', 'clubID': '452', 'value': '€3.50m'}, {'date': '06/01/2020', 'age': '25', 'clubName': 'BSC Young Boys', 'clubID': '452', 'value': '€3.50m'}, {'date': '08/04/2020', 'age': '25', 'clubName': 'BSC Young Boys', 'clubID': '452', 'value': '€2.80m'}, {'date': '31/07/2020', 'age': '25', 'clubName': 'BSC Young Boys', 'clubID': '452', 'value': '€2.80m'}, {'date': '28/12/2020', 'age': '25', 'clubName': 'BSC Young Boys', 'clubID': '452', 'value': '€3.00m'}, {'date': '23/06/2021', 'age': '26', 'clubName': 'BSC Young Boys', 'clubID': '452', 'value': '€3.00m'}, {'date': '03/01/2022', 'age': '27', 'clubName': 'BSC Young Boys', 'clubID': '452', 'value': '€3.00m'}, {'date': '08/06/2022', 'age': '27', 'clubName': 'BSC Young Boys', 'clubID': '452', 'value': '€2.50m'}, {'date': '10/11/2022', 'age': '27', 'clubName': 'BSC Young Boys', 'clubID': '452', 'value': '€2.50m'}, {'date': '07/06/2023', 'age': '28', 'clubName': 'BSC Young Boys', 'clubID': '452', 'value': '€2.50m'}, {'date': '19/10/2023', 'age': '28', 'clubName': 'BSC Young Boys', 'clubID': '452', 'value': '€1.50m'}, {'date': '21/12/2023', 'age': '28', 'clubName': 'BSC Young Boys', 'clubID': '452', 'value': '€1.50m'}, {'date': '31/05/2024', 'age': '29', 'clubName': 'BSC Young Boys', 'clubID': '452', 'value': '€1.50m'}, {'date': '23/12/2024', 'age': '29', 'clubName': 'BSC Young Boys', 'clubID': '452', 'value': '€1.20m'}, {'date': '20/03/2025', 'age': '30', 'clubName': 'BSC Young Boys', 'clubID': '452', 'value': '€700k'}, {'date': '10/06/2025', 'age': '30', 'clubName': 'BSC Young Boys', 'clubID': '452', 'value': '€600k'}, {'date': '02/10/2025', 'age': '30', 'clubName': 'FC Lugano', 'clubID': '2790', 'value': '€800k'}, {'date': '29/12/2025', 'age': '30', 'clubName': 'FC Lugano', 'clubID': '2790', 'value': '€800k'}, {'date': '17/03/2026', 'age': '31', 'clubName': 'FC Lugano', 'clubID': '2790', 'value': '€600k'}]}</t>
        </is>
      </c>
      <c r="L412" t="inlineStr">
        <is>
          <t>Switzerland</t>
        </is>
      </c>
      <c r="M412" t="inlineStr">
        <is>
          <t>1994-12-30</t>
        </is>
      </c>
      <c r="N412" t="inlineStr">
        <is>
          <t>0</t>
        </is>
      </c>
      <c r="O412">
        <f>(3+2.5+2.5)/3</f>
        <v/>
      </c>
      <c r="P412">
        <f>3</f>
        <v/>
      </c>
    </row>
    <row r="413">
      <c r="A413" t="inlineStr">
        <is>
          <t>Fassnacht</t>
        </is>
      </c>
      <c r="B413" t="inlineStr">
        <is>
          <t>Young Boys</t>
        </is>
      </c>
      <c r="C413" t="inlineStr">
        <is>
          <t>Midfielder</t>
        </is>
      </c>
      <c r="D413" t="n">
        <v>269</v>
      </c>
      <c r="E413" t="n">
        <v>3</v>
      </c>
      <c r="F413" t="n">
        <v>0</v>
      </c>
      <c r="G413" t="n">
        <v>0</v>
      </c>
      <c r="H413" t="n">
        <v>23.3</v>
      </c>
      <c r="I413" t="n">
        <v>31.8</v>
      </c>
      <c r="J413" t="n">
        <v>250490</v>
      </c>
      <c r="K413" t="inlineStr">
        <is>
          <t>{'marketValueHistory': [{'date': 'Sep 12, 2014', 'age': '20', 'clubName': 'FC Tuggen', 'clubID': '3303', 'value': '€100k'}, {'date': 'Dec 18, 2015', 'age': '22', 'clubName': 'FC Winterthur', 'clubID': '242', 'value': '€200k'}, {'date': 'Jul 16, 2016', 'age': '22', 'clubName': 'FC Thun', 'clubID': '938', 'value': '€400k'}, {'date': 'Dec 20, 2016', 'age': '23', 'clubName': 'FC Thun', 'clubID': '938', 'value': '€600k'}, {'date': 'Apr 14, 2017', 'age': '23', 'clubName': 'FC Thun', 'clubID': '938', 'value': '€1.00m'}, {'date': 'Jul 12, 2017', 'age': '23', 'clubName': 'BSC Young Boys', 'clubID': '452', 'value': '€1.25m'}, {'date': 'Sep 29, 2017', 'age': '23', 'clubName': 'BSC Young Boys', 'clubID': '452', 'value': '€1.75m'}, {'date': 'Jan 8, 2018', 'age': '24', 'clubName': 'BSC Young Boys', 'clubID': '452', 'value': '€2.25m'}, {'date': 'Apr 24, 2018', 'age': '24', 'clubName': 'BSC Young Boys', 'clubID': '452', 'value': '€2.50m'}, {'date': 'Jul 12, 2018', 'age': '24', 'clubName': 'BSC Young Boys', 'clubID': '452', 'value': '€4.00m'}, {'date': 'Oct 19, 2018', 'age': '24', 'clubName': 'BSC Young Boys', 'clubID': '452', 'value': '€5.00m'}, {'date': 'Jan 21, 2019', 'age': '25', 'clubName': 'BSC Young Boys', 'clubID': '452', 'value': '€5.00m'}, {'date': 'Apr 15, 2019', 'age': '25', 'clubName': 'BSC Young Boys', 'clubID': '452', 'value': '€5.00m'}, {'date': 'Jun 4, 2019', 'age': '25', 'clubName': 'BSC Young Boys', 'clubID': '452', 'value': '€5.00m'}, {'date': 'Jan 6, 2020', 'age': '26', 'clubName': 'BSC Young Boys', 'clubID': '452', 'value': '€5.00m'}, {'date': 'Apr 8, 2020', 'age': '26', 'clubName': 'BSC Young Boys', 'clubID': '452', 'value': '€4.00m'}, {'date': 'Jul 31, 2020', 'age': '26', 'clubName': 'BSC Young Boys', 'clubID': '452', 'value': '€4.00m'}, {'date': 'Dec 28, 2020', 'age': '27', 'clubName': 'BSC Young Boys', 'clubID': '452', 'value': '€4.00m'}, {'date': 'Apr 15, 2021', 'age': '27', 'clubName': 'BSC Young Boys', 'clubID': '452', 'value': '€3.00m'}, {'date': 'May 25, 2021', 'age': '27', 'clubName': 'BSC Young Boys', 'clubID': '452', 'value': '€3.00m'}, {'date': 'Jun 23, 2021', 'age': '27', 'clubName': 'BSC Young Boys', 'clubID': '452', 'value': '€3.00m'}, {'date': 'Jan 3, 2022', 'age': '28', 'clubName': 'BSC Young Boys', 'clubID': '452', 'value': '€4.00m'}, {'date': 'Jun 8, 2022', 'age': '28', 'clubName': 'BSC Young Boys', 'clubID': '452', 'value': '€4.00m'}, {'date': 'Nov 10, 2022', 'age': '28', 'clubName': 'BSC Young Boys', 'clubID': '452', 'value': '€3.00m'}, {'date': 'Jun 7, 2023', 'age': '29', 'clubName': 'BSC Young Boys', 'clubID': '452', 'value': '€2.50m'}, {'date': 'Dec 21, 2023', 'age': '30', 'clubName': 'Norwich City', 'clubID': '1123', 'value': '€2.50m'}, {'date': 'May 24, 2024', 'age': '30', 'clubName': 'Norwich City', 'clubID': '1123', 'value': '€2.50m'}, {'date': 'Dec 30, 2024', 'age': '31', 'clubName': 'Norwich City', 'clubID': '1123', 'value': '€2.00m'}, {'date': 'Jun 10, 2025', 'age': '31', 'clubName': 'BSC Young Boys', 'clubID': '452', 'value': '€2.00m'}, {'date': 'Dec 29, 2025', 'age': '32', 'clubName': 'BSC Young Boys', 'clubID': '452', 'value': '€2.00m'}]}</t>
        </is>
      </c>
      <c r="L413" t="inlineStr">
        <is>
          <t>Switzerland</t>
        </is>
      </c>
      <c r="M413" t="inlineStr">
        <is>
          <t>1993-11-11</t>
        </is>
      </c>
      <c r="N413" t="inlineStr">
        <is>
          <t>Switzerland</t>
        </is>
      </c>
      <c r="O413">
        <f>(4+4+3)/3</f>
        <v/>
      </c>
      <c r="P413">
        <f>(3+3+3)/3</f>
        <v/>
      </c>
    </row>
    <row r="414">
      <c r="A414" t="inlineStr">
        <is>
          <t>Alan Patrick</t>
        </is>
      </c>
      <c r="B414" t="inlineStr">
        <is>
          <t>Shakhtar Donetsk</t>
        </is>
      </c>
      <c r="C414" t="inlineStr">
        <is>
          <t>Midfielder</t>
        </is>
      </c>
      <c r="D414" t="n">
        <v>268</v>
      </c>
      <c r="E414" t="n">
        <v>4</v>
      </c>
      <c r="F414" t="n">
        <v>0</v>
      </c>
      <c r="G414" t="n">
        <v>1</v>
      </c>
      <c r="H414" t="n">
        <v>37.1</v>
      </c>
      <c r="I414" t="n">
        <v>29.5</v>
      </c>
      <c r="J414" t="n">
        <v>104505</v>
      </c>
      <c r="K414" t="inlineStr">
        <is>
          <t>{'marketValueHistory': [{'date': '08/03/2009', 'age': '17', 'clubName': 'Santos FC', 'clubID': '221', 'value': '€50k'}, {'date': '27/06/2009', 'age': '18', 'clubName': 'Santos FC', 'clubID': '221', 'value': '€150k'}, {'date': '06/09/2010', 'age': '19', 'clubName': 'Santos FC', 'clubID': '221', 'value': '€500k'}, {'date': '10/12/2010', 'age': '19', 'clubName': 'Santos FC', 'clubID': '221', 'value': '€1.00m'}, {'date': '30/05/2011', 'age': '20', 'clubName': 'Santos FC', 'clubID': '221', 'value': '€1.50m'}, {'date': '04/07/2011', 'age': '20', 'clubName': 'Shakhtar Donetsk', 'clubID': '660', 'value': '€3.00m'}, {'date': '05/01/2012', 'age': '20', 'clubName': 'Shakhtar Donetsk', 'clubID': '660', 'value': '€2.00m'}, {'date': '02/07/2012', 'age': '21', 'clubName': 'Shakhtar Donetsk', 'clubID': '660', 'value': '€1.50m'}, {'date': '17/06/2013', 'age': '22', 'clubName': 'Shakhtar Donetsk', 'clubID': '660', 'value': '€2.00m'}, {'date': '26/08/2013', 'age': '22', 'clubName': 'Sport Club Internacional', 'clubID': '6600', 'value': '€1.50m'}, {'date': '07/08/2014', 'age': '23', 'clubName': 'Sport Club Internacional', 'clubID': '6600', 'value': '€1.50m'}, {'date': '01/02/2015', 'age': '23', 'clubName': 'Sociedade Esportiva Palmeiras', 'clubID': '1023', 'value': '€2.50m'}, {'date': '31/05/2015', 'age': '24', 'clubName': 'Sociedade Esportiva Palmeiras', 'clubID': '1023', 'value': '€2.25m'}, {'date': '11/09/2015', 'age': '24', 'clubName': 'CR Flamengo', 'clubID': '614', 'value': '€3.25m'}, {'date': '15/12/2015', 'age': '24', 'clubName': 'CR Flamengo', 'clubID': '614', 'value': '€3.50m'}, {'date': '27/05/2016', 'age': '25', 'clubName': 'CR Flamengo', 'clubID': '614', 'value': '€3.50m'}, {'date': '28/11/2016', 'age': '25', 'clubName': 'CR Flamengo', 'clubID': '614', 'value': '€3.00m'}, {'date': '26/06/2017', 'age': '26', 'clubName': 'Shakhtar Donetsk', 'clubID': '660', 'value': '€2.00m'}, {'date': '12/01/2018', 'age': '26', 'clubName': 'Shakhtar Donetsk', 'clubID': '660', 'value': '€2.00m'}, {'date': '06/08/2018', 'age': '27', 'clubName': 'Shakhtar Donetsk', 'clubID': '660', 'value': '€3.50m'}, {'date': '10/12/2018', 'age': '27', 'clubName': 'Shakhtar Donetsk', 'clubID': '660', 'value': '€4.00m'}, {'date': '20/06/2019', 'age': '28', 'clubName': 'Shakhtar Donetsk', 'clubID': '660', 'value': '€4.00m'}, {'date': '08/01/2020', 'age': '28', 'clubName': 'Shakhtar Donetsk', 'clubID': '660', 'value': '€6.00m'}, {'date': '08/04/2020', 'age': '28', 'clubName': 'Shakhtar Donetsk', 'clubID': '660', 'value': '€4.80m'}, {'date': '04/09/2020', 'age': '29', 'clubName': 'Shakhtar Donetsk', 'clubID': '660', 'value': '€8.00m'}, {'date': '14/01/2021', 'age': '29', 'clubName': 'Shakhtar Donetsk', 'clubID': '660', 'value': '€8.00m'}, {'date': '07/06/2021', 'age': '30', 'clubName': 'Shakhtar Donetsk', 'clubID': '660', 'value': '€8.00m'}, {'date': '20/12/2021', 'age': '30', 'clubName': 'Shakhtar Donetsk', 'clubID': '660', 'value': '€7.00m'}, {'date': '19/08/2022', 'age': '31', 'clubName': 'Sport Club Internacional', 'clubID': '6600', 'value': '€6.00m'}, {'date': '14/11/2022', 'age': '31', 'clubName': 'Sport Club Internacional', 'clubID': '6600', 'value': '€5.50m'}, {'date': '07/04/2023', 'age': '31', 'clubName': 'Sport Club Internacional', 'clubID': '6600', 'value': '€5.00m'}, {'date': '25/07/2023', 'age': '32', 'clubName': 'Sport Club Internacional', 'clubID': '6600', 'value': '€4.00m'}, {'date': '11/12/2023', 'age': '32', 'clubName': 'Sport Club Internacional', 'clubID': '6600', 'value': '€4.00m'}, {'date': '28/03/2024', 'age': '32', 'clubName': 'Sport Club Internacional', 'clubID': '6600', 'value': '€4.00m'}, {'date': '17/06/2024', 'age': '33', 'clubName': 'Sport Club Internacional', 'clubID': '6600', 'value': '€4.00m'}, {'date': '09/12/2024', 'age': '33', 'clubName': 'Sport Club Internacional', 'clubID': '6600', 'value': '€3.50m'}, {'date': '06/06/2025', 'age': '34', 'clubName': 'Sport Club Internacional', 'clubID': '6600', 'value': '€3.00m'}, {'date': '10/12/2025', 'age': '34', 'clubName': 'Sport Club Internacional', 'clubID': '6600', 'value': '€2.50m'}]}</t>
        </is>
      </c>
      <c r="L414" t="inlineStr">
        <is>
          <t>Brazil</t>
        </is>
      </c>
      <c r="M414" t="inlineStr">
        <is>
          <t>1991-05-13</t>
        </is>
      </c>
      <c r="N414" t="inlineStr">
        <is>
          <t>Brazil</t>
        </is>
      </c>
      <c r="O414">
        <f>(6+5.5)/2</f>
        <v/>
      </c>
      <c r="P414">
        <f>(8+8+7)/3</f>
        <v/>
      </c>
    </row>
    <row r="415">
      <c r="A415" t="inlineStr">
        <is>
          <t>Pyatov</t>
        </is>
      </c>
      <c r="B415" t="inlineStr">
        <is>
          <t>Shakhtar Donetsk</t>
        </is>
      </c>
      <c r="C415" t="inlineStr">
        <is>
          <t>Goalkeeper</t>
        </is>
      </c>
      <c r="D415" t="n">
        <v>266</v>
      </c>
      <c r="E415" t="n">
        <v>3</v>
      </c>
      <c r="F415" t="n">
        <v>0</v>
      </c>
      <c r="G415" t="n">
        <v>0</v>
      </c>
      <c r="H415" t="n">
        <v>14.2</v>
      </c>
      <c r="I415" t="n">
        <v>26.9</v>
      </c>
      <c r="J415" t="n">
        <v>39996</v>
      </c>
      <c r="K415" t="inlineStr">
        <is>
          <t>{'marketValueHistory': [{'date': 'May 21, 2006', 'age': '21', 'clubName': 'Vorskla Poltava', 'clubID': '2740', 'value': '€600k'}, {'date': 'Aug 24, 2007', 'age': '23', 'clubName': 'Shakhtar Donetsk', 'clubID': '660', 'value': '€1.00m'}, {'date': 'Oct 7, 2007', 'age': '23', 'clubName': 'Shakhtar Donetsk', 'clubID': '660', 'value': '€3.25m'}, {'date': 'Mar 12, 2008', 'age': '23', 'clubName': 'Shakhtar Donetsk', 'clubID': '660', 'value': '€3.50m'}, {'date': 'Sep 13, 2008', 'age': '24', 'clubName': 'Shakhtar Donetsk', 'clubID': '660', 'value': '€3.25m'}, {'date': 'Sep 28, 2008', 'age': '24', 'clubName': 'Shakhtar Donetsk', 'clubID': '660', 'value': '€4.00m'}, {'date': 'Dec 13, 2008', 'age': '24', 'clubName': 'Shakhtar Donetsk', 'clubID': '660', 'value': '€5.00m'}, {'date': 'Feb 4, 2009', 'age': '24', 'clubName': 'Shakhtar Donetsk', 'clubID': '660', 'value': '€5.40m'}, {'date': 'May 25, 2009', 'age': '24', 'clubName': 'Shakhtar Donetsk', 'clubID': '660', 'value': '€6.50m'}, {'date': 'Sep 23, 2009', 'age': '25', 'clubName': 'Shakhtar Donetsk', 'clubID': '660', 'value': '€6.50m'}, {'date': 'Feb 16, 2010', 'age': '25', 'clubName': 'Shakhtar Donetsk', 'clubID': '660', 'value': '€6.50m'}, {'date': 'Aug 28, 2010', 'age': '26', 'clubName': 'Shakhtar Donetsk', 'clubID': '660', 'value': '€7.00m'}, {'date': 'Jan 2, 2011', 'age': '26', 'clubName': 'Shakhtar Donetsk', 'clubID': '660', 'value': '€8.00m'}, {'date': 'Mar 11, 2011', 'age': '26', 'clubName': 'Shakhtar Donetsk', 'clubID': '660', 'value': '€10.00m'}, {'date': 'Jan 5, 2012', 'age': '27', 'clubName': 'Shakhtar Donetsk', 'clubID': '660', 'value': '€6.00m'}, {'date': 'Jul 2, 2012', 'age': '28', 'clubName': 'Shakhtar Donetsk', 'clubID': '660', 'value': '€8.00m'}, {'date': 'Sep 13, 2013', 'age': '29', 'clubName': 'Shakhtar Donetsk', 'clubID': '660', 'value': '€6.00m'}, {'date': 'Jun 30, 2014', 'age': '30', 'clubName': 'Shakhtar Donetsk', 'clubID': '660', 'value': '€6.00m'}, {'date': 'Dec 25, 2014', 'age': '30', 'clubName': 'Shakhtar Donetsk', 'clubID': '660', 'value': '€6.00m'}, {'date': 'Jun 7, 2015', 'age': '30', 'clubName': 'Shakhtar Donetsk', 'clubID': '660', 'value': '€6.00m'}, {'date': 'Dec 18, 2015', 'age': '31', 'clubName': 'Shakhtar Donetsk', 'clubID': '660', 'value': '€5.00m'}, {'date': 'Jun 1, 2016', 'age': '31', 'clubName': 'Shakhtar Donetsk', 'clubID': '660', 'value': '€4.00m'}, {'date': 'Jul 21, 2016', 'age': '32', 'clubName': 'Shakhtar Donetsk', 'clubID': '660', 'value': '€4.00m'}, {'date': 'Jan 3, 2017', 'age': '32', 'clubName': 'Shakhtar Donetsk', 'clubID': '660', 'value': '€4.00m'}, {'date': 'Jun 26, 2017', 'age': '32', 'clubName': 'Shakhtar Donetsk', 'clubID': '660', 'value': '€4.00m'}, {'date': 'Jan 12, 2018', 'age': '33', 'clubName': 'Shakhtar Donetsk', 'clubID': '660', 'value': '€3.00m'}, {'date': 'Aug 6, 2018', 'age': '34', 'clubName': 'Shakhtar Donetsk', 'clubID': '660', 'value': '€2.50m'}, {'date': 'Dec 10, 2018', 'age': '34', 'clubName': 'Shakhtar Donetsk', 'clubID': '660', 'value': '€2.50m'}, {'date': 'Jun 20, 2019', 'age': '34', 'clubName': 'Shakhtar Donetsk', 'clubID': '660', 'value': '€2.50m'}, {'date': 'Jan 8, 2020', 'age': '35', 'clubName': 'Shakhtar Donetsk', 'clubID': '660', 'value': '€2.00m'}, {'date': 'Apr 8, 2020', 'age': '35', 'clubName': 'Shakhtar Donetsk', 'clubID': '660', 'value': '€1.60m'}, {'date': 'Sep 4, 2020', 'age': '36', 'clubName': 'Shakhtar Donetsk', 'clubID': '660', 'value': '€1.00m'}, {'date': 'Jan 14, 2021', 'age': '36', 'clubName': 'Shakhtar Donetsk', 'clubID': '660', 'value': '€1.00m'}, {'date': 'May 27, 2021', 'age': '36', 'clubName': 'Shakhtar Donetsk', 'clubID': '660', 'value': '€1.00m'}, {'date': 'Dec 20, 2021', 'age': '37', 'clubName': 'Shakhtar Donetsk', 'clubID': '660', 'value': '€800k'}, {'date': 'May 18, 2022', 'age': '37', 'clubName': 'Shakhtar Donetsk', 'clubID': '660', 'value': '€800k'}, {'date': 'Sep 6, 2022', 'age': '38', 'clubName': 'Shakhtar Donetsk', 'clubID': '660', 'value': '€700k'}, {'date': 'Dec 6, 2022', 'age': '38', 'clubName': 'Shakhtar Donetsk', 'clubID': '660', 'value': '€500k'}, {'date': 'Jun 21, 2023', 'age': '38', 'clubName': 'Shakhtar Donetsk', 'clubID': '660', 'value': '€500k'}, {'date': 'Jul 1, 2023', 'age': '39', 'clubName': 'Retired', 'clubID': '123', 'value': '-'}]}</t>
        </is>
      </c>
      <c r="L415" t="inlineStr">
        <is>
          <t>Ukraine</t>
        </is>
      </c>
      <c r="M415" t="inlineStr">
        <is>
          <t>1984-06-28</t>
        </is>
      </c>
      <c r="N415" t="inlineStr">
        <is>
          <t>Ukraine</t>
        </is>
      </c>
      <c r="O415">
        <f>(0.8+0.7+0.5)/3</f>
        <v/>
      </c>
      <c r="P415">
        <f>(1+1+0.8)/3</f>
        <v/>
      </c>
    </row>
    <row r="416">
      <c r="A416" t="inlineStr">
        <is>
          <t>Arthur</t>
        </is>
      </c>
      <c r="B416" t="inlineStr">
        <is>
          <t>Juventus</t>
        </is>
      </c>
      <c r="C416" t="inlineStr">
        <is>
          <t>Midfielder</t>
        </is>
      </c>
      <c r="D416" t="n">
        <v>264</v>
      </c>
      <c r="E416" t="n">
        <v>6</v>
      </c>
      <c r="F416" t="n">
        <v>0</v>
      </c>
      <c r="G416" t="n">
        <v>0</v>
      </c>
      <c r="H416" t="n">
        <v>35.2</v>
      </c>
      <c r="I416" t="n">
        <v>31.5</v>
      </c>
      <c r="J416" t="n">
        <v>362842</v>
      </c>
      <c r="K416" t="inlineStr">
        <is>
          <t>{'marketValueHistory': [{'date': '31/05/2015', 'age': '18', 'clubName': 'Grêmio FBPA B (-2022)', 'clubID': '14704', 'value': '€100k'}, {'date': '15/12/2015', 'age': '19', 'clubName': 'Grêmio FBPA B (-2022)', 'clubID': '14704', 'value': '€100k'}, {'date': '30/10/2017', 'age': '21', 'clubName': 'Grêmio Foot-Ball Porto Alegrense', 'clubID': '210', 'value': '€6.00m'}, {'date': '07/12/2017', 'age': '21', 'clubName': 'Grêmio Foot-Ball Porto Alegrense', 'clubID': '210', 'value': '€14.00m'}, {'date': '23/05/2018', 'age': '21', 'clubName': 'Grêmio Foot-Ball Porto Alegrense', 'clubID': '210', 'value': '€30.00m'}, {'date': '31/10/2018', 'age': '22', 'clubName': 'FC Barcelona', 'clubID': '131', 'value': '€50.00m'}, {'date': '21/12/2018', 'age': '22', 'clubName': 'FC Barcelona', 'clubID': '131', 'value': '€50.00m'}, {'date': '28/02/2019', 'age': '22', 'clubName': 'FC Barcelona', 'clubID': '131', 'value': '€60.00m'}, {'date': '11/06/2019', 'age': '22', 'clubName': 'FC Barcelona', 'clubID': '131', 'value': '€70.00m'}, {'date': '20/12/2019', 'age': '23', 'clubName': 'FC Barcelona', 'clubID': '131', 'value': '€70.00m'}, {'date': '08/04/2020', 'age': '23', 'clubName': 'FC Barcelona', 'clubID': '131', 'value': '€56.00m'}, {'date': '29/10/2020', 'age': '24', 'clubName': 'Juventus FC', 'clubID': '506', 'value': '€60.00m'}, {'date': '29/12/2020', 'age': '24', 'clubName': 'Juventus FC', 'clubID': '506', 'value': '€50.00m'}, {'date': '03/06/2021', 'age': '24', 'clubName': 'Juventus FC', 'clubID': '506', 'value': '€40.00m'}, {'date': '14/10/2021', 'age': '25', 'clubName': 'Juventus FC', 'clubID': '506', 'value': '€35.00m'}, {'date': '28/12/2021', 'age': '25', 'clubName': 'Juventus FC', 'clubID': '506', 'value': '€25.00m'}, {'date': '15/03/2022', 'age': '25', 'clubName': 'Juventus FC', 'clubID': '506', 'value': '€20.00m'}, {'date': '07/06/2022', 'age': '25', 'clubName': 'Juventus FC', 'clubID': '506', 'value': '€18.00m'}, {'date': '03/11/2022', 'age': '26', 'clubName': 'Liverpool FC', 'clubID': '31', 'value': '€18.00m'}, {'date': '16/03/2023', 'age': '26', 'clubName': 'Liverpool FC', 'clubID': '31', 'value': '€15.00m'}, {'date': '20/06/2023', 'age': '26', 'clubName': 'Liverpool FC', 'clubID': '31', 'value': '€15.00m'}, {'date': '20/12/2023', 'age': '27', 'clubName': 'ACF Fiorentina', 'clubID': '430', 'value': '€15.00m'}, {'date': '05/06/2024', 'age': '27', 'clubName': 'ACF Fiorentina', 'clubID': '430', 'value': '€15.00m'}, {'date': '18/10/2024', 'age': '28', 'clubName': 'Juventus FC', 'clubID': '506', 'value': '€8.00m'}, {'date': '18/12/2024', 'age': '28', 'clubName': 'Juventus FC', 'clubID': '506', 'value': '€5.00m'}, {'date': '09/06/2025', 'age': '28', 'clubName': 'Girona FC', 'clubID': '12321', 'value': '€5.00m'}, {'date': '10/12/2025', 'age': '29', 'clubName': 'Grêmio Foot-Ball Porto Alegrense', 'clubID': '210', 'value': '€4.00m'}]}</t>
        </is>
      </c>
      <c r="L416" t="inlineStr">
        <is>
          <t>Brazil</t>
        </is>
      </c>
      <c r="M416" t="inlineStr">
        <is>
          <t>1996-08-12</t>
        </is>
      </c>
      <c r="N416" t="inlineStr">
        <is>
          <t>Brazil</t>
        </is>
      </c>
      <c r="O416">
        <f>(20+18+18)/3</f>
        <v/>
      </c>
      <c r="P416">
        <f>(40+35+25)/3</f>
        <v/>
      </c>
    </row>
    <row r="417">
      <c r="A417" t="inlineStr">
        <is>
          <t>Kenan Karaman</t>
        </is>
      </c>
      <c r="B417" t="inlineStr">
        <is>
          <t>Besiktas</t>
        </is>
      </c>
      <c r="C417" t="inlineStr">
        <is>
          <t>Forward</t>
        </is>
      </c>
      <c r="D417" t="n">
        <v>264</v>
      </c>
      <c r="E417" t="n">
        <v>5</v>
      </c>
      <c r="F417" t="n">
        <v>0</v>
      </c>
      <c r="G417" t="n">
        <v>0</v>
      </c>
      <c r="H417" t="n">
        <v>33.7</v>
      </c>
      <c r="I417" t="n">
        <v>31.7</v>
      </c>
      <c r="J417" t="n">
        <v>119557</v>
      </c>
      <c r="K417" t="inlineStr">
        <is>
          <t>{'marketValueHistory': [{'date': '15/07/2012', 'age': '18', 'clubName': 'TSG 1899 Hoffenheim II', 'clubID': '983', 'value': '€25k'}, {'date': '25/07/2013', 'age': '19', 'clubName': 'TSG 1899 Hoffenheim', 'clubID': '533', 'value': '€100k'}, {'date': '10/07/2014', 'age': '20', 'clubName': 'Hannover 96', 'clubID': '42', 'value': '€250k'}, {'date': '04/02/2015', 'age': '20', 'clubName': 'Hannover 96', 'clubID': '42', 'value': '€400k'}, {'date': '01/07/2015', 'age': '21', 'clubName': 'Hannover 96', 'clubID': '42', 'value': '€400k'}, {'date': '16/10/2015', 'age': '21', 'clubName': 'Hannover 96', 'clubID': '42', 'value': '€1.00m'}, {'date': '15/02/2016', 'age': '21', 'clubName': 'Hannover 96', 'clubID': '42', 'value': '€1.25m'}, {'date': '22/07/2016', 'age': '22', 'clubName': 'Hannover 96', 'clubID': '42', 'value': '€1.25m'}, {'date': '23/01/2017', 'age': '22', 'clubName': 'Hannover 96', 'clubID': '42', 'value': '€1.75m'}, {'date': '27/06/2017', 'age': '23', 'clubName': 'Hannover 96', 'clubID': '42', 'value': '€1.75m'}, {'date': '28/12/2017', 'age': '23', 'clubName': 'Hannover 96', 'clubID': '42', 'value': '€1.50m'}, {'date': '05/06/2018', 'age': '24', 'clubName': 'Hannover 96', 'clubID': '42', 'value': '€1.50m'}, {'date': '18/12/2018', 'age': '24', 'clubName': 'Fortuna Düsseldorf', 'clubID': '38', 'value': '€1.50m'}, {'date': '05/06/2019', 'age': '25', 'clubName': 'Fortuna Düsseldorf', 'clubID': '38', 'value': '€2.50m'}, {'date': '17/12/2019', 'age': '25', 'clubName': 'Fortuna Düsseldorf', 'clubID': '38', 'value': '€2.50m'}, {'date': '08/04/2020', 'age': '26', 'clubName': 'Fortuna Düsseldorf', 'clubID': '38', 'value': '€2.00m'}, {'date': '08/07/2020', 'age': '26', 'clubName': 'Fortuna Düsseldorf', 'clubID': '38', 'value': '€3.50m'}, {'date': '18/11/2020', 'age': '26', 'clubName': 'Fortuna Düsseldorf', 'clubID': '38', 'value': '€2.50m'}, {'date': '08/02/2021', 'age': '26', 'clubName': 'Fortuna Düsseldorf', 'clubID': '38', 'value': '€2.50m'}, {'date': '25/05/2021', 'age': '27', 'clubName': 'Fortuna Düsseldorf', 'clubID': '38', 'value': '€2.50m'}, {'date': '12/10/2021', 'age': '27', 'clubName': 'Besiktas JK', 'clubID': '114', 'value': '€2.40m'}, {'date': '04/01/2022', 'age': '27', 'clubName': 'Besiktas JK', 'clubID': '114', 'value': '€1.90m'}, {'date': '31/03/2022', 'age': '28', 'clubName': 'Besiktas JK', 'clubID': '114', 'value': '€1.50m'}, {'date': '01/06/2022', 'age': '28', 'clubName': 'Besiktas JK', 'clubID': '114', 'value': '€1.40m'}, {'date': '09/11/2022', 'age': '28', 'clubName': 'FC Schalke 04', 'clubID': '33', 'value': '€1.40m'}, {'date': '22/06/2023', 'age': '29', 'clubName': 'FC Schalke 04', 'clubID': '33', 'value': '€1.40m'}, {'date': '15/12/2023', 'age': '29', 'clubName': 'FC Schalke 04', 'clubID': '33', 'value': '€1.50m'}, {'date': '06/06/2024', 'age': '30', 'clubName': 'FC Schalke 04', 'clubID': '33', 'value': '€1.80m'}, {'date': '25/09/2024', 'age': '30', 'clubName': 'FC Schalke 04', 'clubID': '33', 'value': '€2.50m'}, {'date': '19/12/2024', 'age': '30', 'clubName': 'FC Schalke 04', 'clubID': '33', 'value': '€2.50m'}, {'date': '19/06/2025', 'age': '31', 'clubName': 'FC Schalke 04', 'clubID': '33', 'value': '€2.50m'}, {'date': '16/12/2025', 'age': '31', 'clubName': 'FC Schalke 04', 'clubID': '33', 'value': '€2.00m'}]}</t>
        </is>
      </c>
      <c r="L417" t="inlineStr">
        <is>
          <t>Turkey</t>
        </is>
      </c>
      <c r="M417" t="inlineStr">
        <is>
          <t>1994-03-05</t>
        </is>
      </c>
      <c r="N417" t="inlineStr">
        <is>
          <t>Germany</t>
        </is>
      </c>
      <c r="O417">
        <f>(1.9+1.5+1.4+1.4)/4</f>
        <v/>
      </c>
      <c r="P417">
        <f>(2.5+2.5+2.4)/3</f>
        <v/>
      </c>
    </row>
    <row r="418">
      <c r="A418" t="inlineStr">
        <is>
          <t>Wijnaldum</t>
        </is>
      </c>
      <c r="B418" t="inlineStr">
        <is>
          <t>Paris</t>
        </is>
      </c>
      <c r="C418" t="inlineStr">
        <is>
          <t>Midfielder</t>
        </is>
      </c>
      <c r="D418" t="n">
        <v>261</v>
      </c>
      <c r="E418" t="n">
        <v>5</v>
      </c>
      <c r="F418" t="n">
        <v>2</v>
      </c>
      <c r="G418" t="n">
        <v>0</v>
      </c>
      <c r="H418" t="n">
        <v>31.6</v>
      </c>
      <c r="I418" t="n">
        <v>31.7</v>
      </c>
      <c r="J418" t="n">
        <v>49499</v>
      </c>
      <c r="K418" t="inlineStr">
        <is>
          <t>{'marketValueHistory': [{'date': 'Aug 29, 2007', 'age': '16', 'clubName': 'Feyenoord Rotterdam', 'clubID': '234', 'value': '€50k'}, {'date': 'Jan 7, 2008', 'age': '17', 'clubName': 'Feyenoord Rotterdam', 'clubID': '234', 'value': '€750k'}, {'date': 'Jul 18, 2008', 'age': '17', 'clubName': 'Feyenoord Rotterdam', 'clubID': '234', 'value': '€1.00m'}, {'date': 'Dec 2, 2008', 'age': '18', 'clubName': 'Feyenoord Rotterdam', 'clubID': '234', 'value': '€2.50m'}, {'date': 'Jan 8, 2009', 'age': '18', 'clubName': 'Feyenoord Rotterdam', 'clubID': '234', 'value': '€3.00m'}, {'date': 'Jun 3, 2009', 'age': '18', 'clubName': 'Feyenoord Rotterdam', 'clubID': '234', 'value': '€4.50m'}, {'date': 'Jan 7, 2010', 'age': '19', 'clubName': 'Feyenoord Rotterdam', 'clubID': '234', 'value': '€5.50m'}, {'date': 'Aug 4, 2010', 'age': '19', 'clubName': 'Feyenoord Rotterdam', 'clubID': '234', 'value': '€6.00m'}, {'date': 'Jan 17, 2011', 'age': '20', 'clubName': 'Feyenoord Rotterdam', 'clubID': '234', 'value': '€5.50m'}, {'date': 'Jun 22, 2011', 'age': '20', 'clubName': 'Feyenoord Rotterdam', 'clubID': '234', 'value': '€6.50m'}, {'date': 'Jan 5, 2012', 'age': '21', 'clubName': 'PSV Eindhoven', 'clubID': '383', 'value': '€7.50m'}, {'date': 'Jan 11, 2013', 'age': '22', 'clubName': 'PSV Eindhoven', 'clubID': '383', 'value': '€6.50m'}, {'date': 'May 28, 2013', 'age': '22', 'clubName': 'PSV Eindhoven', 'clubID': '383', 'value': '€7.00m'}, {'date': 'Feb 11, 2014', 'age': '23', 'clubName': 'PSV Eindhoven', 'clubID': '383', 'value': '€7.00m'}, {'date': 'Aug 11, 2014', 'age': '23', 'clubName': 'PSV Eindhoven', 'clubID': '383', 'value': '€10.00m'}, {'date': 'Feb 16, 2015', 'age': '24', 'clubName': 'PSV Eindhoven', 'clubID': '383', 'value': '€12.00m'}, {'date': 'Jul 1, 2015', 'age': '24', 'clubName': 'PSV Eindhoven', 'clubID': '383', 'value': '€15.00m'}, {'date': 'Oct 14, 2015', 'age': '24', 'clubName': 'Newcastle United', 'clubID': '762', 'value': '€18.00m'}, {'date': 'Feb 9, 2016', 'age': '25', 'clubName': 'Newcastle United', 'clubID': '762', 'value': '€20.00m'}, {'date': 'Aug 1, 2016', 'age': '25', 'clubName': 'Liverpool FC', 'clubID': '31', 'value': '€22.00m'}, {'date': 'Feb 20, 2017', 'age': '26', 'clubName': 'Liverpool FC', 'clubID': '31', 'value': '€25.00m'}, {'date': 'Jun 28, 2017', 'age': '26', 'clubName': 'Liverpool FC', 'clubID': '31', 'value': '€28.00m'}, {'date': 'Jan 2, 2018', 'age': '27', 'clubName': 'Liverpool FC', 'clubID': '31', 'value': '€30.00m'}, {'date': 'May 28, 2018', 'age': '27', 'clubName': 'Liverpool FC', 'clubID': '31', 'value': '€30.00m'}, {'date': 'Oct 17, 2018', 'age': '27', 'clubName': 'Liverpool FC', 'clubID': '31', 'value': '€40.00m'}, {'date': 'Dec 19, 2018', 'age': '28', 'clubName': 'Liverpool FC', 'clubID': '31', 'value': '€40.00m'}, {'date': 'Jun 13, 2019', 'age': '28', 'clubName': 'Liverpool FC', 'clubID': '31', 'value': '€50.00m'}, {'date': 'Dec 10, 2019', 'age': '29', 'clubName': 'Liverpool FC', 'clubID': '31', 'value': '€50.00m'}, {'date': 'Apr 8, 2020', 'age': '29', 'clubName': 'Liverpool FC', 'clubID': '31', 'value': '€40.00m'}, {'date': 'Oct 13, 2020', 'age': '29', 'clubName': 'Liverpool FC', 'clubID': '31', 'value': '€40.00m'}, {'date': 'Mar 18, 2021', 'age': '30', 'clubName': 'Liverpool FC', 'clubID': '31', 'value': '€35.00m'}, {'date': 'May 27, 2021', 'age': '30', 'clubName': 'Liverpool FC', 'clubID': '31', 'value': '€30.00m'}, {'date': 'Dec 16, 2021', 'age': '31', 'clubName': 'Paris Saint-Germain', 'clubID': '583', 'value': '€25.00m'}, {'date': 'Mar 23, 2022', 'age': '31', 'clubName': 'Paris Saint-Germain', 'clubID': '583', 'value': '€22.00m'}, {'date': 'May 30, 2022', 'age': '31', 'clubName': 'Paris Saint-Germain', 'clubID': '583', 'value': '€18.00m'}, {'date': 'Sep 27, 2022', 'age': '31', 'clubName': 'AS Roma', 'clubID': '12', 'value': '€12.00m'}, {'date': 'Nov 11, 2022', 'age': '32', 'clubName': 'AS Roma', 'clubID': '12', 'value': '€12.00m'}, {'date': 'Jun 15, 2023', 'age': '32', 'clubName': 'AS Roma', 'clubID': '12', 'value': '€8.00m'}, {'date': 'Oct 24, 2023', 'age': '32', 'clubName': 'Al-Ettifaq FC', 'clubID': '7732', 'value': '€6.00m'}, {'date': 'Dec 15, 2023', 'age': '33', 'clubName': 'Al-Ettifaq FC', 'clubID': '7732', 'value': '€5.00m'}, {'date': 'Jun 4, 2024', 'age': '33', 'clubName': 'Al-Ettifaq FC', 'clubID': '7732', 'value': '€4.00m'}, {'date': 'Dec 13, 2024', 'age': '34', 'clubName': 'Al-Ettifaq FC', 'clubID': '7732', 'value': '€3.50m'}, {'date': 'May 27, 2025', 'age': '34', 'clubName': 'Al-Ettifaq FC', 'clubID': '7732', 'value': '€3.00m'}, {'date': 'Dec 18, 2025', 'age': '35', 'clubName': 'Al-Ettifaq FC', 'clubID': '7732', 'value': '€2.50m'}]}</t>
        </is>
      </c>
      <c r="L418" t="inlineStr">
        <is>
          <t>Netherlands</t>
        </is>
      </c>
      <c r="M418" t="inlineStr">
        <is>
          <t>1990-11-11</t>
        </is>
      </c>
      <c r="N418" t="inlineStr">
        <is>
          <t>Netherlands</t>
        </is>
      </c>
      <c r="O418">
        <f>(22+18+12+12)/4</f>
        <v/>
      </c>
      <c r="P418">
        <f>(35+30+25)/3</f>
        <v/>
      </c>
    </row>
    <row r="419">
      <c r="A419" t="inlineStr">
        <is>
          <t>Giroud</t>
        </is>
      </c>
      <c r="B419" t="inlineStr">
        <is>
          <t>Milan</t>
        </is>
      </c>
      <c r="C419" t="inlineStr">
        <is>
          <t>Forward</t>
        </is>
      </c>
      <c r="D419" t="n">
        <v>261</v>
      </c>
      <c r="E419" t="n">
        <v>5</v>
      </c>
      <c r="F419" t="n">
        <v>0</v>
      </c>
      <c r="G419" t="n">
        <v>0</v>
      </c>
      <c r="H419" t="n">
        <v>29</v>
      </c>
      <c r="I419" t="n">
        <v>28.7</v>
      </c>
      <c r="J419" t="n">
        <v>82442</v>
      </c>
      <c r="K419" t="inlineStr">
        <is>
          <t>{'marketValueHistory': [{'date': 'Aug 18, 2008', 'age': '21', 'clubName': 'Grenoble Foot 38', 'clubID': '1290', 'value': '€50k'}, {'date': 'Dec 13, 2008', 'age': '22', 'clubName': 'Tours FC', 'clubID': '3161', 'value': '€400k'}, {'date': 'Jun 3, 2009', 'age': '22', 'clubName': 'Tours FC', 'clubID': '3161', 'value': '€800k'}, {'date': 'Dec 13, 2009', 'age': '23', 'clubName': 'Tours FC', 'clubID': '3161', 'value': '€2.50m'}, {'date': 'May 17, 2010', 'age': '23', 'clubName': 'Tours FC', 'clubID': '3161', 'value': '€3.00m'}, {'date': 'Dec 28, 2010', 'age': '24', 'clubName': 'Montpellier HSC', 'clubID': '969', 'value': '€4.50m'}, {'date': 'May 24, 2011', 'age': '24', 'clubName': 'Montpellier HSC', 'clubID': '969', 'value': '€5.00m'}, {'date': 'Sep 25, 2011', 'age': '24', 'clubName': 'Montpellier HSC', 'clubID': '969', 'value': '€6.00m'}, {'date': 'Dec 24, 2011', 'age': '25', 'clubName': 'Montpellier HSC', 'clubID': '969', 'value': '€9.25m'}, {'date': 'Feb 2, 2012', 'age': '25', 'clubName': 'Montpellier HSC', 'clubID': '969', 'value': '€9.50m'}, {'date': 'May 23, 2012', 'age': '25', 'clubName': 'Montpellier HSC', 'clubID': '969', 'value': '€13.00m'}, {'date': 'Sep 9, 2012', 'age': '25', 'clubName': 'Arsenal FC', 'clubID': '11', 'value': '€15.00m'}, {'date': 'Jan 28, 2013', 'age': '26', 'clubName': 'Arsenal FC', 'clubID': '11', 'value': '€15.00m'}, {'date': 'Jul 2, 2013', 'age': '26', 'clubName': 'Arsenal FC', 'clubID': '11', 'value': '€16.00m'}, {'date': 'Jan 15, 2014', 'age': '27', 'clubName': 'Arsenal FC', 'clubID': '11', 'value': '€20.00m'}, {'date': 'Aug 12, 2014', 'age': '27', 'clubName': 'Arsenal FC', 'clubID': '11', 'value': '€20.00m'}, {'date': 'Feb 12, 2015', 'age': '28', 'clubName': 'Arsenal FC', 'clubID': '11', 'value': '€20.00m'}, {'date': 'Jul 1, 2015', 'age': '28', 'clubName': 'Arsenal FC', 'clubID': '11', 'value': '€24.00m'}, {'date': 'Feb 9, 2016', 'age': '29', 'clubName': 'Arsenal FC', 'clubID': '11', 'value': '€27.00m'}, {'date': 'Jun 1, 2016', 'age': '29', 'clubName': 'Arsenal FC', 'clubID': '11', 'value': '€25.00m'}, {'date': 'Aug 1, 2016', 'age': '29', 'clubName': 'Arsenal FC', 'clubID': '11', 'value': '€25.00m'}, {'date': 'Feb 20, 2017', 'age': '30', 'clubName': 'Arsenal FC', 'clubID': '11', 'value': '€25.00m'}, {'date': 'Jun 28, 2017', 'age': '30', 'clubName': 'Arsenal FC', 'clubID': '11', 'value': '€22.00m'}, {'date': 'Jan 2, 2018', 'age': '31', 'clubName': 'Arsenal FC', 'clubID': '11', 'value': '€20.00m'}, {'date': 'May 28, 2018', 'age': '31', 'clubName': 'Chelsea FC', 'clubID': '631', 'value': '€18.00m'}, {'date': 'Dec 19, 2018', 'age': '32', 'clubName': 'Chelsea FC', 'clubID': '631', 'value': '€15.00m'}, {'date': 'Jun 13, 2019', 'age': '32', 'clubName': 'Chelsea FC', 'clubID': '631', 'value': '€15.00m'}, {'date': 'Sep 12, 2019', 'age': '32', 'clubName': 'Chelsea FC', 'clubID': '631', 'value': '€12.00m'}, {'date': 'Dec 10, 2019', 'age': '33', 'clubName': 'Chelsea FC', 'clubID': '631', 'value': '€9.00m'}, {'date': 'Apr 8, 2020', 'age': '33', 'clubName': 'Chelsea FC', 'clubID': '631', 'value': '€7.00m'}, {'date': 'Oct 13, 2020', 'age': '34', 'clubName': 'Chelsea FC', 'clubID': '631', 'value': '€5.00m'}, {'date': 'Mar 18, 2021', 'age': '34', 'clubName': 'Chelsea FC', 'clubID': '631', 'value': '€5.00m'}, {'date': 'Jun 1, 2021', 'age': '34', 'clubName': 'Chelsea FC', 'clubID': '631', 'value': '€4.00m'}, {'date': 'Dec 28, 2021', 'age': '35', 'clubName': 'AC Milan', 'clubID': '5', 'value': '€2.50m'}, {'date': 'Jun 7, 2022', 'age': '35', 'clubName': 'AC Milan', 'clubID': '5', 'value': '€3.50m'}, {'date': 'Nov 11, 2022', 'age': '36', 'clubName': 'AC Milan', 'clubID': '5', 'value': '€4.00m'}, {'date': 'Jun 15, 2023', 'age': '36', 'clubName': 'AC Milan', 'clubID': '5', 'value': '€4.00m'}, {'date': 'Dec 20, 2023', 'age': '37', 'clubName': 'AC Milan', 'clubID': '5', 'value': '€4.00m'}, {'date': 'Jun 5, 2024', 'age': '37', 'clubName': 'AC Milan', 'clubID': '5', 'value': '€3.00m'}, {'date': 'Dec 12, 2024', 'age': '38', 'clubName': 'Los Angeles FC', 'clubID': '51828', 'value': '€2.50m'}, {'date': 'Apr 17, 2025', 'age': '38', 'clubName': 'Los Angeles FC', 'clubID': '51828', 'value': '€1.80m'}, {'date': 'Jun 5, 2025', 'age': '38', 'clubName': 'Los Angeles FC', 'clubID': '51828', 'value': '€1.50m'}, {'date': 'Dec 15, 2025', 'age': '39', 'clubName': 'LOSC Lille', 'clubID': '1082', 'value': '€1.00m'}]}</t>
        </is>
      </c>
      <c r="L419" t="inlineStr">
        <is>
          <t>France</t>
        </is>
      </c>
      <c r="M419" t="inlineStr">
        <is>
          <t>1986-09-30</t>
        </is>
      </c>
      <c r="N419" t="inlineStr">
        <is>
          <t>France</t>
        </is>
      </c>
      <c r="O419">
        <f>(3.5+4)/2</f>
        <v/>
      </c>
      <c r="P419">
        <f>(5+4+2.5)/3</f>
        <v/>
      </c>
    </row>
    <row r="420">
      <c r="A420" t="inlineStr">
        <is>
          <t>Pjanic</t>
        </is>
      </c>
      <c r="B420" t="inlineStr">
        <is>
          <t>Besiktas</t>
        </is>
      </c>
      <c r="C420" t="inlineStr">
        <is>
          <t>Midfielder</t>
        </is>
      </c>
      <c r="D420" t="n">
        <v>261</v>
      </c>
      <c r="E420" t="n">
        <v>3</v>
      </c>
      <c r="F420" t="n">
        <v>0</v>
      </c>
      <c r="G420" t="n">
        <v>2</v>
      </c>
      <c r="H420" t="n">
        <v>32.7</v>
      </c>
      <c r="I420" t="n">
        <v>29.2</v>
      </c>
      <c r="J420" t="n">
        <v>44162</v>
      </c>
      <c r="K420" t="inlineStr">
        <is>
          <t>{'marketValueHistory': [{'date': '20/09/2007', 'age': '17', 'clubName': 'FC Metz', 'clubID': '347', 'value': '€500k'}, {'date': '26/10/2007', 'age': '17', 'clubName': 'FC Metz', 'clubID': '347', 'value': '€1.00m'}, {'date': '27/12/2007', 'age': '17', 'clubName': 'FC Metz', 'clubID': '347', 'value': '€1.50m'}, {'date': '05/05/2008', 'age': '18', 'clubName': 'FC Metz', 'clubID': '347', 'value': '€4.00m'}, {'date': '06/06/2008', 'age': '18', 'clubName': 'FC Metz', 'clubID': '347', 'value': '€5.50m'}, {'date': '30/12/2008', 'age': '18', 'clubName': 'Olympique Lyon', 'clubID': '1041', 'value': '€6.50m'}, {'date': '18/05/2009', 'age': '19', 'clubName': 'Olympique Lyon', 'clubID': '1041', 'value': '€6.00m'}, {'date': '22/12/2009', 'age': '19', 'clubName': 'Olympique Lyon', 'clubID': '1041', 'value': '€9.00m'}, {'date': '09/01/2010', 'age': '19', 'clubName': 'Olympique Lyon', 'clubID': '1041', 'value': '€10.00m'}, {'date': '18/05/2010', 'age': '20', 'clubName': 'Olympique Lyon', 'clubID': '1041', 'value': '€12.50m'}, {'date': '28/12/2010', 'age': '20', 'clubName': 'Olympique Lyon', 'clubID': '1041', 'value': '€11.50m'}, {'date': '24/05/2011', 'age': '21', 'clubName': 'Olympique Lyon', 'clubID': '1041', 'value': '€9.00m'}, {'date': '21/09/2011', 'age': '21', 'clubName': 'AS Roma', 'clubID': '12', 'value': '€10.00m'}, {'date': '11/01/2012', 'age': '21', 'clubName': 'AS Roma', 'clubID': '12', 'value': '€10.50m'}, {'date': '15/03/2012', 'age': '21', 'clubName': 'AS Roma', 'clubID': '12', 'value': '€11.50m'}, {'date': '08/06/2012', 'age': '22', 'clubName': 'AS Roma', 'clubID': '12', 'value': '€12.50m'}, {'date': '14/01/2013', 'age': '22', 'clubName': 'AS Roma', 'clubID': '12', 'value': '€14.00m'}, {'date': '19/06/2013', 'age': '23', 'clubName': 'AS Roma', 'clubID': '12', 'value': '€14.00m'}, {'date': '11/11/2013', 'age': '23', 'clubName': 'AS Roma', 'clubID': '12', 'value': '€18.00m'}, {'date': '07/01/2014', 'age': '23', 'clubName': 'AS Roma', 'clubID': '12', 'value': '€20.00m'}, {'date': '11/07/2014', 'age': '24', 'clubName': 'AS Roma', 'clubID': '12', 'value': '€27.00m'}, {'date': '07/01/2015', 'age': '24', 'clubName': 'AS Roma', 'clubID': '12', 'value': '€30.00m'}, {'date': '20/03/2015', 'age': '24', 'clubName': 'AS Roma', 'clubID': '12', 'value': '€28.00m'}, {'date': '01/07/2015', 'age': '25', 'clubName': 'AS Roma', 'clubID': '12', 'value': '€26.00m'}, {'date': '05/11/2015', 'age': '25', 'clubName': 'AS Roma', 'clubID': '12', 'value': '€30.00m'}, {'date': '04/01/2016', 'age': '25', 'clubName': 'AS Roma', 'clubID': '12', 'value': '€35.00m'}, {'date': '15/07/2016', 'age': '26', 'clubName': 'Juventus FC', 'clubID': '506', 'value': '€38.00m'}, {'date': '02/01/2017', 'age': '26', 'clubName': 'Juventus FC', 'clubID': '506', 'value': '€38.00m'}, {'date': '08/06/2017', 'age': '27', 'clubName': 'Juventus FC', 'clubID': '506', 'value': '€40.00m'}, {'date': '29/12/2017', 'age': '27', 'clubName': 'Juventus FC', 'clubID': '506', 'value': '€50.00m'}, {'date': '24/03/2018', 'age': '27', 'clubName': 'Juventus FC', 'clubID': '506', 'value': '€65.00m'}, {'date': '07/06/2018', 'age': '28', 'clubName': 'Juventus FC', 'clubID': '506', 'value': '€65.00m'}, {'date': '12/10/2018', 'age': '28', 'clubName': 'Juventus FC', 'clubID': '506', 'value': '€70.00m'}, {'date': '20/12/2018', 'age': '28', 'clubName': 'Juventus FC', 'clubID': '506', 'value': '€70.00m'}, {'date': '06/06/2019', 'age': '29', 'clubName': 'Juventus FC', 'clubID': '506', 'value': '€70.00m'}, {'date': '12/12/2019', 'age': '29', 'clubName': 'Juventus FC', 'clubID': '506', 'value': '€70.00m'}, {'date': '03/03/2020', 'age': '29', 'clubName': 'Juventus FC', 'clubID': '506', 'value': '€65.00m'}, {'date': '08/04/2020', 'age': '30', 'clubName': 'Juventus FC', 'clubID': '506', 'value': '€52.00m'}, {'date': '25/08/2020', 'age': '30', 'clubName': 'Juventus FC', 'clubID': '506', 'value': '€45.00m'}, {'date': '08/10/2020', 'age': '30', 'clubName': 'FC Barcelona', 'clubID': '131', 'value': '€50.00m'}, {'date': '05/01/2021', 'age': '30', 'clubName': 'FC Barcelona', 'clubID': '131', 'value': '€40.00m'}, {'date': '19/03/2021', 'age': '30', 'clubName': 'FC Barcelona', 'clubID': '131', 'value': '€28.00m'}, {'date': '10/06/2021', 'age': '31', 'clubName': 'FC Barcelona', 'clubID': '131', 'value': '€20.00m'}, {'date': '12/10/2021', 'age': '31', 'clubName': 'Besiktas JK', 'clubID': '114', 'value': '€18.00m'}, {'date': '04/01/2022', 'age': '31', 'clubName': 'Besiktas JK', 'clubID': '114', 'value': '€15.00m'}, {'date': '31/03/2022', 'age': '31', 'clubName': 'Besiktas JK', 'clubID': '114', 'value': '€11.50m'}, {'date': '01/06/2022', 'age': '32', 'clubName': 'Besiktas JK', 'clubID': '114', 'value': '€9.50m'}, {'date': '15/12/2022', 'age': '32', 'clubName': 'Sharjah FC', 'clubID': '13613', 'value': '€8.00m'}, {'date': '31/05/2023', 'age': '33', 'clubName': 'Sharjah FC', 'clubID': '13613', 'value': '€6.00m'}, {'date': '12/10/2023', 'age': '33', 'clubName': 'Sharjah FC', 'clubID': '13613', 'value': '€5.00m'}, {'date': '08/03/2024', 'age': '33', 'clubName': 'Sharjah FC', 'clubID': '13613', 'value': '€4.00m'}, {'date': '03/06/2024', 'age': '34', 'clubName': 'Sharjah FC', 'clubID': '13613', 'value': '€3.00m'}, {'date': '12/12/2024', 'age': '34', 'clubName': 'CSKA Moscow', 'clubID': '2410', 'value': '€2.50m'}, {'date': '04/06/2025', 'age': '35', 'clubName': 'CSKA Moscow', 'clubID': '2410', 'value': '€2.00m'}, {'date': '21/10/2025', 'age': '35', 'clubName': 'Without Club', 'clubID': '515', 'value': '€1.50m'}, {'date': '30/12/2025', 'age': '35', 'clubName': 'Retired', 'clubID': '123', 'value': '-'}]}</t>
        </is>
      </c>
      <c r="L420" t="inlineStr">
        <is>
          <t>Luxembourg</t>
        </is>
      </c>
      <c r="M420" t="inlineStr">
        <is>
          <t>1990-04-02</t>
        </is>
      </c>
      <c r="N420" t="inlineStr">
        <is>
          <t>Bosnia-Herzegovina</t>
        </is>
      </c>
      <c r="O420">
        <f>(15+11.5+9.5+8)/4</f>
        <v/>
      </c>
      <c r="P420">
        <f>(40+28+20+18)/4</f>
        <v/>
      </c>
    </row>
    <row r="421">
      <c r="A421" t="inlineStr">
        <is>
          <t>Mehmet Topal</t>
        </is>
      </c>
      <c r="B421" t="inlineStr">
        <is>
          <t>Besiktas</t>
        </is>
      </c>
      <c r="C421" t="inlineStr">
        <is>
          <t>Midfielder</t>
        </is>
      </c>
      <c r="D421" t="n">
        <v>261</v>
      </c>
      <c r="E421" t="n">
        <v>3</v>
      </c>
      <c r="F421" t="n">
        <v>0</v>
      </c>
      <c r="G421" t="n">
        <v>0</v>
      </c>
      <c r="H421" t="n">
        <v>29.6</v>
      </c>
      <c r="I421" t="n">
        <v>30.5</v>
      </c>
      <c r="J421" t="n">
        <v>44402</v>
      </c>
      <c r="K421" t="inlineStr">
        <is>
          <t>{'marketValueHistory': [{'date': 'Sep 17, 2006', 'age': '20', 'clubName': 'Galatasaray', 'clubID': '141', 'value': '€100k'}, {'date': 'Oct 23, 2006', 'age': '20', 'clubName': 'Galatasaray', 'clubID': '141', 'value': '€1.00m'}, {'date': 'Jun 9, 2007', 'age': '21', 'clubName': 'Galatasaray', 'clubID': '141', 'value': '€1.60m'}, {'date': 'Jan 9, 2008', 'age': '21', 'clubName': 'Galatasaray', 'clubID': '141', 'value': '€2.20m'}, {'date': 'Jul 21, 2008', 'age': '22', 'clubName': 'Galatasaray', 'clubID': '141', 'value': '€5.00m'}, {'date': 'Feb 8, 2009', 'age': '22', 'clubName': 'Galatasaray', 'clubID': '141', 'value': '€7.00m'}, {'date': 'Jul 16, 2009', 'age': '23', 'clubName': 'Galatasaray', 'clubID': '141', 'value': '€7.50m'}, {'date': 'Jan 11, 2010', 'age': '23', 'clubName': 'Galatasaray', 'clubID': '141', 'value': '€7.50m'}, {'date': 'Jun 22, 2010', 'age': '24', 'clubName': 'Galatasaray', 'clubID': '141', 'value': '€7.50m'}, {'date': 'Aug 27, 2010', 'age': '24', 'clubName': 'Valencia CF', 'clubID': '1049', 'value': '€7.00m'}, {'date': 'Dec 14, 2010', 'age': '24', 'clubName': 'Valencia CF', 'clubID': '1049', 'value': '€6.50m'}, {'date': 'Feb 4, 2011', 'age': '24', 'clubName': 'Valencia CF', 'clubID': '1049', 'value': '€6.50m'}, {'date': 'Apr 1, 2011', 'age': '25', 'clubName': 'Valencia CF', 'clubID': '1049', 'value': '€7.50m'}, {'date': 'Jul 29, 2011', 'age': '25', 'clubName': 'Valencia CF', 'clubID': '1049', 'value': '€10.00m'}, {'date': 'Feb 3, 2012', 'age': '25', 'clubName': 'Valencia CF', 'clubID': '1049', 'value': '€8.00m'}, {'date': 'Jan 6, 2013', 'age': '26', 'clubName': 'Fenerbahce', 'clubID': '36', 'value': '€8.00m'}, {'date': 'Jun 15, 2013', 'age': '27', 'clubName': 'Fenerbahce', 'clubID': '36', 'value': '€8.00m'}, {'date': 'Jan 27, 2014', 'age': '27', 'clubName': 'Fenerbahce', 'clubID': '36', 'value': '€9.00m'}, {'date': 'Aug 11, 2014', 'age': '28', 'clubName': 'Fenerbahce', 'clubID': '36', 'value': '€10.50m'}, {'date': 'Jan 26, 2015', 'age': '28', 'clubName': 'Fenerbahce', 'clubID': '36', 'value': '€12.00m'}, {'date': 'Jun 25, 2015', 'age': '29', 'clubName': 'Fenerbahce', 'clubID': '36', 'value': '€12.00m'}, {'date': 'Jan 18, 2016', 'age': '29', 'clubName': 'Fenerbahce', 'clubID': '36', 'value': '€12.00m'}, {'date': 'Jun 1, 2016', 'age': '30', 'clubName': 'Fenerbahce', 'clubID': '36', 'value': '€10.00m'}, {'date': 'Jul 15, 2016', 'age': '30', 'clubName': 'Fenerbahce', 'clubID': '36', 'value': '€10.00m'}, {'date': 'Jan 10, 2017', 'age': '30', 'clubName': 'Fenerbahce', 'clubID': '36', 'value': '€8.50m'}, {'date': 'Jun 9, 2017', 'age': '31', 'clubName': 'Fenerbahce', 'clubID': '36', 'value': '€6.00m'}, {'date': 'Feb 12, 2018', 'age': '31', 'clubName': 'Fenerbahce', 'clubID': '36', 'value': '€4.00m'}, {'date': 'May 29, 2018', 'age': '32', 'clubName': 'Fenerbahce', 'clubID': '36', 'value': '€2.50m'}, {'date': 'Jan 4, 2019', 'age': '32', 'clubName': 'Fenerbahce', 'clubID': '36', 'value': '€2.00m'}, {'date': 'Jun 4, 2019', 'age': '33', 'clubName': 'Fenerbahce', 'clubID': '36', 'value': '€1.25m'}, {'date': 'Jan 3, 2020', 'age': '33', 'clubName': 'Basaksehir FK', 'clubID': '6890', 'value': '€1.10m'}, {'date': 'Apr 8, 2020', 'age': '34', 'clubName': 'Basaksehir FK', 'clubID': '6890', 'value': '€900k'}, {'date': 'Aug 4, 2020', 'age': '34', 'clubName': 'Basaksehir FK', 'clubID': '6890', 'value': '€900k'}, {'date': 'Dec 23, 2020', 'age': '34', 'clubName': 'Basaksehir FK', 'clubID': '6890', 'value': '€700k'}, {'date': 'Mar 16, 2021', 'age': '35', 'clubName': 'Basaksehir FK', 'clubID': '6890', 'value': '€500k'}, {'date': 'May 21, 2021', 'age': '35', 'clubName': 'Basaksehir FK', 'clubID': '6890', 'value': '€350k'}, {'date': 'Oct 12, 2021', 'age': '35', 'clubName': 'Besiktas JK', 'clubID': '114', 'value': '€250k'}, {'date': 'Jan 4, 2022', 'age': '35', 'clubName': 'Besiktas JK', 'clubID': '114', 'value': '€200k'}, {'date': 'Mar 31, 2022', 'age': '36', 'clubName': 'Besiktas JK', 'clubID': '114', 'value': '€100k'}, {'date': 'Jun 1, 2022', 'age': '36', 'clubName': 'Besiktas JK', 'clubID': '114', 'value': '€100k'}, {'date': 'Jul 19, 2022', 'age': '36', 'clubName': 'Retired', 'clubID': '123', 'value': '-'}]}</t>
        </is>
      </c>
      <c r="L421" t="inlineStr">
        <is>
          <t>Turkey</t>
        </is>
      </c>
      <c r="M421" t="inlineStr">
        <is>
          <t>1986-03-03</t>
        </is>
      </c>
      <c r="N421" t="inlineStr">
        <is>
          <t>Turkey</t>
        </is>
      </c>
      <c r="O421">
        <f>(0.2+0.1+0.1)/3</f>
        <v/>
      </c>
      <c r="P421">
        <f>(0.5+0.35+0.25)/3</f>
        <v/>
      </c>
    </row>
    <row r="422">
      <c r="A422" t="inlineStr">
        <is>
          <t>Di Maria</t>
        </is>
      </c>
      <c r="B422" t="inlineStr">
        <is>
          <t>Paris</t>
        </is>
      </c>
      <c r="C422" t="inlineStr">
        <is>
          <t>Forward</t>
        </is>
      </c>
      <c r="D422" t="n">
        <v>260</v>
      </c>
      <c r="E422" t="n">
        <v>5</v>
      </c>
      <c r="F422" t="n">
        <v>0</v>
      </c>
      <c r="G422" t="n">
        <v>1</v>
      </c>
      <c r="H422" t="n">
        <v>32.1</v>
      </c>
      <c r="I422" t="n">
        <v>37.8</v>
      </c>
      <c r="J422" t="n">
        <v>45320</v>
      </c>
      <c r="K422" t="inlineStr">
        <is>
          <t>{'marketValueHistory': [{'date': '28/07/2007', 'age': '19', 'clubName': 'SL Benfica', 'clubID': '294', 'value': '€4.00m'}, {'date': '18/02/2008', 'age': '20', 'clubName': 'SL Benfica', 'clubID': '294', 'value': '€4.50m'}, {'date': '18/09/2008', 'age': '20', 'clubName': 'SL Benfica', 'clubID': '294', 'value': '€7.00m'}, {'date': '01/02/2009', 'age': '20', 'clubName': 'SL Benfica', 'clubID': '294', 'value': '€7.50m'}, {'date': '02/07/2009', 'age': '21', 'clubName': 'SL Benfica', 'clubID': '294', 'value': '€7.80m'}, {'date': '03/02/2010', 'age': '21', 'clubName': 'SL Benfica', 'clubID': '294', 'value': '€9.50m'}, {'date': '13/07/2010', 'age': '22', 'clubName': 'Real Madrid', 'clubID': '418', 'value': '€15.50m'}, {'date': '27/08/2010', 'age': '22', 'clubName': 'Real Madrid', 'clubID': '418', 'value': '€20.00m'}, {'date': '10/12/2010', 'age': '22', 'clubName': 'Real Madrid', 'clubID': '418', 'value': '€25.00m'}, {'date': '04/02/2011', 'age': '22', 'clubName': 'Real Madrid', 'clubID': '418', 'value': '€25.00m'}, {'date': '29/07/2011', 'age': '23', 'clubName': 'Real Madrid', 'clubID': '418', 'value': '€25.00m'}, {'date': '03/02/2012', 'age': '23', 'clubName': 'Real Madrid', 'clubID': '418', 'value': '€30.00m'}, {'date': '07/08/2012', 'age': '24', 'clubName': 'Real Madrid', 'clubID': '418', 'value': '€40.00m'}, {'date': '10/01/2013', 'age': '24', 'clubName': 'Real Madrid', 'clubID': '418', 'value': '€40.00m'}, {'date': '12/06/2013', 'age': '25', 'clubName': 'Real Madrid', 'clubID': '418', 'value': '€34.00m'}, {'date': '23/01/2014', 'age': '25', 'clubName': 'Real Madrid', 'clubID': '418', 'value': '€30.00m'}, {'date': '20/07/2014', 'age': '26', 'clubName': 'Real Madrid', 'clubID': '418', 'value': '€50.00m'}, {'date': '05/10/2014', 'age': '26', 'clubName': 'Manchester United', 'clubID': '985', 'value': '€65.00m'}, {'date': '12/02/2015', 'age': '26', 'clubName': 'Manchester United', 'clubID': '985', 'value': '€65.00m'}, {'date': '01/07/2015', 'age': '27', 'clubName': 'Manchester United', 'clubID': '985', 'value': '€50.00m'}, {'date': '04/02/2016', 'age': '27', 'clubName': 'Paris Saint-Germain', 'clubID': '583', 'value': '€60.00m'}, {'date': '13/07/2016', 'age': '28', 'clubName': 'Paris Saint-Germain', 'clubID': '583', 'value': '€60.00m'}, {'date': '01/11/2016', 'age': '28', 'clubName': 'Paris Saint-Germain', 'clubID': '583', 'value': '€55.00m'}, {'date': '16/01/2017', 'age': '28', 'clubName': 'Paris Saint-Germain', 'clubID': '583', 'value': '€50.00m'}, {'date': '01/06/2017', 'age': '29', 'clubName': 'Paris Saint-Germain', 'clubID': '583', 'value': '€40.00m'}, {'date': '24/01/2018', 'age': '29', 'clubName': 'Paris Saint-Germain', 'clubID': '583', 'value': '€40.00m'}, {'date': '04/06/2018', 'age': '30', 'clubName': 'Paris Saint-Germain', 'clubID': '583', 'value': '€40.00m'}, {'date': '24/10/2018', 'age': '30', 'clubName': 'Paris Saint-Germain', 'clubID': '583', 'value': '€45.00m'}, {'date': '17/12/2018', 'age': '30', 'clubName': 'Paris Saint-Germain', 'clubID': '583', 'value': '€45.00m'}, {'date': '03/06/2019', 'age': '31', 'clubName': 'Paris Saint-Germain', 'clubID': '583', 'value': '€40.00m'}, {'date': '19/12/2019', 'age': '31', 'clubName': 'Paris Saint-Germain', 'clubID': '583', 'value': '€40.00m'}, {'date': '08/04/2020', 'age': '32', 'clubName': 'Paris Saint-Germain', 'clubID': '583', 'value': '€32.00m'}, {'date': '15/10/2020', 'age': '32', 'clubName': 'Paris Saint-Germain', 'clubID': '583', 'value': '€32.00m'}, {'date': '07/01/2021', 'age': '32', 'clubName': 'Paris Saint-Germain', 'clubID': '583', 'value': '€28.00m'}, {'date': '09/04/2021', 'age': '33', 'clubName': 'Paris Saint-Germain', 'clubID': '583', 'value': '€24.00m'}, {'date': '04/06/2021', 'age': '33', 'clubName': 'Paris Saint-Germain', 'clubID': '583', 'value': '€20.00m'}, {'date': '16/12/2021', 'age': '33', 'clubName': 'Paris Saint-Germain', 'clubID': '583', 'value': '€15.00m'}, {'date': '30/05/2022', 'age': '34', 'clubName': 'Paris Saint-Germain', 'clubID': '583', 'value': '€12.00m'}, {'date': '11/11/2022', 'age': '34', 'clubName': 'Juventus FC', 'clubID': '506', 'value': '€10.00m'}, {'date': '15/06/2023', 'age': '35', 'clubName': 'Juventus FC', 'clubID': '506', 'value': '€8.00m'}, {'date': '27/12/2023', 'age': '35', 'clubName': 'SL Benfica', 'clubID': '294', 'value': '€5.00m'}, {'date': '08/03/2024', 'age': '36', 'clubName': 'SL Benfica', 'clubID': '294', 'value': '€4.00m'}, {'date': '06/06/2024', 'age': '36', 'clubName': 'SL Benfica', 'clubID': '294', 'value': '€3.00m'}, {'date': '19/12/2024', 'age': '36', 'clubName': 'SL Benfica', 'clubID': '294', 'value': '€3.00m'}, {'date': '30/05/2025', 'age': '37', 'clubName': 'SL Benfica', 'clubID': '294', 'value': '€2.00m'}, {'date': '17/12/2025', 'age': '37', 'clubName': 'CA Rosario Central', 'clubID': '1418', 'value': '€2.00m'}]}</t>
        </is>
      </c>
      <c r="L422" t="inlineStr">
        <is>
          <t>Italy</t>
        </is>
      </c>
      <c r="M422" t="inlineStr">
        <is>
          <t>1988-02-14</t>
        </is>
      </c>
      <c r="N422" t="inlineStr">
        <is>
          <t>145</t>
        </is>
      </c>
      <c r="O422">
        <f>(12+10)/2</f>
        <v/>
      </c>
      <c r="P422">
        <f>(28+24+20+15)/4</f>
        <v/>
      </c>
    </row>
    <row r="423">
      <c r="A423" t="inlineStr">
        <is>
          <t>Djimsiti</t>
        </is>
      </c>
      <c r="B423" t="inlineStr">
        <is>
          <t>Atalanta</t>
        </is>
      </c>
      <c r="C423" t="inlineStr">
        <is>
          <t>Defender</t>
        </is>
      </c>
      <c r="D423" t="n">
        <v>260</v>
      </c>
      <c r="E423" t="n">
        <v>5</v>
      </c>
      <c r="F423" t="n">
        <v>0</v>
      </c>
      <c r="G423" t="n">
        <v>0</v>
      </c>
      <c r="H423" t="n">
        <v>31.5</v>
      </c>
      <c r="I423" t="n">
        <v>32.1</v>
      </c>
      <c r="J423" t="n">
        <v>165513</v>
      </c>
      <c r="K423" t="inlineStr">
        <is>
          <t>{'marketValueHistory': [{'date': 'Jun 15, 2011', 'age': '18', 'clubName': 'FC Zürich U18', 'clubID': '14537', 'value': '€50k'}, {'date': 'Jun 2, 2012', 'age': '19', 'clubName': 'FC Zürich U21', 'clubID': '5501', 'value': '€250k'}, {'date': 'Aug 10, 2012', 'age': '19', 'clubName': 'FC Zürich', 'clubID': '260', 'value': '€450k'}, {'date': 'Oct 29, 2012', 'age': '19', 'clubName': 'FC Zürich', 'clubID': '260', 'value': '€500k'}, {'date': 'Apr 14, 2013', 'age': '20', 'clubName': 'FC Zürich', 'clubID': '260', 'value': '€750k'}, {'date': 'Jun 17, 2013', 'age': '20', 'clubName': 'FC Zürich', 'clubID': '260', 'value': '€1.00m'}, {'date': 'Jul 16, 2014', 'age': '21', 'clubName': 'FC Zürich', 'clubID': '260', 'value': '€1.25m'}, {'date': 'Sep 12, 2014', 'age': '21', 'clubName': 'FC Zürich', 'clubID': '260', 'value': '€1.25m'}, {'date': 'Dec 15, 2014', 'age': '21', 'clubName': 'FC Zürich', 'clubID': '260', 'value': '€2.00m'}, {'date': 'Apr 14, 2015', 'age': '22', 'clubName': 'FC Zürich', 'clubID': '260', 'value': '€2.50m'}, {'date': 'Jun 18, 2015', 'age': '22', 'clubName': 'FC Zürich', 'clubID': '260', 'value': '€2.00m'}, {'date': 'Sep 29, 2015', 'age': '22', 'clubName': 'FC Zürich', 'clubID': '260', 'value': '€1.75m'}, {'date': 'Dec 18, 2015', 'age': '22', 'clubName': 'FC Zürich', 'clubID': '260', 'value': '€1.00m'}, {'date': 'Jul 15, 2016', 'age': '23', 'clubName': 'Atalanta BC', 'clubID': '800', 'value': '€800k'}, {'date': 'Dec 19, 2016', 'age': '23', 'clubName': 'US Avellino 1912', 'clubID': '2331', 'value': '€800k'}, {'date': 'Jun 9, 2017', 'age': '24', 'clubName': 'US Avellino 1912', 'clubID': '2331', 'value': '€700k'}, {'date': 'Dec 29, 2017', 'age': '24', 'clubName': 'Benevento Calcio', 'clubID': '4171', 'value': '€800k'}, {'date': 'Jun 7, 2018', 'age': '25', 'clubName': 'Benevento Calcio', 'clubID': '4171', 'value': '€1.00m'}, {'date': 'Dec 20, 2018', 'age': '25', 'clubName': 'Atalanta BC', 'clubID': '800', 'value': '€1.50m'}, {'date': 'Jun 6, 2019', 'age': '26', 'clubName': 'Atalanta BC', 'clubID': '800', 'value': '€7.50m'}, {'date': 'Dec 12, 2019', 'age': '26', 'clubName': 'Atalanta BC', 'clubID': '800', 'value': '€10.00m'}, {'date': 'Mar 3, 2020', 'age': '27', 'clubName': 'Atalanta BC', 'clubID': '800', 'value': '€15.00m'}, {'date': 'Apr 8, 2020', 'age': '27', 'clubName': 'Atalanta BC', 'clubID': '800', 'value': '€12.00m'}, {'date': 'Aug 25, 2020', 'age': '27', 'clubName': 'Atalanta BC', 'clubID': '800', 'value': '€15.00m'}, {'date': 'Dec 29, 2020', 'age': '27', 'clubName': 'Atalanta BC', 'clubID': '800', 'value': '€18.00m'}, {'date': 'Mar 23, 2021', 'age': '28', 'clubName': 'Atalanta BC', 'clubID': '800', 'value': '€22.00m'}, {'date': 'Jun 3, 2021', 'age': '28', 'clubName': 'Atalanta BC', 'clubID': '800', 'value': '€22.00m'}, {'date': 'Dec 28, 2021', 'age': '28', 'clubName': 'Atalanta BC', 'clubID': '800', 'value': '€22.00m'}, {'date': 'Mar 15, 2022', 'age': '29', 'clubName': 'Atalanta BC', 'clubID': '800', 'value': '€20.00m'}, {'date': 'Jun 7, 2022', 'age': '29', 'clubName': 'Atalanta BC', 'clubID': '800', 'value': '€17.00m'}, {'date': 'Nov 11, 2022', 'age': '29', 'clubName': 'Atalanta BC', 'clubID': '800', 'value': '€13.00m'}, {'date': 'Jun 15, 2023', 'age': '30', 'clubName': 'Atalanta BC', 'clubID': '800', 'value': '€10.00m'}, {'date': 'Dec 20, 2023', 'age': '30', 'clubName': 'Atalanta BC', 'clubID': '800', 'value': '€10.00m'}, {'date': 'Jun 5, 2024', 'age': '31', 'clubName': 'Atalanta BC', 'clubID': '800', 'value': '€10.00m'}, {'date': 'Dec 18, 2024', 'age': '31', 'clubName': 'Atalanta BC', 'clubID': '800', 'value': '€8.00m'}, {'date': 'Jun 17, 2025', 'age': '32', 'clubName': 'Atalanta BC', 'clubID': '800', 'value': '€6.00m'}, {'date': 'Dec 23, 2025', 'age': '32', 'clubName': 'Atalanta BC', 'clubID': '800', 'value': '€5.00m'}]}</t>
        </is>
      </c>
      <c r="L423" t="inlineStr">
        <is>
          <t>Switzerland</t>
        </is>
      </c>
      <c r="M423" t="inlineStr">
        <is>
          <t>1993-02-19</t>
        </is>
      </c>
      <c r="N423" t="inlineStr">
        <is>
          <t>Albania</t>
        </is>
      </c>
      <c r="O423">
        <f>(20+17+13)/3</f>
        <v/>
      </c>
      <c r="P423">
        <f>(22+22+22)/3</f>
        <v/>
      </c>
    </row>
    <row r="424">
      <c r="A424" t="inlineStr">
        <is>
          <t>Dia</t>
        </is>
      </c>
      <c r="B424" t="inlineStr">
        <is>
          <t>Villarreal</t>
        </is>
      </c>
      <c r="C424" t="inlineStr">
        <is>
          <t>Forward</t>
        </is>
      </c>
      <c r="D424" t="n">
        <v>258</v>
      </c>
      <c r="E424" t="n">
        <v>8</v>
      </c>
      <c r="F424" t="n">
        <v>1</v>
      </c>
      <c r="G424" t="n">
        <v>0</v>
      </c>
      <c r="H424" t="n">
        <v>33.4</v>
      </c>
      <c r="I424" t="n">
        <v>33.9</v>
      </c>
      <c r="J424" t="n">
        <v>258004</v>
      </c>
      <c r="K424" t="inlineStr">
        <is>
          <t>{'marketValueHistory': [{'date': 'Jul 31, 2015', 'age': '18', 'clubName': 'SL Benfica B', 'clubID': '10330', 'value': '€25k'}, {'date': 'Mar 14, 2016', 'age': '18', 'clubName': 'SL Benfica B', 'clubID': '10330', 'value': '€350k'}, {'date': 'Sep 30, 2016', 'age': '19', 'clubName': 'SL Benfica B', 'clubID': '10330', 'value': '€800k'}, {'date': 'Jun 30, 2017', 'age': '20', 'clubName': 'SL Benfica B', 'clubID': '10330', 'value': '€1.00m'}, {'date': 'Sep 8, 2017', 'age': '20', 'clubName': 'SL Benfica', 'clubID': '294', 'value': '€1.00m'}, {'date': 'Nov 6, 2017', 'age': '20', 'clubName': 'SL Benfica', 'clubID': '294', 'value': '€2.50m'}, {'date': 'Feb 7, 2018', 'age': '20', 'clubName': 'SL Benfica', 'clubID': '294', 'value': '€7.00m'}, {'date': 'Apr 16, 2018', 'age': '20', 'clubName': 'SL Benfica', 'clubID': '294', 'value': '€14.00m'}, {'date': 'Jun 13, 2018', 'age': '21', 'clubName': 'SL Benfica', 'clubID': '294', 'value': '€22.00m'}, {'date': 'Nov 1, 2018', 'age': '21', 'clubName': 'SL Benfica', 'clubID': '294', 'value': '€28.00m'}, {'date': 'Jan 11, 2019', 'age': '21', 'clubName': 'SL Benfica', 'clubID': '294', 'value': '€28.00m'}, {'date': 'Jun 7, 2019', 'age': '22', 'clubName': 'SL Benfica', 'clubID': '294', 'value': '€32.00m'}, {'date': 'Dec 30, 2019', 'age': '22', 'clubName': 'SL Benfica', 'clubID': '294', 'value': '€38.00m'}, {'date': 'Apr 8, 2020', 'age': '22', 'clubName': 'SL Benfica', 'clubID': '294', 'value': '€30.50m'}, {'date': 'Aug 17, 2020', 'age': '23', 'clubName': 'SL Benfica', 'clubID': '294', 'value': '€35.00m'}, {'date': 'Oct 13, 2020', 'age': '23', 'clubName': 'Manchester City', 'clubID': '281', 'value': '€50.00m'}, {'date': 'Dec 17, 2020', 'age': '23', 'clubName': 'Manchester City', 'clubID': '281', 'value': '€60.00m'}, {'date': 'Mar 18, 2021', 'age': '23', 'clubName': 'Manchester City', 'clubID': '281', 'value': '€70.00m'}, {'date': 'Jun 1, 2021', 'age': '24', 'clubName': 'Manchester City', 'clubID': '281', 'value': '€75.00m'}, {'date': 'Dec 23, 2021', 'age': '24', 'clubName': 'Manchester City', 'clubID': '281', 'value': '€75.00m'}, {'date': 'Jun 15, 2022', 'age': '25', 'clubName': 'Manchester City', 'clubID': '281', 'value': '€75.00m'}, {'date': 'Nov 3, 2022', 'age': '25', 'clubName': 'Manchester City', 'clubID': '281', 'value': '€75.00m'}, {'date': 'Jun 20, 2023', 'age': '26', 'clubName': 'Manchester City', 'clubID': '281', 'value': '€80.00m'}, {'date': 'Dec 19, 2023', 'age': '26', 'clubName': 'Manchester City', 'clubID': '281', 'value': '€80.00m'}, {'date': 'May 27, 2024', 'age': '27', 'clubName': 'Manchester City', 'clubID': '281', 'value': '€80.00m'}, {'date': 'Dec 16, 2024', 'age': '27', 'clubName': 'Manchester City', 'clubID': '281', 'value': '€75.00m'}, {'date': 'Mar 18, 2025', 'age': '27', 'clubName': 'Manchester City', 'clubID': '281', 'value': '€70.00m'}, {'date': 'May 30, 2025', 'age': '28', 'clubName': 'Manchester City', 'clubID': '281', 'value': '€65.00m'}, {'date': 'Oct 17, 2025', 'age': '28', 'clubName': 'Manchester City', 'clubID': '281', 'value': '€60.00m'}, {'date': 'Dec 9, 2025', 'age': '28', 'clubName': 'Manchester City', 'clubID': '281', 'value': '€60.00m'}]}</t>
        </is>
      </c>
      <c r="L424" t="inlineStr">
        <is>
          <t>Portugal</t>
        </is>
      </c>
      <c r="M424" t="inlineStr">
        <is>
          <t>1997-05-14</t>
        </is>
      </c>
      <c r="N424" t="inlineStr">
        <is>
          <t>74</t>
        </is>
      </c>
      <c r="O424">
        <f>(75+75)/2</f>
        <v/>
      </c>
      <c r="P424">
        <f>(70+75+75)/3</f>
        <v/>
      </c>
    </row>
    <row r="425">
      <c r="A425" t="inlineStr">
        <is>
          <t>Steffen</t>
        </is>
      </c>
      <c r="B425" t="inlineStr">
        <is>
          <t>Wolfsburg</t>
        </is>
      </c>
      <c r="C425" t="inlineStr">
        <is>
          <t>Midfielder</t>
        </is>
      </c>
      <c r="D425" t="n">
        <v>258</v>
      </c>
      <c r="E425" t="n">
        <v>5</v>
      </c>
      <c r="F425" t="n">
        <v>2</v>
      </c>
      <c r="G425" t="n">
        <v>0</v>
      </c>
      <c r="H425" t="n">
        <v>31.1</v>
      </c>
      <c r="I425" t="n">
        <v>33.5</v>
      </c>
      <c r="J425" t="n">
        <v>3990</v>
      </c>
      <c r="L425" t="inlineStr">
        <is>
          <t>Germany</t>
        </is>
      </c>
      <c r="M425" t="inlineStr">
        <is>
          <t>1970-01-19</t>
        </is>
      </c>
      <c r="N425" t="inlineStr">
        <is>
          <t>Germany</t>
        </is>
      </c>
    </row>
    <row r="426">
      <c r="A426" t="inlineStr">
        <is>
          <t>Onana</t>
        </is>
      </c>
      <c r="B426" t="inlineStr">
        <is>
          <t>Lille</t>
        </is>
      </c>
      <c r="C426" t="inlineStr">
        <is>
          <t>Midfielder</t>
        </is>
      </c>
      <c r="D426" t="n">
        <v>257</v>
      </c>
      <c r="E426" t="n">
        <v>8</v>
      </c>
      <c r="F426" t="n">
        <v>0</v>
      </c>
      <c r="G426" t="n">
        <v>0</v>
      </c>
      <c r="H426" t="n">
        <v>34.9</v>
      </c>
      <c r="I426" t="n">
        <v>33.3</v>
      </c>
      <c r="J426" t="n">
        <v>485706</v>
      </c>
      <c r="K426" t="inlineStr">
        <is>
          <t>{'marketValueHistory': [{'date': '15/07/2020', 'age': '18', 'clubName': 'Hamburger SV', 'clubID': '41', 'value': '€400k'}, {'date': '18/11/2020', 'age': '19', 'clubName': 'Hamburger SV', 'clubID': '41', 'value': '€1.50m'}, {'date': '08/02/2021', 'age': '19', 'clubName': 'Hamburger SV', 'clubID': '41', 'value': '€1.50m'}, {'date': '16/06/2021', 'age': '19', 'clubName': 'Hamburger SV', 'clubID': '41', 'value': '€3.00m'}, {'date': '08/10/2021', 'age': '20', 'clubName': 'LOSC Lille', 'clubID': '1082', 'value': '€6.00m'}, {'date': '16/12/2021', 'age': '20', 'clubName': 'LOSC Lille', 'clubID': '1082', 'value': '€8.00m'}, {'date': '23/03/2022', 'age': '20', 'clubName': 'LOSC Lille', 'clubID': '1082', 'value': '€10.00m'}, {'date': '30/05/2022', 'age': '20', 'clubName': 'LOSC Lille', 'clubID': '1082', 'value': '€10.00m'}, {'date': '15/09/2022', 'age': '21', 'clubName': 'Everton FC', 'clubID': '29', 'value': '€30.00m'}, {'date': '03/11/2022', 'age': '21', 'clubName': 'Everton FC', 'clubID': '29', 'value': '€35.00m'}, {'date': '16/03/2023', 'age': '21', 'clubName': 'Everton FC', 'clubID': '29', 'value': '€42.00m'}, {'date': '20/06/2023', 'age': '21', 'clubName': 'Everton FC', 'clubID': '29', 'value': '€45.00m'}, {'date': '09/10/2023', 'age': '22', 'clubName': 'Everton FC', 'clubID': '29', 'value': '€50.00m'}, {'date': '19/12/2023', 'age': '22', 'clubName': 'Everton FC', 'clubID': '29', 'value': '€50.00m'}, {'date': '27/05/2024', 'age': '22', 'clubName': 'Everton FC', 'clubID': '29', 'value': '€50.00m'}, {'date': '01/10/2024', 'age': '23', 'clubName': 'Aston Villa', 'clubID': '405', 'value': '€55.00m'}, {'date': '16/12/2024', 'age': '23', 'clubName': 'Aston Villa', 'clubID': '405', 'value': '€55.00m'}, {'date': '30/05/2025', 'age': '23', 'clubName': 'Aston Villa', 'clubID': '405', 'value': '€50.00m'}, {'date': '17/10/2025', 'age': '24', 'clubName': 'Aston Villa', 'clubID': '405', 'value': '€42.00m'}, {'date': '09/12/2025', 'age': '24', 'clubName': 'Aston Villa', 'clubID': '405', 'value': '€42.00m'}, {'date': '09/03/2026', 'age': '24', 'clubName': 'Aston Villa', 'clubID': '405', 'value': '€45.00m'}]}</t>
        </is>
      </c>
      <c r="L426" t="inlineStr">
        <is>
          <t>Belgium</t>
        </is>
      </c>
      <c r="M426" t="inlineStr">
        <is>
          <t>2001-08-16</t>
        </is>
      </c>
      <c r="N426" t="inlineStr">
        <is>
          <t>Belgium</t>
        </is>
      </c>
      <c r="O426">
        <f>(10+10+30+35)/4</f>
        <v/>
      </c>
      <c r="P426">
        <f>(1.5+3+6+8)/4</f>
        <v/>
      </c>
    </row>
    <row r="427">
      <c r="A427" t="inlineStr">
        <is>
          <t>Rashford</t>
        </is>
      </c>
      <c r="B427" t="inlineStr">
        <is>
          <t>Man United</t>
        </is>
      </c>
      <c r="C427" t="inlineStr">
        <is>
          <t>Forward</t>
        </is>
      </c>
      <c r="D427" t="n">
        <v>257</v>
      </c>
      <c r="E427" t="n">
        <v>5</v>
      </c>
      <c r="F427" t="n">
        <v>1</v>
      </c>
      <c r="G427" t="n">
        <v>0</v>
      </c>
      <c r="H427" t="n">
        <v>29.5</v>
      </c>
      <c r="I427" t="n">
        <v>35.1</v>
      </c>
      <c r="J427" t="n">
        <v>258923</v>
      </c>
      <c r="K427" t="inlineStr">
        <is>
          <t>{'marketValueHistory': [{'date': 'Mar 23, 2016', 'age': '18', 'clubName': 'Manchester United', 'clubID': '985', 'value': '€3.00m'}, {'date': 'Jun 1, 2016', 'age': '18', 'clubName': 'Manchester United', 'clubID': '985', 'value': '€6.00m'}, {'date': 'Aug 1, 2016', 'age': '18', 'clubName': 'Manchester United', 'clubID': '985', 'value': '€7.00m'}, {'date': 'Oct 24, 2016', 'age': '18', 'clubName': 'Manchester United', 'clubID': '985', 'value': '€10.00m'}, {'date': 'Feb 20, 2017', 'age': '19', 'clubName': 'Manchester United', 'clubID': '985', 'value': '€10.00m'}, {'date': 'Jun 28, 2017', 'age': '19', 'clubName': 'Manchester United', 'clubID': '985', 'value': '€18.00m'}, {'date': 'Oct 23, 2017', 'age': '19', 'clubName': 'Manchester United', 'clubID': '985', 'value': '€30.00m'}, {'date': 'Jan 2, 2018', 'age': '20', 'clubName': 'Manchester United', 'clubID': '985', 'value': '€50.00m'}, {'date': 'May 28, 2018', 'age': '20', 'clubName': 'Manchester United', 'clubID': '985', 'value': '€65.00m'}, {'date': 'Dec 19, 2018', 'age': '21', 'clubName': 'Manchester United', 'clubID': '985', 'value': '€65.00m'}, {'date': 'Mar 5, 2019', 'age': '21', 'clubName': 'Manchester United', 'clubID': '985', 'value': '€80.00m'}, {'date': 'Jun 13, 2019', 'age': '21', 'clubName': 'Manchester United', 'clubID': '985', 'value': '€80.00m'}, {'date': 'Dec 10, 2019', 'age': '22', 'clubName': 'Manchester United', 'clubID': '985', 'value': '€80.00m'}, {'date': 'Apr 8, 2020', 'age': '22', 'clubName': 'Manchester United', 'clubID': '985', 'value': '€64.00m'}, {'date': 'Jul 30, 2020', 'age': '22', 'clubName': 'Manchester United', 'clubID': '985', 'value': '€80.00m'}, {'date': 'Oct 13, 2020', 'age': '22', 'clubName': 'Manchester United', 'clubID': '985', 'value': '€80.00m'}, {'date': 'Mar 18, 2021', 'age': '23', 'clubName': 'Manchester United', 'clubID': '985', 'value': '€85.00m'}, {'date': 'May 28, 2021', 'age': '23', 'clubName': 'Manchester United', 'clubID': '985', 'value': '€85.00m'}, {'date': 'Dec 23, 2021', 'age': '24', 'clubName': 'Manchester United', 'clubID': '985', 'value': '€85.00m'}, {'date': 'Mar 29, 2022', 'age': '24', 'clubName': 'Manchester United', 'clubID': '985', 'value': '€70.00m'}, {'date': 'Jun 15, 2022', 'age': '24', 'clubName': 'Manchester United', 'clubID': '985', 'value': '€60.00m'}, {'date': 'Nov 3, 2022', 'age': '25', 'clubName': 'Manchester United', 'clubID': '985', 'value': '€55.00m'}, {'date': 'Mar 16, 2023', 'age': '25', 'clubName': 'Manchester United', 'clubID': '985', 'value': '€80.00m'}, {'date': 'Jun 20, 2023', 'age': '25', 'clubName': 'Manchester United', 'clubID': '985', 'value': '€80.00m'}, {'date': 'Oct 9, 2023', 'age': '25', 'clubName': 'Manchester United', 'clubID': '985', 'value': '€75.00m'}, {'date': 'Dec 19, 2023', 'age': '26', 'clubName': 'Manchester United', 'clubID': '985', 'value': '€70.00m'}, {'date': 'Mar 14, 2024', 'age': '26', 'clubName': 'Manchester United', 'clubID': '985', 'value': '€60.00m'}, {'date': 'May 27, 2024', 'age': '26', 'clubName': 'Manchester United', 'clubID': '985', 'value': '€60.00m'}, {'date': 'Dec 16, 2024', 'age': '27', 'clubName': 'Manchester United', 'clubID': '985', 'value': '€55.00m'}, {'date': 'Mar 18, 2025', 'age': '27', 'clubName': 'Aston Villa', 'clubID': '405', 'value': '€50.00m'}, {'date': 'May 30, 2025', 'age': '27', 'clubName': 'Aston Villa', 'clubID': '405', 'value': '€50.00m'}, {'date': 'Oct 2, 2025', 'age': '27', 'clubName': 'FC Barcelona', 'clubID': '131', 'value': '€40.00m'}, {'date': 'Dec 12, 2025', 'age': '28', 'clubName': 'FC Barcelona', 'clubID': '131', 'value': '€40.00m'}]}</t>
        </is>
      </c>
      <c r="L427" t="inlineStr">
        <is>
          <t>United Kingdom</t>
        </is>
      </c>
      <c r="M427" t="inlineStr">
        <is>
          <t>1997-10-31</t>
        </is>
      </c>
      <c r="N427" t="inlineStr">
        <is>
          <t>70</t>
        </is>
      </c>
      <c r="O427">
        <f>(70+60+55)/3</f>
        <v/>
      </c>
      <c r="P427">
        <f>(85+85+85)/3</f>
        <v/>
      </c>
    </row>
    <row r="428">
      <c r="A428" t="inlineStr">
        <is>
          <t>Kuzyaev</t>
        </is>
      </c>
      <c r="B428" t="inlineStr">
        <is>
          <t>Zenit</t>
        </is>
      </c>
      <c r="C428" t="inlineStr">
        <is>
          <t>Midfielder</t>
        </is>
      </c>
      <c r="D428" t="n">
        <v>257</v>
      </c>
      <c r="E428" t="n">
        <v>4</v>
      </c>
      <c r="F428" t="n">
        <v>1</v>
      </c>
      <c r="G428" t="n">
        <v>0</v>
      </c>
      <c r="H428" t="n">
        <v>31.7</v>
      </c>
      <c r="I428" t="n">
        <v>32.8</v>
      </c>
      <c r="J428" t="n">
        <v>279570</v>
      </c>
      <c r="K428" t="inlineStr">
        <is>
          <t>{'marketValueHistory': [{'date': 'Sep 13, 2013', 'age': '20', 'clubName': 'Neftekhimik Nizhnekamsk', 'clubID': '3733', 'value': '€50k'}, {'date': 'Dec 27, 2013', 'age': '20', 'clubName': 'Neftekhimik Nizhnekamsk', 'clubID': '3733', 'value': '€100k'}, {'date': 'Jul 31, 2014', 'age': '21', 'clubName': 'Terek Grozny', 'clubID': '3725', 'value': '€100k'}, {'date': 'Feb 23, 2015', 'age': '22', 'clubName': 'Terek Grozny', 'clubID': '3725', 'value': '€350k'}, {'date': 'Jun 18, 2015', 'age': '22', 'clubName': 'Terek Grozny', 'clubID': '3725', 'value': '€650k'}, {'date': 'Jan 6, 2016', 'age': '22', 'clubName': 'Terek Grozny', 'clubID': '3725', 'value': '€800k'}, {'date': 'May 25, 2016', 'age': '23', 'clubName': 'Terek Grozny', 'clubID': '3725', 'value': '€1.00m'}, {'date': 'Dec 27, 2016', 'age': '23', 'clubName': 'Terek Grozny', 'clubID': '3725', 'value': '€1.50m'}, {'date': 'Jun 1, 2017', 'age': '24', 'clubName': 'Terek Grozny', 'clubID': '3725', 'value': '€2.50m'}, {'date': 'Oct 2, 2017', 'age': '24', 'clubName': 'Zenit St. Petersburg', 'clubID': '964', 'value': '€4.00m'}, {'date': 'Dec 23, 2017', 'age': '24', 'clubName': 'Zenit St. Petersburg', 'clubID': '964', 'value': '€5.50m'}, {'date': 'Jun 6, 2018', 'age': '25', 'clubName': 'Zenit St. Petersburg', 'clubID': '964', 'value': '€7.00m'}, {'date': 'Jul 15, 2018', 'age': '25', 'clubName': 'Zenit St. Petersburg', 'clubID': '964', 'value': '€8.00m'}, {'date': 'Dec 20, 2018', 'age': '25', 'clubName': 'Zenit St. Petersburg', 'clubID': '964', 'value': '€11.00m'}, {'date': 'Jun 14, 2019', 'age': '26', 'clubName': 'Zenit St. Petersburg', 'clubID': '964', 'value': '€11.00m'}, {'date': 'Dec 23, 2019', 'age': '26', 'clubName': 'Zenit St. Petersburg', 'clubID': '964', 'value': '€10.00m'}, {'date': 'Apr 8, 2020', 'age': '27', 'clubName': 'Zenit St. Petersburg', 'clubID': '964', 'value': '€8.00m'}, {'date': 'Jul 29, 2020', 'age': '27', 'clubName': 'Zenit St. Petersburg', 'clubID': '964', 'value': '€8.00m'}, {'date': 'Dec 29, 2020', 'age': '27', 'clubName': 'Zenit St. Petersburg', 'clubID': '964', 'value': '€7.00m'}, {'date': 'May 26, 2021', 'age': '28', 'clubName': 'Zenit St. Petersburg', 'clubID': '964', 'value': '€8.00m'}, {'date': 'Dec 29, 2021', 'age': '28', 'clubName': 'Zenit St. Petersburg', 'clubID': '964', 'value': '€9.00m'}, {'date': 'Jun 2, 2022', 'age': '29', 'clubName': 'Zenit St. Petersburg', 'clubID': '964', 'value': '€9.00m'}, {'date': 'Nov 21, 2022', 'age': '29', 'clubName': 'Zenit St. Petersburg', 'clubID': '964', 'value': '€10.00m'}, {'date': 'Jun 14, 2023', 'age': '30', 'clubName': 'Zenit St. Petersburg', 'clubID': '964', 'value': '€10.00m'}, {'date': 'Dec 18, 2023', 'age': '30', 'clubName': 'Le Havre AC', 'clubID': '738', 'value': '€10.00m'}, {'date': 'Mar 19, 2024', 'age': '31', 'clubName': 'Le Havre AC', 'clubID': '738', 'value': '€9.00m'}, {'date': 'Jun 3, 2024', 'age': '31', 'clubName': 'Le Havre AC', 'clubID': '738', 'value': '€8.00m'}, {'date': 'Dec 10, 2024', 'age': '31', 'clubName': 'Le Havre AC', 'clubID': '738', 'value': '€6.00m'}, {'date': 'Mar 24, 2025', 'age': '32', 'clubName': 'Le Havre AC', 'clubID': '738', 'value': '€5.00m'}, {'date': 'Jun 3, 2025', 'age': '32', 'clubName': 'Le Havre AC', 'clubID': '738', 'value': '€3.50m'}, {'date': 'Dec 16, 2025', 'age': '32', 'clubName': 'Rubin Kazan', 'clubID': '2698', 'value': '€3.50m'}]}</t>
        </is>
      </c>
      <c r="L428" t="inlineStr">
        <is>
          <t>Russia</t>
        </is>
      </c>
      <c r="M428" t="inlineStr">
        <is>
          <t>1993-01-15</t>
        </is>
      </c>
      <c r="N428" t="inlineStr">
        <is>
          <t>Russia</t>
        </is>
      </c>
      <c r="O428">
        <f>(9+10)/2</f>
        <v/>
      </c>
      <c r="P428">
        <f>(8+9)/2</f>
        <v/>
      </c>
    </row>
    <row r="429">
      <c r="A429" t="inlineStr">
        <is>
          <t>Marcos Antonio</t>
        </is>
      </c>
      <c r="B429" t="inlineStr">
        <is>
          <t>Shakhtar Donetsk</t>
        </is>
      </c>
      <c r="C429" t="inlineStr">
        <is>
          <t>Midfielder</t>
        </is>
      </c>
      <c r="D429" t="n">
        <v>256</v>
      </c>
      <c r="E429" t="n">
        <v>5</v>
      </c>
      <c r="F429" t="n">
        <v>0</v>
      </c>
      <c r="G429" t="n">
        <v>0</v>
      </c>
      <c r="H429" t="n">
        <v>36.1</v>
      </c>
      <c r="I429" t="n">
        <v>29.2</v>
      </c>
      <c r="J429" t="n">
        <v>7840</v>
      </c>
      <c r="K429" t="inlineStr">
        <is>
          <t>{'marketValueHistory': [{'date': '04/10/2004', 'age': '28', 'clubName': 'Villarreal CF', 'clubID': '1050', 'value': '€50k'}, {'date': '18/10/2004', 'age': '28', 'clubName': 'Villarreal CF', 'clubID': '1050', 'value': '€400k'}, {'date': '07/04/2006', 'age': '29', 'clubName': 'Villarreal CF', 'clubID': '1050', 'value': '€1.75m'}, {'date': '26/07/2007', 'age': '31', 'clubName': 'Villarreal CF', 'clubID': '1050', 'value': '€1.80m'}, {'date': '24/08/2007', 'age': '31', 'clubName': 'Villarreal CF', 'clubID': '1050', 'value': '€2.00m'}, {'date': '04/02/2008', 'age': '31', 'clubName': 'Villarreal CF', 'clubID': '1050', 'value': '€5.00m'}, {'date': '04/04/2008', 'age': '31', 'clubName': 'Villarreal CF', 'clubID': '1050', 'value': '€8.00m'}, {'date': '09/07/2008', 'age': '31', 'clubName': 'Villarreal CF', 'clubID': '1050', 'value': '€14.00m'}, {'date': '25/01/2009', 'age': '32', 'clubName': 'Villarreal CF', 'clubID': '1050', 'value': '€13.00m'}, {'date': '22/07/2009', 'age': '33', 'clubName': 'Villarreal CF', 'clubID': '1050', 'value': '€10.00m'}, {'date': '03/12/2009', 'age': '33', 'clubName': 'Villarreal CF', 'clubID': '1050', 'value': '€8.00m'}, {'date': '12/04/2010', 'age': '33', 'clubName': 'Villarreal CF', 'clubID': '1050', 'value': '€6.00m'}, {'date': '27/08/2010', 'age': '34', 'clubName': 'Villarreal CF', 'clubID': '1050', 'value': '€4.00m'}, {'date': '10/12/2010', 'age': '34', 'clubName': 'Villarreal CF', 'clubID': '1050', 'value': '€3.00m'}, {'date': '04/02/2011', 'age': '34', 'clubName': 'Villarreal CF', 'clubID': '1050', 'value': '€3.00m'}, {'date': '29/07/2011', 'age': '35', 'clubName': 'Villarreal CF', 'clubID': '1050', 'value': '€2.00m'}, {'date': '03/02/2012', 'age': '35', 'clubName': 'Villarreal CF', 'clubID': '1050', 'value': '€1.50m'}, {'date': '08/08/2012', 'age': '36', 'clubName': 'Villarreal CF', 'clubID': '1050', 'value': '€1.00m'}, {'date': '22/01/2013', 'age': '36', 'clubName': 'Villarreal CF', 'clubID': '1050', 'value': '€400k'}, {'date': '10/05/2013', 'age': '36', 'clubName': 'Villarreal CF', 'clubID': '1050', 'value': '€300k'}, {'date': '16/11/2015', 'age': '39', 'clubName': 'Retired', 'clubID': '123', 'value': '-'}]}</t>
        </is>
      </c>
      <c r="L429" t="inlineStr">
        <is>
          <t>Spain</t>
        </is>
      </c>
      <c r="M429" t="inlineStr">
        <is>
          <t>1976-07-17</t>
        </is>
      </c>
      <c r="N429" t="inlineStr">
        <is>
          <t>Spain</t>
        </is>
      </c>
    </row>
    <row r="430">
      <c r="A430" t="inlineStr">
        <is>
          <t>Dybala</t>
        </is>
      </c>
      <c r="B430" t="inlineStr">
        <is>
          <t>Juventus</t>
        </is>
      </c>
      <c r="C430" t="inlineStr">
        <is>
          <t>Forward</t>
        </is>
      </c>
      <c r="D430" t="n">
        <v>255</v>
      </c>
      <c r="E430" t="n">
        <v>5</v>
      </c>
      <c r="F430" t="n">
        <v>3</v>
      </c>
      <c r="G430" t="n">
        <v>1</v>
      </c>
      <c r="H430" t="n">
        <v>30.6</v>
      </c>
      <c r="I430" t="n">
        <v>34.5</v>
      </c>
      <c r="J430" t="n">
        <v>206050</v>
      </c>
      <c r="K430" t="inlineStr">
        <is>
          <t>{'marketValueHistory': [{'date': 'Dec 23, 2011', 'age': '18', 'clubName': 'Instituto ACC', 'clubID': '1829', 'value': '€2.00m'}, {'date': 'Jul 29, 2012', 'age': '18', 'clubName': 'US Palermo', 'clubID': '458', 'value': '€7.00m'}, {'date': 'Jan 14, 2013', 'age': '19', 'clubName': 'US Palermo', 'clubID': '458', 'value': '€8.00m'}, {'date': 'Jun 19, 2013', 'age': '19', 'clubName': 'US Palermo', 'clubID': '458', 'value': '€7.50m'}, {'date': 'Jan 29, 2014', 'age': '20', 'clubName': 'US Palermo', 'clubID': '458', 'value': '€5.00m'}, {'date': 'Jul 15, 2014', 'age': '20', 'clubName': 'US Palermo', 'clubID': '458', 'value': '€5.00m'}, {'date': 'Nov 8, 2014', 'age': '20', 'clubName': 'US Palermo', 'clubID': '458', 'value': '€6.50m'}, {'date': 'Jan 7, 2015', 'age': '21', 'clubName': 'US Palermo', 'clubID': '458', 'value': '€15.00m'}, {'date': 'Mar 20, 2015', 'age': '21', 'clubName': 'US Palermo', 'clubID': '458', 'value': '€23.00m'}, {'date': 'Jul 1, 2015', 'age': '21', 'clubName': 'Juventus FC', 'clubID': '506', 'value': '€28.00m'}, {'date': 'Jan 4, 2016', 'age': '22', 'clubName': 'Juventus FC', 'clubID': '506', 'value': '€36.00m'}, {'date': 'Apr 1, 2016', 'age': '22', 'clubName': 'Juventus FC', 'clubID': '506', 'value': '€40.00m'}, {'date': 'Jul 15, 2016', 'age': '22', 'clubName': 'Juventus FC', 'clubID': '506', 'value': '€45.00m'}, {'date': 'Jan 2, 2017', 'age': '23', 'clubName': 'Juventus FC', 'clubID': '506', 'value': '€45.00m'}, {'date': 'Mar 28, 2017', 'age': '23', 'clubName': 'Juventus FC', 'clubID': '506', 'value': '€50.00m'}, {'date': 'Jun 8, 2017', 'age': '23', 'clubName': 'Juventus FC', 'clubID': '506', 'value': '€65.00m'}, {'date': 'Oct 13, 2017', 'age': '23', 'clubName': 'Juventus FC', 'clubID': '506', 'value': '€70.00m'}, {'date': 'Dec 29, 2017', 'age': '24', 'clubName': 'Juventus FC', 'clubID': '506', 'value': '€85.00m'}, {'date': 'Mar 24, 2018', 'age': '24', 'clubName': 'Juventus FC', 'clubID': '506', 'value': '€100.00m'}, {'date': 'Jun 7, 2018', 'age': '24', 'clubName': 'Juventus FC', 'clubID': '506', 'value': '€110.00m'}, {'date': 'Dec 20, 2018', 'age': '25', 'clubName': 'Juventus FC', 'clubID': '506', 'value': '€110.00m'}, {'date': 'Mar 1, 2019', 'age': '25', 'clubName': 'Juventus FC', 'clubID': '506', 'value': '€100.00m'}, {'date': 'Jun 6, 2019', 'age': '25', 'clubName': 'Juventus FC', 'clubID': '506', 'value': '€85.00m'}, {'date': 'Oct 8, 2019', 'age': '25', 'clubName': 'Juventus FC', 'clubID': '506', 'value': '€75.00m'}, {'date': 'Dec 12, 2019', 'age': '26', 'clubName': 'Juventus FC', 'clubID': '506', 'value': '€85.00m'}, {'date': 'Mar 3, 2020', 'age': '26', 'clubName': 'Juventus FC', 'clubID': '506', 'value': '€90.00m'}, {'date': 'Apr 8, 2020', 'age': '26', 'clubName': 'Juventus FC', 'clubID': '506', 'value': '€72.00m'}, {'date': 'Aug 25, 2020', 'age': '26', 'clubName': 'Juventus FC', 'clubID': '506', 'value': '€80.00m'}, {'date': 'Dec 29, 2020', 'age': '27', 'clubName': 'Juventus FC', 'clubID': '506', 'value': '€70.00m'}, {'date': 'Mar 23, 2021', 'age': '27', 'clubName': 'Juventus FC', 'clubID': '506', 'value': '€60.00m'}, {'date': 'Jun 3, 2021', 'age': '27', 'clubName': 'Juventus FC', 'clubID': '506', 'value': '€50.00m'}, {'date': 'Dec 28, 2021', 'age': '28', 'clubName': 'Juventus FC', 'clubID': '506', 'value': '€50.00m'}, {'date': 'Mar 15, 2022', 'age': '28', 'clubName': 'Juventus FC', 'clubID': '506', 'value': '€40.00m'}, {'date': 'Jun 7, 2022', 'age': '28', 'clubName': 'Juventus FC', 'clubID': '506', 'value': '€35.00m'}, {'date': 'Nov 11, 2022', 'age': '28', 'clubName': 'AS Roma', 'clubID': '12', 'value': '€30.00m'}, {'date': 'Jun 15, 2023', 'age': '29', 'clubName': 'AS Roma', 'clubID': '12', 'value': '€30.00m'}, {'date': 'Dec 20, 2023', 'age': '30', 'clubName': 'AS Roma', 'clubID': '12', 'value': '€25.00m'}, {'date': 'Jun 5, 2024', 'age': '30', 'clubName': 'AS Roma', 'clubID': '12', 'value': '€20.00m'}, {'date': 'Oct 18, 2024', 'age': '30', 'clubName': 'AS Roma', 'clubID': '12', 'value': '€12.00m'}, {'date': 'Dec 18, 2024', 'age': '31', 'clubName': 'AS Roma', 'clubID': '12', 'value': '€8.00m'}, {'date': 'Jun 17, 2025', 'age': '31', 'clubName': 'AS Roma', 'clubID': '12', 'value': '€8.00m'}, {'date': 'Dec 23, 2025', 'age': '32', 'clubName': 'AS Roma', 'clubID': '12', 'value': '€5.00m'}]}</t>
        </is>
      </c>
      <c r="L430" t="inlineStr">
        <is>
          <t>Italy</t>
        </is>
      </c>
      <c r="M430" t="inlineStr">
        <is>
          <t>1993-11-15</t>
        </is>
      </c>
      <c r="N430" t="inlineStr">
        <is>
          <t>Argentina</t>
        </is>
      </c>
      <c r="O430">
        <f>(40+35+30)/3</f>
        <v/>
      </c>
      <c r="P430">
        <f>(60+50+50)/3</f>
        <v/>
      </c>
    </row>
    <row r="431">
      <c r="A431" t="inlineStr">
        <is>
          <t>Weah</t>
        </is>
      </c>
      <c r="B431" t="inlineStr">
        <is>
          <t>Lille</t>
        </is>
      </c>
      <c r="C431" t="inlineStr">
        <is>
          <t>Forward</t>
        </is>
      </c>
      <c r="D431" t="n">
        <v>255</v>
      </c>
      <c r="E431" t="n">
        <v>5</v>
      </c>
      <c r="F431" t="n">
        <v>0</v>
      </c>
      <c r="G431" t="n">
        <v>0</v>
      </c>
      <c r="H431" t="n">
        <v>29.4</v>
      </c>
      <c r="I431" t="n">
        <v>33.2</v>
      </c>
      <c r="J431" t="n">
        <v>8542</v>
      </c>
      <c r="L431" t="inlineStr">
        <is>
          <t>Liberia</t>
        </is>
      </c>
      <c r="M431" t="inlineStr">
        <is>
          <t>1966-01-10</t>
        </is>
      </c>
      <c r="N431" t="inlineStr">
        <is>
          <t>Liberia</t>
        </is>
      </c>
    </row>
    <row r="432">
      <c r="A432" t="inlineStr">
        <is>
          <t>Umut Meras</t>
        </is>
      </c>
      <c r="B432" t="inlineStr">
        <is>
          <t>Besiktas</t>
        </is>
      </c>
      <c r="C432" t="inlineStr">
        <is>
          <t>Defender</t>
        </is>
      </c>
      <c r="D432" t="n">
        <v>253</v>
      </c>
      <c r="E432" t="n">
        <v>3</v>
      </c>
      <c r="F432" t="n">
        <v>0</v>
      </c>
      <c r="G432" t="n">
        <v>0</v>
      </c>
      <c r="H432" t="n">
        <v>29.9</v>
      </c>
      <c r="I432" t="n">
        <v>31.1</v>
      </c>
      <c r="J432" t="n">
        <v>341549</v>
      </c>
      <c r="K432" t="inlineStr">
        <is>
          <t>{'marketValueHistory': [{'date': 'Jan 5, 2015', 'age': '19', 'clubName': 'Boluspor', 'clubID': '3207', 'value': '€300k'}, {'date': 'Jun 8, 2015', 'age': '19', 'clubName': 'Boluspor', 'clubID': '3207', 'value': '€350k'}, {'date': 'Jan 4, 2016', 'age': '20', 'clubName': 'Boluspor', 'clubID': '3207', 'value': '€400k'}, {'date': 'Jul 14, 2016', 'age': '20', 'clubName': 'Boluspor', 'clubID': '3207', 'value': '€400k'}, {'date': 'Jan 9, 2017', 'age': '21', 'clubName': 'Boluspor', 'clubID': '3207', 'value': '€300k'}, {'date': 'Jun 30, 2017', 'age': '21', 'clubName': 'Boluspor', 'clubID': '3207', 'value': '€300k'}, {'date': 'Feb 5, 2018', 'age': '22', 'clubName': 'Boluspor', 'clubID': '3207', 'value': '€200k'}, {'date': 'May 30, 2018', 'age': '22', 'clubName': 'Boluspor', 'clubID': '3207', 'value': '€350k'}, {'date': 'Jan 4, 2019', 'age': '23', 'clubName': 'Bursaspor', 'clubID': '20', 'value': '€600k'}, {'date': 'Jun 4, 2019', 'age': '23', 'clubName': 'Bursaspor', 'clubID': '20', 'value': '€800k'}, {'date': 'Sep 30, 2019', 'age': '23', 'clubName': 'Le Havre AC', 'clubID': '738', 'value': '€1.00m'}, {'date': 'Jan 6, 2020', 'age': '24', 'clubName': 'Le Havre AC', 'clubID': '738', 'value': '€1.00m'}, {'date': 'Apr 8, 2020', 'age': '24', 'clubName': 'Le Havre AC', 'clubID': '738', 'value': '€800k'}, {'date': 'Aug 14, 2020', 'age': '24', 'clubName': 'Le Havre AC', 'clubID': '738', 'value': '€1.00m'}, {'date': 'Nov 11, 2020', 'age': '24', 'clubName': 'Le Havre AC', 'clubID': '738', 'value': '€1.50m'}, {'date': 'May 25, 2021', 'age': '25', 'clubName': 'Le Havre AC', 'clubID': '738', 'value': '€2.20m'}, {'date': 'Oct 12, 2021', 'age': '25', 'clubName': 'Besiktas JK', 'clubID': '114', 'value': '€2.50m'}, {'date': 'Jan 4, 2022', 'age': '26', 'clubName': 'Besiktas JK', 'clubID': '114', 'value': '€2.30m'}, {'date': 'Mar 31, 2022', 'age': '26', 'clubName': 'Besiktas JK', 'clubID': '114', 'value': '€2.40m'}, {'date': 'Jun 1, 2022', 'age': '26', 'clubName': 'Besiktas JK', 'clubID': '114', 'value': '€2.10m'}, {'date': 'Oct 27, 2022', 'age': '26', 'clubName': 'Besiktas JK', 'clubID': '114', 'value': '€1.60m'}, {'date': 'Mar 14, 2023', 'age': '27', 'clubName': 'Besiktas JK', 'clubID': '114', 'value': '€1.40m'}, {'date': 'Jun 8, 2023', 'age': '27', 'clubName': 'Besiktas JK', 'clubID': '114', 'value': '€1.00m'}, {'date': 'Sep 27, 2023', 'age': '27', 'clubName': 'Besiktas JK', 'clubID': '114', 'value': '€750k'}, {'date': 'Dec 21, 2023', 'age': '28', 'clubName': 'Besiktas JK', 'clubID': '114', 'value': '€600k'}, {'date': 'Mar 15, 2024', 'age': '28', 'clubName': 'Besiktas JK', 'clubID': '114', 'value': '€475k'}, {'date': 'May 31, 2024', 'age': '28', 'clubName': 'Besiktas JK', 'clubID': '114', 'value': '€375k'}, {'date': 'Oct 4, 2024', 'age': '28', 'clubName': 'Eyüpspor', 'clubID': '7160', 'value': '€450k'}, {'date': 'Dec 23, 2024', 'age': '29', 'clubName': 'Eyüpspor', 'clubID': '7160', 'value': '€400k'}, {'date': 'Mar 20, 2025', 'age': '29', 'clubName': 'Eyüpspor', 'clubID': '7160', 'value': '€400k'}, {'date': 'Jun 18, 2025', 'age': '29', 'clubName': 'Eyüpspor', 'clubID': '7160', 'value': '€450k'}, {'date': 'Dec 17, 2025', 'age': '29', 'clubName': 'Eyüpspor', 'clubID': '7160', 'value': '€400k'}]}</t>
        </is>
      </c>
      <c r="L432" t="inlineStr">
        <is>
          <t>Turkey</t>
        </is>
      </c>
      <c r="M432" t="inlineStr">
        <is>
          <t>1995-12-20</t>
        </is>
      </c>
      <c r="N432" t="inlineStr">
        <is>
          <t>Turkey</t>
        </is>
      </c>
      <c r="O432">
        <f>(2.3+2.4+2.1+1.6)/4</f>
        <v/>
      </c>
      <c r="P432">
        <f>(2.2+2.5)/2</f>
        <v/>
      </c>
    </row>
    <row r="433">
      <c r="A433" t="inlineStr">
        <is>
          <t>Krunic</t>
        </is>
      </c>
      <c r="B433" t="inlineStr">
        <is>
          <t>Milan</t>
        </is>
      </c>
      <c r="C433" t="inlineStr">
        <is>
          <t>Midfielder</t>
        </is>
      </c>
      <c r="D433" t="n">
        <v>252</v>
      </c>
      <c r="E433" t="n">
        <v>4</v>
      </c>
      <c r="F433" t="n">
        <v>0</v>
      </c>
      <c r="G433" t="n">
        <v>0</v>
      </c>
      <c r="H433" t="n">
        <v>30.6</v>
      </c>
      <c r="I433" t="n">
        <v>32.3</v>
      </c>
      <c r="J433" t="n">
        <v>259953</v>
      </c>
      <c r="K433" t="inlineStr">
        <is>
          <t>{'marketValueHistory': [{'date': '28/05/2013', 'age': '19', 'clubName': 'FK Donji Srem Pecinci', 'clubID': '9937', 'value': '€300k'}, {'date': '27/12/2013', 'age': '20', 'clubName': 'FK Donji Srem Pecinci', 'clubID': '9937', 'value': '€450k'}, {'date': '11/11/2014', 'age': '21', 'clubName': 'FK Donji Srem Pecinci', 'clubID': '9937', 'value': '€500k'}, {'date': '15/06/2015', 'age': '21', 'clubName': 'FK Borac Cacak', 'clubID': '2209', 'value': '€500k'}, {'date': '04/01/2016', 'age': '22', 'clubName': 'FC Empoli', 'clubID': '749', 'value': '€600k'}, {'date': '15/07/2016', 'age': '22', 'clubName': 'FC Empoli', 'clubID': '749', 'value': '€600k'}, {'date': '02/01/2017', 'age': '23', 'clubName': 'FC Empoli', 'clubID': '749', 'value': '€900k'}, {'date': '08/06/2017', 'age': '23', 'clubName': 'FC Empoli', 'clubID': '749', 'value': '€1.00m'}, {'date': '21/12/2017', 'age': '24', 'clubName': 'FC Empoli', 'clubID': '749', 'value': '€1.00m'}, {'date': '18/06/2018', 'age': '24', 'clubName': 'FC Empoli', 'clubID': '749', 'value': '€4.50m'}, {'date': '20/12/2018', 'age': '25', 'clubName': 'FC Empoli', 'clubID': '749', 'value': '€7.00m'}, {'date': '06/06/2019', 'age': '25', 'clubName': 'FC Empoli', 'clubID': '749', 'value': '€8.00m'}, {'date': '12/12/2019', 'age': '26', 'clubName': 'AC Milan', 'clubID': '5', 'value': '€8.00m'}, {'date': '08/04/2020', 'age': '26', 'clubName': 'AC Milan', 'clubID': '5', 'value': '€6.50m'}, {'date': '25/08/2020', 'age': '26', 'clubName': 'AC Milan', 'clubID': '5', 'value': '€6.50m'}, {'date': '29/12/2020', 'age': '27', 'clubName': 'AC Milan', 'clubID': '5', 'value': '€6.00m'}, {'date': '03/06/2021', 'age': '27', 'clubName': 'AC Milan', 'clubID': '5', 'value': '€6.00m'}, {'date': '28/12/2021', 'age': '28', 'clubName': 'AC Milan', 'clubID': '5', 'value': '€7.50m'}, {'date': '07/06/2022', 'age': '28', 'clubName': 'AC Milan', 'clubID': '5', 'value': '€9.00m'}, {'date': '11/11/2022', 'age': '29', 'clubName': 'AC Milan', 'clubID': '5', 'value': '€9.00m'}, {'date': '15/06/2023', 'age': '29', 'clubName': 'AC Milan', 'clubID': '5', 'value': '€10.00m'}, {'date': '20/12/2023', 'age': '30', 'clubName': 'AC Milan', 'clubID': '5', 'value': '€8.50m'}, {'date': '15/03/2024', 'age': '30', 'clubName': 'Fenerbahce', 'clubID': '36', 'value': '€7.50m'}, {'date': '31/05/2024', 'age': '30', 'clubName': 'Fenerbahce', 'clubID': '36', 'value': '€6.00m'}, {'date': '27/12/2024', 'age': '31', 'clubName': 'Red Star Belgrade', 'clubID': '159', 'value': '€5.00m'}, {'date': '12/06/2025', 'age': '31', 'clubName': 'Red Star Belgrade', 'clubID': '159', 'value': '€4.50m'}, {'date': '11/12/2025', 'age': '32', 'clubName': 'Red Star Belgrade', 'clubID': '159', 'value': '€4.00m'}]}</t>
        </is>
      </c>
      <c r="L433" t="inlineStr">
        <is>
          <t>Bosnia-Herzegovina</t>
        </is>
      </c>
      <c r="M433" t="inlineStr">
        <is>
          <t>1993-10-07</t>
        </is>
      </c>
      <c r="N433" t="inlineStr">
        <is>
          <t>Bosnia-Herzegovina</t>
        </is>
      </c>
      <c r="O433">
        <f>(9+9)/2</f>
        <v/>
      </c>
      <c r="P433">
        <f>(6+7.5)/2</f>
        <v/>
      </c>
    </row>
    <row r="434">
      <c r="A434" t="inlineStr">
        <is>
          <t>Ilicic</t>
        </is>
      </c>
      <c r="B434" t="inlineStr">
        <is>
          <t>Atalanta</t>
        </is>
      </c>
      <c r="C434" t="inlineStr">
        <is>
          <t>Midfielder</t>
        </is>
      </c>
      <c r="D434" t="n">
        <v>249</v>
      </c>
      <c r="E434" t="n">
        <v>4</v>
      </c>
      <c r="F434" t="n">
        <v>1</v>
      </c>
      <c r="G434" t="n">
        <v>1</v>
      </c>
      <c r="H434" t="n">
        <v>29.3</v>
      </c>
      <c r="I434" t="n">
        <v>32.1</v>
      </c>
      <c r="J434" t="n">
        <v>80351</v>
      </c>
      <c r="K434" t="inlineStr">
        <is>
          <t>{'marketValueHistory': [{'date': '28/08/2008', 'age': '20', 'clubName': 'NK Interblock Ljubljana', 'clubID': '11006', 'value': '€100k'}, {'date': '05/03/2009', 'age': '21', 'clubName': 'NK Interblock Ljubljana', 'clubID': '11006', 'value': '€150k'}, {'date': '17/04/2009', 'age': '21', 'clubName': 'NK Interblock Ljubljana', 'clubID': '11006', 'value': '€250k'}, {'date': '29/04/2009', 'age': '21', 'clubName': 'NK Interblock Ljubljana', 'clubID': '11006', 'value': '€350k'}, {'date': '01/07/2009', 'age': '21', 'clubName': 'NK Interblock Ljubljana', 'clubID': '11006', 'value': '€600k'}, {'date': '06/08/2009', 'age': '21', 'clubName': 'NK Interblock Ljubljana', 'clubID': '11006', 'value': '€650k'}, {'date': '03/02/2010', 'age': '22', 'clubName': 'NK Interblock Ljubljana', 'clubID': '11006', 'value': '€500k'}, {'date': '20/08/2010', 'age': '22', 'clubName': 'NK Maribor', 'clubID': '790', 'value': '€1.00m'}, {'date': '29/08/2010', 'age': '22', 'clubName': 'US Palermo', 'clubID': '458', 'value': '€2.30m'}, {'date': '10/01/2011', 'age': '22', 'clubName': 'US Palermo', 'clubID': '458', 'value': '€6.00m'}, {'date': '21/06/2011', 'age': '23', 'clubName': 'US Palermo', 'clubID': '458', 'value': '€8.50m'}, {'date': '11/01/2012', 'age': '23', 'clubName': 'US Palermo', 'clubID': '458', 'value': '€8.50m'}, {'date': '08/06/2012', 'age': '24', 'clubName': 'US Palermo', 'clubID': '458', 'value': '€8.00m'}, {'date': '07/11/2012', 'age': '24', 'clubName': 'US Palermo', 'clubID': '458', 'value': '€7.00m'}, {'date': '14/01/2013', 'age': '24', 'clubName': 'US Palermo', 'clubID': '458', 'value': '€6.80m'}, {'date': '19/06/2013', 'age': '25', 'clubName': 'US Palermo', 'clubID': '458', 'value': '€9.50m'}, {'date': '07/01/2014', 'age': '25', 'clubName': 'ACF Fiorentina', 'clubID': '430', 'value': '€8.00m'}, {'date': '01/07/2014', 'age': '26', 'clubName': 'ACF Fiorentina', 'clubID': '430', 'value': '€7.50m'}, {'date': '07/01/2015', 'age': '26', 'clubName': 'ACF Fiorentina', 'clubID': '430', 'value': '€5.50m'}, {'date': '01/07/2015', 'age': '27', 'clubName': 'ACF Fiorentina', 'clubID': '430', 'value': '€6.50m'}, {'date': '05/11/2015', 'age': '27', 'clubName': 'ACF Fiorentina', 'clubID': '430', 'value': '€8.00m'}, {'date': '04/01/2016', 'age': '27', 'clubName': 'ACF Fiorentina', 'clubID': '430', 'value': '€15.00m'}, {'date': '15/07/2016', 'age': '28', 'clubName': 'ACF Fiorentina', 'clubID': '430', 'value': '€15.00m'}, {'date': '02/01/2017', 'age': '28', 'clubName': 'ACF Fiorentina', 'clubID': '430', 'value': '€15.00m'}, {'date': '28/03/2017', 'age': '29', 'clubName': 'ACF Fiorentina', 'clubID': '430', 'value': '€13.50m'}, {'date': '08/06/2017', 'age': '29', 'clubName': 'ACF Fiorentina', 'clubID': '430', 'value': '€10.00m'}, {'date': '29/12/2017', 'age': '29', 'clubName': 'Atalanta BC', 'clubID': '800', 'value': '€10.00m'}, {'date': '07/06/2018', 'age': '30', 'clubName': 'Atalanta BC', 'clubID': '800', 'value': '€13.00m'}, {'date': '20/12/2018', 'age': '30', 'clubName': 'Atalanta BC', 'clubID': '800', 'value': '€13.00m'}, {'date': '06/06/2019', 'age': '31', 'clubName': 'Atalanta BC', 'clubID': '800', 'value': '€17.00m'}, {'date': '12/12/2019', 'age': '31', 'clubName': 'Atalanta BC', 'clubID': '800', 'value': '€15.00m'}, {'date': '03/03/2020', 'age': '32', 'clubName': 'Atalanta BC', 'clubID': '800', 'value': '€22.00m'}, {'date': '08/04/2020', 'age': '32', 'clubName': 'Atalanta BC', 'clubID': '800', 'value': '€17.50m'}, {'date': '25/08/2020', 'age': '32', 'clubName': 'Atalanta BC', 'clubID': '800', 'value': '€17.50m'}, {'date': '29/10/2020', 'age': '32', 'clubName': 'Atalanta BC', 'clubID': '800', 'value': '€15.00m'}, {'date': '29/12/2020', 'age': '32', 'clubName': 'Atalanta BC', 'clubID': '800', 'value': '€10.00m'}, {'date': '23/03/2021', 'age': '33', 'clubName': 'Atalanta BC', 'clubID': '800', 'value': '€8.50m'}, {'date': '03/06/2021', 'age': '33', 'clubName': 'Atalanta BC', 'clubID': '800', 'value': '€6.00m'}, {'date': '28/12/2021', 'age': '33', 'clubName': 'Atalanta BC', 'clubID': '800', 'value': '€5.00m'}, {'date': '15/03/2022', 'age': '34', 'clubName': 'Atalanta BC', 'clubID': '800', 'value': '€3.00m'}, {'date': '07/06/2022', 'age': '34', 'clubName': 'Atalanta BC', 'clubID': '800', 'value': '€1.00m'}, {'date': '15/12/2022', 'age': '34', 'clubName': 'NK Maribor', 'clubID': '790', 'value': '€400k'}, {'date': '25/05/2023', 'age': '35', 'clubName': 'NK Maribor', 'clubID': '790', 'value': '€300k'}, {'date': '21/12/2023', 'age': '35', 'clubName': 'NK Maribor', 'clubID': '790', 'value': '€300k'}, {'date': '24/05/2024', 'age': '36', 'clubName': 'NK Maribor', 'clubID': '790', 'value': '€300k'}, {'date': '11/12/2024', 'age': '36', 'clubName': 'NK Maribor', 'clubID': '790', 'value': '€200k'}, {'date': '27/05/2025', 'age': '37', 'clubName': 'NK Maribor', 'clubID': '790', 'value': '€200k'}, {'date': '10/12/2025', 'age': '37', 'clubName': 'FC Koper', 'clubID': '433', 'value': '€200k'}]}</t>
        </is>
      </c>
      <c r="L434" t="inlineStr">
        <is>
          <t>Slovenia</t>
        </is>
      </c>
      <c r="M434" t="inlineStr">
        <is>
          <t>1988-01-29</t>
        </is>
      </c>
      <c r="N434" t="inlineStr">
        <is>
          <t>Slovenia</t>
        </is>
      </c>
      <c r="O434">
        <f>(3+1+0.4)/3</f>
        <v/>
      </c>
      <c r="P434">
        <f>(8.5+6+5)/3</f>
        <v/>
      </c>
    </row>
    <row r="435">
      <c r="A435" t="inlineStr">
        <is>
          <t>Nico Gonzalez</t>
        </is>
      </c>
      <c r="B435" t="inlineStr">
        <is>
          <t>Barcelona</t>
        </is>
      </c>
      <c r="C435" t="inlineStr">
        <is>
          <t>Midfielder</t>
        </is>
      </c>
      <c r="D435" t="n">
        <v>247</v>
      </c>
      <c r="E435" t="n">
        <v>4</v>
      </c>
      <c r="F435" t="n">
        <v>0</v>
      </c>
      <c r="G435" t="n">
        <v>0</v>
      </c>
      <c r="H435" t="n">
        <v>33.6</v>
      </c>
      <c r="I435" t="n">
        <v>33</v>
      </c>
      <c r="J435" t="n">
        <v>466805</v>
      </c>
      <c r="K435" t="inlineStr">
        <is>
          <t>{'marketValueHistory': [{'date': '08/10/2020', 'age': '18', 'clubName': 'FC Barcelona B', 'clubID': '2464', 'value': '€100k'}, {'date': '08/01/2021', 'age': '19', 'clubName': 'FC Barcelona B', 'clubID': '2464', 'value': '€500k'}, {'date': '30/06/2021', 'age': '19', 'clubName': 'FC Barcelona B', 'clubID': '2464', 'value': '€500k'}, {'date': '13/10/2021', 'age': '19', 'clubName': 'FC Barcelona', 'clubID': '131', 'value': '€8.00m'}, {'date': '30/12/2021', 'age': '19', 'clubName': 'FC Barcelona', 'clubID': '131', 'value': '€20.00m'}, {'date': '21/03/2022', 'age': '20', 'clubName': 'FC Barcelona', 'clubID': '131', 'value': '€25.00m'}, {'date': '03/06/2022', 'age': '20', 'clubName': 'FC Barcelona', 'clubID': '131', 'value': '€20.00m'}, {'date': '07/11/2022', 'age': '20', 'clubName': 'Valencia CF', 'clubID': '1049', 'value': '€14.00m'}, {'date': '23/03/2023', 'age': '21', 'clubName': 'Valencia CF', 'clubID': '1049', 'value': '€10.00m'}, {'date': '13/06/2023', 'age': '21', 'clubName': 'Valencia CF', 'clubID': '1049', 'value': '€10.00m'}, {'date': '27/12/2023', 'age': '21', 'clubName': 'FC Porto', 'clubID': '720', 'value': '€9.00m'}, {'date': '08/03/2024', 'age': '22', 'clubName': 'FC Porto', 'clubID': '720', 'value': '€10.00m'}, {'date': '06/06/2024', 'age': '22', 'clubName': 'FC Porto', 'clubID': '720', 'value': '€15.00m'}, {'date': '19/12/2024', 'age': '22', 'clubName': 'FC Porto', 'clubID': '720', 'value': '€18.00m'}, {'date': '18/03/2025', 'age': '23', 'clubName': 'Manchester City', 'clubID': '281', 'value': '€40.00m'}, {'date': '30/05/2025', 'age': '23', 'clubName': 'Manchester City', 'clubID': '281', 'value': '€40.00m'}, {'date': '09/12/2025', 'age': '23', 'clubName': 'Manchester City', 'clubID': '281', 'value': '€45.00m'}]}</t>
        </is>
      </c>
      <c r="L435" t="inlineStr">
        <is>
          <t>England</t>
        </is>
      </c>
      <c r="M435" t="inlineStr">
        <is>
          <t>2002-03-01</t>
        </is>
      </c>
      <c r="N435" t="inlineStr">
        <is>
          <t>11</t>
        </is>
      </c>
      <c r="O435">
        <f>(25+20+14)/3</f>
        <v/>
      </c>
      <c r="P435">
        <f>(0.5+0.5+8+20)/4</f>
        <v/>
      </c>
    </row>
    <row r="436">
      <c r="A436" t="inlineStr">
        <is>
          <t>Eric Garcia</t>
        </is>
      </c>
      <c r="B436" t="inlineStr">
        <is>
          <t>Barcelona</t>
        </is>
      </c>
      <c r="C436" t="inlineStr">
        <is>
          <t>Defender</t>
        </is>
      </c>
      <c r="D436" t="n">
        <v>247</v>
      </c>
      <c r="E436" t="n">
        <v>4</v>
      </c>
      <c r="F436" t="n">
        <v>0</v>
      </c>
      <c r="G436" t="n">
        <v>0</v>
      </c>
      <c r="H436" t="n">
        <v>29.7</v>
      </c>
      <c r="I436" t="n">
        <v>31.9</v>
      </c>
      <c r="J436" t="n">
        <v>466794</v>
      </c>
      <c r="K436" t="inlineStr">
        <is>
          <t>{'marketValueHistory': [{'date': 'Sep 25, 2019', 'age': '18', 'clubName': 'Manchester City', 'clubID': '281', 'value': '€7.00m'}, {'date': 'Apr 8, 2020', 'age': '19', 'clubName': 'Manchester City', 'clubID': '281', 'value': '€6.30m'}, {'date': 'Jul 30, 2020', 'age': '19', 'clubName': 'Manchester City', 'clubID': '281', 'value': '€16.00m'}, {'date': 'Oct 13, 2020', 'age': '19', 'clubName': 'Manchester City', 'clubID': '281', 'value': '€20.00m'}, {'date': 'Mar 18, 2021', 'age': '20', 'clubName': 'Manchester City', 'clubID': '281', 'value': '€20.00m'}, {'date': 'May 31, 2021', 'age': '20', 'clubName': 'Manchester City', 'clubID': '281', 'value': '€20.00m'}, {'date': 'Dec 30, 2021', 'age': '20', 'clubName': 'FC Barcelona', 'clubID': '131', 'value': '€18.00m'}, {'date': 'Jun 3, 2022', 'age': '21', 'clubName': 'FC Barcelona', 'clubID': '131', 'value': '€18.00m'}, {'date': 'Nov 7, 2022', 'age': '21', 'clubName': 'FC Barcelona', 'clubID': '131', 'value': '€18.00m'}, {'date': 'Mar 23, 2023', 'age': '22', 'clubName': 'FC Barcelona', 'clubID': '131', 'value': '€12.00m'}, {'date': 'Jun 13, 2023', 'age': '22', 'clubName': 'FC Barcelona', 'clubID': '131', 'value': '€10.00m'}, {'date': 'Oct 13, 2023', 'age': '22', 'clubName': 'Girona FC', 'clubID': '12321', 'value': '€12.00m'}, {'date': 'Dec 22, 2023', 'age': '22', 'clubName': 'Girona FC', 'clubID': '12321', 'value': '€15.00m'}, {'date': 'Jun 7, 2024', 'age': '23', 'clubName': 'Girona FC', 'clubID': '12321', 'value': '€20.00m'}, {'date': 'Dec 27, 2024', 'age': '23', 'clubName': 'FC Barcelona', 'clubID': '131', 'value': '€18.00m'}, {'date': 'Mar 21, 2025', 'age': '24', 'clubName': 'FC Barcelona', 'clubID': '131', 'value': '€15.00m'}, {'date': 'Jun 9, 2025', 'age': '24', 'clubName': 'FC Barcelona', 'clubID': '131', 'value': '€18.00m'}, {'date': 'Oct 2, 2025', 'age': '24', 'clubName': 'FC Barcelona', 'clubID': '131', 'value': '€25.00m'}, {'date': 'Dec 12, 2025', 'age': '24', 'clubName': 'FC Barcelona', 'clubID': '131', 'value': '€30.00m'}, {'date': 'Mar 16, 2026', 'age': '25', 'clubName': 'FC Barcelona', 'clubID': '131', 'value': '€35.00m'}]}</t>
        </is>
      </c>
      <c r="L436" t="inlineStr">
        <is>
          <t>Spain</t>
        </is>
      </c>
      <c r="M436" t="inlineStr">
        <is>
          <t>2001-01-09</t>
        </is>
      </c>
      <c r="N436" t="inlineStr">
        <is>
          <t>19</t>
        </is>
      </c>
      <c r="O436">
        <f>(18+18)/2</f>
        <v/>
      </c>
      <c r="P436">
        <f>(20+20+18)/3</f>
        <v/>
      </c>
    </row>
    <row r="437">
      <c r="A437" t="inlineStr">
        <is>
          <t>Werner</t>
        </is>
      </c>
      <c r="B437" t="inlineStr">
        <is>
          <t>Chelsea</t>
        </is>
      </c>
      <c r="C437" t="inlineStr">
        <is>
          <t>Forward</t>
        </is>
      </c>
      <c r="D437" t="n">
        <v>246</v>
      </c>
      <c r="E437" t="n">
        <v>5</v>
      </c>
      <c r="F437" t="n">
        <v>4</v>
      </c>
      <c r="G437" t="n">
        <v>2</v>
      </c>
      <c r="H437" t="n">
        <v>29.8</v>
      </c>
      <c r="I437" t="n">
        <v>34</v>
      </c>
      <c r="J437" t="n">
        <v>170527</v>
      </c>
      <c r="K437" t="inlineStr">
        <is>
          <t>{'marketValueHistory': [{'date': 'Aug 9, 2013', 'age': '17', 'clubName': 'VfB Stuttgart', 'clubID': '79', 'value': '€1.00m'}, {'date': 'Nov 5, 2013', 'age': '17', 'clubName': 'VfB Stuttgart', 'clubID': '79', 'value': '€4.00m'}, {'date': 'Feb 12, 2014', 'age': '17', 'clubName': 'VfB Stuttgart', 'clubID': '79', 'value': '€12.00m'}, {'date': 'Jul 10, 2014', 'age': '18', 'clubName': 'VfB Stuttgart', 'clubID': '79', 'value': '€12.00m'}, {'date': 'Feb 4, 2015', 'age': '18', 'clubName': 'VfB Stuttgart', 'clubID': '79', 'value': '€12.00m'}, {'date': 'Jul 1, 2015', 'age': '19', 'clubName': 'VfB Stuttgart', 'clubID': '79', 'value': '€8.00m'}, {'date': 'Feb 15, 2016', 'age': '19', 'clubName': 'VfB Stuttgart', 'clubID': '79', 'value': '€8.00m'}, {'date': 'Jul 22, 2016', 'age': '20', 'clubName': 'RB Leipzig', 'clubID': '23826', 'value': '€8.00m'}, {'date': 'Feb 7, 2017', 'age': '20', 'clubName': 'RB Leipzig', 'clubID': '23826', 'value': '€12.00m'}, {'date': 'Mar 22, 2017', 'age': '21', 'clubName': 'RB Leipzig', 'clubID': '23826', 'value': '€16.00m'}, {'date': 'Jun 19, 2017', 'age': '21', 'clubName': 'RB Leipzig', 'clubID': '23826', 'value': '€25.00m'}, {'date': 'Oct 18, 2017', 'age': '21', 'clubName': 'RB Leipzig', 'clubID': '23826', 'value': '€50.00m'}, {'date': 'Dec 28, 2017', 'age': '21', 'clubName': 'RB Leipzig', 'clubID': '23826', 'value': '€60.00m'}, {'date': 'Jun 5, 2018', 'age': '22', 'clubName': 'RB Leipzig', 'clubID': '23826', 'value': '€60.00m'}, {'date': 'Dec 18, 2018', 'age': '22', 'clubName': 'RB Leipzig', 'clubID': '23826', 'value': '€65.00m'}, {'date': 'Jun 5, 2019', 'age': '23', 'clubName': 'RB Leipzig', 'clubID': '23826', 'value': '€65.00m'}, {'date': 'Dec 17, 2019', 'age': '23', 'clubName': 'RB Leipzig', 'clubID': '23826', 'value': '€75.00m'}, {'date': 'Mar 11, 2020', 'age': '24', 'clubName': 'RB Leipzig', 'clubID': '23826', 'value': '€80.00m'}, {'date': 'Apr 8, 2020', 'age': '24', 'clubName': 'RB Leipzig', 'clubID': '23826', 'value': '€64.00m'}, {'date': 'Oct 13, 2020', 'age': '24', 'clubName': 'Chelsea FC', 'clubID': '631', 'value': '€70.00m'}, {'date': 'Mar 18, 2021', 'age': '25', 'clubName': 'Chelsea FC', 'clubID': '631', 'value': '€65.00m'}, {'date': 'Jun 1, 2021', 'age': '25', 'clubName': 'Chelsea FC', 'clubID': '631', 'value': '€65.00m'}, {'date': 'Oct 5, 2021', 'age': '25', 'clubName': 'Chelsea FC', 'clubID': '631', 'value': '€55.00m'}, {'date': 'Dec 23, 2021', 'age': '25', 'clubName': 'Chelsea FC', 'clubID': '631', 'value': '€50.00m'}, {'date': 'Mar 29, 2022', 'age': '26', 'clubName': 'Chelsea FC', 'clubID': '631', 'value': '€42.00m'}, {'date': 'Jun 15, 2022', 'age': '26', 'clubName': 'Chelsea FC', 'clubID': '631', 'value': '€35.00m'}, {'date': 'Sep 21, 2022', 'age': '26', 'clubName': 'RB Leipzig', 'clubID': '23826', 'value': '€25.00m'}, {'date': 'Nov 9, 2022', 'age': '26', 'clubName': 'RB Leipzig', 'clubID': '23826', 'value': '€25.00m'}, {'date': 'Jun 22, 2023', 'age': '27', 'clubName': 'RB Leipzig', 'clubID': '23826', 'value': '€25.00m'}, {'date': 'Oct 18, 2023', 'age': '27', 'clubName': 'RB Leipzig', 'clubID': '23826', 'value': '€20.00m'}, {'date': 'Dec 14, 2023', 'age': '27', 'clubName': 'RB Leipzig', 'clubID': '23826', 'value': '€17.00m'}, {'date': 'May 27, 2024', 'age': '28', 'clubName': 'Tottenham Hotspur', 'clubID': '148', 'value': '€17.00m'}, {'date': 'Dec 16, 2024', 'age': '28', 'clubName': 'Tottenham Hotspur', 'clubID': '148', 'value': '€15.00m'}, {'date': 'Mar 18, 2025', 'age': '29', 'clubName': 'Tottenham Hotspur', 'clubID': '148', 'value': '€10.00m'}, {'date': 'May 30, 2025', 'age': '29', 'clubName': 'Tottenham Hotspur', 'clubID': '148', 'value': '€7.00m'}, {'date': 'Oct 14, 2025', 'age': '29', 'clubName': 'RB Leipzig', 'clubID': '23826', 'value': '€5.00m'}, {'date': 'Dec 19, 2025', 'age': '29', 'clubName': 'RB Leipzig', 'clubID': '23826', 'value': '€3.00m'}]}</t>
        </is>
      </c>
      <c r="L437" t="inlineStr">
        <is>
          <t>Germany</t>
        </is>
      </c>
      <c r="M437" t="inlineStr">
        <is>
          <t>1996-03-06</t>
        </is>
      </c>
      <c r="N437" t="inlineStr">
        <is>
          <t>Germany</t>
        </is>
      </c>
      <c r="O437">
        <f>(42+35+25+25)/4</f>
        <v/>
      </c>
      <c r="P437">
        <f>(65+65+55+50)/4</f>
        <v/>
      </c>
    </row>
    <row r="438">
      <c r="A438" t="inlineStr">
        <is>
          <t>Gomez</t>
        </is>
      </c>
      <c r="B438" t="inlineStr">
        <is>
          <t>Liverpool</t>
        </is>
      </c>
      <c r="C438" t="inlineStr">
        <is>
          <t>Defender</t>
        </is>
      </c>
      <c r="D438" t="n">
        <v>245</v>
      </c>
      <c r="E438" t="n">
        <v>7</v>
      </c>
      <c r="F438" t="n">
        <v>0</v>
      </c>
      <c r="G438" t="n">
        <v>0</v>
      </c>
      <c r="H438" t="n">
        <v>30.4</v>
      </c>
      <c r="I438" t="n">
        <v>33.2</v>
      </c>
      <c r="J438" t="n">
        <v>48280</v>
      </c>
      <c r="K438" t="inlineStr">
        <is>
          <t>{'marketValueHistory': [{'date': '08/04/2007', 'age': '20', 'clubName': 'US Palermo', 'clubID': '458', 'value': '€4.85m'}, {'date': '09/02/2008', 'age': '20', 'clubName': 'US Palermo', 'clubID': '458', 'value': '€5.00m'}, {'date': '03/02/2009', 'age': '21', 'clubName': 'US Palermo', 'clubID': '458', 'value': '€8.00m'}, {'date': '06/08/2009', 'age': '22', 'clubName': 'US Palermo', 'clubID': '458', 'value': '€10.50m'}, {'date': '27/01/2010', 'age': '22', 'clubName': 'US Palermo', 'clubID': '458', 'value': '€11.00m'}, {'date': '01/08/2010', 'age': '23', 'clubName': 'SSC Napoli', 'clubID': '6195', 'value': '€15.50m'}, {'date': '10/01/2011', 'age': '23', 'clubName': 'SSC Napoli', 'clubID': '6195', 'value': '€19.00m'}, {'date': '21/06/2011', 'age': '24', 'clubName': 'SSC Napoli', 'clubID': '6195', 'value': '€24.50m'}, {'date': '11/01/2012', 'age': '24', 'clubName': 'SSC Napoli', 'clubID': '6195', 'value': '€28.00m'}, {'date': '28/06/2012', 'age': '25', 'clubName': 'SSC Napoli', 'clubID': '6195', 'value': '€35.00m'}, {'date': '14/01/2013', 'age': '25', 'clubName': 'SSC Napoli', 'clubID': '6195', 'value': '€45.00m'}, {'date': '09/04/2013', 'age': '26', 'clubName': 'SSC Napoli', 'clubID': '6195', 'value': '€55.00m'}, {'date': '19/06/2013', 'age': '26', 'clubName': 'SSC Napoli', 'clubID': '6195', 'value': '€55.00m'}, {'date': '22/07/2013', 'age': '26', 'clubName': 'Paris Saint-Germain', 'clubID': '583', 'value': '€60.00m'}, {'date': '14/01/2014', 'age': '26', 'clubName': 'Paris Saint-Germain', 'clubID': '583', 'value': '€60.00m'}, {'date': '01/08/2014', 'age': '27', 'clubName': 'Paris Saint-Germain', 'clubID': '583', 'value': '€57.00m'}, {'date': '14/01/2015', 'age': '27', 'clubName': 'Paris Saint-Germain', 'clubID': '583', 'value': '€50.00m'}, {'date': '06/06/2015', 'age': '28', 'clubName': 'Paris Saint-Germain', 'clubID': '583', 'value': '€42.00m'}, {'date': '04/02/2016', 'age': '28', 'clubName': 'Paris Saint-Germain', 'clubID': '583', 'value': '€40.00m'}, {'date': '13/07/2016', 'age': '29', 'clubName': 'Paris Saint-Germain', 'clubID': '583', 'value': '€37.00m'}, {'date': '01/11/2016', 'age': '29', 'clubName': 'Paris Saint-Germain', 'clubID': '583', 'value': '€40.00m'}, {'date': '16/01/2017', 'age': '29', 'clubName': 'Paris Saint-Germain', 'clubID': '583', 'value': '€45.00m'}, {'date': '01/06/2017', 'age': '30', 'clubName': 'Paris Saint-Germain', 'clubID': '583', 'value': '€45.00m'}, {'date': '24/01/2018', 'age': '30', 'clubName': 'Paris Saint-Germain', 'clubID': '583', 'value': '€60.00m'}, {'date': '04/06/2018', 'age': '31', 'clubName': 'Paris Saint-Germain', 'clubID': '583', 'value': '€60.00m'}, {'date': '17/12/2018', 'age': '31', 'clubName': 'Paris Saint-Germain', 'clubID': '583', 'value': '€55.00m'}, {'date': '07/03/2019', 'age': '32', 'clubName': 'Paris Saint-Germain', 'clubID': '583', 'value': '€50.00m'}, {'date': '03/06/2019', 'age': '32', 'clubName': 'Paris Saint-Germain', 'clubID': '583', 'value': '€40.00m'}, {'date': '19/12/2019', 'age': '32', 'clubName': 'Paris Saint-Germain', 'clubID': '583', 'value': '€25.00m'}, {'date': '08/04/2020', 'age': '33', 'clubName': 'Paris Saint-Germain', 'clubID': '583', 'value': '€20.00m'}, {'date': '13/10/2020', 'age': '33', 'clubName': 'Manchester United', 'clubID': '985', 'value': '€12.00m'}, {'date': '18/03/2021', 'age': '34', 'clubName': 'Manchester United', 'clubID': '985', 'value': '€7.00m'}, {'date': '08/06/2021', 'age': '34', 'clubName': 'Manchester United', 'clubID': '985', 'value': '€6.00m'}, {'date': '23/12/2021', 'age': '34', 'clubName': 'Manchester United', 'clubID': '985', 'value': '€4.00m'}, {'date': '15/06/2022', 'age': '35', 'clubName': 'Manchester United', 'clubID': '985', 'value': '€4.00m'}, {'date': '07/11/2022', 'age': '35', 'clubName': 'Valencia CF', 'clubID': '1049', 'value': '€5.00m'}, {'date': '23/03/2023', 'age': '36', 'clubName': 'Valencia CF', 'clubID': '1049', 'value': '€4.00m'}, {'date': '13/06/2023', 'age': '36', 'clubName': 'Valencia CF', 'clubID': '1049', 'value': '€3.00m'}, {'date': '04/10/2023', 'age': '36', 'clubName': 'CA Boca Juniors', 'clubID': '189', 'value': '€2.50m'}, {'date': '19/12/2023', 'age': '36', 'clubName': 'CA Boca Juniors', 'clubID': '189', 'value': '€2.00m'}, {'date': '11/03/2024', 'age': '37', 'clubName': 'CA Boca Juniors', 'clubID': '189', 'value': '€1.00m'}, {'date': '12/06/2024', 'age': '37', 'clubName': 'CA Boca Juniors', 'clubID': '189', 'value': '€1.00m'}, {'date': '13/12/2024', 'age': '37', 'clubName': 'CA Boca Juniors', 'clubID': '189', 'value': '€1.00m'}, {'date': '02/06/2025', 'age': '38', 'clubName': 'CA Boca Juniors', 'clubID': '189', 'value': '€1.00m'}, {'date': '24/09/2025', 'age': '38', 'clubName': 'CA Boca Juniors', 'clubID': '189', 'value': '€500k'}, {'date': '17/12/2025', 'age': '38', 'clubName': 'CA Boca Juniors', 'clubID': '189', 'value': '€500k'}]}</t>
        </is>
      </c>
      <c r="L438" t="inlineStr">
        <is>
          <t>Uruguay</t>
        </is>
      </c>
      <c r="M438" t="inlineStr">
        <is>
          <t>1987-02-14</t>
        </is>
      </c>
      <c r="N438" t="inlineStr">
        <is>
          <t>Uruguay</t>
        </is>
      </c>
      <c r="O438">
        <f>(4+5)/2</f>
        <v/>
      </c>
      <c r="P438">
        <f>(7+6+4)/3</f>
        <v/>
      </c>
    </row>
    <row r="439">
      <c r="A439" t="inlineStr">
        <is>
          <t>Gudmundsson</t>
        </is>
      </c>
      <c r="B439" t="inlineStr">
        <is>
          <t>Lille</t>
        </is>
      </c>
      <c r="C439" t="inlineStr">
        <is>
          <t>Defender</t>
        </is>
      </c>
      <c r="D439" t="n">
        <v>243</v>
      </c>
      <c r="E439" t="n">
        <v>4</v>
      </c>
      <c r="F439" t="n">
        <v>0</v>
      </c>
      <c r="G439" t="n">
        <v>0</v>
      </c>
      <c r="H439" t="n">
        <v>29.1</v>
      </c>
      <c r="I439" t="n">
        <v>34.2</v>
      </c>
      <c r="J439" t="n">
        <v>305947</v>
      </c>
      <c r="K439" t="inlineStr">
        <is>
          <t>{'marketValueHistory': [{'date': 'Jul 1, 2015', 'age': '18', 'clubName': 'SC Heerenveen U19', 'clubID': '306', 'value': '€50k'}, {'date': 'Feb 5, 2016', 'age': '18', 'clubName': 'PSV Eindhoven U21', 'clubID': '383', 'value': '€50k'}, {'date': 'Jul 1, 2016', 'age': '19', 'clubName': 'PSV Eindhoven U21', 'clubID': '383', 'value': '€125k'}, {'date': 'Feb 2, 2017', 'age': '19', 'clubName': 'PSV Eindhoven U21', 'clubID': '383', 'value': '€200k'}, {'date': 'Jun 7, 2017', 'age': '19', 'clubName': 'PSV Eindhoven U21', 'clubID': '383', 'value': '€700k'}, {'date': 'Jan 17, 2018', 'age': '20', 'clubName': 'PSV Eindhoven', 'clubID': '383', 'value': '€1.50m'}, {'date': 'Jun 12, 2018', 'age': '20', 'clubName': 'PSV Eindhoven', 'clubID': '383', 'value': '€1.50m'}, {'date': 'Oct 4, 2018', 'age': '21', 'clubName': 'AZ Alkmaar', 'clubID': '1090', 'value': '€2.50m'}, {'date': 'Dec 28, 2018', 'age': '21', 'clubName': 'AZ Alkmaar', 'clubID': '1090', 'value': '€2.00m'}, {'date': 'Jun 12, 2019', 'age': '21', 'clubName': 'AZ Alkmaar', 'clubID': '1090', 'value': '€2.50m'}, {'date': 'Dec 18, 2019', 'age': '22', 'clubName': 'AZ Alkmaar', 'clubID': '1090', 'value': '€2.50m'}, {'date': 'Apr 8, 2020', 'age': '22', 'clubName': 'AZ Alkmaar', 'clubID': '1090', 'value': '€2.00m'}, {'date': 'Oct 14, 2020', 'age': '23', 'clubName': 'AZ Alkmaar', 'clubID': '1090', 'value': '€2.00m'}, {'date': 'Jan 6, 2021', 'age': '23', 'clubName': 'AZ Alkmaar', 'clubID': '1090', 'value': '€3.50m'}, {'date': 'Mar 6, 2021', 'age': '23', 'clubName': 'AZ Alkmaar', 'clubID': '1090', 'value': '€4.00m'}, {'date': 'May 19, 2021', 'age': '23', 'clubName': 'AZ Alkmaar', 'clubID': '1090', 'value': '€4.00m'}, {'date': 'Jan 5, 2022', 'age': '24', 'clubName': 'AZ Alkmaar', 'clubID': '1090', 'value': '€3.00m'}, {'date': 'Jun 7, 2022', 'age': '24', 'clubName': 'Genoa CFC', 'clubID': '252', 'value': '€2.40m'}, {'date': 'Dec 22, 2022', 'age': '25', 'clubName': 'Genoa CFC', 'clubID': '252', 'value': '€2.40m'}, {'date': 'Mar 20, 2023', 'age': '25', 'clubName': 'Genoa CFC', 'clubID': '252', 'value': '€3.50m'}, {'date': 'Jun 12, 2023', 'age': '25', 'clubName': 'Genoa CFC', 'clubID': '252', 'value': '€4.50m'}, {'date': 'Oct 11, 2023', 'age': '26', 'clubName': 'Genoa CFC', 'clubID': '252', 'value': '€12.00m'}, {'date': 'Dec 20, 2023', 'age': '26', 'clubName': 'Genoa CFC', 'clubID': '252', 'value': '€16.00m'}, {'date': 'Mar 12, 2024', 'age': '26', 'clubName': 'Genoa CFC', 'clubID': '252', 'value': '€22.00m'}, {'date': 'Jun 5, 2024', 'age': '26', 'clubName': 'Genoa CFC', 'clubID': '252', 'value': '€30.00m'}, {'date': 'Dec 18, 2024', 'age': '27', 'clubName': 'ACF Fiorentina', 'clubID': '430', 'value': '€28.00m'}, {'date': 'Mar 25, 2025', 'age': '27', 'clubName': 'ACF Fiorentina', 'clubID': '430', 'value': '€23.00m'}, {'date': 'Jun 17, 2025', 'age': '28', 'clubName': 'ACF Fiorentina', 'clubID': '430', 'value': '€18.00m'}, {'date': 'Dec 23, 2025', 'age': '28', 'clubName': 'ACF Fiorentina', 'clubID': '430', 'value': '€13.00m'}]}</t>
        </is>
      </c>
      <c r="L439" t="inlineStr">
        <is>
          <t>Italy</t>
        </is>
      </c>
      <c r="M439" t="inlineStr">
        <is>
          <t>1997-06-15</t>
        </is>
      </c>
      <c r="N439" t="inlineStr">
        <is>
          <t>Iceland</t>
        </is>
      </c>
      <c r="O439">
        <f>(3+2.4+2.4)/3</f>
        <v/>
      </c>
      <c r="P439">
        <f>(3.5+4+4)/3</f>
        <v/>
      </c>
    </row>
    <row r="440">
      <c r="A440" t="inlineStr">
        <is>
          <t>Sierro</t>
        </is>
      </c>
      <c r="B440" t="inlineStr">
        <is>
          <t>Young Boys</t>
        </is>
      </c>
      <c r="C440" t="inlineStr">
        <is>
          <t>Midfielder</t>
        </is>
      </c>
      <c r="D440" t="n">
        <v>240</v>
      </c>
      <c r="E440" t="n">
        <v>5</v>
      </c>
      <c r="F440" t="n">
        <v>1</v>
      </c>
      <c r="G440" t="n">
        <v>0</v>
      </c>
      <c r="H440" t="n">
        <v>28.5</v>
      </c>
      <c r="I440" t="n">
        <v>30.2</v>
      </c>
      <c r="J440" t="n">
        <v>280387</v>
      </c>
      <c r="K440" t="inlineStr">
        <is>
          <t>{'marketValueHistory': [{'date': 'Sep 12, 2014', 'age': '18', 'clubName': 'FC Sion U21', 'clubID': '8508', 'value': '€25k'}, {'date': 'Jun 18, 2015', 'age': '19', 'clubName': 'FC Sion U21', 'clubID': '8508', 'value': '€100k'}, {'date': 'Dec 18, 2015', 'age': '20', 'clubName': 'FC Sion', 'clubID': '321', 'value': '€100k'}, {'date': 'Apr 20, 2016', 'age': '20', 'clubName': 'FC Sion', 'clubID': '321', 'value': '€400k'}, {'date': 'Jul 16, 2016', 'age': '20', 'clubName': 'FC Sion', 'clubID': '321', 'value': '€750k'}, {'date': 'Dec 20, 2016', 'age': '21', 'clubName': 'FC Sion', 'clubID': '321', 'value': '€1.00m'}, {'date': 'Jun 19, 2017', 'age': '21', 'clubName': 'SC Freiburg', 'clubID': '60', 'value': '€1.00m'}, {'date': 'Dec 28, 2017', 'age': '22', 'clubName': 'SC Freiburg', 'clubID': '60', 'value': '€1.00m'}, {'date': 'Jun 5, 2018', 'age': '22', 'clubName': 'SC Freiburg', 'clubID': '60', 'value': '€1.00m'}, {'date': 'Jan 21, 2019', 'age': '23', 'clubName': 'FC St. Gallen 1879', 'clubID': '257', 'value': '€2.00m'}, {'date': 'Apr 15, 2019', 'age': '23', 'clubName': 'FC St. Gallen 1879', 'clubID': '257', 'value': '€2.00m'}, {'date': 'Jun 4, 2019', 'age': '23', 'clubName': 'FC St. Gallen 1879', 'clubID': '257', 'value': '€3.00m'}, {'date': 'Jan 6, 2020', 'age': '24', 'clubName': 'BSC Young Boys', 'clubID': '452', 'value': '€3.00m'}, {'date': 'Apr 8, 2020', 'age': '24', 'clubName': 'BSC Young Boys', 'clubID': '452', 'value': '€2.40m'}, {'date': 'Jul 31, 2020', 'age': '24', 'clubName': 'BSC Young Boys', 'clubID': '452', 'value': '€2.40m'}, {'date': 'Dec 28, 2020', 'age': '25', 'clubName': 'BSC Young Boys', 'clubID': '452', 'value': '€2.00m'}, {'date': 'Jun 23, 2021', 'age': '25', 'clubName': 'BSC Young Boys', 'clubID': '452', 'value': '€1.50m'}, {'date': 'Jan 3, 2022', 'age': '26', 'clubName': 'BSC Young Boys', 'clubID': '452', 'value': '€1.50m'}, {'date': 'Jun 8, 2022', 'age': '26', 'clubName': 'BSC Young Boys', 'clubID': '452', 'value': '€1.50m'}, {'date': 'Nov 10, 2022', 'age': '27', 'clubName': 'BSC Young Boys', 'clubID': '452', 'value': '€1.20m'}, {'date': 'Jun 27, 2023', 'age': '27', 'clubName': 'FC Toulouse', 'clubID': '415', 'value': '€1.50m'}, {'date': 'Oct 16, 2023', 'age': '28', 'clubName': 'FC Toulouse', 'clubID': '415', 'value': '€2.00m'}, {'date': 'Dec 18, 2023', 'age': '28', 'clubName': 'FC Toulouse', 'clubID': '415', 'value': '€2.00m'}, {'date': 'Mar 19, 2024', 'age': '28', 'clubName': 'FC Toulouse', 'clubID': '415', 'value': '€3.00m'}, {'date': 'Jun 3, 2024', 'age': '28', 'clubName': 'FC Toulouse', 'clubID': '415', 'value': '€4.00m'}, {'date': 'Dec 10, 2024', 'age': '29', 'clubName': 'FC Toulouse', 'clubID': '415', 'value': '€4.00m'}, {'date': 'Jun 3, 2025', 'age': '29', 'clubName': 'FC Toulouse', 'clubID': '415', 'value': '€4.00m'}, {'date': 'Dec 18, 2025', 'age': '30', 'clubName': 'Al-Shabab FC', 'clubID': '9840', 'value': '€3.80m'}]}</t>
        </is>
      </c>
      <c r="L440" t="inlineStr">
        <is>
          <t>Switzerland</t>
        </is>
      </c>
      <c r="M440" t="inlineStr">
        <is>
          <t>1995-10-08</t>
        </is>
      </c>
      <c r="N440" t="inlineStr">
        <is>
          <t>Switzerland</t>
        </is>
      </c>
      <c r="O440">
        <f>(1.5+1.5+1.2)/3</f>
        <v/>
      </c>
      <c r="P440">
        <f>1.5</f>
        <v/>
      </c>
    </row>
    <row r="441">
      <c r="A441" t="inlineStr">
        <is>
          <t>Andre Almeida</t>
        </is>
      </c>
      <c r="B441" t="inlineStr">
        <is>
          <t>Benfica</t>
        </is>
      </c>
      <c r="C441" t="inlineStr">
        <is>
          <t>Defender</t>
        </is>
      </c>
      <c r="D441" t="n">
        <v>236</v>
      </c>
      <c r="E441" t="n">
        <v>5</v>
      </c>
      <c r="F441" t="n">
        <v>0</v>
      </c>
      <c r="G441" t="n">
        <v>0</v>
      </c>
      <c r="H441" t="n">
        <v>29.6</v>
      </c>
      <c r="I441" t="n">
        <v>30.3</v>
      </c>
      <c r="J441" t="n">
        <v>375382</v>
      </c>
      <c r="K441" t="inlineStr">
        <is>
          <t>{'marketValueHistory': [{'date': '30/09/2016', 'age': '16', 'clubName': 'Vitória Guimarães SC B', 'clubID': '15136', 'value': '€50k'}, {'date': '30/06/2017', 'age': '17', 'clubName': 'Vitória Guimarães SC B', 'clubID': '15136', 'value': '€100k'}, {'date': '08/09/2017', 'age': '17', 'clubName': 'Vitória Guimarães SC B', 'clubID': '15136', 'value': '€100k'}, {'date': '23/02/2018', 'age': '17', 'clubName': 'Vitória Guimarães SC B', 'clubID': '15136', 'value': '€75k'}, {'date': '29/06/2018', 'age': '18', 'clubName': 'Vitória Guimarães SC B', 'clubID': '15136', 'value': '€100k'}, {'date': '12/02/2019', 'age': '18', 'clubName': 'Vitória Guimarães SC B', 'clubID': '15136', 'value': '€300k'}, {'date': '29/06/2019', 'age': '19', 'clubName': 'Vitória Guimarães SC B', 'clubID': '15136', 'value': '€300k'}, {'date': '30/12/2019', 'age': '19', 'clubName': 'Vitória Guimarães SC', 'clubID': '2420', 'value': '€800k'}, {'date': '08/04/2020', 'age': '19', 'clubName': 'Vitória Guimarães SC', 'clubID': '2420', 'value': '€725k'}, {'date': '17/08/2020', 'age': '20', 'clubName': 'Vitória Guimarães SC', 'clubID': '2420', 'value': '€800k'}, {'date': '28/01/2021', 'age': '20', 'clubName': 'Vitória Guimarães SC', 'clubID': '2420', 'value': '€2.00m'}, {'date': '21/05/2021', 'age': '20', 'clubName': 'Vitória Guimarães SC', 'clubID': '2420', 'value': '€3.00m'}, {'date': '27/12/2021', 'age': '21', 'clubName': 'Vitória Guimarães SC', 'clubID': '2420', 'value': '€4.00m'}, {'date': '31/05/2022', 'age': '22', 'clubName': 'Vitória Guimarães SC', 'clubID': '2420', 'value': '€5.00m'}, {'date': '23/09/2022', 'age': '22', 'clubName': 'Valencia CF', 'clubID': '1049', 'value': '€8.00m'}, {'date': '07/11/2022', 'age': '22', 'clubName': 'Valencia CF', 'clubID': '1049', 'value': '€14.00m'}, {'date': '23/03/2023', 'age': '22', 'clubName': 'Valencia CF', 'clubID': '1049', 'value': '€15.00m'}, {'date': '13/06/2023', 'age': '23', 'clubName': 'Valencia CF', 'clubID': '1049', 'value': '€20.00m'}, {'date': '22/12/2023', 'age': '23', 'clubName': 'Valencia CF', 'clubID': '1049', 'value': '€20.00m'}, {'date': '21/03/2024', 'age': '23', 'clubName': 'Valencia CF', 'clubID': '1049', 'value': '€15.00m'}, {'date': '07/06/2024', 'age': '24', 'clubName': 'Valencia CF', 'clubID': '1049', 'value': '€15.00m'}, {'date': '27/12/2024', 'age': '24', 'clubName': 'Valencia CF', 'clubID': '1049', 'value': '€9.00m'}, {'date': '21/03/2025', 'age': '24', 'clubName': 'Valencia CF', 'clubID': '1049', 'value': '€8.00m'}, {'date': '09/06/2025', 'age': '25', 'clubName': 'Valencia CF', 'clubID': '1049', 'value': '€10.00m'}, {'date': '12/12/2025', 'age': '25', 'clubName': 'Valencia CF', 'clubID': '1049', 'value': '€9.00m'}, {'date': '16/03/2026', 'age': '25', 'clubName': 'Valencia CF', 'clubID': '1049', 'value': '€7.50m'}]}</t>
        </is>
      </c>
      <c r="L441" t="inlineStr">
        <is>
          <t>Portugal</t>
        </is>
      </c>
      <c r="M441" t="inlineStr">
        <is>
          <t>2000-05-30</t>
        </is>
      </c>
      <c r="N441" t="inlineStr">
        <is>
          <t>Portugal</t>
        </is>
      </c>
      <c r="O441">
        <f>(5+8+14)/3</f>
        <v/>
      </c>
      <c r="P441">
        <f>(2+3+4)/3</f>
        <v/>
      </c>
    </row>
    <row r="442">
      <c r="A442" t="inlineStr">
        <is>
          <t>Sesko</t>
        </is>
      </c>
      <c r="B442" t="inlineStr">
        <is>
          <t>Salzburg</t>
        </is>
      </c>
      <c r="C442" t="inlineStr">
        <is>
          <t>Forward</t>
        </is>
      </c>
      <c r="D442" t="n">
        <v>234</v>
      </c>
      <c r="E442" t="n">
        <v>6</v>
      </c>
      <c r="F442" t="n">
        <v>0</v>
      </c>
      <c r="G442" t="n">
        <v>0</v>
      </c>
      <c r="H442" t="n">
        <v>32.1</v>
      </c>
      <c r="I442" t="n">
        <v>34.6</v>
      </c>
      <c r="J442" t="n">
        <v>627442</v>
      </c>
      <c r="K442" t="inlineStr">
        <is>
          <t>{'marketValueHistory': [{'date': 'Jul 3, 2019', 'age': '16', 'clubName': 'FC Liefering', 'clubID': '37024', 'value': '€1.25m'}, {'date': 'Dec 3, 2019', 'age': '16', 'clubName': 'FC Liefering', 'clubID': '37024', 'value': '€1.25m'}, {'date': 'Apr 8, 2020', 'age': '16', 'clubName': 'FC Liefering', 'clubID': '37024', 'value': '€1.10m'}, {'date': 'Jul 31, 2020', 'age': '17', 'clubName': 'FC Liefering', 'clubID': '37024', 'value': '€1.10m'}, {'date': 'Dec 19, 2020', 'age': '17', 'clubName': 'FC Liefering', 'clubID': '37024', 'value': '€1.50m'}, {'date': 'Jun 2, 2021', 'age': '18', 'clubName': 'FC Liefering', 'clubID': '37024', 'value': '€5.00m'}, {'date': 'Sep 6, 2021', 'age': '18', 'clubName': 'Red Bull Salzburg', 'clubID': '409', 'value': '€8.00m'}, {'date': 'Dec 16, 2021', 'age': '18', 'clubName': 'Red Bull Salzburg', 'clubID': '409', 'value': '€8.00m'}, {'date': 'May 27, 2022', 'age': '18', 'clubName': 'Red Bull Salzburg', 'clubID': '409', 'value': '€10.00m'}, {'date': 'Sep 20, 2022', 'age': '19', 'clubName': 'Red Bull Salzburg', 'clubID': '409', 'value': '€20.00m'}, {'date': 'Nov 10, 2022', 'age': '19', 'clubName': 'Red Bull Salzburg', 'clubID': '409', 'value': '€20.00m'}, {'date': 'Jun 12, 2023', 'age': '20', 'clubName': 'Red Bull Salzburg', 'clubID': '409', 'value': '€24.00m'}, {'date': 'Oct 18, 2023', 'age': '20', 'clubName': 'RB Leipzig', 'clubID': '23826', 'value': '€30.00m'}, {'date': 'Dec 14, 2023', 'age': '20', 'clubName': 'RB Leipzig', 'clubID': '23826', 'value': '€30.00m'}, {'date': 'Mar 27, 2024', 'age': '20', 'clubName': 'RB Leipzig', 'clubID': '23826', 'value': '€40.00m'}, {'date': 'May 29, 2024', 'age': '20', 'clubName': 'RB Leipzig', 'clubID': '23826', 'value': '€50.00m'}, {'date': 'Dec 20, 2024', 'age': '21', 'clubName': 'RB Leipzig', 'clubID': '23826', 'value': '€50.00m'}, {'date': 'Mar 27, 2025', 'age': '21', 'clubName': 'RB Leipzig', 'clubID': '23826', 'value': '€65.00m'}, {'date': 'Jun 5, 2025', 'age': '22', 'clubName': 'RB Leipzig', 'clubID': '23826', 'value': '€70.00m'}, {'date': 'Dec 9, 2025', 'age': '22', 'clubName': 'Manchester United', 'clubID': '985', 'value': '€60.00m'}, {'date': 'Mar 9, 2026', 'age': '22', 'clubName': 'Manchester United', 'clubID': '985', 'value': '€65.00m'}]}</t>
        </is>
      </c>
      <c r="L442" t="inlineStr">
        <is>
          <t>Slovenia</t>
        </is>
      </c>
      <c r="M442" t="inlineStr">
        <is>
          <t>2003-05-31</t>
        </is>
      </c>
      <c r="N442" t="inlineStr">
        <is>
          <t>45</t>
        </is>
      </c>
      <c r="O442">
        <f>(10+20+20)/3</f>
        <v/>
      </c>
      <c r="P442">
        <f>(5+8+8)/3</f>
        <v/>
      </c>
    </row>
    <row r="443">
      <c r="A443" t="inlineStr">
        <is>
          <t>Tolisso</t>
        </is>
      </c>
      <c r="B443" t="inlineStr">
        <is>
          <t>Bayern</t>
        </is>
      </c>
      <c r="C443" t="inlineStr">
        <is>
          <t>Midfielder</t>
        </is>
      </c>
      <c r="D443" t="n">
        <v>234</v>
      </c>
      <c r="E443" t="n">
        <v>4</v>
      </c>
      <c r="F443" t="n">
        <v>0</v>
      </c>
      <c r="G443" t="n">
        <v>1</v>
      </c>
      <c r="H443" t="n">
        <v>31.3</v>
      </c>
      <c r="I443" t="n">
        <v>31.4</v>
      </c>
      <c r="J443" t="n">
        <v>190393</v>
      </c>
      <c r="K443" t="inlineStr">
        <is>
          <t>{'marketValueHistory': [{'date': 'Aug 7, 2014', 'age': '20', 'clubName': 'Olympique Lyon', 'clubID': '1041', 'value': '€500k'}, {'date': 'Nov 20, 2014', 'age': '20', 'clubName': 'Olympique Lyon', 'clubID': '1041', 'value': '€3.00m'}, {'date': 'Jan 14, 2015', 'age': '20', 'clubName': 'Olympique Lyon', 'clubID': '1041', 'value': '€4.00m'}, {'date': 'Jun 6, 2015', 'age': '20', 'clubName': 'Olympique Lyon', 'clubID': '1041', 'value': '€7.50m'}, {'date': 'Feb 4, 2016', 'age': '21', 'clubName': 'Olympique Lyon', 'clubID': '1041', 'value': '€7.50m'}, {'date': 'Jul 13, 2016', 'age': '21', 'clubName': 'Olympique Lyon', 'clubID': '1041', 'value': '€13.00m'}, {'date': 'Nov 1, 2016', 'age': '22', 'clubName': 'Olympique Lyon', 'clubID': '1041', 'value': '€17.00m'}, {'date': 'Jan 16, 2017', 'age': '22', 'clubName': 'Olympique Lyon', 'clubID': '1041', 'value': '€18.00m'}, {'date': 'Jun 1, 2017', 'age': '22', 'clubName': 'Olympique Lyon', 'clubID': '1041', 'value': '€22.00m'}, {'date': 'Oct 18, 2017', 'age': '23', 'clubName': 'Bayern Munich', 'clubID': '27', 'value': '€35.00m'}, {'date': 'Dec 28, 2017', 'age': '23', 'clubName': 'Bayern Munich', 'clubID': '27', 'value': '€40.00m'}, {'date': 'Jun 5, 2018', 'age': '23', 'clubName': 'Bayern Munich', 'clubID': '27', 'value': '€40.00m'}, {'date': 'Jul 16, 2018', 'age': '23', 'clubName': 'Bayern Munich', 'clubID': '27', 'value': '€45.00m'}, {'date': 'Dec 18, 2018', 'age': '24', 'clubName': 'Bayern Munich', 'clubID': '27', 'value': '€45.00m'}, {'date': 'Jun 5, 2019', 'age': '24', 'clubName': 'Bayern Munich', 'clubID': '27', 'value': '€40.00m'}, {'date': 'Dec 17, 2019', 'age': '25', 'clubName': 'Bayern Munich', 'clubID': '27', 'value': '€40.00m'}, {'date': 'Mar 11, 2020', 'age': '25', 'clubName': 'Bayern Munich', 'clubID': '27', 'value': '€32.00m'}, {'date': 'Apr 8, 2020', 'age': '25', 'clubName': 'Bayern Munich', 'clubID': '27', 'value': '€25.50m'}, {'date': 'Feb 10, 2021', 'age': '26', 'clubName': 'Bayern Munich', 'clubID': '27', 'value': '€25.00m'}, {'date': 'Mar 31, 2021', 'age': '26', 'clubName': 'Bayern Munich', 'clubID': '27', 'value': '€20.00m'}, {'date': 'Jun 1, 2021', 'age': '26', 'clubName': 'Bayern Munich', 'clubID': '27', 'value': '€20.00m'}, {'date': 'Oct 7, 2021', 'age': '27', 'clubName': 'Bayern Munich', 'clubID': '27', 'value': '€15.00m'}, {'date': 'Dec 22, 2021', 'age': '27', 'clubName': 'Bayern Munich', 'clubID': '27', 'value': '€15.00m'}, {'date': 'Jun 9, 2022', 'age': '27', 'clubName': 'Bayern Munich', 'clubID': '27', 'value': '€15.00m'}, {'date': 'Nov 2, 2022', 'age': '28', 'clubName': 'Olympique Lyon', 'clubID': '1041', 'value': '€14.00m'}, {'date': 'Jun 27, 2023', 'age': '28', 'clubName': 'Olympique Lyon', 'clubID': '1041', 'value': '€14.00m'}, {'date': 'Oct 16, 2023', 'age': '29', 'clubName': 'Olympique Lyon', 'clubID': '1041', 'value': '€8.00m'}, {'date': 'Dec 18, 2023', 'age': '29', 'clubName': 'Olympique Lyon', 'clubID': '1041', 'value': '€5.00m'}, {'date': 'Jun 3, 2024', 'age': '29', 'clubName': 'Olympique Lyon', 'clubID': '1041', 'value': '€5.00m'}, {'date': 'Dec 10, 2024', 'age': '30', 'clubName': 'Olympique Lyon', 'clubID': '1041', 'value': '€7.00m'}, {'date': 'Mar 24, 2025', 'age': '30', 'clubName': 'Olympique Lyon', 'clubID': '1041', 'value': '€10.00m'}, {'date': 'Jun 3, 2025', 'age': '30', 'clubName': 'Olympique Lyon', 'clubID': '1041', 'value': '€12.00m'}, {'date': 'Dec 15, 2025', 'age': '31', 'clubName': 'Olympique Lyon', 'clubID': '1041', 'value': '€12.00m'}]}</t>
        </is>
      </c>
      <c r="L443" t="inlineStr">
        <is>
          <t>France</t>
        </is>
      </c>
      <c r="M443" t="inlineStr">
        <is>
          <t>1994-08-03</t>
        </is>
      </c>
      <c r="N443" t="inlineStr">
        <is>
          <t>France</t>
        </is>
      </c>
      <c r="O443">
        <f>(15+14)/2</f>
        <v/>
      </c>
      <c r="P443">
        <f>(25+20+20+15+15)/5</f>
        <v/>
      </c>
    </row>
    <row r="444">
      <c r="A444" t="inlineStr">
        <is>
          <t>Dalot</t>
        </is>
      </c>
      <c r="B444" t="inlineStr">
        <is>
          <t>Man United</t>
        </is>
      </c>
      <c r="C444" t="inlineStr">
        <is>
          <t>Defender</t>
        </is>
      </c>
      <c r="D444" t="n">
        <v>233</v>
      </c>
      <c r="E444" t="n">
        <v>3</v>
      </c>
      <c r="F444" t="n">
        <v>0</v>
      </c>
      <c r="G444" t="n">
        <v>0</v>
      </c>
      <c r="H444" t="n">
        <v>21</v>
      </c>
      <c r="I444" t="n">
        <v>34.9</v>
      </c>
      <c r="J444" t="n">
        <v>357147</v>
      </c>
      <c r="K444" t="inlineStr">
        <is>
          <t>{'marketValueHistory': [{'date': 'Sep 30, 2016', 'age': '17', 'clubName': 'FC Porto U19', 'clubID': '9844', 'value': '€50k'}, {'date': 'Jun 30, 2017', 'age': '18', 'clubName': 'FC Porto B', 'clubID': '10331', 'value': '€350k'}, {'date': 'Sep 8, 2017', 'age': '18', 'clubName': 'FC Porto B', 'clubID': '10331', 'value': '€600k'}, {'date': 'Feb 23, 2018', 'age': '18', 'clubName': 'FC Porto', 'clubID': '720', 'value': '€1.75m'}, {'date': 'Apr 16, 2018', 'age': '19', 'clubName': 'FC Porto', 'clubID': '720', 'value': '€7.00m'}, {'date': 'Jun 13, 2018', 'age': '19', 'clubName': 'FC Porto', 'clubID': '720', 'value': '€15.00m'}, {'date': 'Dec 19, 2018', 'age': '19', 'clubName': 'Manchester United', 'clubID': '985', 'value': '€15.00m'}, {'date': 'Jun 13, 2019', 'age': '20', 'clubName': 'Manchester United', 'clubID': '985', 'value': '€20.00m'}, {'date': 'Dec 10, 2019', 'age': '20', 'clubName': 'Manchester United', 'clubID': '985', 'value': '€20.00m'}, {'date': 'Apr 8, 2020', 'age': '21', 'clubName': 'Manchester United', 'clubID': '985', 'value': '€18.00m'}, {'date': 'Jul 30, 2020', 'age': '21', 'clubName': 'Manchester United', 'clubID': '985', 'value': '€12.00m'}, {'date': 'Dec 29, 2020', 'age': '21', 'clubName': 'AC Milan', 'clubID': '5', 'value': '€12.00m'}, {'date': 'Mar 23, 2021', 'age': '22', 'clubName': 'AC Milan', 'clubID': '5', 'value': '€10.00m'}, {'date': 'Jun 3, 2021', 'age': '22', 'clubName': 'AC Milan', 'clubID': '5', 'value': '€10.00m'}, {'date': 'Dec 23, 2021', 'age': '22', 'clubName': 'Manchester United', 'clubID': '985', 'value': '€12.00m'}, {'date': 'Mar 29, 2022', 'age': '23', 'clubName': 'Manchester United', 'clubID': '985', 'value': '€18.00m'}, {'date': 'Jun 15, 2022', 'age': '23', 'clubName': 'Manchester United', 'clubID': '985', 'value': '€20.00m'}, {'date': 'Sep 15, 2022', 'age': '23', 'clubName': 'Manchester United', 'clubID': '985', 'value': '€28.00m'}, {'date': 'Nov 3, 2022', 'age': '23', 'clubName': 'Manchester United', 'clubID': '985', 'value': '€32.00m'}, {'date': 'Mar 16, 2023', 'age': '23', 'clubName': 'Manchester United', 'clubID': '985', 'value': '€35.00m'}, {'date': 'Jun 20, 2023', 'age': '24', 'clubName': 'Manchester United', 'clubID': '985', 'value': '€40.00m'}, {'date': 'Dec 19, 2023', 'age': '24', 'clubName': 'Manchester United', 'clubID': '985', 'value': '€35.00m'}, {'date': 'May 27, 2024', 'age': '25', 'clubName': 'Manchester United', 'clubID': '985', 'value': '€35.00m'}, {'date': 'Oct 1, 2024', 'age': '25', 'clubName': 'Manchester United', 'clubID': '985', 'value': '€40.00m'}, {'date': 'Dec 16, 2024', 'age': '25', 'clubName': 'Manchester United', 'clubID': '985', 'value': '€40.00m'}, {'date': 'Mar 18, 2025', 'age': '26', 'clubName': 'Manchester United', 'clubID': '985', 'value': '€35.00m'}, {'date': 'May 30, 2025', 'age': '26', 'clubName': 'Manchester United', 'clubID': '985', 'value': '€30.00m'}, {'date': 'Oct 17, 2025', 'age': '26', 'clubName': 'Manchester United', 'clubID': '985', 'value': '€28.00m'}, {'date': 'Dec 9, 2025', 'age': '26', 'clubName': 'Manchester United', 'clubID': '985', 'value': '€28.00m'}, {'date': 'Mar 9, 2026', 'age': '26', 'clubName': 'Manchester United', 'clubID': '985', 'value': '€30.00m'}]}</t>
        </is>
      </c>
      <c r="L444" t="inlineStr">
        <is>
          <t>Portugal</t>
        </is>
      </c>
      <c r="M444" t="inlineStr">
        <is>
          <t>1999-03-18</t>
        </is>
      </c>
      <c r="N444" t="inlineStr">
        <is>
          <t>Portugal</t>
        </is>
      </c>
      <c r="O444">
        <f>(18+20+28+32)/4</f>
        <v/>
      </c>
      <c r="P444">
        <f>(10+10+12)/3</f>
        <v/>
      </c>
    </row>
    <row r="445">
      <c r="A445" t="inlineStr">
        <is>
          <t>Klaassen</t>
        </is>
      </c>
      <c r="B445" t="inlineStr">
        <is>
          <t>Ajax</t>
        </is>
      </c>
      <c r="C445" t="inlineStr">
        <is>
          <t>Midfielder</t>
        </is>
      </c>
      <c r="D445" t="n">
        <v>232</v>
      </c>
      <c r="E445" t="n">
        <v>7</v>
      </c>
      <c r="F445" t="n">
        <v>1</v>
      </c>
      <c r="G445" t="n">
        <v>1</v>
      </c>
      <c r="H445" t="n">
        <v>33.6</v>
      </c>
      <c r="I445" t="n">
        <v>31</v>
      </c>
      <c r="J445" t="n">
        <v>182932</v>
      </c>
      <c r="K445" t="inlineStr">
        <is>
          <t>{'marketValueHistory': [{'date': '28/11/2011', 'age': '18', 'clubName': 'Ajax Amsterdam U19', 'clubID': '41580', 'value': '€100k'}, {'date': '05/01/2012', 'age': '18', 'clubName': 'Ajax Amsterdam U19', 'clubID': '41580', 'value': '€750k'}, {'date': '28/05/2013', 'age': '20', 'clubName': 'Ajax Amsterdam', 'clubID': '610', 'value': '€750k'}, {'date': '11/02/2014', 'age': '20', 'clubName': 'Ajax Amsterdam', 'clubID': '610', 'value': '€3.50m'}, {'date': '11/08/2014', 'age': '21', 'clubName': 'Ajax Amsterdam', 'clubID': '610', 'value': '€4.50m'}, {'date': '16/02/2015', 'age': '21', 'clubName': 'Ajax Amsterdam', 'clubID': '610', 'value': '€7.50m'}, {'date': '01/07/2015', 'age': '22', 'clubName': 'Ajax Amsterdam', 'clubID': '610', 'value': '€8.50m'}, {'date': '05/02/2016', 'age': '22', 'clubName': 'Ajax Amsterdam', 'clubID': '610', 'value': '€10.00m'}, {'date': '08/04/2016', 'age': '23', 'clubName': 'Ajax Amsterdam', 'clubID': '610', 'value': '€15.00m'}, {'date': '15/07/2016', 'age': '23', 'clubName': 'Ajax Amsterdam', 'clubID': '610', 'value': '€15.00m'}, {'date': '18/01/2017', 'age': '23', 'clubName': 'Ajax Amsterdam', 'clubID': '610', 'value': '€15.00m'}, {'date': '07/06/2017', 'age': '24', 'clubName': 'Ajax Amsterdam', 'clubID': '610', 'value': '€18.00m'}, {'date': '02/01/2018', 'age': '24', 'clubName': 'Everton FC', 'clubID': '29', 'value': '€18.00m'}, {'date': '28/05/2018', 'age': '25', 'clubName': 'Everton FC', 'clubID': '29', 'value': '€15.00m'}, {'date': '22/10/2018', 'age': '25', 'clubName': 'SV Werder Bremen', 'clubID': '86', 'value': '€17.00m'}, {'date': '18/12/2018', 'age': '25', 'clubName': 'SV Werder Bremen', 'clubID': '86', 'value': '€20.00m'}, {'date': '05/06/2019', 'age': '26', 'clubName': 'SV Werder Bremen', 'clubID': '86', 'value': '€22.00m'}, {'date': '17/12/2019', 'age': '26', 'clubName': 'SV Werder Bremen', 'clubID': '86', 'value': '€22.00m'}, {'date': '11/03/2020', 'age': '27', 'clubName': 'SV Werder Bremen', 'clubID': '86', 'value': '€15.00m'}, {'date': '08/04/2020', 'age': '27', 'clubName': 'SV Werder Bremen', 'clubID': '86', 'value': '€12.00m'}, {'date': '14/10/2020', 'age': '27', 'clubName': 'Ajax Amsterdam', 'clubID': '610', 'value': '€12.00m'}, {'date': '09/03/2021', 'age': '28', 'clubName': 'Ajax Amsterdam', 'clubID': '610', 'value': '€14.00m'}, {'date': '27/05/2021', 'age': '28', 'clubName': 'Ajax Amsterdam', 'clubID': '610', 'value': '€17.00m'}, {'date': '05/01/2022', 'age': '28', 'clubName': 'Ajax Amsterdam', 'clubID': '610', 'value': '€15.00m'}, {'date': '08/06/2022', 'age': '29', 'clubName': 'Ajax Amsterdam', 'clubID': '610', 'value': '€14.00m'}, {'date': '14/09/2022', 'age': '29', 'clubName': 'Ajax Amsterdam', 'clubID': '610', 'value': '€12.00m'}, {'date': '11/11/2022', 'age': '29', 'clubName': 'Ajax Amsterdam', 'clubID': '610', 'value': '€12.00m'}, {'date': '23/06/2023', 'age': '30', 'clubName': 'Ajax Amsterdam', 'clubID': '610', 'value': '€10.00m'}, {'date': '20/12/2023', 'age': '30', 'clubName': 'Inter Milan', 'clubID': '46', 'value': '€5.00m'}, {'date': '05/06/2024', 'age': '31', 'clubName': 'Inter Milan', 'clubID': '46', 'value': '€4.00m'}, {'date': '17/12/2024', 'age': '31', 'clubName': 'Ajax Amsterdam', 'clubID': '610', 'value': '€4.00m'}, {'date': '28/05/2025', 'age': '32', 'clubName': 'Ajax Amsterdam', 'clubID': '610', 'value': '€3.50m'}, {'date': '02/12/2025', 'age': '32', 'clubName': 'Ajax Amsterdam', 'clubID': '610', 'value': '€2.50m'}]}</t>
        </is>
      </c>
      <c r="L445" t="inlineStr">
        <is>
          <t>Netherlands</t>
        </is>
      </c>
      <c r="M445" t="inlineStr">
        <is>
          <t>1993-02-21</t>
        </is>
      </c>
      <c r="N445" t="inlineStr">
        <is>
          <t>Netherlands</t>
        </is>
      </c>
      <c r="O445">
        <f>(15+14+12+12)/4</f>
        <v/>
      </c>
      <c r="P445">
        <f>(14+17)/2</f>
        <v/>
      </c>
    </row>
    <row r="446">
      <c r="A446" t="inlineStr">
        <is>
          <t>Adamu</t>
        </is>
      </c>
      <c r="B446" t="inlineStr">
        <is>
          <t>Salzburg</t>
        </is>
      </c>
      <c r="C446" t="inlineStr">
        <is>
          <t>Forward</t>
        </is>
      </c>
      <c r="D446" t="n">
        <v>231</v>
      </c>
      <c r="E446" t="n">
        <v>8</v>
      </c>
      <c r="F446" t="n">
        <v>1</v>
      </c>
      <c r="G446" t="n">
        <v>0</v>
      </c>
      <c r="H446" t="n">
        <v>32.6</v>
      </c>
      <c r="I446" t="n">
        <v>32.1</v>
      </c>
      <c r="J446" t="n">
        <v>452477</v>
      </c>
      <c r="K446" t="inlineStr">
        <is>
          <t>{'id': '452477', 'marketValue': '€5.00m', 'marketValueHistory': [{'age': '17', 'date': 'Feb 1, 2019', 'clubName': 'FC Liefering', 'value': '€100k', 'clubID': '37024'}, {'age': '17', 'date': 'Apr 15, 2019', 'clubName': 'FC Liefering', 'value': '€250k', 'clubID': '37024'}, {'age': '17', 'date': 'Jun 1, 2019', 'clubName': 'FC Liefering', 'value': '€400k', 'clubID': '37024'}, {'age': '18', 'date': 'Dec 3, 2019', 'clubName': 'FC Liefering', 'value': '€1.00m', 'clubID': '37024'}, {'age': '18', 'date': 'Apr 8, 2020', 'clubName': 'FC Liefering', 'value': '€900k', 'clubID': '37024'}, {'age': '19', 'date': 'Jul 31, 2020', 'clubName': 'FC Liefering', 'value': '€1.50m', 'clubID': '37024'}, {'age': '19', 'date': 'Dec 21, 2020', 'clubName': 'Red Bull Salzburg', 'value': '€2.00m', 'clubID': '409'}, {'age': '20', 'date': 'Jun 23, 2021', 'clubName': 'FC St. Gallen 1879', 'value': '€2.00m', 'clubID': '257'}, {'age': '20', 'date': 'Sep 6, 2021', 'clubName': 'Red Bull Salzburg', 'value': '€3.00m', 'clubID': '409'}, {'age': '20', 'date': 'Dec 16, 2021', 'clubName': 'Red Bull Salzburg', 'value': '€4.00m', 'clubID': '409'}, {'age': '20', 'date': 'Mar 11, 2022', 'clubName': 'Red Bull Salzburg', 'value': '€6.00m', 'clubID': '409'}, {'age': '20', 'date': 'May 27, 2022', 'clubName': 'Red Bull Salzburg', 'value': '€6.00m', 'clubID': '409'}, {'age': '21', 'date': 'Nov 10, 2022', 'clubName': 'Red Bull Salzburg', 'value': '€8.00m', 'clubID': '409'}, {'age': '22', 'date': 'Jun 12, 2023', 'clubName': 'Red Bull Salzburg', 'value': '€8.00m', 'clubID': '409'}, {'age': '22', 'date': 'Dec 14, 2023', 'clubName': 'SC Freiburg', 'value': '€8.00m', 'clubID': '60'}, {'age': '22', 'date': 'Mar 27, 2024', 'clubName': 'SC Freiburg', 'value': '€5.00m', 'clubID': '60'}], 'ranking': {'Worldwide': '1.821', 'Bundesliga': '205', 'SC Freiburg': '14', 'Austria': '21', 'Centre-Forward': '263', 'Year 2001': '156'}, 'updatedAt': datetime.datetime(2024, 5, 23, 22, 28, 40, 309558)}</t>
        </is>
      </c>
      <c r="L446" t="inlineStr">
        <is>
          <t>Austria</t>
        </is>
      </c>
      <c r="M446" t="inlineStr">
        <is>
          <t>2001-06-06</t>
        </is>
      </c>
      <c r="N446" t="inlineStr">
        <is>
          <t>Austria</t>
        </is>
      </c>
      <c r="O446">
        <f>(6+6+8)/3</f>
        <v/>
      </c>
      <c r="P446">
        <f>(2+3+4)/3</f>
        <v/>
      </c>
    </row>
    <row r="447">
      <c r="A447" t="inlineStr">
        <is>
          <t>Dest</t>
        </is>
      </c>
      <c r="B447" t="inlineStr">
        <is>
          <t>Barcelona</t>
        </is>
      </c>
      <c r="C447" t="inlineStr">
        <is>
          <t>Defender</t>
        </is>
      </c>
      <c r="D447" t="n">
        <v>230</v>
      </c>
      <c r="E447" t="n">
        <v>4</v>
      </c>
      <c r="F447" t="n">
        <v>0</v>
      </c>
      <c r="G447" t="n">
        <v>0</v>
      </c>
      <c r="H447" t="n">
        <v>30.2</v>
      </c>
      <c r="I447" t="n">
        <v>32</v>
      </c>
      <c r="J447" t="n">
        <v>556385</v>
      </c>
      <c r="K447" t="inlineStr">
        <is>
          <t>{'marketValueHistory': [{'date': '29/10/2020', 'age': '17', 'clubName': 'Hellas Verona', 'clubID': '276', 'value': '€600k'}, {'date': '29/12/2020', 'age': '18', 'clubName': 'Hellas Verona', 'clubID': '276', 'value': '€1.00m'}, {'date': '03/06/2021', 'age': '18', 'clubName': 'Hellas Verona', 'clubID': '276', 'value': '€1.00m'}, {'date': '14/10/2021', 'age': '18', 'clubName': 'Udinese Calcio', 'clubID': '410', 'value': '€4.00m'}, {'date': '28/12/2021', 'age': '19', 'clubName': 'Udinese Calcio', 'clubID': '410', 'value': '€7.00m'}, {'date': '15/03/2022', 'age': '19', 'clubName': 'Udinese Calcio', 'clubID': '410', 'value': '€9.00m'}, {'date': '07/06/2022', 'age': '19', 'clubName': 'Udinese Calcio', 'clubID': '410', 'value': '€17.00m'}, {'date': '27/09/2022', 'age': '19', 'clubName': 'Tottenham Hotspur', 'clubID': '148', 'value': '€20.00m'}, {'date': '11/11/2022', 'age': '19', 'clubName': 'Tottenham Hotspur', 'clubID': '148', 'value': '€22.00m'}, {'date': '15/06/2023', 'age': '20', 'clubName': 'Tottenham Hotspur', 'clubID': '148', 'value': '€25.00m'}, {'date': '09/10/2023', 'age': '20', 'clubName': 'Tottenham Hotspur', 'clubID': '148', 'value': '€38.00m'}, {'date': '19/12/2023', 'age': '21', 'clubName': 'Tottenham Hotspur', 'clubID': '148', 'value': '€40.00m'}, {'date': '14/03/2024', 'age': '21', 'clubName': 'Tottenham Hotspur', 'clubID': '148', 'value': '€45.00m'}, {'date': '27/05/2024', 'age': '21', 'clubName': 'Tottenham Hotspur', 'clubID': '148', 'value': '€45.00m'}, {'date': '16/12/2024', 'age': '22', 'clubName': 'Tottenham Hotspur', 'clubID': '148', 'value': '€45.00m'}, {'date': '30/05/2025', 'age': '22', 'clubName': 'Tottenham Hotspur', 'clubID': '148', 'value': '€40.00m'}, {'date': '09/12/2025', 'age': '23', 'clubName': 'Tottenham Hotspur', 'clubID': '148', 'value': '€40.00m'}, {'date': '09/03/2026', 'age': '23', 'clubName': 'Tottenham Hotspur', 'clubID': '148', 'value': '€35.00m'}]}</t>
        </is>
      </c>
      <c r="L447" t="inlineStr">
        <is>
          <t>Italy</t>
        </is>
      </c>
      <c r="M447" t="inlineStr">
        <is>
          <t>2002-11-28</t>
        </is>
      </c>
      <c r="N447" t="inlineStr">
        <is>
          <t>Italy</t>
        </is>
      </c>
      <c r="O447">
        <f>(9+17+20+22)/4</f>
        <v/>
      </c>
      <c r="P447">
        <f>(1+4+7)/3</f>
        <v/>
      </c>
    </row>
    <row r="448">
      <c r="A448" t="inlineStr">
        <is>
          <t>Suso</t>
        </is>
      </c>
      <c r="B448" t="inlineStr">
        <is>
          <t>Sevilla</t>
        </is>
      </c>
      <c r="C448" t="inlineStr">
        <is>
          <t>Forward</t>
        </is>
      </c>
      <c r="D448" t="n">
        <v>228</v>
      </c>
      <c r="E448" t="n">
        <v>4</v>
      </c>
      <c r="F448" t="n">
        <v>0</v>
      </c>
      <c r="G448" t="n">
        <v>0</v>
      </c>
      <c r="H448" t="n">
        <v>25.2</v>
      </c>
      <c r="I448" t="n">
        <v>30.9</v>
      </c>
      <c r="J448" t="n">
        <v>111961</v>
      </c>
      <c r="K448" t="inlineStr">
        <is>
          <t>{'marketValueHistory': [{'date': 'Nov 6, 2012', 'age': '18', 'clubName': 'Liverpool FC', 'clubID': '31', 'value': '€1.50m'}, {'date': 'Jan 28, 2013', 'age': '19', 'clubName': 'Liverpool FC', 'clubID': '31', 'value': '€3.00m'}, {'date': 'Jul 2, 2013', 'age': '19', 'clubName': 'Liverpool FC', 'clubID': '31', 'value': '€5.00m'}, {'date': 'Jul 25, 2013', 'age': '19', 'clubName': 'UD Almería', 'clubID': '3302', 'value': '€5.00m'}, {'date': 'Jan 24, 2014', 'age': '20', 'clubName': 'UD Almería', 'clubID': '3302', 'value': '€5.00m'}, {'date': 'Aug 12, 2014', 'age': '20', 'clubName': 'Liverpool FC', 'clubID': '31', 'value': '€6.00m'}, {'date': 'Feb 12, 2015', 'age': '21', 'clubName': 'AC Milan', 'clubID': '5', 'value': '€5.50m'}, {'date': 'Jul 1, 2015', 'age': '21', 'clubName': 'AC Milan', 'clubID': '5', 'value': '€5.00m'}, {'date': 'Nov 5, 2015', 'age': '21', 'clubName': 'AC Milan', 'clubID': '5', 'value': '€4.00m'}, {'date': 'Jan 4, 2016', 'age': '22', 'clubName': 'Genoa CFC', 'clubID': '252', 'value': '€3.30m'}, {'date': 'Jul 15, 2016', 'age': '22', 'clubName': 'AC Milan', 'clubID': '5', 'value': '€5.50m'}, {'date': 'Oct 14, 2016', 'age': '22', 'clubName': 'AC Milan', 'clubID': '5', 'value': '€7.00m'}, {'date': 'Jan 2, 2017', 'age': '23', 'clubName': 'AC Milan', 'clubID': '5', 'value': '€13.00m'}, {'date': 'Jun 8, 2017', 'age': '23', 'clubName': 'AC Milan', 'clubID': '5', 'value': '€15.00m'}, {'date': 'Oct 13, 2017', 'age': '23', 'clubName': 'AC Milan', 'clubID': '5', 'value': '€20.00m'}, {'date': 'Dec 29, 2017', 'age': '24', 'clubName': 'AC Milan', 'clubID': '5', 'value': '€25.00m'}, {'date': 'Mar 24, 2018', 'age': '24', 'clubName': 'AC Milan', 'clubID': '5', 'value': '€35.00m'}, {'date': 'Jun 7, 2018', 'age': '24', 'clubName': 'AC Milan', 'clubID': '5', 'value': '€35.00m'}, {'date': 'Oct 12, 2018', 'age': '24', 'clubName': 'AC Milan', 'clubID': '5', 'value': '€40.00m'}, {'date': 'Dec 20, 2018', 'age': '25', 'clubName': 'AC Milan', 'clubID': '5', 'value': '€50.00m'}, {'date': 'Mar 1, 2019', 'age': '25', 'clubName': 'AC Milan', 'clubID': '5', 'value': '€45.00m'}, {'date': 'Jun 6, 2019', 'age': '25', 'clubName': 'AC Milan', 'clubID': '5', 'value': '€40.00m'}, {'date': 'Oct 8, 2019', 'age': '25', 'clubName': 'AC Milan', 'clubID': '5', 'value': '€33.00m'}, {'date': 'Dec 12, 2019', 'age': '26', 'clubName': 'AC Milan', 'clubID': '5', 'value': '€30.00m'}, {'date': 'Feb 11, 2020', 'age': '26', 'clubName': 'Sevilla FC', 'clubID': '368', 'value': '€22.00m'}, {'date': 'Apr 8, 2020', 'age': '26', 'clubName': 'Sevilla FC', 'clubID': '368', 'value': '€17.50m'}, {'date': 'Oct 8, 2020', 'age': '26', 'clubName': 'Sevilla FC', 'clubID': '368', 'value': '€20.00m'}, {'date': 'Jan 5, 2021', 'age': '27', 'clubName': 'Sevilla FC', 'clubID': '368', 'value': '€17.00m'}, {'date': 'Jun 10, 2021', 'age': '27', 'clubName': 'Sevilla FC', 'clubID': '368', 'value': '€20.00m'}, {'date': 'Oct 13, 2021', 'age': '27', 'clubName': 'Sevilla FC', 'clubID': '368', 'value': '€18.00m'}, {'date': 'Dec 30, 2021', 'age': '28', 'clubName': 'Sevilla FC', 'clubID': '368', 'value': '€16.00m'}, {'date': 'Jun 3, 2022', 'age': '28', 'clubName': 'Sevilla FC', 'clubID': '368', 'value': '€10.00m'}, {'date': 'Nov 7, 2022', 'age': '28', 'clubName': 'Sevilla FC', 'clubID': '368', 'value': '€7.00m'}, {'date': 'Jun 13, 2023', 'age': '29', 'clubName': 'Sevilla FC', 'clubID': '368', 'value': '€6.00m'}, {'date': 'Dec 22, 2023', 'age': '30', 'clubName': 'Sevilla FC', 'clubID': '368', 'value': '€5.00m'}, {'date': 'Jun 7, 2024', 'age': '30', 'clubName': 'Sevilla FC', 'clubID': '368', 'value': '€4.00m'}, {'date': 'Oct 11, 2024', 'age': '30', 'clubName': 'Sevilla FC', 'clubID': '368', 'value': '€3.00m'}, {'date': 'Dec 27, 2024', 'age': '31', 'clubName': 'Sevilla FC', 'clubID': '368', 'value': '€2.50m'}, {'date': 'Jun 9, 2025', 'age': '31', 'clubName': 'Sevilla FC', 'clubID': '368', 'value': '€1.50m'}, {'date': 'Dec 30, 2025', 'age': '32', 'clubName': 'Cádiz CF', 'clubID': '2687', 'value': '€1.20m'}, {'date': 'Mar 18, 2026', 'age': '32', 'clubName': 'Cádiz CF', 'clubID': '2687', 'value': '€700k'}]}</t>
        </is>
      </c>
      <c r="L448" t="inlineStr">
        <is>
          <t>Spain</t>
        </is>
      </c>
      <c r="M448" t="inlineStr">
        <is>
          <t>1993-11-19</t>
        </is>
      </c>
      <c r="N448" t="inlineStr">
        <is>
          <t>5</t>
        </is>
      </c>
      <c r="O448">
        <f>(10+7)/2</f>
        <v/>
      </c>
      <c r="P448">
        <f>(17+20+18+16)/4</f>
        <v/>
      </c>
    </row>
    <row r="449">
      <c r="A449" t="inlineStr">
        <is>
          <t>Herrera</t>
        </is>
      </c>
      <c r="B449" t="inlineStr">
        <is>
          <t>Atletico de Madrid</t>
        </is>
      </c>
      <c r="C449" t="inlineStr">
        <is>
          <t>Midfielder</t>
        </is>
      </c>
      <c r="D449" t="n">
        <v>226</v>
      </c>
      <c r="E449" t="n">
        <v>4</v>
      </c>
      <c r="F449" t="n">
        <v>0</v>
      </c>
      <c r="G449" t="n">
        <v>0</v>
      </c>
      <c r="H449" t="n">
        <v>30.1</v>
      </c>
      <c r="I449" t="n">
        <v>29.8</v>
      </c>
      <c r="J449" t="n">
        <v>99343</v>
      </c>
      <c r="K449" t="inlineStr">
        <is>
          <t>{'marketValueHistory': [{'date': '20/04/2009', 'age': '19', 'clubName': 'Real Zaragoza', 'clubID': '142', 'value': '€1.00m'}, {'date': '22/07/2009', 'age': '19', 'clubName': 'Real Zaragoza', 'clubID': '142', 'value': '€3.00m'}, {'date': '02/12/2009', 'age': '20', 'clubName': 'Real Zaragoza', 'clubID': '142', 'value': '€3.00m'}, {'date': '11/04/2010', 'age': '20', 'clubName': 'Real Zaragoza', 'clubID': '142', 'value': '€6.00m'}, {'date': '20/08/2010', 'age': '21', 'clubName': 'Real Zaragoza', 'clubID': '142', 'value': '€10.00m'}, {'date': '10/12/2010', 'age': '21', 'clubName': 'Real Zaragoza', 'clubID': '142', 'value': '€8.00m'}, {'date': '08/02/2011', 'age': '21', 'clubName': 'Real Zaragoza', 'clubID': '142', 'value': '€7.50m'}, {'date': '29/07/2011', 'age': '21', 'clubName': 'Athletic Bilbao', 'clubID': '621', 'value': '€7.50m'}, {'date': '03/02/2012', 'age': '22', 'clubName': 'Athletic Bilbao', 'clubID': '621', 'value': '€8.00m'}, {'date': '07/08/2012', 'age': '22', 'clubName': 'Athletic Bilbao', 'clubID': '621', 'value': '€8.00m'}, {'date': '17/08/2012', 'age': '23', 'clubName': 'Athletic Bilbao', 'clubID': '621', 'value': '€10.00m'}, {'date': '11/01/2013', 'age': '23', 'clubName': 'Athletic Bilbao', 'clubID': '621', 'value': '€8.00m'}, {'date': '12/06/2013', 'age': '23', 'clubName': 'Athletic Bilbao', 'clubID': '621', 'value': '€8.00m'}, {'date': '17/09/2013', 'age': '24', 'clubName': 'Athletic Bilbao', 'clubID': '621', 'value': '€20.00m'}, {'date': '23/01/2014', 'age': '24', 'clubName': 'Athletic Bilbao', 'clubID': '621', 'value': '€20.00m'}, {'date': '12/08/2014', 'age': '24', 'clubName': 'Manchester United', 'clubID': '985', 'value': '€27.00m'}, {'date': '12/02/2015', 'age': '25', 'clubName': 'Manchester United', 'clubID': '985', 'value': '€25.00m'}, {'date': '01/07/2015', 'age': '25', 'clubName': 'Manchester United', 'clubID': '985', 'value': '€28.00m'}, {'date': '09/02/2016', 'age': '26', 'clubName': 'Manchester United', 'clubID': '985', 'value': '€28.00m'}, {'date': '01/08/2016', 'age': '26', 'clubName': 'Manchester United', 'clubID': '985', 'value': '€28.00m'}, {'date': '20/02/2017', 'age': '27', 'clubName': 'Manchester United', 'clubID': '985', 'value': '€28.00m'}, {'date': '28/06/2017', 'age': '27', 'clubName': 'Manchester United', 'clubID': '985', 'value': '€30.00m'}, {'date': '02/01/2018', 'age': '28', 'clubName': 'Manchester United', 'clubID': '985', 'value': '€30.00m'}, {'date': '28/05/2018', 'age': '28', 'clubName': 'Manchester United', 'clubID': '985', 'value': '€30.00m'}, {'date': '19/12/2018', 'age': '29', 'clubName': 'Manchester United', 'clubID': '985', 'value': '€28.00m'}, {'date': '13/06/2019', 'age': '29', 'clubName': 'Manchester United', 'clubID': '985', 'value': '€25.00m'}, {'date': '19/12/2019', 'age': '30', 'clubName': 'Paris Saint-Germain', 'clubID': '583', 'value': '€20.00m'}, {'date': '08/04/2020', 'age': '30', 'clubName': 'Paris Saint-Germain', 'clubID': '583', 'value': '€16.00m'}, {'date': '15/10/2020', 'age': '31', 'clubName': 'Paris Saint-Germain', 'clubID': '583', 'value': '€15.00m'}, {'date': '04/06/2021', 'age': '31', 'clubName': 'Paris Saint-Germain', 'clubID': '583', 'value': '€13.00m'}, {'date': '16/12/2021', 'age': '32', 'clubName': 'Paris Saint-Germain', 'clubID': '583', 'value': '€12.00m'}, {'date': '30/05/2022', 'age': '32', 'clubName': 'Paris Saint-Germain', 'clubID': '583', 'value': '€10.00m'}, {'date': '23/09/2022', 'age': '33', 'clubName': 'Athletic Bilbao', 'clubID': '621', 'value': '€8.00m'}, {'date': '07/11/2022', 'age': '33', 'clubName': 'Athletic Bilbao', 'clubID': '621', 'value': '€4.00m'}, {'date': '23/03/2023', 'age': '33', 'clubName': 'Athletic Bilbao', 'clubID': '621', 'value': '€3.00m'}, {'date': '13/06/2023', 'age': '33', 'clubName': 'Athletic Bilbao', 'clubID': '621', 'value': '€2.50m'}, {'date': '22/12/2023', 'age': '34', 'clubName': 'Athletic Bilbao', 'clubID': '621', 'value': '€2.50m'}, {'date': '07/06/2024', 'age': '34', 'clubName': 'Athletic Bilbao', 'clubID': '621', 'value': '€2.00m'}, {'date': '27/12/2024', 'age': '35', 'clubName': 'Athletic Bilbao', 'clubID': '621', 'value': '€1.50m'}, {'date': '02/04/2025', 'age': '35', 'clubName': 'CA Boca Juniors', 'clubID': '189', 'value': '€1.20m'}, {'date': '02/06/2025', 'age': '35', 'clubName': 'CA Boca Juniors', 'clubID': '189', 'value': '€800k'}, {'date': '24/09/2025', 'age': '36', 'clubName': 'CA Boca Juniors', 'clubID': '189', 'value': '€500k'}, {'date': '17/12/2025', 'age': '36', 'clubName': 'CA Boca Juniors', 'clubID': '189', 'value': '€500k'}]}</t>
        </is>
      </c>
      <c r="L449" t="inlineStr">
        <is>
          <t>Spain</t>
        </is>
      </c>
      <c r="M449" t="inlineStr">
        <is>
          <t>1989-08-14</t>
        </is>
      </c>
      <c r="N449" t="inlineStr">
        <is>
          <t>Spain</t>
        </is>
      </c>
      <c r="O449">
        <f>(10+8+4)/3</f>
        <v/>
      </c>
      <c r="P449">
        <f>(13+12)/2</f>
        <v/>
      </c>
    </row>
    <row r="450">
      <c r="A450" t="inlineStr">
        <is>
          <t>Stepanenko</t>
        </is>
      </c>
      <c r="B450" t="inlineStr">
        <is>
          <t>Shakhtar Donetsk</t>
        </is>
      </c>
      <c r="C450" t="inlineStr">
        <is>
          <t>Midfielder</t>
        </is>
      </c>
      <c r="D450" t="n">
        <v>225</v>
      </c>
      <c r="E450" t="n">
        <v>4</v>
      </c>
      <c r="F450" t="n">
        <v>0</v>
      </c>
      <c r="G450" t="n">
        <v>0</v>
      </c>
      <c r="H450" t="n">
        <v>30.6</v>
      </c>
      <c r="I450" t="n">
        <v>31</v>
      </c>
      <c r="J450" t="n">
        <v>59970</v>
      </c>
      <c r="K450" t="inlineStr">
        <is>
          <t>{'marketValueHistory': [{'date': '11/12/2007', 'age': '18', 'clubName': 'Metalurg Zaporizhya', 'clubID': '6994', 'value': '€800k'}, {'date': '09/10/2008', 'age': '19', 'clubName': 'Metalurg Zaporizhya', 'clubID': '6994', 'value': '€1.00m'}, {'date': '02/12/2008', 'age': '19', 'clubName': 'Metalurg Zaporizhya', 'clubID': '6994', 'value': '€2.00m'}, {'date': '18/03/2009', 'age': '19', 'clubName': 'Metalurg Zaporizhya', 'clubID': '6994', 'value': '€2.00m'}, {'date': '21/09/2009', 'age': '20', 'clubName': 'Metalurg Zaporizhya', 'clubID': '6994', 'value': '€2.00m'}, {'date': '17/02/2010', 'age': '20', 'clubName': 'Metalurg Zaporizhya', 'clubID': '6994', 'value': '€1.60m'}, {'date': '28/08/2010', 'age': '21', 'clubName': 'Shakhtar Donetsk', 'clubID': '660', 'value': '€2.50m'}, {'date': '02/01/2011', 'age': '21', 'clubName': 'Shakhtar Donetsk', 'clubID': '660', 'value': '€3.50m'}, {'date': '05/01/2012', 'age': '22', 'clubName': 'Shakhtar Donetsk', 'clubID': '660', 'value': '€3.00m'}, {'date': '02/01/2014', 'age': '24', 'clubName': 'Shakhtar Donetsk', 'clubID': '660', 'value': '€4.50m'}, {'date': '30/06/2014', 'age': '24', 'clubName': 'Shakhtar Donetsk', 'clubID': '660', 'value': '€4.50m'}, {'date': '25/12/2014', 'age': '25', 'clubName': 'Shakhtar Donetsk', 'clubID': '660', 'value': '€5.50m'}, {'date': '07/06/2015', 'age': '25', 'clubName': 'Shakhtar Donetsk', 'clubID': '660', 'value': '€8.00m'}, {'date': '18/12/2015', 'age': '26', 'clubName': 'Shakhtar Donetsk', 'clubID': '660', 'value': '€8.00m'}, {'date': '01/06/2016', 'age': '26', 'clubName': 'Shakhtar Donetsk', 'clubID': '660', 'value': '€8.00m'}, {'date': '21/07/2016', 'age': '26', 'clubName': 'Shakhtar Donetsk', 'clubID': '660', 'value': '€8.00m'}, {'date': '03/01/2017', 'age': '27', 'clubName': 'Shakhtar Donetsk', 'clubID': '660', 'value': '€8.00m'}, {'date': '26/06/2017', 'age': '27', 'clubName': 'Shakhtar Donetsk', 'clubID': '660', 'value': '€8.50m'}, {'date': '12/01/2018', 'age': '28', 'clubName': 'Shakhtar Donetsk', 'clubID': '660', 'value': '€9.00m'}, {'date': '06/08/2018', 'age': '28', 'clubName': 'Shakhtar Donetsk', 'clubID': '660', 'value': '€10.00m'}, {'date': '10/12/2018', 'age': '29', 'clubName': 'Shakhtar Donetsk', 'clubID': '660', 'value': '€10.00m'}, {'date': '20/06/2019', 'age': '29', 'clubName': 'Shakhtar Donetsk', 'clubID': '660', 'value': '€10.00m'}, {'date': '08/01/2020', 'age': '30', 'clubName': 'Shakhtar Donetsk', 'clubID': '660', 'value': '€10.00m'}, {'date': '08/04/2020', 'age': '30', 'clubName': 'Shakhtar Donetsk', 'clubID': '660', 'value': '€8.00m'}, {'date': '04/09/2020', 'age': '31', 'clubName': 'Shakhtar Donetsk', 'clubID': '660', 'value': '€8.00m'}, {'date': '14/01/2021', 'age': '31', 'clubName': 'Shakhtar Donetsk', 'clubID': '660', 'value': '€8.00m'}, {'date': '27/05/2021', 'age': '31', 'clubName': 'Shakhtar Donetsk', 'clubID': '660', 'value': '€7.50m'}, {'date': '20/12/2021', 'age': '32', 'clubName': 'Shakhtar Donetsk', 'clubID': '660', 'value': '€6.00m'}, {'date': '18/05/2022', 'age': '32', 'clubName': 'Shakhtar Donetsk', 'clubID': '660', 'value': '€6.00m'}, {'date': '06/12/2022', 'age': '33', 'clubName': 'Shakhtar Donetsk', 'clubID': '660', 'value': '€5.00m'}, {'date': '21/06/2023', 'age': '33', 'clubName': 'Shakhtar Donetsk', 'clubID': '660', 'value': '€4.00m'}, {'date': '11/12/2023', 'age': '34', 'clubName': 'Shakhtar Donetsk', 'clubID': '660', 'value': '€3.00m'}, {'date': '06/06/2024', 'age': '34', 'clubName': 'Shakhtar Donetsk', 'clubID': '660', 'value': '€2.50m'}, {'date': '17/12/2024', 'age': '35', 'clubName': 'Shakhtar Donetsk', 'clubID': '660', 'value': '€1.50m'}, {'date': '20/03/2025', 'age': '35', 'clubName': 'Eyüpspor', 'clubID': '7160', 'value': '€1.10m'}, {'date': '18/06/2025', 'age': '35', 'clubName': 'Eyüpspor', 'clubID': '7160', 'value': '€850k'}, {'date': '01/10/2025', 'age': '36', 'clubName': 'Eyüpspor', 'clubID': '7160', 'value': '€700k'}, {'date': '17/12/2025', 'age': '36', 'clubName': 'Eyüpspor', 'clubID': '7160', 'value': '€500k'}]}</t>
        </is>
      </c>
      <c r="L450" t="inlineStr">
        <is>
          <t>Ukraine</t>
        </is>
      </c>
      <c r="M450" t="inlineStr">
        <is>
          <t>1989-08-08</t>
        </is>
      </c>
      <c r="N450" t="inlineStr">
        <is>
          <t>Ukraine</t>
        </is>
      </c>
      <c r="O450">
        <f>(6+5)/2</f>
        <v/>
      </c>
      <c r="P450">
        <f>(8+7.5+6)/3</f>
        <v/>
      </c>
    </row>
    <row r="451">
      <c r="A451" t="inlineStr">
        <is>
          <t>Diawara</t>
        </is>
      </c>
      <c r="B451" t="inlineStr">
        <is>
          <t>Malmo</t>
        </is>
      </c>
      <c r="C451" t="inlineStr">
        <is>
          <t>Goalkeeper</t>
        </is>
      </c>
      <c r="D451" t="n">
        <v>225</v>
      </c>
      <c r="E451" t="n">
        <v>3</v>
      </c>
      <c r="F451" t="n">
        <v>0</v>
      </c>
      <c r="G451" t="n">
        <v>0</v>
      </c>
      <c r="H451" t="n">
        <v>11.1</v>
      </c>
      <c r="I451" t="n">
        <v>26.5</v>
      </c>
      <c r="J451" t="n">
        <v>355501</v>
      </c>
      <c r="K451" t="inlineStr">
        <is>
          <t>{'marketValueHistory': [{'date': '22/06/2015', 'age': '17', 'clubName': 'San Marino', 'clubID': '10155', 'value': '€400k'}, {'date': '05/11/2015', 'age': '18', 'clubName': 'Bologna FC 1909', 'clubID': '1025', 'value': '€4.50m'}, {'date': '04/01/2016', 'age': '18', 'clubName': 'Bologna FC 1909', 'clubID': '1025', 'value': '€4.50m'}, {'date': '01/04/2016', 'age': '18', 'clubName': 'Bologna FC 1909', 'clubID': '1025', 'value': '€9.00m'}, {'date': '15/07/2016', 'age': '18', 'clubName': 'Bologna FC 1909', 'clubID': '1025', 'value': '€11.00m'}, {'date': '02/01/2017', 'age': '19', 'clubName': 'SSC Napoli', 'clubID': '6195', 'value': '€15.00m'}, {'date': '08/06/2017', 'age': '19', 'clubName': 'SSC Napoli', 'clubID': '6195', 'value': '€15.00m'}, {'date': '29/12/2017', 'age': '20', 'clubName': 'SSC Napoli', 'clubID': '6195', 'value': '€20.00m'}, {'date': '07/06/2018', 'age': '20', 'clubName': 'SSC Napoli', 'clubID': '6195', 'value': '€18.00m'}, {'date': '20/12/2018', 'age': '21', 'clubName': 'SSC Napoli', 'clubID': '6195', 'value': '€16.00m'}, {'date': '06/06/2019', 'age': '21', 'clubName': 'SSC Napoli', 'clubID': '6195', 'value': '€15.00m'}, {'date': '12/12/2019', 'age': '22', 'clubName': 'AS Roma', 'clubID': '12', 'value': '€20.00m'}, {'date': '03/03/2020', 'age': '22', 'clubName': 'AS Roma', 'clubID': '12', 'value': '€23.00m'}, {'date': '08/04/2020', 'age': '22', 'clubName': 'AS Roma', 'clubID': '12', 'value': '€18.50m'}, {'date': '25/08/2020', 'age': '23', 'clubName': 'AS Roma', 'clubID': '12', 'value': '€20.00m'}, {'date': '29/12/2020', 'age': '23', 'clubName': 'AS Roma', 'clubID': '12', 'value': '€18.00m'}, {'date': '23/03/2021', 'age': '23', 'clubName': 'AS Roma', 'clubID': '12', 'value': '€15.00m'}, {'date': '03/06/2021', 'age': '23', 'clubName': 'AS Roma', 'clubID': '12', 'value': '€14.00m'}, {'date': '28/12/2021', 'age': '24', 'clubName': 'AS Roma', 'clubID': '12', 'value': '€10.00m'}, {'date': '15/03/2022', 'age': '24', 'clubName': 'AS Roma', 'clubID': '12', 'value': '€8.00m'}, {'date': '07/06/2022', 'age': '24', 'clubName': 'AS Roma', 'clubID': '12', 'value': '€6.00m'}, {'date': '04/11/2022', 'age': '25', 'clubName': 'RSC Anderlecht', 'clubID': '58', 'value': '€4.00m'}, {'date': '22/03/2023', 'age': '25', 'clubName': 'RSC Anderlecht', 'clubID': '58', 'value': '€2.50m'}, {'date': '09/06/2023', 'age': '25', 'clubName': 'RSC Anderlecht', 'clubID': '58', 'value': '€2.20m'}, {'date': '19/12/2023', 'age': '26', 'clubName': 'RSC Anderlecht', 'clubID': '58', 'value': '€1.80m'}, {'date': '04/06/2024', 'age': '26', 'clubName': 'RSC Anderlecht', 'clubID': '58', 'value': '€1.50m'}, {'date': '02/10/2024', 'age': '27', 'clubName': 'RSC Anderlecht', 'clubID': '58', 'value': '€1.00m'}, {'date': '11/12/2024', 'age': '27', 'clubName': 'RSC Anderlecht', 'clubID': '58', 'value': '€700k'}, {'date': '24/06/2025', 'age': '27', 'clubName': 'CD Eldense', 'clubID': '12567', 'value': '€700k'}, {'date': '30/12/2025', 'age': '28', 'clubName': 'CD Leganés', 'clubID': '1244', 'value': '€700k'}]}</t>
        </is>
      </c>
      <c r="L451" t="inlineStr">
        <is>
          <t>Guinea</t>
        </is>
      </c>
      <c r="M451" t="inlineStr">
        <is>
          <t>1998-02-01</t>
        </is>
      </c>
      <c r="N451" t="inlineStr">
        <is>
          <t>Guinea</t>
        </is>
      </c>
      <c r="O451">
        <f>(8+6+4)/3</f>
        <v/>
      </c>
      <c r="P451">
        <f>(15+14+10)/3</f>
        <v/>
      </c>
    </row>
    <row r="452">
      <c r="A452" t="inlineStr">
        <is>
          <t>Moi Gomez</t>
        </is>
      </c>
      <c r="B452" t="inlineStr">
        <is>
          <t>Villarreal</t>
        </is>
      </c>
      <c r="C452" t="inlineStr">
        <is>
          <t>Midfielder</t>
        </is>
      </c>
      <c r="D452" t="n">
        <v>222</v>
      </c>
      <c r="E452" t="n">
        <v>6</v>
      </c>
      <c r="F452" t="n">
        <v>0</v>
      </c>
      <c r="G452" t="n">
        <v>1</v>
      </c>
      <c r="H452" t="n">
        <v>32</v>
      </c>
      <c r="I452" t="n">
        <v>31.8</v>
      </c>
      <c r="J452" t="n">
        <v>175449</v>
      </c>
      <c r="K452" t="inlineStr">
        <is>
          <t>{'marketValueHistory': [{'date': 'Apr 30, 2012', 'age': '17', 'clubName': 'Villarreal CF B', 'clubID': '11972', 'value': '€500k'}, {'date': 'Aug 8, 2012', 'age': '18', 'clubName': 'Villarreal CF', 'clubID': '1050', 'value': '€1.00m'}, {'date': 'Jan 22, 2013', 'age': '18', 'clubName': 'Villarreal CF', 'clubID': '1050', 'value': '€1.00m'}, {'date': 'May 10, 2013', 'age': '18', 'clubName': 'Villarreal CF', 'clubID': '1050', 'value': '€1.50m'}, {'date': 'Jan 23, 2014', 'age': '19', 'clubName': 'Villarreal CF', 'clubID': '1050', 'value': '€2.00m'}, {'date': 'Jul 20, 2014', 'age': '20', 'clubName': 'Villarreal CF', 'clubID': '1050', 'value': '€3.00m'}, {'date': 'Jan 23, 2015', 'age': '20', 'clubName': 'Villarreal CF', 'clubID': '1050', 'value': '€5.00m'}, {'date': 'Jul 1, 2015', 'age': '21', 'clubName': 'Villarreal CF', 'clubID': '1050', 'value': '€5.00m'}, {'date': 'Jul 16, 2015', 'age': '21', 'clubName': 'Getafe CF', 'clubID': '3709', 'value': '€5.00m'}, {'date': 'Feb 22, 2016', 'age': '21', 'clubName': 'Getafe CF', 'clubID': '3709', 'value': '€3.50m'}, {'date': 'Apr 7, 2016', 'age': '21', 'clubName': 'Getafe CF', 'clubID': '3709', 'value': '€3.00m'}, {'date': 'Jul 15, 2016', 'age': '22', 'clubName': 'Sporting Gijón', 'clubID': '2448', 'value': '€2.50m'}, {'date': 'Jan 24, 2017', 'age': '22', 'clubName': 'Sporting Gijón', 'clubID': '2448', 'value': '€3.00m'}, {'date': 'Jun 5, 2017', 'age': '22', 'clubName': 'Sporting Gijón', 'clubID': '2448', 'value': '€3.00m'}, {'date': 'Aug 17, 2017', 'age': '23', 'clubName': 'Sporting Gijón', 'clubID': '2448', 'value': '€2.50m'}, {'date': 'Jan 1, 2018', 'age': '23', 'clubName': 'Sporting Gijón', 'clubID': '2448', 'value': '€2.00m'}, {'date': 'May 30, 2018', 'age': '23', 'clubName': 'SD Huesca', 'clubID': '5358', 'value': '€2.00m'}, {'date': 'Dec 21, 2018', 'age': '24', 'clubName': 'SD Huesca', 'clubID': '5358', 'value': '€4.00m'}, {'date': 'Feb 28, 2019', 'age': '24', 'clubName': 'SD Huesca', 'clubID': '5358', 'value': '€5.00m'}, {'date': 'Jun 11, 2019', 'age': '24', 'clubName': 'SD Huesca', 'clubID': '5358', 'value': '€5.00m'}, {'date': 'Dec 20, 2019', 'age': '25', 'clubName': 'Villarreal CF', 'clubID': '1050', 'value': '€6.00m'}, {'date': 'Apr 8, 2020', 'age': '25', 'clubName': 'Villarreal CF', 'clubID': '1050', 'value': '€4.80m'}, {'date': 'Jul 23, 2020', 'age': '26', 'clubName': 'Villarreal CF', 'clubID': '1050', 'value': '€9.00m'}, {'date': 'Oct 8, 2020', 'age': '26', 'clubName': 'Villarreal CF', 'clubID': '1050', 'value': '€9.00m'}, {'date': 'Jan 5, 2021', 'age': '26', 'clubName': 'Villarreal CF', 'clubID': '1050', 'value': '€8.00m'}, {'date': 'Jun 10, 2021', 'age': '26', 'clubName': 'Villarreal CF', 'clubID': '1050', 'value': '€8.00m'}, {'date': 'Dec 30, 2021', 'age': '27', 'clubName': 'Villarreal CF', 'clubID': '1050', 'value': '€8.00m'}, {'date': 'Jun 3, 2022', 'age': '27', 'clubName': 'Villarreal CF', 'clubID': '1050', 'value': '€8.00m'}, {'date': 'Nov 7, 2022', 'age': '28', 'clubName': 'CA Osasuna', 'clubID': '331', 'value': '€8.00m'}, {'date': 'Mar 23, 2023', 'age': '28', 'clubName': 'CA Osasuna', 'clubID': '331', 'value': '€10.00m'}, {'date': 'Jun 13, 2023', 'age': '28', 'clubName': 'CA Osasuna', 'clubID': '331', 'value': '€10.00m'}, {'date': 'Oct 13, 2023', 'age': '29', 'clubName': 'CA Osasuna', 'clubID': '331', 'value': '€5.00m'}, {'date': 'Dec 22, 2023', 'age': '29', 'clubName': 'CA Osasuna', 'clubID': '331', 'value': '€5.00m'}, {'date': 'Jun 7, 2024', 'age': '29', 'clubName': 'CA Osasuna', 'clubID': '331', 'value': '€3.50m'}, {'date': 'Dec 27, 2024', 'age': '30', 'clubName': 'CA Osasuna', 'clubID': '331', 'value': '€3.00m'}, {'date': 'Jun 9, 2025', 'age': '30', 'clubName': 'CA Osasuna', 'clubID': '331', 'value': '€2.00m'}, {'date': 'Dec 12, 2025', 'age': '31', 'clubName': 'CA Osasuna', 'clubID': '331', 'value': '€1.80m'}]}</t>
        </is>
      </c>
      <c r="L452" t="inlineStr">
        <is>
          <t>Spain</t>
        </is>
      </c>
      <c r="M452" t="inlineStr">
        <is>
          <t>1994-06-23</t>
        </is>
      </c>
      <c r="N452" t="inlineStr">
        <is>
          <t>Spain</t>
        </is>
      </c>
      <c r="O452">
        <f>(8+8)/2</f>
        <v/>
      </c>
      <c r="P452">
        <f>(8+8+8)/3</f>
        <v/>
      </c>
    </row>
    <row r="453">
      <c r="A453" t="inlineStr">
        <is>
          <t>Rieks</t>
        </is>
      </c>
      <c r="B453" t="inlineStr">
        <is>
          <t>Malmo</t>
        </is>
      </c>
      <c r="C453" t="inlineStr">
        <is>
          <t>Midfielder</t>
        </is>
      </c>
      <c r="D453" t="n">
        <v>222</v>
      </c>
      <c r="E453" t="n">
        <v>3</v>
      </c>
      <c r="F453" t="n">
        <v>1</v>
      </c>
      <c r="G453" t="n">
        <v>0</v>
      </c>
      <c r="H453" t="n">
        <v>27.8</v>
      </c>
      <c r="I453" t="n">
        <v>34.2</v>
      </c>
      <c r="J453" t="n">
        <v>44471</v>
      </c>
      <c r="K453" t="inlineStr">
        <is>
          <t>{'marketValueHistory': [{'date': '01/01/2008', 'age': '20', 'clubName': 'Esbjerg fB', 'clubID': '3426', 'value': '€50k'}, {'date': '21/02/2008', 'age': '20', 'clubName': 'Esbjerg fB', 'clubID': '3426', 'value': '€300k'}, {'date': '09/06/2008', 'age': '21', 'clubName': 'Esbjerg fB', 'clubID': '3426', 'value': '€600k'}, {'date': '29/07/2008', 'age': '21', 'clubName': 'Esbjerg fB', 'clubID': '3426', 'value': '€800k'}, {'date': '16/12/2008', 'age': '21', 'clubName': 'Esbjerg fB', 'clubID': '3426', 'value': '€1.00m'}, {'date': '08/06/2009', 'age': '22', 'clubName': 'Esbjerg fB', 'clubID': '3426', 'value': '€1.20m'}, {'date': '14/10/2009', 'age': '22', 'clubName': 'Esbjerg fB', 'clubID': '3426', 'value': '€1.50m'}, {'date': '08/12/2009', 'age': '22', 'clubName': 'Esbjerg fB', 'clubID': '3426', 'value': '€2.00m'}, {'date': '31/05/2010', 'age': '23', 'clubName': 'Esbjerg fB', 'clubID': '3426', 'value': '€2.00m'}, {'date': '09/08/2010', 'age': '23', 'clubName': 'Esbjerg fB', 'clubID': '3426', 'value': '€1.50m'}, {'date': '07/12/2010', 'age': '23', 'clubName': 'Esbjerg fB', 'clubID': '3426', 'value': '€1.50m'}, {'date': '30/06/2011', 'age': '24', 'clubName': 'Esbjerg fB', 'clubID': '3426', 'value': '€1.25m'}, {'date': '21/07/2012', 'age': '25', 'clubName': 'Esbjerg fB', 'clubID': '3426', 'value': '€1.25m'}, {'date': '14/01/2013', 'age': '25', 'clubName': 'NEC Nijmegen', 'clubID': '467', 'value': '€1.50m'}, {'date': '18/06/2013', 'age': '26', 'clubName': 'NEC Nijmegen', 'clubID': '467', 'value': '€1.25m'}, {'date': '11/02/2014', 'age': '26', 'clubName': 'NEC Nijmegen', 'clubID': '467', 'value': '€1.25m'}, {'date': '11/04/2015', 'age': '28', 'clubName': 'IFK Göteborg', 'clubID': '801', 'value': '€1.25m'}, {'date': '14/06/2015', 'age': '28', 'clubName': 'IFK Göteborg', 'clubID': '801', 'value': '€1.30m'}, {'date': '29/11/2015', 'age': '28', 'clubName': 'IFK Göteborg', 'clubID': '801', 'value': '€1.50m'}, {'date': '17/06/2016', 'age': '29', 'clubName': 'IFK Göteborg', 'clubID': '801', 'value': '€1.50m'}, {'date': '11/12/2016', 'age': '29', 'clubName': 'IFK Göteborg', 'clubID': '801', 'value': '€1.40m'}, {'date': '20/06/2017', 'age': '30', 'clubName': 'IFK Göteborg', 'clubID': '801', 'value': '€1.25m'}, {'date': '17/11/2017', 'age': '30', 'clubName': 'IFK Göteborg', 'clubID': '801', 'value': '€1.10m'}, {'date': '20/06/2018', 'age': '31', 'clubName': 'Malmö FF', 'clubID': '496', 'value': '€1.00m'}, {'date': '16/01/2019', 'age': '31', 'clubName': 'Malmö FF', 'clubID': '496', 'value': '€1.20m'}, {'date': '28/06/2019', 'age': '32', 'clubName': 'Malmö FF', 'clubID': '496', 'value': '€1.30m'}, {'date': '20/11/2019', 'age': '32', 'clubName': 'Malmö FF', 'clubID': '496', 'value': '€1.20m'}, {'date': '08/04/2020', 'age': '33', 'clubName': 'Malmö FF', 'clubID': '496', 'value': '€950k'}, {'date': '05/08/2020', 'age': '33', 'clubName': 'Malmö FF', 'clubID': '496', 'value': '€1.00m'}, {'date': '10/12/2020', 'age': '33', 'clubName': 'Malmö FF', 'clubID': '496', 'value': '€700k'}, {'date': '09/06/2021', 'age': '34', 'clubName': 'Malmö FF', 'clubID': '496', 'value': '€500k'}, {'date': '17/12/2021', 'age': '34', 'clubName': 'Malmö FF', 'clubID': '496', 'value': '€400k'}, {'date': '24/06/2022', 'age': '35', 'clubName': 'Malmö FF', 'clubID': '496', 'value': '€300k'}, {'date': '02/09/2022', 'age': '35', 'clubName': 'Malmö FF', 'clubID': '496', 'value': '€200k'}, {'date': '14/12/2022', 'age': '35', 'clubName': 'Malmö FF', 'clubID': '496', 'value': '€200k'}, {'date': '27/06/2023', 'age': '36', 'clubName': 'Malmö FF', 'clubID': '496', 'value': '€200k'}, {'date': '08/12/2023', 'age': '36', 'clubName': 'Malmö FF', 'clubID': '496', 'value': '€200k'}, {'date': '13/06/2024', 'age': '37', 'clubName': 'Malmö FF', 'clubID': '496', 'value': '€200k'}, {'date': '20/12/2024', 'age': '37', 'clubName': 'Malmö FF', 'clubID': '496', 'value': '€150k'}, {'date': '01/01/2025', 'age': '37', 'clubName': 'Malmö FF', 'clubID': '496', 'value': '-'}]}</t>
        </is>
      </c>
      <c r="L453" t="inlineStr">
        <is>
          <t>Kingdom of Denmark</t>
        </is>
      </c>
      <c r="M453" t="inlineStr">
        <is>
          <t>1987-04-07</t>
        </is>
      </c>
      <c r="N453" t="inlineStr">
        <is>
          <t>Denmark</t>
        </is>
      </c>
      <c r="O453">
        <f>(0.3+0.2+0.2)/3</f>
        <v/>
      </c>
      <c r="P453">
        <f>(0.5+0.4)/2</f>
        <v/>
      </c>
    </row>
    <row r="454">
      <c r="A454" t="inlineStr">
        <is>
          <t>Pasalic</t>
        </is>
      </c>
      <c r="B454" t="inlineStr">
        <is>
          <t>Atalanta</t>
        </is>
      </c>
      <c r="C454" t="inlineStr">
        <is>
          <t>Midfielder</t>
        </is>
      </c>
      <c r="D454" t="n">
        <v>220</v>
      </c>
      <c r="E454" t="n">
        <v>5</v>
      </c>
      <c r="F454" t="n">
        <v>1</v>
      </c>
      <c r="G454" t="n">
        <v>1</v>
      </c>
      <c r="H454" t="n">
        <v>30</v>
      </c>
      <c r="I454" t="n">
        <v>32.1</v>
      </c>
      <c r="J454" t="n">
        <v>205938</v>
      </c>
      <c r="K454" t="inlineStr">
        <is>
          <t>{'marketValueHistory': [{'date': 'Oct 8, 2013', 'age': '18', 'clubName': 'HNK Hajduk Split', 'clubID': '447', 'value': '€1.00m'}, {'date': 'Mar 11, 2014', 'age': '19', 'clubName': 'HNK Hajduk Split', 'clubID': '447', 'value': '€3.00m'}, {'date': 'Jul 31, 2014', 'age': '19', 'clubName': 'Elche CF', 'clubID': '1531', 'value': '€3.00m'}, {'date': 'Jan 23, 2015', 'age': '19', 'clubName': 'Elche CF', 'clubID': '1531', 'value': '€3.00m'}, {'date': 'Jul 1, 2015', 'age': '20', 'clubName': 'Chelsea FC', 'clubID': '631', 'value': '€4.00m'}, {'date': 'Feb 4, 2016', 'age': '20', 'clubName': 'AS Monaco', 'clubID': '162', 'value': '€5.00m'}, {'date': 'Aug 1, 2016', 'age': '21', 'clubName': 'Chelsea FC', 'clubID': '631', 'value': '€4.50m'}, {'date': 'Jan 2, 2017', 'age': '21', 'clubName': 'AC Milan', 'clubID': '5', 'value': '€5.00m'}, {'date': 'Mar 28, 2017', 'age': '22', 'clubName': 'AC Milan', 'clubID': '5', 'value': '€6.50m'}, {'date': 'Jun 8, 2017', 'age': '22', 'clubName': 'AC Milan', 'clubID': '5', 'value': '€8.00m'}, {'date': 'Dec 23, 2017', 'age': '22', 'clubName': 'Spartak Moscow', 'clubID': '232', 'value': '€8.00m'}, {'date': 'Jun 6, 2018', 'age': '23', 'clubName': 'Spartak Moscow', 'clubID': '232', 'value': '€8.00m'}, {'date': 'Dec 20, 2018', 'age': '23', 'clubName': 'Atalanta BC', 'clubID': '800', 'value': '€7.00m'}, {'date': 'Jun 6, 2019', 'age': '24', 'clubName': 'Atalanta BC', 'clubID': '800', 'value': '€10.00m'}, {'date': 'Dec 12, 2019', 'age': '24', 'clubName': 'Atalanta BC', 'clubID': '800', 'value': '€14.00m'}, {'date': 'Mar 3, 2020', 'age': '25', 'clubName': 'Atalanta BC', 'clubID': '800', 'value': '€20.00m'}, {'date': 'Apr 8, 2020', 'age': '25', 'clubName': 'Atalanta BC', 'clubID': '800', 'value': '€16.00m'}, {'date': 'Aug 25, 2020', 'age': '25', 'clubName': 'Atalanta BC', 'clubID': '800', 'value': '€25.00m'}, {'date': 'Dec 29, 2020', 'age': '25', 'clubName': 'Atalanta BC', 'clubID': '800', 'value': '€25.00m'}, {'date': 'May 28, 2021', 'age': '26', 'clubName': 'Atalanta BC', 'clubID': '800', 'value': '€23.00m'}, {'date': 'Dec 28, 2021', 'age': '26', 'clubName': 'Atalanta BC', 'clubID': '800', 'value': '€28.00m'}, {'date': 'Jun 7, 2022', 'age': '27', 'clubName': 'Atalanta BC', 'clubID': '800', 'value': '€28.00m'}, {'date': 'Nov 11, 2022', 'age': '27', 'clubName': 'Atalanta BC', 'clubID': '800', 'value': '€25.00m'}, {'date': 'Jun 15, 2023', 'age': '28', 'clubName': 'Atalanta BC', 'clubID': '800', 'value': '€20.00m'}, {'date': 'Oct 11, 2023', 'age': '28', 'clubName': 'Atalanta BC', 'clubID': '800', 'value': '€17.00m'}, {'date': 'Dec 20, 2023', 'age': '28', 'clubName': 'Atalanta BC', 'clubID': '800', 'value': '€13.00m'}, {'date': 'Jun 5, 2024', 'age': '29', 'clubName': 'Atalanta BC', 'clubID': '800', 'value': '€13.00m'}, {'date': 'Dec 18, 2024', 'age': '29', 'clubName': 'Atalanta BC', 'clubID': '800', 'value': '€13.00m'}, {'date': 'Jun 17, 2025', 'age': '30', 'clubName': 'Atalanta BC', 'clubID': '800', 'value': '€10.00m'}, {'date': 'Dec 23, 2025', 'age': '30', 'clubName': 'Atalanta BC', 'clubID': '800', 'value': '€7.00m'}]}</t>
        </is>
      </c>
      <c r="L454" t="inlineStr">
        <is>
          <t>Croatia</t>
        </is>
      </c>
      <c r="M454" t="inlineStr">
        <is>
          <t>1995-02-09</t>
        </is>
      </c>
      <c r="N454" t="inlineStr">
        <is>
          <t>Croatia</t>
        </is>
      </c>
      <c r="O454">
        <f>(28+25)/2</f>
        <v/>
      </c>
      <c r="P454">
        <f>(23+28)/2</f>
        <v/>
      </c>
    </row>
    <row r="455">
      <c r="A455" t="inlineStr">
        <is>
          <t>Trippier</t>
        </is>
      </c>
      <c r="B455" t="inlineStr">
        <is>
          <t>Atletico de Madrid</t>
        </is>
      </c>
      <c r="C455" t="inlineStr">
        <is>
          <t>Defender</t>
        </is>
      </c>
      <c r="D455" t="n">
        <v>220</v>
      </c>
      <c r="E455" t="n">
        <v>3</v>
      </c>
      <c r="F455" t="n">
        <v>0</v>
      </c>
      <c r="G455" t="n">
        <v>0</v>
      </c>
      <c r="H455" t="n">
        <v>27</v>
      </c>
      <c r="I455" t="n">
        <v>30.8</v>
      </c>
      <c r="J455" t="n">
        <v>95810</v>
      </c>
      <c r="K455" t="inlineStr">
        <is>
          <t>{'marketValueHistory': [{'date': '15/03/2010', 'age': '19', 'clubName': 'Manchester City Reserves', 'clubID': '9265', 'value': '€50k'}, {'date': '24/10/2010', 'age': '20', 'clubName': 'Barnsley FC', 'clubID': '349', 'value': '€250k'}, {'date': '07/02/2012', 'age': '21', 'clubName': 'Burnley FC', 'clubID': '1132', 'value': '€750k'}, {'date': '22/06/2012', 'age': '21', 'clubName': 'Burnley FC', 'clubID': '1132', 'value': '€1.25m'}, {'date': '02/03/2013', 'age': '22', 'clubName': 'Burnley FC', 'clubID': '1132', 'value': '€1.75m'}, {'date': '12/07/2013', 'age': '22', 'clubName': 'Burnley FC', 'clubID': '1132', 'value': '€2.00m'}, {'date': '08/01/2014', 'age': '23', 'clubName': 'Burnley FC', 'clubID': '1132', 'value': '€2.10m'}, {'date': '10/08/2014', 'age': '23', 'clubName': 'Burnley FC', 'clubID': '1132', 'value': '€3.00m'}, {'date': '12/02/2015', 'age': '24', 'clubName': 'Burnley FC', 'clubID': '1132', 'value': '€3.50m'}, {'date': '01/07/2015', 'age': '24', 'clubName': 'Tottenham Hotspur', 'clubID': '148', 'value': '€6.00m'}, {'date': '09/02/2016', 'age': '25', 'clubName': 'Tottenham Hotspur', 'clubID': '148', 'value': '€6.00m'}, {'date': '01/08/2016', 'age': '25', 'clubName': 'Tottenham Hotspur', 'clubID': '148', 'value': '€6.00m'}, {'date': '20/02/2017', 'age': '26', 'clubName': 'Tottenham Hotspur', 'clubID': '148', 'value': '€6.00m'}, {'date': '28/06/2017', 'age': '26', 'clubName': 'Tottenham Hotspur', 'clubID': '148', 'value': '€10.00m'}, {'date': '23/10/2017', 'age': '27', 'clubName': 'Tottenham Hotspur', 'clubID': '148', 'value': '€12.00m'}, {'date': '02/01/2018', 'age': '27', 'clubName': 'Tottenham Hotspur', 'clubID': '148', 'value': '€15.00m'}, {'date': '28/05/2018', 'age': '27', 'clubName': 'Tottenham Hotspur', 'clubID': '148', 'value': '€20.00m'}, {'date': '16/07/2018', 'age': '27', 'clubName': 'Tottenham Hotspur', 'clubID': '148', 'value': '€30.00m'}, {'date': '17/10/2018', 'age': '28', 'clubName': 'Tottenham Hotspur', 'clubID': '148', 'value': '€35.00m'}, {'date': '19/12/2018', 'age': '28', 'clubName': 'Tottenham Hotspur', 'clubID': '148', 'value': '€35.00m'}, {'date': '13/06/2019', 'age': '28', 'clubName': 'Tottenham Hotspur', 'clubID': '148', 'value': '€35.00m'}, {'date': '20/12/2019', 'age': '29', 'clubName': 'Atlético de Madrid', 'clubID': '13', 'value': '€35.00m'}, {'date': '08/04/2020', 'age': '29', 'clubName': 'Atlético de Madrid', 'clubID': '13', 'value': '€28.00m'}, {'date': '08/10/2020', 'age': '30', 'clubName': 'Atlético de Madrid', 'clubID': '13', 'value': '€28.00m'}, {'date': '23/11/2020', 'age': '30', 'clubName': 'Atlético de Madrid', 'clubID': '13', 'value': '€20.00m'}, {'date': '05/01/2021', 'age': '30', 'clubName': 'Atlético de Madrid', 'clubID': '13', 'value': '€20.00m'}, {'date': '28/05/2021', 'age': '30', 'clubName': 'Atlético de Madrid', 'clubID': '13', 'value': '€20.00m'}, {'date': '30/12/2021', 'age': '31', 'clubName': 'Atlético de Madrid', 'clubID': '13', 'value': '€18.00m'}, {'date': '15/06/2022', 'age': '31', 'clubName': 'Newcastle United', 'clubID': '762', 'value': '€15.00m'}, {'date': '03/11/2022', 'age': '32', 'clubName': 'Newcastle United', 'clubID': '762', 'value': '€13.00m'}, {'date': '20/06/2023', 'age': '32', 'clubName': 'Newcastle United', 'clubID': '762', 'value': '€11.00m'}, {'date': '19/12/2023', 'age': '33', 'clubName': 'Newcastle United', 'clubID': '762', 'value': '€11.00m'}, {'date': '27/05/2024', 'age': '33', 'clubName': 'Newcastle United', 'clubID': '762', 'value': '€10.00m'}, {'date': '16/12/2024', 'age': '34', 'clubName': 'Newcastle United', 'clubID': '762', 'value': '€8.00m'}, {'date': '18/03/2025', 'age': '34', 'clubName': 'Newcastle United', 'clubID': '762', 'value': '€5.00m'}, {'date': '30/05/2025', 'age': '34', 'clubName': 'Newcastle United', 'clubID': '762', 'value': '€4.00m'}, {'date': '09/12/2025', 'age': '35', 'clubName': 'Newcastle United', 'clubID': '762', 'value': '€2.50m'}]}</t>
        </is>
      </c>
      <c r="L455" t="inlineStr">
        <is>
          <t>United Kingdom</t>
        </is>
      </c>
      <c r="M455" t="inlineStr">
        <is>
          <t>1990-09-19</t>
        </is>
      </c>
      <c r="N455" t="inlineStr">
        <is>
          <t>54</t>
        </is>
      </c>
      <c r="O455">
        <f>(15+13)/2</f>
        <v/>
      </c>
      <c r="P455">
        <f>(20+20+18)/3</f>
        <v/>
      </c>
    </row>
    <row r="456">
      <c r="A456" t="inlineStr">
        <is>
          <t>Mingueza</t>
        </is>
      </c>
      <c r="B456" t="inlineStr">
        <is>
          <t>Barcelona</t>
        </is>
      </c>
      <c r="C456" t="inlineStr">
        <is>
          <t>Defender</t>
        </is>
      </c>
      <c r="D456" t="n">
        <v>219</v>
      </c>
      <c r="E456" t="n">
        <v>5</v>
      </c>
      <c r="F456" t="n">
        <v>0</v>
      </c>
      <c r="G456" t="n">
        <v>0</v>
      </c>
      <c r="H456" t="n">
        <v>27.2</v>
      </c>
      <c r="I456" t="n">
        <v>33.1</v>
      </c>
      <c r="J456" t="n">
        <v>331505</v>
      </c>
      <c r="K456" t="inlineStr">
        <is>
          <t>{'marketValueHistory': [{'date': 'Sep 3, 2018', 'age': '19', 'clubName': 'FC Barcelona B', 'clubID': '2464', 'value': '€100k'}, {'date': 'Feb 19, 2019', 'age': '19', 'clubName': 'FC Barcelona B', 'clubID': '2464', 'value': '€100k'}, {'date': 'Jun 29, 2019', 'age': '20', 'clubName': 'FC Barcelona B', 'clubID': '2464', 'value': '€100k'}, {'date': 'Sep 10, 2019', 'age': '20', 'clubName': 'FC Barcelona B', 'clubID': '2464', 'value': '€100k'}, {'date': 'Feb 11, 2020', 'age': '20', 'clubName': 'FC Barcelona B', 'clubID': '2464', 'value': '€200k'}, {'date': 'Oct 8, 2020', 'age': '21', 'clubName': 'FC Barcelona B', 'clubID': '2464', 'value': '€200k'}, {'date': 'Dec 8, 2020', 'age': '21', 'clubName': 'FC Barcelona', 'clubID': '131', 'value': '€3.00m'}, {'date': 'Jan 8, 2021', 'age': '21', 'clubName': 'FC Barcelona', 'clubID': '131', 'value': '€5.00m'}, {'date': 'Mar 19, 2021', 'age': '21', 'clubName': 'FC Barcelona', 'clubID': '131', 'value': '€10.00m'}, {'date': 'Jun 10, 2021', 'age': '22', 'clubName': 'FC Barcelona', 'clubID': '131', 'value': '€15.00m'}, {'date': 'Dec 30, 2021', 'age': '22', 'clubName': 'FC Barcelona', 'clubID': '131', 'value': '€9.00m'}, {'date': 'Jun 3, 2022', 'age': '23', 'clubName': 'FC Barcelona', 'clubID': '131', 'value': '€6.00m'}, {'date': 'Sep 23, 2022', 'age': '23', 'clubName': 'Celta de Vigo', 'clubID': '940', 'value': '€5.00m'}, {'date': 'Nov 7, 2022', 'age': '23', 'clubName': 'Celta de Vigo', 'clubID': '940', 'value': '€3.00m'}, {'date': 'Jun 13, 2023', 'age': '24', 'clubName': 'Celta de Vigo', 'clubID': '940', 'value': '€2.50m'}, {'date': 'Oct 13, 2023', 'age': '24', 'clubName': 'Celta de Vigo', 'clubID': '940', 'value': '€3.00m'}, {'date': 'Dec 22, 2023', 'age': '24', 'clubName': 'Celta de Vigo', 'clubID': '940', 'value': '€6.00m'}, {'date': 'Mar 21, 2024', 'age': '24', 'clubName': 'Celta de Vigo', 'clubID': '940', 'value': '€8.00m'}, {'date': 'Jun 7, 2024', 'age': '25', 'clubName': 'Celta de Vigo', 'clubID': '940', 'value': '€8.00m'}, {'date': 'Oct 11, 2024', 'age': '25', 'clubName': 'Celta de Vigo', 'clubID': '940', 'value': '€12.00m'}, {'date': 'Dec 27, 2024', 'age': '25', 'clubName': 'Celta de Vigo', 'clubID': '940', 'value': '€20.00m'}, {'date': 'Jun 9, 2025', 'age': '26', 'clubName': 'Celta de Vigo', 'clubID': '940', 'value': '€20.00m'}, {'date': 'Oct 2, 2025', 'age': '26', 'clubName': 'Celta de Vigo', 'clubID': '940', 'value': '€18.00m'}, {'date': 'Dec 12, 2025', 'age': '26', 'clubName': 'Celta de Vigo', 'clubID': '940', 'value': '€18.00m'}]}</t>
        </is>
      </c>
      <c r="L456" t="inlineStr">
        <is>
          <t>Spain</t>
        </is>
      </c>
      <c r="M456" t="inlineStr">
        <is>
          <t>1999-05-13</t>
        </is>
      </c>
      <c r="N456" t="inlineStr">
        <is>
          <t>Spain</t>
        </is>
      </c>
      <c r="O456">
        <f>(6+5+3)/3</f>
        <v/>
      </c>
      <c r="P456">
        <f>(5+10+15+9)/4</f>
        <v/>
      </c>
    </row>
    <row r="457">
      <c r="A457" t="inlineStr">
        <is>
          <t>Bozdogan</t>
        </is>
      </c>
      <c r="B457" t="inlineStr">
        <is>
          <t>Besiktas</t>
        </is>
      </c>
      <c r="C457" t="inlineStr">
        <is>
          <t>Midfielder</t>
        </is>
      </c>
      <c r="D457" t="n">
        <v>219</v>
      </c>
      <c r="E457" t="n">
        <v>4</v>
      </c>
      <c r="F457" t="n">
        <v>0</v>
      </c>
      <c r="G457" t="n">
        <v>0</v>
      </c>
      <c r="H457" t="n">
        <v>28.3</v>
      </c>
      <c r="I457" t="n">
        <v>29.9</v>
      </c>
      <c r="J457" t="n">
        <v>406609</v>
      </c>
      <c r="K457" t="inlineStr">
        <is>
          <t>{'marketValueHistory': [{'date': '08/07/2020', 'age': '19', 'clubName': 'FC Schalke 04', 'clubID': '33', 'value': '€1.00m'}, {'date': '16/09/2020', 'age': '19', 'clubName': 'FC Schalke 04', 'clubID': '33', 'value': '€1.50m'}, {'date': '26/11/2020', 'age': '19', 'clubName': 'FC Schalke 04', 'clubID': '33', 'value': '€2.50m'}, {'date': '10/02/2021', 'age': '19', 'clubName': 'FC Schalke 04', 'clubID': '33', 'value': '€2.50m'}, {'date': '09/06/2021', 'age': '20', 'clubName': 'FC Schalke 04', 'clubID': '33', 'value': '€2.50m'}, {'date': '12/10/2021', 'age': '20', 'clubName': 'Besiktas JK', 'clubID': '114', 'value': '€2.70m'}, {'date': '04/01/2022', 'age': '20', 'clubName': 'Besiktas JK', 'clubID': '114', 'value': '€3.10m'}, {'date': '31/03/2022', 'age': '20', 'clubName': 'Besiktas JK', 'clubID': '114', 'value': '€4.00m'}, {'date': '01/06/2022', 'age': '21', 'clubName': 'Besiktas JK', 'clubID': '114', 'value': '€4.30m'}, {'date': '11/11/2022', 'age': '21', 'clubName': 'FC Utrecht', 'clubID': '200', 'value': '€4.00m'}, {'date': '23/06/2023', 'age': '22', 'clubName': 'FC Utrecht', 'clubID': '200', 'value': '€4.50m'}, {'date': '15/12/2023', 'age': '22', 'clubName': 'FC Utrecht', 'clubID': '200', 'value': '€5.00m'}, {'date': '31/05/2024', 'age': '23', 'clubName': 'FC Utrecht', 'clubID': '200', 'value': '€4.50m'}, {'date': '17/12/2024', 'age': '23', 'clubName': 'FC Utrecht', 'clubID': '200', 'value': '€4.50m'}, {'date': '28/05/2025', 'age': '24', 'clubName': 'FC Utrecht', 'clubID': '200', 'value': '€3.50m'}, {'date': '02/12/2025', 'age': '24', 'clubName': 'FC Utrecht', 'clubID': '200', 'value': '€2.50m'}]}</t>
        </is>
      </c>
      <c r="L457" t="inlineStr">
        <is>
          <t>Turkey</t>
        </is>
      </c>
      <c r="M457" t="inlineStr">
        <is>
          <t>2001-04-05</t>
        </is>
      </c>
      <c r="N457" t="inlineStr">
        <is>
          <t>Germany</t>
        </is>
      </c>
      <c r="O457">
        <f>(3.1+4+4.3+4)/4</f>
        <v/>
      </c>
      <c r="P457">
        <f>(2.5+2.5+2.7)/3</f>
        <v/>
      </c>
    </row>
    <row r="458">
      <c r="A458" t="inlineStr">
        <is>
          <t>Nuno Santos</t>
        </is>
      </c>
      <c r="B458" t="inlineStr">
        <is>
          <t>Sporting CP</t>
        </is>
      </c>
      <c r="C458" t="inlineStr">
        <is>
          <t>Forward</t>
        </is>
      </c>
      <c r="D458" t="n">
        <v>218</v>
      </c>
      <c r="E458" t="n">
        <v>7</v>
      </c>
      <c r="F458" t="n">
        <v>1</v>
      </c>
      <c r="G458" t="n">
        <v>0</v>
      </c>
      <c r="H458" t="n">
        <v>28.9</v>
      </c>
      <c r="I458" t="n">
        <v>32.7</v>
      </c>
      <c r="J458" t="n">
        <v>290391</v>
      </c>
      <c r="K458" t="inlineStr">
        <is>
          <t>{'marketValueHistory': [{'date': 'Jul 1, 2015', 'age': '20', 'clubName': 'SL Benfica B', 'clubID': '10330', 'value': '€600k'}, {'date': 'Mar 14, 2016', 'age': '21', 'clubName': 'SL Benfica B', 'clubID': '10330', 'value': '€750k'}, {'date': 'Jul 29, 2016', 'age': '21', 'clubName': 'Vitória Setúbal FC', 'clubID': '1085', 'value': '€850k'}, {'date': 'Feb 22, 2017', 'age': '22', 'clubName': 'Vitória Setúbal FC', 'clubID': '1085', 'value': '€850k'}, {'date': 'Jun 26, 2017', 'age': '22', 'clubName': 'Vitória Setúbal FC', 'clubID': '1085', 'value': '€1.00m'}, {'date': 'Feb 7, 2018', 'age': '22', 'clubName': 'Rio Ave FC', 'clubID': '2425', 'value': '€900k'}, {'date': 'Jun 13, 2018', 'age': '23', 'clubName': 'Rio Ave FC', 'clubID': '2425', 'value': '€900k'}, {'date': 'Jan 11, 2019', 'age': '23', 'clubName': 'Rio Ave FC', 'clubID': '2425', 'value': '€800k'}, {'date': 'Jun 7, 2019', 'age': '24', 'clubName': 'Rio Ave FC', 'clubID': '2425', 'value': '€1.00m'}, {'date': 'Oct 11, 2019', 'age': '24', 'clubName': 'Rio Ave FC', 'clubID': '2425', 'value': '€1.50m'}, {'date': 'Dec 30, 2019', 'age': '24', 'clubName': 'Rio Ave FC', 'clubID': '2425', 'value': '€2.00m'}, {'date': 'Apr 8, 2020', 'age': '25', 'clubName': 'Rio Ave FC', 'clubID': '2425', 'value': '€1.60m'}, {'date': 'Aug 17, 2020', 'age': '25', 'clubName': 'Rio Ave FC', 'clubID': '2425', 'value': '€4.00m'}, {'date': 'Jan 28, 2021', 'age': '25', 'clubName': 'Sporting CP', 'clubID': '336', 'value': '€6.00m'}, {'date': 'May 21, 2021', 'age': '26', 'clubName': 'Sporting CP', 'clubID': '336', 'value': '€6.00m'}, {'date': 'Dec 27, 2021', 'age': '26', 'clubName': 'Sporting CP', 'clubID': '336', 'value': '€7.00m'}, {'date': 'May 31, 2022', 'age': '27', 'clubName': 'Sporting CP', 'clubID': '336', 'value': '€8.00m'}, {'date': 'Nov 1, 2022', 'age': '27', 'clubName': 'Sporting CP', 'clubID': '336', 'value': '€10.00m'}, {'date': 'Mar 2, 2023', 'age': '28', 'clubName': 'Sporting CP', 'clubID': '336', 'value': '€12.00m'}, {'date': 'Jun 16, 2023', 'age': '28', 'clubName': 'Sporting CP', 'clubID': '336', 'value': '€14.00m'}, {'date': 'Dec 27, 2023', 'age': '28', 'clubName': 'Sporting CP', 'clubID': '336', 'value': '€12.00m'}, {'date': 'Jun 6, 2024', 'age': '29', 'clubName': 'Sporting CP', 'clubID': '336', 'value': '€14.00m'}, {'date': 'Dec 19, 2024', 'age': '29', 'clubName': 'Sporting CP', 'clubID': '336', 'value': '€11.00m'}, {'date': 'Mar 31, 2025', 'age': '30', 'clubName': 'Sporting CP', 'clubID': '336', 'value': '€9.00m'}, {'date': 'May 30, 2025', 'age': '30', 'clubName': 'Sporting CP', 'clubID': '336', 'value': '€9.00m'}, {'date': 'Sep 30, 2025', 'age': '30', 'clubName': 'Sporting CP', 'clubID': '336', 'value': '€7.00m'}, {'date': 'Dec 18, 2025', 'age': '30', 'clubName': 'Sporting CP', 'clubID': '336', 'value': '€5.00m'}]}</t>
        </is>
      </c>
      <c r="L458" t="inlineStr">
        <is>
          <t>Portugal</t>
        </is>
      </c>
      <c r="M458" t="inlineStr">
        <is>
          <t>1995-02-13</t>
        </is>
      </c>
      <c r="N458" t="inlineStr">
        <is>
          <t>2</t>
        </is>
      </c>
      <c r="O458">
        <f>(8+10)/2</f>
        <v/>
      </c>
      <c r="P458">
        <f>(6+6+7)/3</f>
        <v/>
      </c>
    </row>
    <row r="459">
      <c r="A459" t="inlineStr">
        <is>
          <t>Vitinha</t>
        </is>
      </c>
      <c r="B459" t="inlineStr">
        <is>
          <t>FC Porto</t>
        </is>
      </c>
      <c r="C459" t="inlineStr">
        <is>
          <t>Midfielder</t>
        </is>
      </c>
      <c r="D459" t="n">
        <v>218</v>
      </c>
      <c r="E459" t="n">
        <v>6</v>
      </c>
      <c r="F459" t="n">
        <v>0</v>
      </c>
      <c r="G459" t="n">
        <v>0</v>
      </c>
      <c r="H459" t="n">
        <v>31.1</v>
      </c>
      <c r="I459" t="n">
        <v>29.6</v>
      </c>
      <c r="J459" t="n">
        <v>487469</v>
      </c>
      <c r="K459" t="inlineStr">
        <is>
          <t>{'marketValueHistory': [{'date': '31/12/2019', 'age': '19', 'clubName': 'FC Porto B', 'clubID': '10331', 'value': '€1.50m'}, {'date': '08/04/2020', 'age': '20', 'clubName': 'FC Porto', 'clubID': '720', 'value': '€1.30m'}, {'date': '17/08/2020', 'age': '20', 'clubName': 'FC Porto', 'clubID': '720', 'value': '€5.00m'}, {'date': '13/10/2020', 'age': '20', 'clubName': 'Wolverhampton Wanderers', 'clubID': '543', 'value': '€5.00m'}, {'date': '18/03/2021', 'age': '21', 'clubName': 'Wolverhampton Wanderers', 'clubID': '543', 'value': '€6.00m'}, {'date': '08/06/2021', 'age': '21', 'clubName': 'Wolverhampton Wanderers', 'clubID': '543', 'value': '€7.00m'}, {'date': '27/12/2021', 'age': '21', 'clubName': 'FC Porto', 'clubID': '720', 'value': '€12.00m'}, {'date': '10/03/2022', 'age': '22', 'clubName': 'FC Porto', 'clubID': '720', 'value': '€24.00m'}, {'date': '31/05/2022', 'age': '22', 'clubName': 'FC Porto', 'clubID': '720', 'value': '€30.00m'}, {'date': '19/09/2022', 'age': '22', 'clubName': 'Paris Saint-Germain', 'clubID': '583', 'value': '€40.00m'}, {'date': '02/11/2022', 'age': '22', 'clubName': 'Paris Saint-Germain', 'clubID': '583', 'value': '€45.00m'}, {'date': '27/03/2023', 'age': '23', 'clubName': 'Paris Saint-Germain', 'clubID': '583', 'value': '€42.00m'}, {'date': '27/06/2023', 'age': '23', 'clubName': 'Paris Saint-Germain', 'clubID': '583', 'value': '€42.00m'}, {'date': '16/10/2023', 'age': '23', 'clubName': 'Paris Saint-Germain', 'clubID': '583', 'value': '€45.00m'}, {'date': '18/12/2023', 'age': '23', 'clubName': 'Paris Saint-Germain', 'clubID': '583', 'value': '€45.00m'}, {'date': '03/06/2024', 'age': '24', 'clubName': 'Paris Saint-Germain', 'clubID': '583', 'value': '€50.00m'}, {'date': '18/07/2024', 'age': '24', 'clubName': 'Paris Saint-Germain', 'clubID': '583', 'value': '€55.00m'}, {'date': '10/12/2024', 'age': '24', 'clubName': 'Paris Saint-Germain', 'clubID': '583', 'value': '€55.00m'}, {'date': '24/03/2025', 'age': '25', 'clubName': 'Paris Saint-Germain', 'clubID': '583', 'value': '€60.00m'}, {'date': '03/06/2025', 'age': '25', 'clubName': 'Paris Saint-Germain', 'clubID': '583', 'value': '€80.00m'}, {'date': '10/10/2025', 'age': '25', 'clubName': 'Paris Saint-Germain', 'clubID': '583', 'value': '€90.00m'}, {'date': '15/12/2025', 'age': '25', 'clubName': 'Paris Saint-Germain', 'clubID': '583', 'value': '€110.00m'}]}</t>
        </is>
      </c>
      <c r="L459" t="inlineStr">
        <is>
          <t>Portugal</t>
        </is>
      </c>
      <c r="M459" t="inlineStr">
        <is>
          <t>2000-02-13</t>
        </is>
      </c>
      <c r="N459" t="inlineStr">
        <is>
          <t>37</t>
        </is>
      </c>
      <c r="O459">
        <f>(24+30+40+45)/4</f>
        <v/>
      </c>
      <c r="P459">
        <f>(6+7+12)/3</f>
        <v/>
      </c>
    </row>
    <row r="460">
      <c r="A460" t="inlineStr">
        <is>
          <t>Kalulu</t>
        </is>
      </c>
      <c r="B460" t="inlineStr">
        <is>
          <t>Milan</t>
        </is>
      </c>
      <c r="C460" t="inlineStr">
        <is>
          <t>Defender</t>
        </is>
      </c>
      <c r="D460" t="n">
        <v>216</v>
      </c>
      <c r="E460" t="n">
        <v>5</v>
      </c>
      <c r="F460" t="n">
        <v>0</v>
      </c>
      <c r="G460" t="n">
        <v>1</v>
      </c>
      <c r="H460" t="n">
        <v>26.6</v>
      </c>
      <c r="I460" t="n">
        <v>33.1</v>
      </c>
      <c r="J460" t="n">
        <v>585949</v>
      </c>
      <c r="K460" t="inlineStr">
        <is>
          <t>{'marketValueHistory': [{'date': '29/10/2020', 'age': '20', 'clubName': 'AC Milan', 'clubID': '5', 'value': '€500k'}, {'date': '29/12/2020', 'age': '20', 'clubName': 'AC Milan', 'clubID': '5', 'value': '€2.00m'}, {'date': '23/03/2021', 'age': '20', 'clubName': 'AC Milan', 'clubID': '5', 'value': '€7.00m'}, {'date': '03/06/2021', 'age': '20', 'clubName': 'AC Milan', 'clubID': '5', 'value': '€7.00m'}, {'date': '28/12/2021', 'age': '21', 'clubName': 'AC Milan', 'clubID': '5', 'value': '€10.00m'}, {'date': '15/03/2022', 'age': '21', 'clubName': 'AC Milan', 'clubID': '5', 'value': '€17.00m'}, {'date': '07/06/2022', 'age': '22', 'clubName': 'AC Milan', 'clubID': '5', 'value': '€28.00m'}, {'date': '11/11/2022', 'age': '22', 'clubName': 'AC Milan', 'clubID': '5', 'value': '€35.00m'}, {'date': '15/06/2023', 'age': '23', 'clubName': 'AC Milan', 'clubID': '5', 'value': '€30.00m'}, {'date': '11/10/2023', 'age': '23', 'clubName': 'AC Milan', 'clubID': '5', 'value': '€25.00m'}, {'date': '20/12/2023', 'age': '23', 'clubName': 'AC Milan', 'clubID': '5', 'value': '€25.00m'}, {'date': '05/06/2024', 'age': '24', 'clubName': 'AC Milan', 'clubID': '5', 'value': '€20.00m'}, {'date': '18/12/2024', 'age': '24', 'clubName': 'Juventus FC', 'clubID': '506', 'value': '€26.00m'}, {'date': '17/06/2025', 'age': '25', 'clubName': 'Juventus FC', 'clubID': '506', 'value': '€28.00m'}, {'date': '23/12/2025', 'age': '25', 'clubName': 'Juventus FC', 'clubID': '506', 'value': '€28.00m'}, {'date': '24/03/2026', 'age': '25', 'clubName': 'Juventus FC', 'clubID': '506', 'value': '€32.00m'}]}</t>
        </is>
      </c>
      <c r="L460" t="inlineStr">
        <is>
          <t>France</t>
        </is>
      </c>
      <c r="M460" t="inlineStr">
        <is>
          <t>2000-06-05</t>
        </is>
      </c>
      <c r="N460" t="inlineStr">
        <is>
          <t>3</t>
        </is>
      </c>
      <c r="O460">
        <f>(17+28+35)/3</f>
        <v/>
      </c>
      <c r="P460">
        <f>(7+7+10)/3</f>
        <v/>
      </c>
    </row>
    <row r="461">
      <c r="A461" t="inlineStr">
        <is>
          <t>Minamino</t>
        </is>
      </c>
      <c r="B461" t="inlineStr">
        <is>
          <t>Liverpool</t>
        </is>
      </c>
      <c r="C461" t="inlineStr">
        <is>
          <t>Forward</t>
        </is>
      </c>
      <c r="D461" t="n">
        <v>215</v>
      </c>
      <c r="E461" t="n">
        <v>4</v>
      </c>
      <c r="F461" t="n">
        <v>0</v>
      </c>
      <c r="G461" t="n">
        <v>0</v>
      </c>
      <c r="H461" t="n">
        <v>29.7</v>
      </c>
      <c r="I461" t="n">
        <v>31.6</v>
      </c>
      <c r="J461" t="n">
        <v>165793</v>
      </c>
      <c r="K461" t="inlineStr">
        <is>
          <t>{'marketValueHistory': [{'date': 'Jul 5, 2013', 'age': '18', 'clubName': 'Cerezo Osaka', 'clubID': '1022', 'value': '€300k'}, {'date': 'Mar 31, 2014', 'age': '19', 'clubName': 'Cerezo Osaka', 'clubID': '1022', 'value': '€1.25m'}, {'date': 'Jan 11, 2015', 'age': '19', 'clubName': 'Red Bull Salzburg', 'clubID': '409', 'value': '€1.25m'}, {'date': 'Jun 17, 2015', 'age': '20', 'clubName': 'Red Bull Salzburg', 'clubID': '409', 'value': '€1.25m'}, {'date': 'Oct 2, 2015', 'age': '20', 'clubName': 'Red Bull Salzburg', 'clubID': '409', 'value': '€2.00m'}, {'date': 'Dec 29, 2015', 'age': '20', 'clubName': 'Red Bull Salzburg', 'clubID': '409', 'value': '€3.00m'}, {'date': 'Jun 1, 2016', 'age': '21', 'clubName': 'Red Bull Salzburg', 'clubID': '409', 'value': '€3.00m'}, {'date': 'Dec 22, 2016', 'age': '21', 'clubName': 'Red Bull Salzburg', 'clubID': '409', 'value': '€2.50m'}, {'date': 'Jun 2, 2017', 'age': '22', 'clubName': 'Red Bull Salzburg', 'clubID': '409', 'value': '€3.50m'}, {'date': 'Jan 2, 2018', 'age': '22', 'clubName': 'Red Bull Salzburg', 'clubID': '409', 'value': '€3.50m'}, {'date': 'Jun 14, 2018', 'age': '23', 'clubName': 'Red Bull Salzburg', 'clubID': '409', 'value': '€4.00m'}, {'date': 'Dec 19, 2018', 'age': '23', 'clubName': 'Red Bull Salzburg', 'clubID': '409', 'value': '€5.00m'}, {'date': 'Jun 3, 2019', 'age': '24', 'clubName': 'Red Bull Salzburg', 'clubID': '409', 'value': '€5.00m'}, {'date': 'Dec 16, 2019', 'age': '24', 'clubName': 'Red Bull Salzburg', 'clubID': '409', 'value': '€12.50m'}, {'date': 'Apr 8, 2020', 'age': '25', 'clubName': 'Liverpool FC', 'clubID': '31', 'value': '€10.00m'}, {'date': 'Oct 13, 2020', 'age': '25', 'clubName': 'Liverpool FC', 'clubID': '31', 'value': '€10.00m'}, {'date': 'Mar 18, 2021', 'age': '26', 'clubName': 'Southampton FC', 'clubID': '180', 'value': '€12.00m'}, {'date': 'Jun 8, 2021', 'age': '26', 'clubName': 'Southampton FC', 'clubID': '180', 'value': '€12.00m'}, {'date': 'Dec 23, 2021', 'age': '26', 'clubName': 'Liverpool FC', 'clubID': '31', 'value': '€12.00m'}, {'date': 'Jun 15, 2022', 'age': '27', 'clubName': 'Liverpool FC', 'clubID': '31', 'value': '€12.00m'}, {'date': 'Sep 19, 2022', 'age': '27', 'clubName': 'AS Monaco', 'clubID': '162', 'value': '€10.00m'}, {'date': 'Nov 2, 2022', 'age': '27', 'clubName': 'AS Monaco', 'clubID': '162', 'value': '€10.00m'}, {'date': 'Mar 27, 2023', 'age': '28', 'clubName': 'AS Monaco', 'clubID': '162', 'value': '€8.00m'}, {'date': 'Jun 27, 2023', 'age': '28', 'clubName': 'AS Monaco', 'clubID': '162', 'value': '€6.00m'}, {'date': 'Oct 16, 2023', 'age': '28', 'clubName': 'AS Monaco', 'clubID': '162', 'value': '€10.00m'}, {'date': 'Dec 18, 2023', 'age': '28', 'clubName': 'AS Monaco', 'clubID': '162', 'value': '€12.00m'}, {'date': 'Mar 19, 2024', 'age': '29', 'clubName': 'AS Monaco', 'clubID': '162', 'value': '€15.00m'}, {'date': 'Jun 3, 2024', 'age': '29', 'clubName': 'AS Monaco', 'clubID': '162', 'value': '€20.00m'}, {'date': 'Dec 10, 2024', 'age': '29', 'clubName': 'AS Monaco', 'clubID': '162', 'value': '€15.00m'}, {'date': 'Jun 3, 2025', 'age': '30', 'clubName': 'AS Monaco', 'clubID': '162', 'value': '€15.00m'}, {'date': 'Dec 15, 2025', 'age': '30', 'clubName': 'AS Monaco', 'clubID': '162', 'value': '€12.00m'}]}</t>
        </is>
      </c>
      <c r="L461" t="inlineStr">
        <is>
          <t>Japan</t>
        </is>
      </c>
      <c r="M461" t="inlineStr">
        <is>
          <t>1995-01-16</t>
        </is>
      </c>
      <c r="N461" t="inlineStr">
        <is>
          <t>Japan</t>
        </is>
      </c>
      <c r="O461">
        <f>(12+10+10)/3</f>
        <v/>
      </c>
      <c r="P461">
        <f>(12+12+12)/3</f>
        <v/>
      </c>
    </row>
    <row r="462">
      <c r="A462" t="inlineStr">
        <is>
          <t>Dahoud</t>
        </is>
      </c>
      <c r="B462" t="inlineStr">
        <is>
          <t>Dortmund</t>
        </is>
      </c>
      <c r="C462" t="inlineStr">
        <is>
          <t>Midfielder</t>
        </is>
      </c>
      <c r="D462" t="n">
        <v>212</v>
      </c>
      <c r="E462" t="n">
        <v>4</v>
      </c>
      <c r="F462" t="n">
        <v>0</v>
      </c>
      <c r="G462" t="n">
        <v>2</v>
      </c>
      <c r="H462" t="n">
        <v>28.2</v>
      </c>
      <c r="I462" t="n">
        <v>29</v>
      </c>
      <c r="J462" t="n">
        <v>191422</v>
      </c>
      <c r="K462" t="inlineStr">
        <is>
          <t>{'marketValueHistory': [{'date': 'Aug 27, 2013', 'age': '17', 'clubName': 'Borussia Mönchengladbach', 'clubID': '18', 'value': '€200k'}, {'date': 'Feb 20, 2014', 'age': '18', 'clubName': 'Borussia Mönchengladbach', 'clubID': '18', 'value': '€150k'}, {'date': 'Jul 10, 2014', 'age': '18', 'clubName': 'Borussia Mönchengladbach', 'clubID': '18', 'value': '€150k'}, {'date': 'Nov 3, 2014', 'age': '18', 'clubName': 'Borussia Mönchengladbach', 'clubID': '18', 'value': '€600k'}, {'date': 'Feb 4, 2015', 'age': '19', 'clubName': 'Borussia Mönchengladbach', 'clubID': '18', 'value': '€600k'}, {'date': 'Jul 1, 2015', 'age': '19', 'clubName': 'Borussia Mönchengladbach', 'clubID': '18', 'value': '€600k'}, {'date': 'Oct 16, 2015', 'age': '19', 'clubName': 'Borussia Mönchengladbach', 'clubID': '18', 'value': '€2.50m'}, {'date': 'Feb 15, 2016', 'age': '20', 'clubName': 'Borussia Mönchengladbach', 'clubID': '18', 'value': '€8.00m'}, {'date': 'Apr 13, 2016', 'age': '20', 'clubName': 'Borussia Mönchengladbach', 'clubID': '18', 'value': '€12.00m'}, {'date': 'Jul 22, 2016', 'age': '20', 'clubName': 'Borussia Mönchengladbach', 'clubID': '18', 'value': '€15.00m'}, {'date': 'Feb 7, 2017', 'age': '21', 'clubName': 'Borussia Mönchengladbach', 'clubID': '18', 'value': '€15.00m'}, {'date': 'Jun 19, 2017', 'age': '21', 'clubName': 'Borussia Mönchengladbach', 'clubID': '18', 'value': '€15.00m'}, {'date': 'Dec 28, 2017', 'age': '21', 'clubName': 'Borussia Dortmund', 'clubID': '16', 'value': '€15.00m'}, {'date': 'Apr 4, 2018', 'age': '22', 'clubName': 'Borussia Dortmund', 'clubID': '16', 'value': '€18.00m'}, {'date': 'Jun 5, 2018', 'age': '22', 'clubName': 'Borussia Dortmund', 'clubID': '16', 'value': '€18.00m'}, {'date': 'Dec 18, 2018', 'age': '22', 'clubName': 'Borussia Dortmund', 'clubID': '16', 'value': '€18.00m'}, {'date': 'Jun 5, 2019', 'age': '23', 'clubName': 'Borussia Dortmund', 'clubID': '16', 'value': '€14.00m'}, {'date': 'Oct 2, 2019', 'age': '23', 'clubName': 'Borussia Dortmund', 'clubID': '16', 'value': '€10.00m'}, {'date': 'Dec 17, 2019', 'age': '23', 'clubName': 'Borussia Dortmund', 'clubID': '16', 'value': '€8.00m'}, {'date': 'Apr 8, 2020', 'age': '24', 'clubName': 'Borussia Dortmund', 'clubID': '16', 'value': '€6.50m'}, {'date': 'Nov 26, 2020', 'age': '24', 'clubName': 'Borussia Dortmund', 'clubID': '16', 'value': '€10.00m'}, {'date': 'Feb 10, 2021', 'age': '25', 'clubName': 'Borussia Dortmund', 'clubID': '16', 'value': '€8.50m'}, {'date': 'Mar 31, 2021', 'age': '25', 'clubName': 'Borussia Dortmund', 'clubID': '16', 'value': '€11.00m'}, {'date': 'Jun 9, 2021', 'age': '25', 'clubName': 'Borussia Dortmund', 'clubID': '16', 'value': '€16.00m'}, {'date': 'Oct 7, 2021', 'age': '25', 'clubName': 'Borussia Dortmund', 'clubID': '16', 'value': '€18.00m'}, {'date': 'Dec 22, 2021', 'age': '25', 'clubName': 'Borussia Dortmund', 'clubID': '16', 'value': '€18.00m'}, {'date': 'Jun 9, 2022', 'age': '26', 'clubName': 'Borussia Dortmund', 'clubID': '16', 'value': '€18.00m'}, {'date': 'Nov 9, 2022', 'age': '26', 'clubName': 'Borussia Dortmund', 'clubID': '16', 'value': '€18.00m'}, {'date': 'Mar 29, 2023', 'age': '27', 'clubName': 'Borussia Dortmund', 'clubID': '16', 'value': '€12.00m'}, {'date': 'Jun 22, 2023', 'age': '27', 'clubName': 'Borussia Dortmund', 'clubID': '16', 'value': '€12.00m'}, {'date': 'Dec 19, 2023', 'age': '27', 'clubName': 'Brighton &amp; Hove Albion', 'clubID': '1237', 'value': '€14.00m'}, {'date': 'Mar 27, 2024', 'age': '28', 'clubName': 'VfB Stuttgart', 'clubID': '79', 'value': '€8.00m'}, {'date': 'May 29, 2024', 'age': '28', 'clubName': 'VfB Stuttgart', 'clubID': '79', 'value': '€6.00m'}, {'date': 'Dec 20, 2024', 'age': '28', 'clubName': 'Eintracht Frankfurt', 'clubID': '24', 'value': '€5.00m'}, {'date': 'Jun 5, 2025', 'age': '29', 'clubName': 'Eintracht Frankfurt', 'clubID': '24', 'value': '€3.50m'}, {'date': 'Oct 14, 2025', 'age': '29', 'clubName': 'Eintracht Frankfurt', 'clubID': '24', 'value': '€2.00m'}, {'date': 'Dec 19, 2025', 'age': '29', 'clubName': 'Eintracht Frankfurt', 'clubID': '24', 'value': '€2.00m'}]}</t>
        </is>
      </c>
      <c r="L462" t="inlineStr">
        <is>
          <t>Germany</t>
        </is>
      </c>
      <c r="M462" t="inlineStr">
        <is>
          <t>1996-01-01</t>
        </is>
      </c>
      <c r="N462" t="inlineStr">
        <is>
          <t>Germany</t>
        </is>
      </c>
      <c r="O462">
        <f>(18+18)/2</f>
        <v/>
      </c>
      <c r="P462">
        <f>(8.5+11+16+18+18)/5</f>
        <v/>
      </c>
    </row>
    <row r="463">
      <c r="A463" t="inlineStr">
        <is>
          <t>Corona</t>
        </is>
      </c>
      <c r="B463" t="inlineStr">
        <is>
          <t>FC Porto</t>
        </is>
      </c>
      <c r="C463" t="inlineStr">
        <is>
          <t>Forward</t>
        </is>
      </c>
      <c r="D463" t="n">
        <v>212</v>
      </c>
      <c r="E463" t="n">
        <v>4</v>
      </c>
      <c r="F463" t="n">
        <v>0</v>
      </c>
      <c r="G463" t="n">
        <v>0</v>
      </c>
      <c r="H463" t="n">
        <v>28</v>
      </c>
      <c r="I463" t="n">
        <v>33.5</v>
      </c>
      <c r="J463" t="n">
        <v>125165</v>
      </c>
      <c r="K463" t="inlineStr">
        <is>
          <t>{'marketValueHistory': [{'date': '08/12/2011', 'age': '18', 'clubName': 'CF Monterrey', 'clubID': '2407', 'value': '€600k'}, {'date': '30/05/2012', 'age': '19', 'clubName': 'CF Monterrey', 'clubID': '2407', 'value': '€600k'}, {'date': '30/11/2012', 'age': '19', 'clubName': 'CF Monterrey', 'clubID': '2407', 'value': '€600k'}, {'date': '11/01/2013', 'age': '20', 'clubName': 'CF Monterrey', 'clubID': '2407', 'value': '€850k'}, {'date': '06/02/2013', 'age': '20', 'clubName': 'CF Monterrey', 'clubID': '2407', 'value': '€1.00m'}, {'date': '19/06/2013', 'age': '20', 'clubName': 'CF Monterrey', 'clubID': '2407', 'value': '€1.30m'}, {'date': '26/09/2013', 'age': '20', 'clubName': 'FC Twente Enschede', 'clubID': '317', 'value': '€3.50m'}, {'date': '11/02/2014', 'age': '21', 'clubName': 'FC Twente Enschede', 'clubID': '317', 'value': '€3.50m'}, {'date': '11/08/2014', 'age': '21', 'clubName': 'FC Twente Enschede', 'clubID': '317', 'value': '€3.00m'}, {'date': '16/02/2015', 'age': '22', 'clubName': 'FC Twente Enschede', 'clubID': '317', 'value': '€4.00m'}, {'date': '01/07/2015', 'age': '22', 'clubName': 'FC Twente Enschede', 'clubID': '317', 'value': '€6.50m'}, {'date': '07/10/2015', 'age': '22', 'clubName': 'FC Porto', 'clubID': '720', 'value': '€10.00m'}, {'date': '24/02/2016', 'age': '23', 'clubName': 'FC Porto', 'clubID': '720', 'value': '€10.00m'}, {'date': '29/07/2016', 'age': '23', 'clubName': 'FC Porto', 'clubID': '720', 'value': '€10.00m'}, {'date': '22/02/2017', 'age': '24', 'clubName': 'FC Porto', 'clubID': '720', 'value': '€12.00m'}, {'date': '26/06/2017', 'age': '24', 'clubName': 'FC Porto', 'clubID': '720', 'value': '€12.00m'}, {'date': '07/02/2018', 'age': '25', 'clubName': 'FC Porto', 'clubID': '720', 'value': '€12.00m'}, {'date': '13/06/2018', 'age': '25', 'clubName': 'FC Porto', 'clubID': '720', 'value': '€12.00m'}, {'date': '11/01/2019', 'age': '26', 'clubName': 'FC Porto', 'clubID': '720', 'value': '€16.00m'}, {'date': '18/03/2019', 'age': '26', 'clubName': 'FC Porto', 'clubID': '720', 'value': '€20.00m'}, {'date': '07/06/2019', 'age': '26', 'clubName': 'FC Porto', 'clubID': '720', 'value': '€22.00m'}, {'date': '30/12/2019', 'age': '26', 'clubName': 'FC Porto', 'clubID': '720', 'value': '€25.00m'}, {'date': '08/04/2020', 'age': '27', 'clubName': 'FC Porto', 'clubID': '720', 'value': '€20.00m'}, {'date': '17/08/2020', 'age': '27', 'clubName': 'FC Porto', 'clubID': '720', 'value': '€30.00m'}, {'date': '28/01/2021', 'age': '28', 'clubName': 'FC Porto', 'clubID': '720', 'value': '€30.00m'}, {'date': '21/05/2021', 'age': '28', 'clubName': 'FC Porto', 'clubID': '720', 'value': '€30.00m'}, {'date': '27/12/2021', 'age': '28', 'clubName': 'FC Porto', 'clubID': '720', 'value': '€22.00m'}, {'date': '21/03/2022', 'age': '29', 'clubName': 'Sevilla FC', 'clubID': '368', 'value': '€18.00m'}, {'date': '03/06/2022', 'age': '29', 'clubName': 'Sevilla FC', 'clubID': '368', 'value': '€18.00m'}, {'date': '07/11/2022', 'age': '29', 'clubName': 'Sevilla FC', 'clubID': '368', 'value': '€14.00m'}, {'date': '23/03/2023', 'age': '30', 'clubName': 'Sevilla FC', 'clubID': '368', 'value': '€10.00m'}, {'date': '13/06/2023', 'age': '30', 'clubName': 'Sevilla FC', 'clubID': '368', 'value': '€8.00m'}, {'date': '03/10/2023', 'age': '30', 'clubName': 'CF Monterrey', 'clubID': '2407', 'value': '€7.00m'}, {'date': '29/12/2023', 'age': '30', 'clubName': 'CF Monterrey', 'clubID': '2407', 'value': '€5.00m'}, {'date': '14/06/2024', 'age': '31', 'clubName': 'CF Monterrey', 'clubID': '2407', 'value': '€3.50m'}, {'date': '10/10/2024', 'age': '31', 'clubName': 'CF Monterrey', 'clubID': '2407', 'value': '€3.00m'}, {'date': '11/12/2024', 'age': '31', 'clubName': 'CF Monterrey', 'clubID': '2407', 'value': '€2.50m'}, {'date': '26/05/2025', 'age': '32', 'clubName': 'CF Monterrey', 'clubID': '2407', 'value': '€2.00m'}, {'date': '29/12/2025', 'age': '32', 'clubName': 'CF Monterrey', 'clubID': '2407', 'value': '€1.80m'}]}</t>
        </is>
      </c>
      <c r="L463" t="inlineStr">
        <is>
          <t>Mexico</t>
        </is>
      </c>
      <c r="M463" t="inlineStr">
        <is>
          <t>1993-01-06</t>
        </is>
      </c>
      <c r="N463" t="inlineStr">
        <is>
          <t>Mexico</t>
        </is>
      </c>
      <c r="O463">
        <f>(18+18+14)/3</f>
        <v/>
      </c>
      <c r="P463">
        <f>(30+30+22)/3</f>
        <v/>
      </c>
    </row>
    <row r="464">
      <c r="A464" t="inlineStr">
        <is>
          <t>Nianzou</t>
        </is>
      </c>
      <c r="B464" t="inlineStr">
        <is>
          <t>Bayern</t>
        </is>
      </c>
      <c r="C464" t="inlineStr">
        <is>
          <t>Defender</t>
        </is>
      </c>
      <c r="D464" t="n">
        <v>212</v>
      </c>
      <c r="E464" t="n">
        <v>4</v>
      </c>
      <c r="F464" t="n">
        <v>0</v>
      </c>
      <c r="G464" t="n">
        <v>0</v>
      </c>
      <c r="H464" t="n">
        <v>25.4</v>
      </c>
      <c r="I464" t="n">
        <v>30</v>
      </c>
      <c r="J464" t="n">
        <v>538996</v>
      </c>
      <c r="K464" t="inlineStr">
        <is>
          <t>{'marketValueHistory': [{'date': '27/09/2019', 'age': '17', 'clubName': 'Paris Saint-Germain', 'clubID': '583', 'value': '€150k'}, {'date': '11/02/2020', 'age': '17', 'clubName': 'Paris Saint-Germain', 'clubID': '583', 'value': '€7.00m'}, {'date': '13/03/2020', 'age': '17', 'clubName': 'Paris Saint-Germain', 'clubID': '583', 'value': '€12.00m'}, {'date': '08/04/2020', 'age': '17', 'clubName': 'Paris Saint-Germain', 'clubID': '583', 'value': '€11.00m'}, {'date': '10/02/2021', 'age': '18', 'clubName': 'Bayern Munich', 'clubID': '27', 'value': '€11.00m'}, {'date': '09/06/2021', 'age': '19', 'clubName': 'Bayern Munich', 'clubID': '27', 'value': '€11.00m'}, {'date': '22/12/2021', 'age': '19', 'clubName': 'Bayern Munich', 'clubID': '27', 'value': '€11.00m'}, {'date': '24/03/2022', 'age': '19', 'clubName': 'Bayern Munich', 'clubID': '27', 'value': '€9.00m'}, {'date': '09/06/2022', 'age': '20', 'clubName': 'Bayern Munich', 'clubID': '27', 'value': '€9.00m'}, {'date': '07/11/2022', 'age': '20', 'clubName': 'Sevilla FC', 'clubID': '368', 'value': '€9.00m'}, {'date': '13/06/2023', 'age': '21', 'clubName': 'Sevilla FC', 'clubID': '368', 'value': '€7.50m'}, {'date': '13/10/2023', 'age': '21', 'clubName': 'Sevilla FC', 'clubID': '368', 'value': '€6.00m'}, {'date': '22/12/2023', 'age': '21', 'clubName': 'Sevilla FC', 'clubID': '368', 'value': '€5.00m'}, {'date': '21/03/2024', 'age': '21', 'clubName': 'Sevilla FC', 'clubID': '368', 'value': '€4.00m'}, {'date': '07/06/2024', 'age': '22', 'clubName': 'Sevilla FC', 'clubID': '368', 'value': '€3.00m'}, {'date': '27/12/2024', 'age': '22', 'clubName': 'Sevilla FC', 'clubID': '368', 'value': '€3.00m'}, {'date': '09/06/2025', 'age': '23', 'clubName': 'Sevilla FC', 'clubID': '368', 'value': '€1.50m'}, {'date': '12/12/2025', 'age': '23', 'clubName': 'Sevilla FC', 'clubID': '368', 'value': '€1.40m'}]}</t>
        </is>
      </c>
      <c r="L464" t="inlineStr">
        <is>
          <t>France</t>
        </is>
      </c>
      <c r="M464" t="inlineStr">
        <is>
          <t>2002-06-07</t>
        </is>
      </c>
      <c r="N464" t="inlineStr">
        <is>
          <t>France</t>
        </is>
      </c>
      <c r="O464">
        <f>(9+9+9)/3</f>
        <v/>
      </c>
      <c r="P464">
        <f>(11+11+11)/3</f>
        <v/>
      </c>
    </row>
    <row r="465">
      <c r="A465" t="inlineStr">
        <is>
          <t>Milner</t>
        </is>
      </c>
      <c r="B465" t="inlineStr">
        <is>
          <t>Liverpool</t>
        </is>
      </c>
      <c r="C465" t="inlineStr">
        <is>
          <t>Midfielder</t>
        </is>
      </c>
      <c r="D465" t="n">
        <v>211</v>
      </c>
      <c r="E465" t="n">
        <v>8</v>
      </c>
      <c r="F465" t="n">
        <v>0</v>
      </c>
      <c r="G465" t="n">
        <v>1</v>
      </c>
      <c r="H465" t="n">
        <v>32</v>
      </c>
      <c r="I465" t="n">
        <v>29</v>
      </c>
      <c r="J465" t="n">
        <v>3333</v>
      </c>
      <c r="K465" t="inlineStr">
        <is>
          <t>{'id': '3333', 'marketValue': '€1.00m', 'marketValueHistory': [{'age': '18', 'date': 'Oct 4, 2004', 'clubName': 'Newcastle United', 'value': '€7.50m', 'clubID': '762'}, {'age': '19', 'date': 'Feb 1, 2005', 'clubName': 'Newcastle United', 'value': '€5.50m', 'clubID': '762'}, {'age': '19', 'date': 'Sep 1, 2005', 'clubName': 'Aston Villa', 'value': '€6.00m', 'clubID': '405'}, {'age': '20', 'date': 'Apr 17, 2006', 'clubName': 'Aston Villa', 'value': '€4.70m', 'clubID': '405'}, {'age': '21', 'date': 'Sep 1, 2007', 'clubName': 'Newcastle United', 'value': '€8.00m', 'clubID': '762'}, {'age': '22', 'date': 'Jan 29, 2008', 'clubName': 'Newcastle United', 'value': '€8.75m', 'clubID': '762'}, {'age': '22', 'date': 'Sep 1, 2008', 'clubName': 'Aston Villa', 'value': '€10.00m', 'clubID': '405'}, {'age': '23', 'date': 'Feb 23, 2009', 'clubName': 'Aston Villa', 'value': '€11.50m', 'clubID': '405'}, {'age': '23', 'date': 'Jun 26, 2009', 'clubName': 'Aston Villa', 'value': '€13.00m', 'clubID': '405'}, {'age': '24', 'date': 'Jan 24, 2010', 'clubName': 'Aston Villa', 'value': '€17.00m', 'clubID': '405'}, {'age': '24', 'date': 'Aug 13, 2010', 'clubName': 'Aston Villa', 'value': '€20.00m', 'clubID': '405'}, {'age': '25', 'date': 'Feb 1, 2011', 'clubName': 'Manchester City', 'value': '€20.00m', 'clubID': '281'}, {'age': '25', 'date': 'Aug 8, 2011', 'clubName': 'Manchester City', 'value': '€18.00m', 'clubID': '281'}, {'age': '26', 'date': 'Feb 6, 2012', 'clubName': 'Manchester City', 'value': '€20.00m', 'clubID': '281'}, {'age': '26', 'date': 'Jun 24, 2012', 'clubName': 'Manchester City', 'value': '€21.00m', 'clubID': '281'}, {'age': '27', 'date': 'Jan 28, 2013', 'clubName': 'Manchester City', 'value': '€17.00m', 'clubID': '281'}, {'age': '27', 'date': 'Jul 2, 2013', 'clubName': 'Manchester City', 'value': '€18.00m', 'clubID': '281'}, {'age': '28', 'date': 'Jan 15, 2014', 'clubName': 'Manchester City', 'value': '€15.00m', 'clubID': '281'}, {'age': '28', 'date': 'Aug 12, 2014', 'clubName': 'Manchester City', 'value': '€14.00m', 'clubID': '281'}, {'age': '29', 'date': 'Feb 12, 2015', 'clubName': 'Manchester City', 'value': '€14.00m', 'clubID': '281'}, {'age': '29', 'date': 'Jul 1, 2015', 'clubName': 'Liverpool FC', 'value': '€14.00m', 'clubID': '31'}, {'age': '30', 'date': 'Feb 9, 2016', 'clubName': 'Liverpool FC', 'value': '€14.00m', 'clubID': '31'}, {'age': '30', 'date': 'Jun 1, 2016', 'clubName': 'Liverpool FC', 'value': '€15.00m', 'clubID': '31'}, {'age': '30', 'date': 'Aug 1, 2016', 'clubName': 'Liverpool FC', 'value': '€15.00m', 'clubID': '31'}, {'age': '31', 'date': 'Feb 20, 2017', 'clubName': 'Liverpool FC', 'value': '€15.00m', 'clubID': '31'}, {'age': '31', 'date': 'Jun 28, 2017', 'clubName': 'Liverpool FC', 'value': '€12.00m', 'clubID': '31'}, {'age': '31', 'date': 'Jan 2, 2018', 'clubName': 'Liverpool FC', 'value': '€12.00m', 'clubID': '31'}, {'age': '32', 'date': 'May 28, 2018', 'clubName': 'Liverpool FC', 'value': '€15.00m', 'clubID': '31'}, {'age': '32', 'date': 'Dec 19, 2018', 'clubName': 'Liverpool FC', 'value': '€15.00m', 'clubID': '31'}, {'age': '33', 'date': 'Jun 13, 2019', 'clubName': 'Liverpool FC', 'value': '€15.00m', 'clubID': '31'}, {'age': '33', 'date': 'Dec 10, 2019', 'clubName': 'Liverpool FC', 'value': '€12.00m', 'clubID': '31'}, {'age': '34', 'date': 'Mar 9, 2020', 'clubName': 'Liverpool FC', 'value': '€8.00m', 'clubID': '31'}, {'age': '34', 'date': 'Apr 8, 2020', 'clubName': 'Liverpool FC', 'value': '€6.50m', 'clubID': '31'}, {'age': '34', 'date': 'Oct 13, 2020', 'clubName': 'Liverpool FC', 'value': '€5.00m', 'clubID': '31'}, {'age': '35', 'date': 'Mar 18, 2021', 'clubName': 'Liverpool FC', 'value': '€3.00m', 'clubID': '31'}, {'age': '35', 'date': 'Jun 8, 2021', 'clubName': 'Liverpool FC', 'value': '€3.00m', 'clubID': '31'}, {'age': '35', 'date': 'Dec 23, 2021', 'clubName': 'Liverpool FC', 'value': '€2.00m', 'clubID': '31'}, {'age': '36', 'date': 'Jun 15, 2022', 'clubName': 'Liverpool FC', 'value': '€2.00m', 'clubID': '31'}, {'age': '36', 'date': 'Nov 3, 2022', 'clubName': 'Liverpool FC', 'value': '€2.00m', 'clubID': '31'}, {'age': '37', 'date': 'Jun 20, 2023', 'clubName': 'Liverpool FC', 'value': '€1.50m', 'clubID': '31'}, {'age': '37', 'date': 'Dec 19, 2023', 'clubName': 'Brighton &amp; Hove Albion', 'value': '€1.00m', 'clubID': '1237'}], 'ranking': {'Worldwide': '6.635', 'Premier League': '467', 'Brighton': '25', 'England': '362', 'Central Midfield': '864', 'Year 1986': '14'}, 'updatedAt': datetime.datetime(2024, 5, 23, 22, 27, 41, 383124)}</t>
        </is>
      </c>
      <c r="L465" t="inlineStr">
        <is>
          <t>United Kingdom</t>
        </is>
      </c>
      <c r="M465" t="inlineStr">
        <is>
          <t>1986-01-04</t>
        </is>
      </c>
      <c r="N465" t="inlineStr">
        <is>
          <t>England</t>
        </is>
      </c>
      <c r="O465">
        <f>(2+2)/2</f>
        <v/>
      </c>
      <c r="P465">
        <f>(3+3+2)/3</f>
        <v/>
      </c>
    </row>
    <row r="466">
      <c r="A466" t="inlineStr">
        <is>
          <t>Pessina</t>
        </is>
      </c>
      <c r="B466" t="inlineStr">
        <is>
          <t>Atalanta</t>
        </is>
      </c>
      <c r="C466" t="inlineStr">
        <is>
          <t>Midfielder</t>
        </is>
      </c>
      <c r="D466" t="n">
        <v>211</v>
      </c>
      <c r="E466" t="n">
        <v>4</v>
      </c>
      <c r="F466" t="n">
        <v>1</v>
      </c>
      <c r="G466" t="n">
        <v>0</v>
      </c>
      <c r="H466" t="n">
        <v>29.4</v>
      </c>
      <c r="I466" t="n">
        <v>31.5</v>
      </c>
      <c r="J466" t="n">
        <v>332179</v>
      </c>
      <c r="K466" t="inlineStr">
        <is>
          <t>{'marketValueHistory': [{'date': 'Jul 15, 2014', 'age': '17', 'clubName': 'Unknown', 'clubID': '75', 'value': '€75k'}, {'date': 'Feb 4, 2015', 'age': '17', 'clubName': 'AC Monza', 'clubID': '2919', 'value': '€75k'}, {'date': 'Jun 19, 2015', 'age': '18', 'clubName': 'AC Monza', 'clubID': '2919', 'value': '€250k'}, {'date': 'Jan 19, 2016', 'age': '18', 'clubName': 'Calcio Catania', 'clubID': '1627', 'value': '€225k'}, {'date': 'Jun 22, 2016', 'age': '19', 'clubName': 'Calcio Catania', 'clubID': '1627', 'value': '€175k'}, {'date': 'Dec 12, 2016', 'age': '19', 'clubName': 'Calcio Como', 'clubID': '1047', 'value': '€300k'}, {'date': 'Jun 20, 2017', 'age': '20', 'clubName': 'Calcio Como', 'clubID': '1047', 'value': '€600k'}, {'date': 'Dec 21, 2017', 'age': '20', 'clubName': 'Spezia Calcio', 'clubID': '3522', 'value': '€1.20m'}, {'date': 'Jun 18, 2018', 'age': '21', 'clubName': 'Spezia Calcio', 'clubID': '3522', 'value': '€2.00m'}, {'date': 'Dec 20, 2018', 'age': '21', 'clubName': 'Atalanta BC', 'clubID': '800', 'value': '€2.00m'}, {'date': 'Jun 6, 2019', 'age': '22', 'clubName': 'Atalanta BC', 'clubID': '800', 'value': '€1.50m'}, {'date': 'Dec 12, 2019', 'age': '22', 'clubName': 'Hellas Verona', 'clubID': '276', 'value': '€3.00m'}, {'date': 'Mar 3, 2020', 'age': '22', 'clubName': 'Hellas Verona', 'clubID': '276', 'value': '€8.00m'}, {'date': 'Apr 8, 2020', 'age': '22', 'clubName': 'Hellas Verona', 'clubID': '276', 'value': '€6.50m'}, {'date': 'Aug 25, 2020', 'age': '23', 'clubName': 'Hellas Verona', 'clubID': '276', 'value': '€12.00m'}, {'date': 'Dec 29, 2020', 'age': '23', 'clubName': 'Atalanta BC', 'clubID': '800', 'value': '€15.00m'}, {'date': 'Mar 23, 2021', 'age': '23', 'clubName': 'Atalanta BC', 'clubID': '800', 'value': '€20.00m'}, {'date': 'May 25, 2021', 'age': '24', 'clubName': 'Atalanta BC', 'clubID': '800', 'value': '€20.00m'}, {'date': 'Dec 28, 2021', 'age': '24', 'clubName': 'Atalanta BC', 'clubID': '800', 'value': '€18.00m'}, {'date': 'Jun 7, 2022', 'age': '25', 'clubName': 'Atalanta BC', 'clubID': '800', 'value': '€16.00m'}, {'date': 'Nov 11, 2022', 'age': '25', 'clubName': 'AC Monza', 'clubID': '2919', 'value': '€14.00m'}, {'date': 'Jun 15, 2023', 'age': '26', 'clubName': 'AC Monza', 'clubID': '2919', 'value': '€15.00m'}, {'date': 'Dec 20, 2023', 'age': '26', 'clubName': 'AC Monza', 'clubID': '2919', 'value': '€15.00m'}, {'date': 'Jun 5, 2024', 'age': '27', 'clubName': 'AC Monza', 'clubID': '2919', 'value': '€15.00m'}, {'date': 'Dec 18, 2024', 'age': '27', 'clubName': 'AC Monza', 'clubID': '2919', 'value': '€12.00m'}, {'date': 'Mar 25, 2025', 'age': '27', 'clubName': 'AC Monza', 'clubID': '2919', 'value': '€9.00m'}, {'date': 'Jun 17, 2025', 'age': '28', 'clubName': 'AC Monza', 'clubID': '2919', 'value': '€6.00m'}, {'date': 'Oct 6, 2025', 'age': '28', 'clubName': 'AC Monza', 'clubID': '2919', 'value': '€5.00m'}, {'date': 'Dec 11, 2025', 'age': '28', 'clubName': 'AC Monza', 'clubID': '2919', 'value': '€5.00m'}]}</t>
        </is>
      </c>
      <c r="L466" t="inlineStr">
        <is>
          <t>Italy</t>
        </is>
      </c>
      <c r="M466" t="inlineStr">
        <is>
          <t>1997-04-21</t>
        </is>
      </c>
      <c r="N466" t="inlineStr">
        <is>
          <t>Italy</t>
        </is>
      </c>
      <c r="O466">
        <f>(16+14)/2</f>
        <v/>
      </c>
      <c r="P466">
        <f>(20+20+18)/3</f>
        <v/>
      </c>
    </row>
    <row r="467">
      <c r="A467" t="inlineStr">
        <is>
          <t>Koopmeiners</t>
        </is>
      </c>
      <c r="B467" t="inlineStr">
        <is>
          <t>Atalanta</t>
        </is>
      </c>
      <c r="C467" t="inlineStr">
        <is>
          <t>Midfielder</t>
        </is>
      </c>
      <c r="D467" t="n">
        <v>210</v>
      </c>
      <c r="E467" t="n">
        <v>5</v>
      </c>
      <c r="F467" t="n">
        <v>0</v>
      </c>
      <c r="G467" t="n">
        <v>1</v>
      </c>
      <c r="H467" t="n">
        <v>28.9</v>
      </c>
      <c r="I467" t="n">
        <v>30.6</v>
      </c>
      <c r="J467" t="n">
        <v>360518</v>
      </c>
      <c r="K467" t="inlineStr">
        <is>
          <t>{'marketValueHistory': [{'date': 'Jul 1, 2017', 'age': '19', 'clubName': 'AZ Alkmaar', 'clubID': '1090', 'value': '€350k'}, {'date': 'Oct 26, 2017', 'age': '19', 'clubName': 'AZ Alkmaar', 'clubID': '1090', 'value': '€600k'}, {'date': 'Jan 17, 2018', 'age': '19', 'clubName': 'AZ Alkmaar', 'clubID': '1090', 'value': '€1.25m'}, {'date': 'Mar 27, 2018', 'age': '20', 'clubName': 'AZ Alkmaar', 'clubID': '1090', 'value': '€2.00m'}, {'date': 'Jun 12, 2018', 'age': '20', 'clubName': 'AZ Alkmaar', 'clubID': '1090', 'value': '€3.50m'}, {'date': 'Dec 28, 2018', 'age': '20', 'clubName': 'AZ Alkmaar', 'clubID': '1090', 'value': '€3.50m'}, {'date': 'Mar 13, 2019', 'age': '21', 'clubName': 'AZ Alkmaar', 'clubID': '1090', 'value': '€5.00m'}, {'date': 'Jun 12, 2019', 'age': '21', 'clubName': 'AZ Alkmaar', 'clubID': '1090', 'value': '€5.00m'}, {'date': 'Sep 19, 2019', 'age': '21', 'clubName': 'AZ Alkmaar', 'clubID': '1090', 'value': '€7.50m'}, {'date': 'Dec 18, 2019', 'age': '21', 'clubName': 'AZ Alkmaar', 'clubID': '1090', 'value': '€14.00m'}, {'date': 'Mar 12, 2020', 'age': '22', 'clubName': 'AZ Alkmaar', 'clubID': '1090', 'value': '€16.00m'}, {'date': 'Apr 8, 2020', 'age': '22', 'clubName': 'AZ Alkmaar', 'clubID': '1090', 'value': '€14.50m'}, {'date': 'Oct 14, 2020', 'age': '22', 'clubName': 'AZ Alkmaar', 'clubID': '1090', 'value': '€14.50m'}, {'date': 'Jan 6, 2021', 'age': '22', 'clubName': 'AZ Alkmaar', 'clubID': '1090', 'value': '€15.00m'}, {'date': 'Mar 6, 2021', 'age': '23', 'clubName': 'AZ Alkmaar', 'clubID': '1090', 'value': '€17.50m'}, {'date': 'May 27, 2021', 'age': '23', 'clubName': 'AZ Alkmaar', 'clubID': '1090', 'value': '€16.50m'}, {'date': 'Dec 28, 2021', 'age': '23', 'clubName': 'Atalanta BC', 'clubID': '800', 'value': '€18.00m'}, {'date': 'Mar 15, 2022', 'age': '24', 'clubName': 'Atalanta BC', 'clubID': '800', 'value': '€25.00m'}, {'date': 'Jun 7, 2022', 'age': '24', 'clubName': 'Atalanta BC', 'clubID': '800', 'value': '€25.00m'}, {'date': 'Nov 11, 2022', 'age': '24', 'clubName': 'Atalanta BC', 'clubID': '800', 'value': '€30.00m'}, {'date': 'Jun 15, 2023', 'age': '25', 'clubName': 'Atalanta BC', 'clubID': '800', 'value': '€30.00m'}, {'date': 'Oct 11, 2023', 'age': '25', 'clubName': 'Atalanta BC', 'clubID': '800', 'value': '€35.00m'}, {'date': 'Dec 20, 2023', 'age': '25', 'clubName': 'Atalanta BC', 'clubID': '800', 'value': '€40.00m'}, {'date': 'Jun 5, 2024', 'age': '26', 'clubName': 'Atalanta BC', 'clubID': '800', 'value': '€50.00m'}, {'date': 'Oct 18, 2024', 'age': '26', 'clubName': 'Juventus FC', 'clubID': '506', 'value': '€55.00m'}, {'date': 'Dec 18, 2024', 'age': '26', 'clubName': 'Juventus FC', 'clubID': '506', 'value': '€50.00m'}, {'date': 'Mar 25, 2025', 'age': '27', 'clubName': 'Juventus FC', 'clubID': '506', 'value': '€40.00m'}, {'date': 'Jun 17, 2025', 'age': '27', 'clubName': 'Juventus FC', 'clubID': '506', 'value': '€35.00m'}, {'date': 'Oct 7, 2025', 'age': '27', 'clubName': 'Juventus FC', 'clubID': '506', 'value': '€30.00m'}, {'date': 'Dec 23, 2025', 'age': '27', 'clubName': 'Juventus FC', 'clubID': '506', 'value': '€28.00m'}, {'date': 'Mar 24, 2026', 'age': '28', 'clubName': 'Juventus FC', 'clubID': '506', 'value': '€20.00m'}]}</t>
        </is>
      </c>
      <c r="L467" t="inlineStr">
        <is>
          <t>Italy</t>
        </is>
      </c>
      <c r="M467" t="inlineStr">
        <is>
          <t>1998-02-28</t>
        </is>
      </c>
      <c r="N467" t="inlineStr">
        <is>
          <t>Netherlands</t>
        </is>
      </c>
      <c r="O467">
        <f>(25+25+30)/3</f>
        <v/>
      </c>
      <c r="P467">
        <f>(15+17.5+16.5+18)/4</f>
        <v/>
      </c>
    </row>
    <row r="468">
      <c r="A468" t="inlineStr">
        <is>
          <t>Szoboszlai</t>
        </is>
      </c>
      <c r="B468" t="inlineStr">
        <is>
          <t>Leipzig</t>
        </is>
      </c>
      <c r="C468" t="inlineStr">
        <is>
          <t>Midfielder</t>
        </is>
      </c>
      <c r="D468" t="n">
        <v>209</v>
      </c>
      <c r="E468" t="n">
        <v>4</v>
      </c>
      <c r="F468" t="n">
        <v>2</v>
      </c>
      <c r="G468" t="n">
        <v>0</v>
      </c>
      <c r="H468" t="n">
        <v>26.9</v>
      </c>
      <c r="I468" t="n">
        <v>32.2</v>
      </c>
      <c r="J468" t="n">
        <v>451276</v>
      </c>
      <c r="K468" t="inlineStr">
        <is>
          <t>{'marketValueHistory': [{'date': '02/07/2017', 'age': '16', 'clubName': 'FC Liefering', 'clubID': '37024', 'value': '€200k'}, {'date': '12/08/2017', 'age': '16', 'clubName': 'FC Liefering', 'clubID': '37024', 'value': '€400k'}, {'date': '13/12/2017', 'age': '17', 'clubName': 'FC Liefering', 'clubID': '37024', 'value': '€500k'}, {'date': '14/06/2018', 'age': '17', 'clubName': 'Red Bull Salzburg', 'clubID': '409', 'value': '€1.00m'}, {'date': '19/12/2018', 'age': '18', 'clubName': 'Red Bull Salzburg', 'clubID': '409', 'value': '€2.00m'}, {'date': '15/04/2019', 'age': '18', 'clubName': 'Red Bull Salzburg', 'clubID': '409', 'value': '€5.00m'}, {'date': '03/06/2019', 'age': '18', 'clubName': 'Red Bull Salzburg', 'clubID': '409', 'value': '€12.00m'}, {'date': '16/12/2019', 'age': '19', 'clubName': 'Red Bull Salzburg', 'clubID': '409', 'value': '€15.00m'}, {'date': '08/04/2020', 'age': '19', 'clubName': 'Red Bull Salzburg', 'clubID': '409', 'value': '€13.50m'}, {'date': '22/07/2020', 'age': '19', 'clubName': 'Red Bull Salzburg', 'clubID': '409', 'value': '€25.00m'}, {'date': '21/12/2020', 'age': '20', 'clubName': 'Red Bull Salzburg', 'clubID': '409', 'value': '€25.00m'}, {'date': '01/06/2021', 'age': '20', 'clubName': 'RB Leipzig', 'clubID': '23826', 'value': '€25.00m'}, {'date': '22/12/2021', 'age': '21', 'clubName': 'RB Leipzig', 'clubID': '23826', 'value': '€28.00m'}, {'date': '09/06/2022', 'age': '21', 'clubName': 'RB Leipzig', 'clubID': '23826', 'value': '€28.00m'}, {'date': '09/11/2022', 'age': '22', 'clubName': 'RB Leipzig', 'clubID': '23826', 'value': '€35.00m'}, {'date': '29/03/2023', 'age': '22', 'clubName': 'RB Leipzig', 'clubID': '23826', 'value': '€40.00m'}, {'date': '22/06/2023', 'age': '22', 'clubName': 'RB Leipzig', 'clubID': '23826', 'value': '€50.00m'}, {'date': '09/10/2023', 'age': '22', 'clubName': 'Liverpool FC', 'clubID': '31', 'value': '€70.00m'}, {'date': '19/12/2023', 'age': '23', 'clubName': 'Liverpool FC', 'clubID': '31', 'value': '€75.00m'}, {'date': '27/05/2024', 'age': '23', 'clubName': 'Liverpool FC', 'clubID': '31', 'value': '€75.00m'}, {'date': '16/12/2024', 'age': '24', 'clubName': 'Liverpool FC', 'clubID': '31', 'value': '€75.00m'}, {'date': '18/03/2025', 'age': '24', 'clubName': 'Liverpool FC', 'clubID': '31', 'value': '€80.00m'}, {'date': '30/05/2025', 'age': '24', 'clubName': 'Liverpool FC', 'clubID': '31', 'value': '€80.00m'}, {'date': '17/10/2025', 'age': '24', 'clubName': 'Liverpool FC', 'clubID': '31', 'value': '€85.00m'}, {'date': '09/12/2025', 'age': '25', 'clubName': 'Liverpool FC', 'clubID': '31', 'value': '€85.00m'}, {'date': '09/03/2026', 'age': '25', 'clubName': 'Liverpool FC', 'clubID': '31', 'value': '€100.00m'}]}</t>
        </is>
      </c>
      <c r="L468" t="inlineStr">
        <is>
          <t>Hungary</t>
        </is>
      </c>
      <c r="M468" t="inlineStr">
        <is>
          <t>2000-10-25</t>
        </is>
      </c>
      <c r="N468" t="inlineStr">
        <is>
          <t>63</t>
        </is>
      </c>
      <c r="O468">
        <f>(28+35)/2</f>
        <v/>
      </c>
      <c r="P468">
        <f>(25+28)/2</f>
        <v/>
      </c>
    </row>
    <row r="469">
      <c r="A469" t="inlineStr">
        <is>
          <t>Asensio</t>
        </is>
      </c>
      <c r="B469" t="inlineStr">
        <is>
          <t>Real Madrid</t>
        </is>
      </c>
      <c r="C469" t="inlineStr">
        <is>
          <t>Forward</t>
        </is>
      </c>
      <c r="D469" t="n">
        <v>207</v>
      </c>
      <c r="E469" t="n">
        <v>8</v>
      </c>
      <c r="F469" t="n">
        <v>1</v>
      </c>
      <c r="G469" t="n">
        <v>2</v>
      </c>
      <c r="H469" t="n">
        <v>28.4</v>
      </c>
      <c r="I469" t="n">
        <v>31.5</v>
      </c>
      <c r="J469" t="n">
        <v>296622</v>
      </c>
      <c r="K469" t="inlineStr">
        <is>
          <t>{'marketValueHistory': [{'date': '10/02/2014', 'age': '18', 'clubName': 'RCD Mallorca B', 'clubID': '8494', 'value': '€100k'}, {'date': '18/05/2014', 'age': '18', 'clubName': 'RCD Mallorca B', 'clubID': '8494', 'value': '€1.00m'}, {'date': '12/08/2014', 'age': '18', 'clubName': 'RCD Mallorca', 'clubID': '237', 'value': '€1.00m'}, {'date': '08/01/2015', 'age': '18', 'clubName': 'RCD Mallorca', 'clubID': '237', 'value': '€3.50m'}, {'date': '01/07/2015', 'age': '19', 'clubName': 'Real Madrid', 'clubID': '418', 'value': '€3.50m'}, {'date': '23/11/2015', 'age': '19', 'clubName': 'RCD Espanyol Barcelona', 'clubID': '714', 'value': '€5.00m'}, {'date': '22/02/2016', 'age': '20', 'clubName': 'RCD Espanyol Barcelona', 'clubID': '714', 'value': '€7.00m'}, {'date': '07/04/2016', 'age': '20', 'clubName': 'RCD Espanyol Barcelona', 'clubID': '714', 'value': '€8.00m'}, {'date': '15/07/2016', 'age': '20', 'clubName': 'Real Madrid', 'clubID': '418', 'value': '€12.00m'}, {'date': '27/10/2016', 'age': '20', 'clubName': 'Real Madrid', 'clubID': '418', 'value': '€15.00m'}, {'date': '24/01/2017', 'age': '21', 'clubName': 'Real Madrid', 'clubID': '418', 'value': '€15.00m'}, {'date': '05/06/2017', 'age': '21', 'clubName': 'Real Madrid', 'clubID': '418', 'value': '€20.00m'}, {'date': '17/08/2017', 'age': '21', 'clubName': 'Real Madrid', 'clubID': '418', 'value': '€30.00m'}, {'date': '01/01/2018', 'age': '21', 'clubName': 'Real Madrid', 'clubID': '418', 'value': '€50.00m'}, {'date': '22/03/2018', 'age': '22', 'clubName': 'Real Madrid', 'clubID': '418', 'value': '€75.00m'}, {'date': '30/05/2018', 'age': '22', 'clubName': 'Real Madrid', 'clubID': '418', 'value': '€75.00m'}, {'date': '31/10/2018', 'age': '22', 'clubName': 'Real Madrid', 'clubID': '418', 'value': '€90.00m'}, {'date': '21/12/2018', 'age': '22', 'clubName': 'Real Madrid', 'clubID': '418', 'value': '€80.00m'}, {'date': '11/06/2019', 'age': '23', 'clubName': 'Real Madrid', 'clubID': '418', 'value': '€60.00m'}, {'date': '20/12/2019', 'age': '23', 'clubName': 'Real Madrid', 'clubID': '418', 'value': '€40.00m'}, {'date': '08/04/2020', 'age': '24', 'clubName': 'Real Madrid', 'clubID': '418', 'value': '€32.00m'}, {'date': '23/07/2020', 'age': '24', 'clubName': 'Real Madrid', 'clubID': '418', 'value': '€40.00m'}, {'date': '08/10/2020', 'age': '24', 'clubName': 'Real Madrid', 'clubID': '418', 'value': '€40.00m'}, {'date': '05/01/2021', 'age': '24', 'clubName': 'Real Madrid', 'clubID': '418', 'value': '€35.00m'}, {'date': '10/06/2021', 'age': '25', 'clubName': 'Real Madrid', 'clubID': '418', 'value': '€35.00m'}, {'date': '30/12/2021', 'age': '25', 'clubName': 'Real Madrid', 'clubID': '418', 'value': '€40.00m'}, {'date': '03/06/2022', 'age': '26', 'clubName': 'Real Madrid', 'clubID': '418', 'value': '€40.00m'}, {'date': '23/09/2022', 'age': '26', 'clubName': 'Real Madrid', 'clubID': '418', 'value': '€35.00m'}, {'date': '07/11/2022', 'age': '26', 'clubName': 'Real Madrid', 'clubID': '418', 'value': '€25.00m'}, {'date': '13/06/2023', 'age': '27', 'clubName': 'Real Madrid', 'clubID': '418', 'value': '€25.00m'}, {'date': '18/12/2023', 'age': '27', 'clubName': 'Paris Saint-Germain', 'clubID': '583', 'value': '€20.00m'}, {'date': '03/06/2024', 'age': '28', 'clubName': 'Paris Saint-Germain', 'clubID': '583', 'value': '€20.00m'}, {'date': '10/12/2024', 'age': '28', 'clubName': 'Paris Saint-Germain', 'clubID': '583', 'value': '€20.00m'}, {'date': '30/05/2025', 'age': '29', 'clubName': 'Aston Villa', 'clubID': '405', 'value': '€20.00m'}, {'date': '01/10/2025', 'age': '29', 'clubName': 'Fenerbahce', 'clubID': '36', 'value': '€17.00m'}, {'date': '17/12/2025', 'age': '29', 'clubName': 'Fenerbahce', 'clubID': '36', 'value': '€15.00m'}]}</t>
        </is>
      </c>
      <c r="L469" t="inlineStr">
        <is>
          <t>Spain</t>
        </is>
      </c>
      <c r="M469" t="inlineStr">
        <is>
          <t>1996-01-21</t>
        </is>
      </c>
      <c r="N469" t="inlineStr">
        <is>
          <t>38</t>
        </is>
      </c>
      <c r="O469">
        <f>(40+35+25)/3</f>
        <v/>
      </c>
      <c r="P469">
        <f>(35+35+40)/3</f>
        <v/>
      </c>
    </row>
    <row r="470">
      <c r="A470" t="inlineStr">
        <is>
          <t>Marlos</t>
        </is>
      </c>
      <c r="B470" t="inlineStr">
        <is>
          <t>Shakhtar Donetsk</t>
        </is>
      </c>
      <c r="C470" t="inlineStr">
        <is>
          <t>Midfielder</t>
        </is>
      </c>
      <c r="D470" t="n">
        <v>206</v>
      </c>
      <c r="E470" t="n">
        <v>6</v>
      </c>
      <c r="F470" t="n">
        <v>0</v>
      </c>
      <c r="G470" t="n">
        <v>0</v>
      </c>
      <c r="H470" t="n">
        <v>25.4</v>
      </c>
      <c r="I470" t="n">
        <v>30.1</v>
      </c>
      <c r="J470" t="n">
        <v>68778</v>
      </c>
      <c r="K470" t="inlineStr">
        <is>
          <t>{'marketValueHistory': [{'date': '18/02/2008', 'age': '19', 'clubName': 'Coritiba Foot Ball Club', 'clubID': '776', 'value': '€50k'}, {'date': '21/06/2008', 'age': '20', 'clubName': 'Coritiba Foot Ball Club', 'clubID': '776', 'value': '€300k'}, {'date': '08/08/2008', 'age': '20', 'clubName': 'Coritiba Foot Ball Club', 'clubID': '776', 'value': '€400k'}, {'date': '10/10/2008', 'age': '20', 'clubName': 'Coritiba Foot Ball Club', 'clubID': '776', 'value': '€900k'}, {'date': '12/12/2008', 'age': '20', 'clubName': 'Coritiba Foot Ball Club', 'clubID': '776', 'value': '€2.00m'}, {'date': '08/12/2009', 'age': '21', 'clubName': 'São Paulo Futebol Clube', 'clubID': '585', 'value': '€1.50m'}, {'date': '30/05/2011', 'age': '22', 'clubName': 'São Paulo Futebol Clube', 'clubID': '585', 'value': '€1.50m'}, {'date': '08/12/2011', 'age': '23', 'clubName': 'São Paulo Futebol Clube', 'clubID': '585', 'value': '€1.50m'}, {'date': '10/01/2012', 'age': '23', 'clubName': 'CA Rentistas', 'clubID': '10632', 'value': '€3.00m'}, {'date': '02/07/2012', 'age': '24', 'clubName': 'Metalist Kharkiv', 'clubID': '6414', 'value': '€3.50m'}, {'date': '22/11/2012', 'age': '24', 'clubName': 'Metalist Kharkiv', 'clubID': '6414', 'value': '€5.50m'}, {'date': '16/06/2013', 'age': '25', 'clubName': 'Metalist Kharkiv', 'clubID': '6414', 'value': '€7.50m'}, {'date': '30/06/2014', 'age': '26', 'clubName': 'Metalist Kharkiv', 'clubID': '6414', 'value': '€7.00m'}, {'date': '25/12/2014', 'age': '26', 'clubName': 'Shakhtar Donetsk', 'clubID': '660', 'value': '€7.00m'}, {'date': '07/06/2015', 'age': '27', 'clubName': 'Shakhtar Donetsk', 'clubID': '660', 'value': '€7.00m'}, {'date': '18/12/2015', 'age': '27', 'clubName': 'Shakhtar Donetsk', 'clubID': '660', 'value': '€8.00m'}, {'date': '21/07/2016', 'age': '28', 'clubName': 'Shakhtar Donetsk', 'clubID': '660', 'value': '€10.00m'}, {'date': '03/01/2017', 'age': '28', 'clubName': 'Shakhtar Donetsk', 'clubID': '660', 'value': '€10.00m'}, {'date': '26/06/2017', 'age': '29', 'clubName': 'Shakhtar Donetsk', 'clubID': '660', 'value': '€10.00m'}, {'date': '12/01/2018', 'age': '29', 'clubName': 'Shakhtar Donetsk', 'clubID': '660', 'value': '€11.00m'}, {'date': '06/08/2018', 'age': '30', 'clubName': 'Shakhtar Donetsk', 'clubID': '660', 'value': '€11.00m'}, {'date': '10/12/2018', 'age': '30', 'clubName': 'Shakhtar Donetsk', 'clubID': '660', 'value': '€11.00m'}, {'date': '20/06/2019', 'age': '31', 'clubName': 'Shakhtar Donetsk', 'clubID': '660', 'value': '€11.00m'}, {'date': '08/01/2020', 'age': '31', 'clubName': 'Shakhtar Donetsk', 'clubID': '660', 'value': '€10.00m'}, {'date': '08/04/2020', 'age': '31', 'clubName': 'Shakhtar Donetsk', 'clubID': '660', 'value': '€8.00m'}, {'date': '04/09/2020', 'age': '32', 'clubName': 'Shakhtar Donetsk', 'clubID': '660', 'value': '€7.00m'}, {'date': '14/01/2021', 'age': '32', 'clubName': 'Shakhtar Donetsk', 'clubID': '660', 'value': '€7.00m'}, {'date': '27/05/2021', 'age': '32', 'clubName': 'Shakhtar Donetsk', 'clubID': '660', 'value': '€5.00m'}, {'date': '20/12/2021', 'age': '33', 'clubName': 'Shakhtar Donetsk', 'clubID': '660', 'value': '€3.50m'}, {'date': '06/04/2022', 'age': '33', 'clubName': 'Club Athletico Paranaense', 'clubID': '679', 'value': '€3.00m'}, {'date': '19/08/2022', 'age': '34', 'clubName': 'Club Athletico Paranaense', 'clubID': '679', 'value': '€2.00m'}, {'date': '14/11/2022', 'age': '34', 'clubName': 'Club Athletico Paranaense', 'clubID': '679', 'value': '€1.20m'}, {'date': '28/03/2023', 'age': '34', 'clubName': 'Without Club', 'clubID': '515', 'value': '€800k'}, {'date': '25/10/2023', 'age': '35', 'clubName': 'Without Club', 'clubID': '515', 'value': '€400k'}, {'date': '29/03/2024', 'age': '35', 'clubName': 'Without Club', 'clubID': '515', 'value': '€200k'}, {'date': '01/05/2024', 'age': '35', 'clubName': 'Retired', 'clubID': '123', 'value': '-'}]}</t>
        </is>
      </c>
      <c r="L470" t="inlineStr">
        <is>
          <t>Brazil</t>
        </is>
      </c>
      <c r="M470" t="inlineStr">
        <is>
          <t>1988-06-07</t>
        </is>
      </c>
      <c r="N470" t="inlineStr">
        <is>
          <t>Ukraine</t>
        </is>
      </c>
      <c r="O470">
        <f>(3+2+1.2)/3</f>
        <v/>
      </c>
      <c r="P470">
        <f>(7+5+3.5)/3</f>
        <v/>
      </c>
    </row>
    <row r="471">
      <c r="A471" t="inlineStr">
        <is>
          <t>Ugarte</t>
        </is>
      </c>
      <c r="B471" t="inlineStr">
        <is>
          <t>Sporting CP</t>
        </is>
      </c>
      <c r="C471" t="inlineStr">
        <is>
          <t>Midfielder</t>
        </is>
      </c>
      <c r="D471" t="n">
        <v>205</v>
      </c>
      <c r="E471" t="n">
        <v>4</v>
      </c>
      <c r="F471" t="n">
        <v>0</v>
      </c>
      <c r="G471" t="n">
        <v>0</v>
      </c>
      <c r="H471" t="n">
        <v>29.6</v>
      </c>
      <c r="I471" t="n">
        <v>32</v>
      </c>
      <c r="J471" t="n">
        <v>351478</v>
      </c>
      <c r="K471" t="inlineStr">
        <is>
          <t>{'marketValueHistory': [{'date': '22/02/2016', 'age': '18', 'clubName': 'Real Sociedad', 'clubID': '681', 'value': '€2.50m'}, {'date': '15/07/2016', 'age': '19', 'clubName': 'Real Sociedad', 'clubID': '681', 'value': '€8.00m'}, {'date': '24/01/2017', 'age': '19', 'clubName': 'Real Sociedad', 'clubID': '681', 'value': '€10.00m'}, {'date': '05/06/2017', 'age': '20', 'clubName': 'Real Sociedad', 'clubID': '681', 'value': '€15.00m'}, {'date': '01/01/2018', 'age': '20', 'clubName': 'Real Sociedad', 'clubID': '681', 'value': '€30.00m'}, {'date': '22/03/2018', 'age': '20', 'clubName': 'Real Sociedad', 'clubID': '681', 'value': '€35.00m'}, {'date': '30/05/2018', 'age': '21', 'clubName': 'Real Sociedad', 'clubID': '681', 'value': '€35.00m'}, {'date': '21/12/2018', 'age': '21', 'clubName': 'Real Sociedad', 'clubID': '681', 'value': '€40.00m'}, {'date': '11/06/2019', 'age': '22', 'clubName': 'Real Sociedad', 'clubID': '681', 'value': '€50.00m'}, {'date': '10/09/2019', 'age': '22', 'clubName': 'Real Sociedad', 'clubID': '681', 'value': '€60.00m'}, {'date': '20/12/2019', 'age': '22', 'clubName': 'Real Sociedad', 'clubID': '681', 'value': '€60.00m'}, {'date': '08/04/2020', 'age': '22', 'clubName': 'Real Sociedad', 'clubID': '681', 'value': '€48.00m'}, {'date': '23/07/2020', 'age': '23', 'clubName': 'Real Sociedad', 'clubID': '681', 'value': '€60.00m'}, {'date': '08/10/2020', 'age': '23', 'clubName': 'Real Sociedad', 'clubID': '681', 'value': '€60.00m'}, {'date': '05/01/2021', 'age': '23', 'clubName': 'Real Sociedad', 'clubID': '681', 'value': '€70.00m'}, {'date': '31/05/2021', 'age': '24', 'clubName': 'Real Sociedad', 'clubID': '681', 'value': '€70.00m'}, {'date': '30/12/2021', 'age': '24', 'clubName': 'Real Sociedad', 'clubID': '681', 'value': '€70.00m'}, {'date': '03/06/2022', 'age': '25', 'clubName': 'Real Sociedad', 'clubID': '681', 'value': '€60.00m'}, {'date': '07/11/2022', 'age': '25', 'clubName': 'Real Sociedad', 'clubID': '681', 'value': '€60.00m'}, {'date': '23/03/2023', 'age': '25', 'clubName': 'Real Sociedad', 'clubID': '681', 'value': '€50.00m'}, {'date': '13/06/2023', 'age': '26', 'clubName': 'Real Sociedad', 'clubID': '681', 'value': '€40.00m'}, {'date': '22/12/2023', 'age': '26', 'clubName': 'Real Sociedad', 'clubID': '681', 'value': '€50.00m'}, {'date': '07/06/2024', 'age': '27', 'clubName': 'Real Sociedad', 'clubID': '681', 'value': '€45.00m'}, {'date': '11/10/2024', 'age': '27', 'clubName': 'Real Sociedad', 'clubID': '681', 'value': '€40.00m'}, {'date': '27/12/2024', 'age': '27', 'clubName': 'Real Sociedad', 'clubID': '681', 'value': '€35.00m'}, {'date': '21/03/2025', 'age': '27', 'clubName': 'Real Sociedad', 'clubID': '681', 'value': '€30.00m'}, {'date': '09/06/2025', 'age': '28', 'clubName': 'Real Sociedad', 'clubID': '681', 'value': '€25.00m'}, {'date': '02/10/2025', 'age': '28', 'clubName': 'Real Sociedad', 'clubID': '681', 'value': '€20.00m'}, {'date': '12/12/2025', 'age': '28', 'clubName': 'Real Sociedad', 'clubID': '681', 'value': '€25.00m'}]}</t>
        </is>
      </c>
      <c r="L471" t="inlineStr">
        <is>
          <t>Spain</t>
        </is>
      </c>
      <c r="M471" t="inlineStr">
        <is>
          <t>1997-04-21</t>
        </is>
      </c>
      <c r="N471" t="inlineStr">
        <is>
          <t>Spain</t>
        </is>
      </c>
      <c r="O471">
        <f>(60+60)/2</f>
        <v/>
      </c>
      <c r="P471">
        <f>(70+70+70)/3</f>
        <v/>
      </c>
    </row>
    <row r="472">
      <c r="A472" t="inlineStr">
        <is>
          <t>Yakhshiboev</t>
        </is>
      </c>
      <c r="B472" t="inlineStr">
        <is>
          <t>Sheriff</t>
        </is>
      </c>
      <c r="C472" t="inlineStr">
        <is>
          <t>Forward</t>
        </is>
      </c>
      <c r="D472" t="n">
        <v>205</v>
      </c>
      <c r="E472" t="n">
        <v>3</v>
      </c>
      <c r="F472" t="n">
        <v>1</v>
      </c>
      <c r="G472" t="n">
        <v>0</v>
      </c>
      <c r="H472" t="n">
        <v>27.9</v>
      </c>
      <c r="I472" t="n">
        <v>34.1</v>
      </c>
      <c r="J472" t="n">
        <v>493692</v>
      </c>
      <c r="K472" t="inlineStr">
        <is>
          <t>{'marketValueHistory': [{'date': 'Mar 11, 2017', 'age': '19', 'clubName': 'Pakhtakor Tashkent', 'clubID': '3718', 'value': '€25k'}, {'date': 'Apr 3, 2017', 'age': '19', 'clubName': 'Pakhtakor Tashkent', 'clubID': '3718', 'value': '€50k'}, {'date': 'Jul 15, 2017', 'age': '20', 'clubName': 'Pakhtakor Tashkent', 'clubID': '3718', 'value': '€75k'}, {'date': 'Dec 1, 2017', 'age': '20', 'clubName': 'Pakhtakor Tashkent', 'clubID': '3718', 'value': '€150k'}, {'date': 'May 20, 2018', 'age': '20', 'clubName': 'Pakhtakor Tashkent', 'clubID': '3718', 'value': '€250k'}, {'date': 'Dec 29, 2018', 'age': '21', 'clubName': 'Pakhtakor Tashkent', 'clubID': '3718', 'value': '€300k'}, {'date': 'Jun 28, 2019', 'age': '22', 'clubName': 'Pakhtakor Tashkent', 'clubID': '3718', 'value': '€300k'}, {'date': 'Dec 29, 2019', 'age': '22', 'clubName': 'FC AGMK Olmaliq', 'clubID': '31216', 'value': '€300k'}, {'date': 'Jul 3, 2020', 'age': '23', 'clubName': 'Energetik-BGU Minsk', 'clubID': '27204', 'value': '€600k'}, {'date': 'Dec 8, 2020', 'age': '23', 'clubName': 'Shakhter Soligorsk', 'clubID': '10695', 'value': '€750k'}, {'date': 'May 21, 2021', 'age': '23', 'clubName': 'Legia Warszawa', 'clubID': '255', 'value': '€500k'}, {'date': 'Oct 18, 2021', 'age': '24', 'clubName': 'FC Sheriff Tiraspol', 'clubID': '2481', 'value': '€700k'}, {'date': 'Dec 25, 2021', 'age': '24', 'clubName': 'FC Sheriff Tiraspol', 'clubID': '2481', 'value': '€700k'}, {'date': 'May 23, 2022', 'age': '24', 'clubName': 'FC Sheriff Tiraspol', 'clubID': '2481', 'value': '€550k'}, {'date': 'Nov 23, 2022', 'age': '25', 'clubName': 'Navbahor Namangan', 'clubID': '15310', 'value': '€500k'}, {'date': 'Jun 2, 2023', 'age': '25', 'clubName': 'Navbahor Namangan', 'clubID': '15310', 'value': '€550k'}, {'date': 'Dec 4, 2023', 'age': '26', 'clubName': 'Navbahor Namangan', 'clubID': '15310', 'value': '€500k'}, {'date': 'Jun 26, 2024', 'age': '27', 'clubName': 'Ordabasy Shymkent', 'clubID': '16779', 'value': '€500k'}, {'date': 'Nov 14, 2024', 'age': '27', 'clubName': 'Ordabasy Shymkent', 'clubID': '16779', 'value': '€700k'}, {'date': 'May 16, 2025', 'age': '27', 'clubName': 'FC Nassaji Mazandaran', 'clubID': '26013', 'value': '€600k'}, {'date': 'Oct 21, 2025', 'age': '28', 'clubName': 'Without Club', 'clubID': '515', 'value': '€500k'}]}</t>
        </is>
      </c>
      <c r="L472" t="inlineStr">
        <is>
          <t>Uzbekistan</t>
        </is>
      </c>
      <c r="M472" t="inlineStr">
        <is>
          <t>1997-06-24</t>
        </is>
      </c>
      <c r="N472" t="inlineStr">
        <is>
          <t>Uzbekistan</t>
        </is>
      </c>
      <c r="O472">
        <f>(0.55+0.5)/2</f>
        <v/>
      </c>
      <c r="P472">
        <f>(0.5+0.7+0.7)/3</f>
        <v/>
      </c>
    </row>
    <row r="473">
      <c r="A473" t="inlineStr">
        <is>
          <t>Munir</t>
        </is>
      </c>
      <c r="B473" t="inlineStr">
        <is>
          <t>Sevilla</t>
        </is>
      </c>
      <c r="C473" t="inlineStr">
        <is>
          <t>Forward</t>
        </is>
      </c>
      <c r="D473" t="n">
        <v>204</v>
      </c>
      <c r="E473" t="n">
        <v>4</v>
      </c>
      <c r="F473" t="n">
        <v>0</v>
      </c>
      <c r="G473" t="n">
        <v>0</v>
      </c>
      <c r="H473" t="n">
        <v>26.4</v>
      </c>
      <c r="I473" t="n">
        <v>29.8</v>
      </c>
      <c r="J473" t="n">
        <v>100986</v>
      </c>
      <c r="K473" t="inlineStr">
        <is>
          <t>{'marketValueHistory': [{'date': 'Jan 25, 2011', 'age': '19', 'clubName': 'Royal Excelsior Virton', 'clubID': '1199', 'value': '€300k'}, {'date': 'Aug 12, 2011', 'age': '19', 'clubName': 'Club Brugge KV', 'clubID': '2282', 'value': '€700k'}, {'date': 'Jan 5, 2012', 'age': '20', 'clubName': 'Club Brugge KV', 'clubID': '2282', 'value': '€1.50m'}, {'date': 'Oct 16, 2012', 'age': '21', 'clubName': 'Club Brugge KV', 'clubID': '2282', 'value': '€2.00m'}, {'date': 'Jun 25, 2013', 'age': '21', 'clubName': 'Club Brugge KV', 'clubID': '2282', 'value': '€2.20m'}, {'date': 'Feb 10, 2014', 'age': '22', 'clubName': 'Club Brugge KV', 'clubID': '2282', 'value': '€3.50m'}, {'date': 'Jun 28, 2014', 'age': '22', 'clubName': 'Club Brugge KV', 'clubID': '2282', 'value': '€3.50m'}, {'date': 'Jan 7, 2015', 'age': '23', 'clubName': 'Club Brugge KV', 'clubID': '2282', 'value': '€3.50m'}, {'date': 'Mar 24, 2015', 'age': '23', 'clubName': 'Club Brugge KV', 'clubID': '2282', 'value': '€4.50m'}, {'date': 'Jun 24, 2015', 'age': '23', 'clubName': 'Club Brugge KV', 'clubID': '2282', 'value': '€6.00m'}, {'date': 'Oct 22, 2015', 'age': '24', 'clubName': 'Club Brugge KV', 'clubID': '2282', 'value': '€7.00m'}, {'date': 'Feb 7, 2016', 'age': '24', 'clubName': 'Club Brugge KV', 'clubID': '2282', 'value': '€7.00m'}, {'date': 'Apr 14, 2016', 'age': '24', 'clubName': 'Club Brugge KV', 'clubID': '2282', 'value': '€6.00m'}, {'date': 'Jun 1, 2016', 'age': '24', 'clubName': 'Club Brugge KV', 'clubID': '2282', 'value': '€6.00m'}, {'date': 'Jul 13, 2016', 'age': '24', 'clubName': 'Paris Saint-Germain', 'clubID': '583', 'value': '€6.00m'}, {'date': 'Jan 16, 2017', 'age': '25', 'clubName': 'Paris Saint-Germain', 'clubID': '583', 'value': '€7.50m'}, {'date': 'Jun 1, 2017', 'age': '25', 'clubName': 'Paris Saint-Germain', 'clubID': '583', 'value': '€9.00m'}, {'date': 'Jan 24, 2018', 'age': '26', 'clubName': 'Paris Saint-Germain', 'clubID': '583', 'value': '€15.00m'}, {'date': 'Jun 4, 2018', 'age': '26', 'clubName': 'Paris Saint-Germain', 'clubID': '583', 'value': '€15.00m'}, {'date': 'Oct 24, 2018', 'age': '27', 'clubName': 'Paris Saint-Germain', 'clubID': '583', 'value': '€25.00m'}, {'date': 'Dec 17, 2018', 'age': '27', 'clubName': 'Paris Saint-Germain', 'clubID': '583', 'value': '€35.00m'}, {'date': 'Jun 3, 2019', 'age': '27', 'clubName': 'Paris Saint-Germain', 'clubID': '583', 'value': '€30.00m'}, {'date': 'Dec 19, 2019', 'age': '28', 'clubName': 'Paris Saint-Germain', 'clubID': '583', 'value': '€30.00m'}, {'date': 'Apr 8, 2020', 'age': '28', 'clubName': 'Paris Saint-Germain', 'clubID': '583', 'value': '€24.00m'}, {'date': 'Nov 26, 2020', 'age': '29', 'clubName': 'Borussia Dortmund', 'clubID': '16', 'value': '€18.00m'}, {'date': 'Feb 10, 2021', 'age': '29', 'clubName': 'Borussia Dortmund', 'clubID': '16', 'value': '€18.00m'}, {'date': 'Mar 31, 2021', 'age': '29', 'clubName': 'Borussia Dortmund', 'clubID': '16', 'value': '€12.00m'}, {'date': 'May 26, 2021', 'age': '29', 'clubName': 'Borussia Dortmund', 'clubID': '16', 'value': '€12.00m'}, {'date': 'Dec 22, 2021', 'age': '30', 'clubName': 'Borussia Dortmund', 'clubID': '16', 'value': '€9.00m'}, {'date': 'Jun 9, 2022', 'age': '30', 'clubName': 'Borussia Dortmund', 'clubID': '16', 'value': '€6.50m'}, {'date': 'Nov 9, 2022', 'age': '31', 'clubName': 'Borussia Dortmund', 'clubID': '16', 'value': '€6.50m'}, {'date': 'Jun 22, 2023', 'age': '31', 'clubName': 'Borussia Dortmund', 'clubID': '16', 'value': '€5.00m'}, {'date': 'Oct 18, 2023', 'age': '32', 'clubName': 'Borussia Dortmund', 'clubID': '16', 'value': '€3.00m'}, {'date': 'Dec 14, 2023', 'age': '32', 'clubName': 'Borussia Dortmund', 'clubID': '16', 'value': '€2.50m'}, {'date': 'Mar 15, 2024', 'age': '32', 'clubName': 'Trabzonspor', 'clubID': '449', 'value': '€2.50m'}, {'date': 'May 31, 2024', 'age': '32', 'clubName': 'Trabzonspor', 'clubID': '449', 'value': '€2.50m'}, {'date': 'Dec 10, 2024', 'age': '33', 'clubName': 'LOSC Lille', 'clubID': '1082', 'value': '€2.00m'}, {'date': 'Jun 3, 2025', 'age': '33', 'clubName': 'LOSC Lille', 'clubID': '1082', 'value': '€2.00m'}, {'date': 'Dec 15, 2025', 'age': '34', 'clubName': 'LOSC Lille', 'clubID': '1082', 'value': '€1.80m'}]}</t>
        </is>
      </c>
      <c r="L473" t="inlineStr">
        <is>
          <t>Belgium</t>
        </is>
      </c>
      <c r="M473" t="inlineStr">
        <is>
          <t>1991-09-12</t>
        </is>
      </c>
      <c r="N473" t="inlineStr">
        <is>
          <t>Belgium</t>
        </is>
      </c>
      <c r="O473">
        <f>(6.5+6.5)/2</f>
        <v/>
      </c>
      <c r="P473">
        <f>(18+12+12+9)/4</f>
        <v/>
      </c>
    </row>
    <row r="474">
      <c r="A474" t="inlineStr">
        <is>
          <t>Van de Beek</t>
        </is>
      </c>
      <c r="B474" t="inlineStr">
        <is>
          <t>Man United</t>
        </is>
      </c>
      <c r="C474" t="inlineStr">
        <is>
          <t>Midfielder</t>
        </is>
      </c>
      <c r="D474" t="n">
        <v>204</v>
      </c>
      <c r="E474" t="n">
        <v>4</v>
      </c>
      <c r="F474" t="n">
        <v>0</v>
      </c>
      <c r="G474" t="n">
        <v>0</v>
      </c>
      <c r="H474" t="n">
        <v>23.5</v>
      </c>
      <c r="I474" t="n">
        <v>29.7</v>
      </c>
      <c r="J474" t="n">
        <v>288255</v>
      </c>
      <c r="K474" t="inlineStr">
        <is>
          <t>{'marketValueHistory': [{'date': '26/01/2015', 'age': '17', 'clubName': 'Ajax Amsterdam U21', 'clubID': '610', 'value': '€25k'}, {'date': '21/02/2015', 'age': '17', 'clubName': 'Ajax Amsterdam U21', 'clubID': '610', 'value': '€200k'}, {'date': '01/07/2015', 'age': '18', 'clubName': 'Ajax Amsterdam U21', 'clubID': '610', 'value': '€250k'}, {'date': '05/02/2016', 'age': '18', 'clubName': 'Ajax Amsterdam', 'clubID': '610', 'value': '€1.00m'}, {'date': '15/07/2016', 'age': '19', 'clubName': 'Ajax Amsterdam', 'clubID': '610', 'value': '€1.50m'}, {'date': '18/01/2017', 'age': '19', 'clubName': 'Ajax Amsterdam', 'clubID': '610', 'value': '€2.00m'}, {'date': '07/06/2017', 'age': '20', 'clubName': 'Ajax Amsterdam', 'clubID': '610', 'value': '€4.00m'}, {'date': '26/10/2017', 'age': '20', 'clubName': 'Ajax Amsterdam', 'clubID': '610', 'value': '€5.50m'}, {'date': '17/01/2018', 'age': '20', 'clubName': 'Ajax Amsterdam', 'clubID': '610', 'value': '€9.00m'}, {'date': '12/06/2018', 'age': '21', 'clubName': 'Ajax Amsterdam', 'clubID': '610', 'value': '€14.00m'}, {'date': '04/10/2018', 'age': '21', 'clubName': 'Ajax Amsterdam', 'clubID': '610', 'value': '€18.00m'}, {'date': '28/12/2018', 'age': '21', 'clubName': 'Ajax Amsterdam', 'clubID': '610', 'value': '€20.00m'}, {'date': '13/03/2019', 'age': '21', 'clubName': 'Ajax Amsterdam', 'clubID': '610', 'value': '€25.00m'}, {'date': '12/06/2019', 'age': '22', 'clubName': 'Ajax Amsterdam', 'clubID': '610', 'value': '€40.00m'}, {'date': '19/09/2019', 'age': '22', 'clubName': 'Ajax Amsterdam', 'clubID': '610', 'value': '€50.00m'}, {'date': '18/12/2019', 'age': '22', 'clubName': 'Ajax Amsterdam', 'clubID': '610', 'value': '€55.00m'}, {'date': '08/04/2020', 'age': '22', 'clubName': 'Ajax Amsterdam', 'clubID': '610', 'value': '€44.00m'}, {'date': '13/10/2020', 'age': '23', 'clubName': 'Manchester United', 'clubID': '985', 'value': '€44.00m'}, {'date': '17/12/2020', 'age': '23', 'clubName': 'Manchester United', 'clubID': '985', 'value': '€40.00m'}, {'date': '18/03/2021', 'age': '23', 'clubName': 'Manchester United', 'clubID': '985', 'value': '€35.00m'}, {'date': '27/05/2021', 'age': '24', 'clubName': 'Manchester United', 'clubID': '985', 'value': '€30.00m'}, {'date': '05/10/2021', 'age': '24', 'clubName': 'Manchester United', 'clubID': '985', 'value': '€25.00m'}, {'date': '23/12/2021', 'age': '24', 'clubName': 'Manchester United', 'clubID': '985', 'value': '€25.00m'}, {'date': '15/06/2022', 'age': '25', 'clubName': 'Manchester United', 'clubID': '985', 'value': '€25.00m'}, {'date': '15/09/2022', 'age': '25', 'clubName': 'Manchester United', 'clubID': '985', 'value': '€20.00m'}, {'date': '03/11/2022', 'age': '25', 'clubName': 'Manchester United', 'clubID': '985', 'value': '€20.00m'}, {'date': '16/03/2023', 'age': '25', 'clubName': 'Manchester United', 'clubID': '985', 'value': '€17.00m'}, {'date': '20/06/2023', 'age': '26', 'clubName': 'Manchester United', 'clubID': '985', 'value': '€13.00m'}, {'date': '09/10/2023', 'age': '26', 'clubName': 'Manchester United', 'clubID': '985', 'value': '€10.00m'}, {'date': '19/12/2023', 'age': '26', 'clubName': 'Manchester United', 'clubID': '985', 'value': '€9.00m'}, {'date': '27/03/2024', 'age': '26', 'clubName': 'Eintracht Frankfurt', 'clubID': '24', 'value': '€7.00m'}, {'date': '29/05/2024', 'age': '27', 'clubName': 'Eintracht Frankfurt', 'clubID': '24', 'value': '€5.00m'}, {'date': '27/12/2024', 'age': '27', 'clubName': 'Girona FC', 'clubID': '12321', 'value': '€7.50m'}, {'date': '09/06/2025', 'age': '28', 'clubName': 'Girona FC', 'clubID': '12321', 'value': '€5.00m'}, {'date': '02/10/2025', 'age': '28', 'clubName': 'Girona FC', 'clubID': '12321', 'value': '€3.00m'}, {'date': '12/12/2025', 'age': '28', 'clubName': 'Girona FC', 'clubID': '12321', 'value': '€2.00m'}]}</t>
        </is>
      </c>
      <c r="L474" t="inlineStr">
        <is>
          <t>Netherlands</t>
        </is>
      </c>
      <c r="M474" t="inlineStr">
        <is>
          <t>1997-04-18</t>
        </is>
      </c>
      <c r="N474" t="inlineStr">
        <is>
          <t>Netherlands</t>
        </is>
      </c>
      <c r="O474">
        <f>(25+20+20)/3</f>
        <v/>
      </c>
      <c r="P474">
        <f>(35+30+25+25)/4</f>
        <v/>
      </c>
    </row>
    <row r="475">
      <c r="A475" t="inlineStr">
        <is>
          <t>Bornauw</t>
        </is>
      </c>
      <c r="B475" t="inlineStr">
        <is>
          <t>Wolfsburg</t>
        </is>
      </c>
      <c r="C475" t="inlineStr">
        <is>
          <t>Defender</t>
        </is>
      </c>
      <c r="D475" t="n">
        <v>204</v>
      </c>
      <c r="E475" t="n">
        <v>3</v>
      </c>
      <c r="F475" t="n">
        <v>0</v>
      </c>
      <c r="G475" t="n">
        <v>0</v>
      </c>
      <c r="H475" t="n">
        <v>22.3</v>
      </c>
      <c r="I475" t="n">
        <v>33</v>
      </c>
      <c r="J475" t="n">
        <v>338629</v>
      </c>
      <c r="K475" t="inlineStr">
        <is>
          <t>{'marketValueHistory': [{'date': '01/08/2018', 'age': '19', 'clubName': 'RSC Anderlecht', 'clubID': '58', 'value': '€600k'}, {'date': '11/09/2018', 'age': '19', 'clubName': 'RSC Anderlecht', 'clubID': '58', 'value': '€1.00m'}, {'date': '27/12/2018', 'age': '19', 'clubName': 'RSC Anderlecht', 'clubID': '58', 'value': '€2.20m'}, {'date': '10/06/2019', 'age': '20', 'clubName': 'RSC Anderlecht', 'clubID': '58', 'value': '€4.00m'}, {'date': '02/10/2019', 'age': '20', 'clubName': '1.FC Köln', 'clubID': '3', 'value': '€6.50m'}, {'date': '17/12/2019', 'age': '20', 'clubName': '1.FC Köln', 'clubID': '3', 'value': '€7.00m'}, {'date': '11/03/2020', 'age': '20', 'clubName': '1.FC Köln', 'clubID': '3', 'value': '€12.00m'}, {'date': '08/04/2020', 'age': '21', 'clubName': '1.FC Köln', 'clubID': '3', 'value': '€11.00m'}, {'date': '16/09/2020', 'age': '21', 'clubName': '1.FC Köln', 'clubID': '3', 'value': '€13.00m'}, {'date': '10/02/2021', 'age': '21', 'clubName': '1.FC Köln', 'clubID': '3', 'value': '€12.00m'}, {'date': '09/06/2021', 'age': '22', 'clubName': '1.FC Köln', 'clubID': '3', 'value': '€12.00m'}, {'date': '07/10/2021', 'age': '22', 'clubName': 'VfL Wolfsburg', 'clubID': '82', 'value': '€14.00m'}, {'date': '22/12/2021', 'age': '22', 'clubName': 'VfL Wolfsburg', 'clubID': '82', 'value': '€13.00m'}, {'date': '09/06/2022', 'age': '23', 'clubName': 'VfL Wolfsburg', 'clubID': '82', 'value': '€10.00m'}, {'date': '09/11/2022', 'age': '23', 'clubName': 'VfL Wolfsburg', 'clubID': '82', 'value': '€8.50m'}, {'date': '22/06/2023', 'age': '24', 'clubName': 'VfL Wolfsburg', 'clubID': '82', 'value': '€8.50m'}, {'date': '18/10/2023', 'age': '24', 'clubName': 'VfL Wolfsburg', 'clubID': '82', 'value': '€7.00m'}, {'date': '14/12/2023', 'age': '24', 'clubName': 'VfL Wolfsburg', 'clubID': '82', 'value': '€7.00m'}, {'date': '29/05/2024', 'age': '25', 'clubName': 'VfL Wolfsburg', 'clubID': '82', 'value': '€7.00m'}, {'date': '20/12/2024', 'age': '25', 'clubName': 'VfL Wolfsburg', 'clubID': '82', 'value': '€7.00m'}, {'date': '05/06/2025', 'age': '26', 'clubName': 'VfL Wolfsburg', 'clubID': '82', 'value': '€6.00m'}, {'date': '09/12/2025', 'age': '26', 'clubName': 'Leeds United', 'clubID': '399', 'value': '€5.00m'}, {'date': '09/03/2026', 'age': '26', 'clubName': 'Leeds United', 'clubID': '399', 'value': '€8.00m'}]}</t>
        </is>
      </c>
      <c r="L475" t="inlineStr">
        <is>
          <t>Belgium</t>
        </is>
      </c>
      <c r="M475" t="inlineStr">
        <is>
          <t>1999-03-22</t>
        </is>
      </c>
      <c r="N475" t="inlineStr">
        <is>
          <t>Belgium</t>
        </is>
      </c>
      <c r="O475">
        <f>(10+8.5)/2</f>
        <v/>
      </c>
      <c r="P475">
        <f>(12+12+14+13)/4</f>
        <v/>
      </c>
    </row>
    <row r="476">
      <c r="A476" t="inlineStr">
        <is>
          <t>Neres</t>
        </is>
      </c>
      <c r="B476" t="inlineStr">
        <is>
          <t>Ajax</t>
        </is>
      </c>
      <c r="C476" t="inlineStr">
        <is>
          <t>Forward</t>
        </is>
      </c>
      <c r="D476" t="n">
        <v>203</v>
      </c>
      <c r="E476" t="n">
        <v>5</v>
      </c>
      <c r="F476" t="n">
        <v>1</v>
      </c>
      <c r="G476" t="n">
        <v>0</v>
      </c>
      <c r="H476" t="n">
        <v>24</v>
      </c>
      <c r="I476" t="n">
        <v>32.9</v>
      </c>
      <c r="J476" t="n">
        <v>469822</v>
      </c>
      <c r="K476" t="inlineStr">
        <is>
          <t>{'marketValueHistory': [{'date': '02/02/2017', 'age': '19', 'clubName': 'Ajax Amsterdam', 'clubID': '610', 'value': '€7.00m'}, {'date': '07/06/2017', 'age': '20', 'clubName': 'Ajax Amsterdam', 'clubID': '610', 'value': '€7.00m'}, {'date': '26/10/2017', 'age': '20', 'clubName': 'Ajax Amsterdam', 'clubID': '610', 'value': '€9.00m'}, {'date': '17/01/2018', 'age': '20', 'clubName': 'Ajax Amsterdam', 'clubID': '610', 'value': '€15.00m'}, {'date': '12/06/2018', 'age': '21', 'clubName': 'Ajax Amsterdam', 'clubID': '610', 'value': '€20.00m'}, {'date': '04/10/2018', 'age': '21', 'clubName': 'Ajax Amsterdam', 'clubID': '610', 'value': '€25.00m'}, {'date': '28/12/2018', 'age': '21', 'clubName': 'Ajax Amsterdam', 'clubID': '610', 'value': '€25.00m'}, {'date': '13/03/2019', 'age': '22', 'clubName': 'Ajax Amsterdam', 'clubID': '610', 'value': '€32.00m'}, {'date': '12/06/2019', 'age': '22', 'clubName': 'Ajax Amsterdam', 'clubID': '610', 'value': '€45.00m'}, {'date': '18/12/2019', 'age': '22', 'clubName': 'Ajax Amsterdam', 'clubID': '610', 'value': '€45.00m'}, {'date': '08/04/2020', 'age': '23', 'clubName': 'Ajax Amsterdam', 'clubID': '610', 'value': '€36.00m'}, {'date': '14/10/2020', 'age': '23', 'clubName': 'Ajax Amsterdam', 'clubID': '610', 'value': '€36.00m'}, {'date': '09/03/2021', 'age': '24', 'clubName': 'Ajax Amsterdam', 'clubID': '610', 'value': '€30.00m'}, {'date': '19/05/2021', 'age': '24', 'clubName': 'Ajax Amsterdam', 'clubID': '610', 'value': '€27.00m'}, {'date': '04/10/2021', 'age': '24', 'clubName': 'Ajax Amsterdam', 'clubID': '610', 'value': '€22.00m'}, {'date': '05/01/2022', 'age': '24', 'clubName': 'Ajax Amsterdam', 'clubID': '610', 'value': '€20.00m'}, {'date': '18/05/2022', 'age': '25', 'clubName': 'Shakhtar Donetsk', 'clubID': '660', 'value': '€20.00m'}, {'date': '01/11/2022', 'age': '25', 'clubName': 'SL Benfica', 'clubID': '294', 'value': '€22.00m'}, {'date': '16/06/2023', 'age': '26', 'clubName': 'SL Benfica', 'clubID': '294', 'value': '€25.00m'}, {'date': '27/12/2023', 'age': '26', 'clubName': 'SL Benfica', 'clubID': '294', 'value': '€25.00m'}, {'date': '06/06/2024', 'age': '27', 'clubName': 'SL Benfica', 'clubID': '294', 'value': '€25.00m'}, {'date': '18/10/2024', 'age': '27', 'clubName': 'SSC Napoli', 'clubID': '6195', 'value': '€28.00m'}, {'date': '18/12/2024', 'age': '27', 'clubName': 'SSC Napoli', 'clubID': '6195', 'value': '€28.00m'}, {'date': '25/03/2025', 'age': '28', 'clubName': 'SSC Napoli', 'clubID': '6195', 'value': '€30.00m'}, {'date': '17/06/2025', 'age': '28', 'clubName': 'SSC Napoli', 'clubID': '6195', 'value': '€30.00m'}, {'date': '07/10/2025', 'age': '28', 'clubName': 'SSC Napoli', 'clubID': '6195', 'value': '€24.00m'}, {'date': '23/12/2025', 'age': '28', 'clubName': 'SSC Napoli', 'clubID': '6195', 'value': '€28.00m'}]}</t>
        </is>
      </c>
      <c r="L476" t="inlineStr">
        <is>
          <t>Brazil</t>
        </is>
      </c>
      <c r="M476" t="inlineStr">
        <is>
          <t>1997-03-03</t>
        </is>
      </c>
      <c r="N476" t="inlineStr">
        <is>
          <t>8</t>
        </is>
      </c>
      <c r="O476">
        <f>(20+20+22)/3</f>
        <v/>
      </c>
      <c r="P476">
        <f>(30+27+22)/3</f>
        <v/>
      </c>
    </row>
    <row r="477">
      <c r="A477" t="inlineStr">
        <is>
          <t>Haaland</t>
        </is>
      </c>
      <c r="B477" t="inlineStr">
        <is>
          <t>Dortmund</t>
        </is>
      </c>
      <c r="C477" t="inlineStr">
        <is>
          <t>Forward</t>
        </is>
      </c>
      <c r="D477" t="n">
        <v>203</v>
      </c>
      <c r="E477" t="n">
        <v>3</v>
      </c>
      <c r="F477" t="n">
        <v>3</v>
      </c>
      <c r="G477" t="n">
        <v>0</v>
      </c>
      <c r="H477" t="n">
        <v>22.3</v>
      </c>
      <c r="I477" t="n">
        <v>33.9</v>
      </c>
      <c r="J477" t="n">
        <v>418560</v>
      </c>
      <c r="K477" t="inlineStr">
        <is>
          <t>{'marketValueHistory': [{'date': '18/12/2016', 'age': '16', 'clubName': 'Bryne FK', 'clubID': '1057', 'value': '€200k'}, {'date': '23/12/2017', 'age': '17', 'clubName': 'Molde FK', 'clubID': '687', 'value': '€300k'}, {'date': '10/09/2018', 'age': '18', 'clubName': 'Molde FK', 'clubID': '687', 'value': '€2.00m'}, {'date': '30/12/2018', 'age': '18', 'clubName': 'Molde FK', 'clubID': '687', 'value': '€5.00m'}, {'date': '03/06/2019', 'age': '18', 'clubName': 'Red Bull Salzburg', 'clubID': '409', 'value': '€5.00m'}, {'date': '03/09/2019', 'age': '19', 'clubName': 'Red Bull Salzburg', 'clubID': '409', 'value': '€12.00m'}, {'date': '07/11/2019', 'age': '19', 'clubName': 'Red Bull Salzburg', 'clubID': '409', 'value': '€30.00m'}, {'date': '16/12/2019', 'age': '19', 'clubName': 'Red Bull Salzburg', 'clubID': '409', 'value': '€45.00m'}, {'date': '11/02/2020', 'age': '19', 'clubName': 'Borussia Dortmund', 'clubID': '16', 'value': '€60.00m'}, {'date': '11/03/2020', 'age': '19', 'clubName': 'Borussia Dortmund', 'clubID': '16', 'value': '€80.00m'}, {'date': '08/04/2020', 'age': '19', 'clubName': 'Borussia Dortmund', 'clubID': '16', 'value': '€72.00m'}, {'date': '16/09/2020', 'age': '20', 'clubName': 'Borussia Dortmund', 'clubID': '16', 'value': '€80.00m'}, {'date': '26/11/2020', 'age': '20', 'clubName': 'Borussia Dortmund', 'clubID': '16', 'value': '€100.00m'}, {'date': '10/02/2021', 'age': '20', 'clubName': 'Borussia Dortmund', 'clubID': '16', 'value': '€110.00m'}, {'date': '09/06/2021', 'age': '20', 'clubName': 'Borussia Dortmund', 'clubID': '16', 'value': '€130.00m'}, {'date': '07/10/2021', 'age': '21', 'clubName': 'Borussia Dortmund', 'clubID': '16', 'value': '€150.00m'}, {'date': '22/12/2021', 'age': '21', 'clubName': 'Borussia Dortmund', 'clubID': '16', 'value': '€150.00m'}, {'date': '09/06/2022', 'age': '21', 'clubName': 'Borussia Dortmund', 'clubID': '16', 'value': '€150.00m'}, {'date': '03/11/2022', 'age': '22', 'clubName': 'Manchester City', 'clubID': '281', 'value': '€170.00m'}, {'date': '20/06/2023', 'age': '22', 'clubName': 'Manchester City', 'clubID': '281', 'value': '€180.00m'}, {'date': '19/12/2023', 'age': '23', 'clubName': 'Manchester City', 'clubID': '281', 'value': '€180.00m'}, {'date': '27/05/2024', 'age': '23', 'clubName': 'Manchester City', 'clubID': '281', 'value': '€180.00m'}, {'date': '01/10/2024', 'age': '24', 'clubName': 'Manchester City', 'clubID': '281', 'value': '€200.00m'}, {'date': '16/12/2024', 'age': '24', 'clubName': 'Manchester City', 'clubID': '281', 'value': '€200.00m'}, {'date': '30/05/2025', 'age': '24', 'clubName': 'Manchester City', 'clubID': '281', 'value': '€180.00m'}, {'date': '09/12/2025', 'age': '25', 'clubName': 'Manchester City', 'clubID': '281', 'value': '€200.00m'}]}</t>
        </is>
      </c>
      <c r="L477" t="inlineStr">
        <is>
          <t>Norway</t>
        </is>
      </c>
      <c r="M477" t="inlineStr">
        <is>
          <t>2000-07-21</t>
        </is>
      </c>
      <c r="N477" t="inlineStr">
        <is>
          <t>49</t>
        </is>
      </c>
      <c r="O477">
        <f>(150+170)/2</f>
        <v/>
      </c>
      <c r="P477">
        <f>(110+130+150+150)/4</f>
        <v/>
      </c>
    </row>
    <row r="478">
      <c r="A478" t="inlineStr">
        <is>
          <t>Bruno Tabata</t>
        </is>
      </c>
      <c r="B478" t="inlineStr">
        <is>
          <t>Sporting CP</t>
        </is>
      </c>
      <c r="C478" t="inlineStr">
        <is>
          <t>Midfielder</t>
        </is>
      </c>
      <c r="D478" t="n">
        <v>201</v>
      </c>
      <c r="E478" t="n">
        <v>4</v>
      </c>
      <c r="F478" t="n">
        <v>1</v>
      </c>
      <c r="G478" t="n">
        <v>1</v>
      </c>
      <c r="H478" t="n">
        <v>28.3</v>
      </c>
      <c r="I478" t="n">
        <v>31.3</v>
      </c>
      <c r="J478" t="n">
        <v>438202</v>
      </c>
      <c r="K478" t="inlineStr">
        <is>
          <t>{'marketValueHistory': [{'date': 'Sep 30, 2016', 'age': '19', 'clubName': 'Portimonense SAD', 'clubID': '7378', 'value': '€75k'}, {'date': 'Jun 30, 2017', 'age': '20', 'clubName': 'Portimonense SAD', 'clubID': '7378', 'value': '€350k'}, {'date': 'Feb 7, 2018', 'age': '20', 'clubName': 'Portimonense SAD', 'clubID': '7378', 'value': '€400k'}, {'date': 'Jun 13, 2018', 'age': '21', 'clubName': 'Portimonense SAD', 'clubID': '7378', 'value': '€1.00m'}, {'date': 'Jan 11, 2019', 'age': '21', 'clubName': 'Portimonense SAD', 'clubID': '7378', 'value': '€2.00m'}, {'date': 'Jun 7, 2019', 'age': '22', 'clubName': 'Portimonense SAD', 'clubID': '7378', 'value': '€3.00m'}, {'date': 'Dec 30, 2019', 'age': '22', 'clubName': 'Portimonense SAD', 'clubID': '7378', 'value': '€2.50m'}, {'date': 'Apr 8, 2020', 'age': '23', 'clubName': 'Portimonense SAD', 'clubID': '7378', 'value': '€2.00m'}, {'date': 'Aug 17, 2020', 'age': '23', 'clubName': 'Portimonense SAD', 'clubID': '7378', 'value': '€4.00m'}, {'date': 'Jan 28, 2021', 'age': '23', 'clubName': 'Sporting CP', 'clubID': '336', 'value': '€4.00m'}, {'date': 'May 21, 2021', 'age': '24', 'clubName': 'Sporting CP', 'clubID': '336', 'value': '€4.00m'}, {'date': 'Dec 27, 2021', 'age': '24', 'clubName': 'Sporting CP', 'clubID': '336', 'value': '€4.00m'}, {'date': 'May 31, 2022', 'age': '25', 'clubName': 'Sporting CP', 'clubID': '336', 'value': '€4.00m'}, {'date': 'Aug 19, 2022', 'age': '25', 'clubName': 'Sociedade Esportiva Palmeiras', 'clubID': '1023', 'value': '€4.00m'}, {'date': 'Nov 14, 2022', 'age': '25', 'clubName': 'Sociedade Esportiva Palmeiras', 'clubID': '1023', 'value': '€4.00m'}, {'date': 'Apr 7, 2023', 'age': '26', 'clubName': 'Sociedade Esportiva Palmeiras', 'clubID': '1023', 'value': '€3.00m'}, {'date': 'Jul 25, 2023', 'age': '26', 'clubName': 'Qatar SC', 'clubID': '965', 'value': '€2.50m'}, {'date': 'Nov 27, 2023', 'age': '26', 'clubName': 'Qatar SC', 'clubID': '965', 'value': '€2.50m'}, {'date': 'May 2, 2024', 'age': '27', 'clubName': 'Qatar SC', 'clubID': '965', 'value': '€2.80m'}, {'date': 'Dec 9, 2024', 'age': '27', 'clubName': 'Sport Club Internacional', 'clubID': '6600', 'value': '€2.50m'}, {'date': 'Mar 28, 2025', 'age': '27', 'clubName': 'Sport Club Internacional', 'clubID': '6600', 'value': '€2.00m'}, {'date': 'Jun 6, 2025', 'age': '28', 'clubName': 'Sport Club Internacional', 'clubID': '6600', 'value': '€2.00m'}, {'date': 'Dec 10, 2025', 'age': '28', 'clubName': 'Sport Club Internacional', 'clubID': '6600', 'value': '€2.00m'}]}</t>
        </is>
      </c>
      <c r="L478" t="inlineStr">
        <is>
          <t>Brazil</t>
        </is>
      </c>
      <c r="M478" t="inlineStr">
        <is>
          <t>1997-03-30</t>
        </is>
      </c>
      <c r="N478" t="inlineStr">
        <is>
          <t>Brazil</t>
        </is>
      </c>
      <c r="O478">
        <f>(4+4+4)/3</f>
        <v/>
      </c>
      <c r="P478">
        <f>(4+4+4)/3</f>
        <v/>
      </c>
    </row>
    <row r="479">
      <c r="A479" t="inlineStr">
        <is>
          <t>Delaney</t>
        </is>
      </c>
      <c r="B479" t="inlineStr">
        <is>
          <t>Sevilla</t>
        </is>
      </c>
      <c r="C479" t="inlineStr">
        <is>
          <t>Midfielder</t>
        </is>
      </c>
      <c r="D479" t="n">
        <v>200</v>
      </c>
      <c r="E479" t="n">
        <v>4</v>
      </c>
      <c r="F479" t="n">
        <v>0</v>
      </c>
      <c r="G479" t="n">
        <v>0</v>
      </c>
      <c r="H479" t="n">
        <v>28.1</v>
      </c>
      <c r="I479" t="n">
        <v>31</v>
      </c>
      <c r="J479" t="n">
        <v>91849</v>
      </c>
      <c r="K479" t="inlineStr">
        <is>
          <t>{'id': '91849', 'marketValue': '€2.50m', 'marketValueHistory': [{'age': '17', 'date': 'Jun 21, 2009', 'clubName': 'FC Copenhagen U19', 'value': '€100k', 'clubID': '16104'}, {'age': '18', 'date': 'Oct 14, 2009', 'clubName': 'FC Copenhagen', 'value': '€250k', 'clubID': '190'}, {'age': '18', 'date': 'Jun 3, 2010', 'clubName': 'FC Copenhagen', 'value': '€400k', 'clubID': '190'}, {'age': '18', 'date': 'Aug 20, 2010', 'clubName': 'FC Copenhagen', 'value': '€500k', 'clubID': '190'}, {'age': '19', 'date': 'Jun 15, 2011', 'clubName': 'FC Copenhagen', 'value': '€500k', 'clubID': '190'}, {'age': '20', 'date': 'Dec 29, 2011', 'clubName': 'FC Copenhagen', 'value': '€800k', 'clubID': '190'}, {'age': '20', 'date': 'Jul 18, 2012', 'clubName': 'FC Copenhagen', 'value': '€800k', 'clubID': '190'}, {'age': '21', 'date': 'Jun 17, 2013', 'clubName': 'FC Copenhagen', 'value': '€1.00m', 'clubID': '190'}, {'age': '22', 'date': 'Feb 10, 2014', 'clubName': 'FC Copenhagen', 'value': '€1.50m', 'clubID': '190'}, {'age': '22', 'date': 'Aug 31, 2014', 'clubName': 'FC Copenhagen', 'value': '€1.50m', 'clubID': '190'}, {'age': '23', 'date': 'Feb 6, 2015', 'clubName': 'FC Copenhagen', 'value': '€1.50m', 'clubID': '190'}, {'age': '23', 'date': 'Sep 2, 2015', 'clubName': 'FC Copenhagen', 'value': '€1.50m', 'clubID': '190'}, {'age': '24', 'date': 'Jan 21, 2016', 'clubName': 'FC Copenhagen', 'value': '€1.50m', 'clubID': '190'}, {'age': '24', 'date': 'Aug 12, 2016', 'clubName': 'FC Copenhagen', 'value': '€2.00m', 'clubID': '190'}, {'age': '25', 'date': 'Dec 12, 2016', 'clubName': 'FC Copenhagen', 'value': '€3.50m', 'clubID': '190'}, {'age': '25', 'date': 'Mar 22, 2017', 'clubName': 'SV Werder Bremen', 'value': '€4.50m', 'clubID': '86'}, {'age': '25', 'date': 'Jun 19, 2017', 'clubName': 'SV Werder Bremen', 'value': '€6.00m', 'clubID': '86'}, {'age': '26', 'date': 'Dec 28, 2017', 'clubName': 'SV Werder Bremen', 'value': '€7.50m', 'clubID': '86'}, {'age': '26', 'date': 'Jun 5, 2018', 'clubName': 'SV Werder Bremen', 'value': '€12.00m', 'clubID': '86'}, {'age': '26', 'date': 'Jul 16, 2018', 'clubName': 'Borussia Dortmund', 'value': '€22.00m', 'clubID': '16'}, {'age': '27', 'date': 'Dec 18, 2018', 'clubName': 'Borussia Dortmund', 'value': '€27.00m', 'clubID': '16'}, {'age': '27', 'date': 'Jun 5, 2019', 'clubName': 'Borussia Dortmund', 'value': '€27.00m', 'clubID': '16'}, {'age': '28', 'date': 'Dec 17, 2019', 'clubName': 'Borussia Dortmund', 'value': '€22.00m', 'clubID': '16'}, {'age': '28', 'date': 'Apr 8, 2020', 'clubName': 'Borussia Dortmund', 'value': '€17.50m', 'clubID': '16'}, {'age': '29', 'date': 'Feb 10, 2021', 'clubName': 'Borussia Dortmund', 'value': '€17.50m', 'clubID': '16'}, {'age': '29', 'date': 'May 26, 2021', 'clubName': 'Borussia Dortmund', 'value': '€15.00m', 'clubID': '16'}, {'age': '30', 'date': 'Oct 13, 2021', 'clubName': 'Sevilla FC', 'value': '€9.00m', 'clubID': '368'}, {'age': '30', 'date': 'Dec 30, 2021', 'clubName': 'Sevilla FC', 'value': '€8.00m', 'clubID': '368'}, {'age': '30', 'date': 'Jun 3, 2022', 'clubName': 'Sevilla FC', 'value': '€7.00m', 'clubID': '368'}, {'age': '31', 'date': 'Nov 7, 2022', 'clubName': 'Sevilla FC', 'value': '€3.00m', 'clubID': '368'}, {'age': '31', 'date': 'Jun 22, 2023', 'clubName': 'TSG 1899 Hoffenheim', 'value': '€2.00m', 'clubID': '533'}, {'age': '32', 'date': 'Dec 19, 2023', 'clubName': 'RSC Anderlecht', 'value': '€2.50m', 'clubID': '58'}], 'ranking': {'Worldwide': '3.404', 'Jupiler Pro League': '113', 'RSC Anderlecht': '14', 'Denmark': '71', 'Central Midfield': '457', 'Year 1991': '70'}, 'updatedAt': datetime.datetime(2024, 5, 23, 22, 28, 3, 651208)}</t>
        </is>
      </c>
      <c r="L479" t="inlineStr">
        <is>
          <t>Kingdom of Denmark</t>
        </is>
      </c>
      <c r="M479" t="inlineStr">
        <is>
          <t>1991-09-03</t>
        </is>
      </c>
      <c r="N479" t="inlineStr">
        <is>
          <t>81</t>
        </is>
      </c>
      <c r="O479">
        <f>(7+3)/2</f>
        <v/>
      </c>
      <c r="P479">
        <f>(17.5+15+9+8)/4</f>
        <v/>
      </c>
    </row>
    <row r="480">
      <c r="A480" t="inlineStr">
        <is>
          <t>Darmian</t>
        </is>
      </c>
      <c r="B480" t="inlineStr">
        <is>
          <t>Inter</t>
        </is>
      </c>
      <c r="C480" t="inlineStr">
        <is>
          <t>Defender</t>
        </is>
      </c>
      <c r="D480" t="n">
        <v>196</v>
      </c>
      <c r="E480" t="n">
        <v>5</v>
      </c>
      <c r="F480" t="n">
        <v>0</v>
      </c>
      <c r="G480" t="n">
        <v>0</v>
      </c>
      <c r="H480" t="n">
        <v>25.1</v>
      </c>
      <c r="I480" t="n">
        <v>35.5</v>
      </c>
      <c r="J480" t="n">
        <v>54906</v>
      </c>
      <c r="K480" t="inlineStr">
        <is>
          <t>{'marketValueHistory': [{'date': '03/08/2007', 'age': '17', 'clubName': 'AC Milan', 'clubID': '5', 'value': '€50k'}, {'date': '04/07/2008', 'age': '18', 'clubName': 'AC Milan', 'clubID': '5', 'value': '€200k'}, {'date': '06/02/2009', 'age': '19', 'clubName': 'AC Milan', 'clubID': '5', 'value': '€300k'}, {'date': '09/02/2010', 'age': '20', 'clubName': 'Calcio Padova', 'clubID': '3037', 'value': '€500k'}, {'date': '19/07/2010', 'age': '20', 'clubName': 'US Palermo', 'clubID': '458', 'value': '€1.00m'}, {'date': '10/01/2011', 'age': '21', 'clubName': 'US Palermo', 'clubID': '458', 'value': '€800k'}, {'date': '21/06/2011', 'age': '21', 'clubName': 'US Palermo', 'clubID': '458', 'value': '€800k'}, {'date': '01/01/2012', 'age': '22', 'clubName': 'Torino FC', 'clubID': '416', 'value': '€800k'}, {'date': '12/06/2012', 'age': '22', 'clubName': 'Torino FC', 'clubID': '416', 'value': '€900k'}, {'date': '14/01/2013', 'age': '23', 'clubName': 'Torino FC', 'clubID': '416', 'value': '€1.50m'}, {'date': '19/06/2013', 'age': '23', 'clubName': 'Torino FC', 'clubID': '416', 'value': '€2.40m'}, {'date': '07/01/2014', 'age': '24', 'clubName': 'Torino FC', 'clubID': '416', 'value': '€3.00m'}, {'date': '10/03/2014', 'age': '24', 'clubName': 'Torino FC', 'clubID': '416', 'value': '€4.50m'}, {'date': '11/07/2014', 'age': '24', 'clubName': 'Torino FC', 'clubID': '416', 'value': '€8.00m'}, {'date': '07/01/2015', 'age': '25', 'clubName': 'Torino FC', 'clubID': '416', 'value': '€8.00m'}, {'date': '01/07/2015', 'age': '25', 'clubName': 'Torino FC', 'clubID': '416', 'value': '€12.00m'}, {'date': '14/10/2015', 'age': '25', 'clubName': 'Manchester United', 'clubID': '985', 'value': '€15.00m'}, {'date': '09/02/2016', 'age': '26', 'clubName': 'Manchester United', 'clubID': '985', 'value': '€15.00m'}, {'date': '01/06/2016', 'age': '26', 'clubName': 'Manchester United', 'clubID': '985', 'value': '€15.00m'}, {'date': '01/08/2016', 'age': '26', 'clubName': 'Manchester United', 'clubID': '985', 'value': '€15.00m'}, {'date': '20/02/2017', 'age': '27', 'clubName': 'Manchester United', 'clubID': '985', 'value': '€12.00m'}, {'date': '28/06/2017', 'age': '27', 'clubName': 'Manchester United', 'clubID': '985', 'value': '€12.00m'}, {'date': '02/01/2018', 'age': '28', 'clubName': 'Manchester United', 'clubID': '985', 'value': '€12.00m'}, {'date': '28/05/2018', 'age': '28', 'clubName': 'Manchester United', 'clubID': '985', 'value': '€10.00m'}, {'date': '19/12/2018', 'age': '29', 'clubName': 'Manchester United', 'clubID': '985', 'value': '€10.00m'}, {'date': '13/06/2019', 'age': '29', 'clubName': 'Manchester United', 'clubID': '985', 'value': '€10.00m'}, {'date': '12/12/2019', 'age': '30', 'clubName': 'Parma Calcio 1913', 'clubID': '130', 'value': '€8.00m'}, {'date': '08/04/2020', 'age': '30', 'clubName': 'Parma Calcio 1913', 'clubID': '130', 'value': '€6.50m'}, {'date': '25/08/2020', 'age': '30', 'clubName': 'Parma Calcio 1913', 'clubID': '130', 'value': '€6.50m'}, {'date': '29/12/2020', 'age': '31', 'clubName': 'Inter Milan', 'clubID': '46', 'value': '€7.00m'}, {'date': '03/06/2021', 'age': '31', 'clubName': 'Inter Milan', 'clubID': '46', 'value': '€7.00m'}, {'date': '28/12/2021', 'age': '32', 'clubName': 'Inter Milan', 'clubID': '46', 'value': '€7.00m'}, {'date': '07/06/2022', 'age': '32', 'clubName': 'Inter Milan', 'clubID': '46', 'value': '€5.00m'}, {'date': '11/11/2022', 'age': '32', 'clubName': 'Inter Milan', 'clubID': '46', 'value': '€4.00m'}, {'date': '15/06/2023', 'age': '33', 'clubName': 'Inter Milan', 'clubID': '46', 'value': '€4.00m'}, {'date': '20/12/2023', 'age': '34', 'clubName': 'Inter Milan', 'clubID': '46', 'value': '€4.00m'}, {'date': '05/06/2024', 'age': '34', 'clubName': 'Inter Milan', 'clubID': '46', 'value': '€4.00m'}, {'date': '18/12/2024', 'age': '35', 'clubName': 'Inter Milan', 'clubID': '46', 'value': '€4.00m'}, {'date': '17/06/2025', 'age': '35', 'clubName': 'Inter Milan', 'clubID': '46', 'value': '€2.50m'}, {'date': '23/12/2025', 'age': '36', 'clubName': 'Inter Milan', 'clubID': '46', 'value': '€1.50m'}]}</t>
        </is>
      </c>
      <c r="L480" t="inlineStr">
        <is>
          <t>Italy</t>
        </is>
      </c>
      <c r="M480" t="inlineStr">
        <is>
          <t>1989-12-02</t>
        </is>
      </c>
      <c r="N480" t="inlineStr">
        <is>
          <t>46</t>
        </is>
      </c>
      <c r="O480">
        <f>(5+4)/2</f>
        <v/>
      </c>
      <c r="P480">
        <f>(7+7)/2</f>
        <v/>
      </c>
    </row>
    <row r="481">
      <c r="A481" t="inlineStr">
        <is>
          <t>Schulz</t>
        </is>
      </c>
      <c r="B481" t="inlineStr">
        <is>
          <t>Dortmund</t>
        </is>
      </c>
      <c r="C481" t="inlineStr">
        <is>
          <t>Defender</t>
        </is>
      </c>
      <c r="D481" t="n">
        <v>195</v>
      </c>
      <c r="E481" t="n">
        <v>4</v>
      </c>
      <c r="F481" t="n">
        <v>0</v>
      </c>
      <c r="G481" t="n">
        <v>1</v>
      </c>
      <c r="H481" t="n">
        <v>24.5</v>
      </c>
      <c r="I481" t="n">
        <v>33.3</v>
      </c>
      <c r="J481" t="n">
        <v>85867</v>
      </c>
      <c r="K481" t="inlineStr">
        <is>
          <t>{'marketValueHistory': [{'date': '07/07/2010', 'age': '17', 'clubName': 'Hertha BSC', 'clubID': '44', 'value': '€50k'}, {'date': '02/08/2010', 'age': '17', 'clubName': 'Hertha BSC', 'clubID': '44', 'value': '€100k'}, {'date': '28/09/2010', 'age': '17', 'clubName': 'Hertha BSC', 'clubID': '44', 'value': '€250k'}, {'date': '18/10/2010', 'age': '17', 'clubName': 'Hertha BSC', 'clubID': '44', 'value': '€500k'}, {'date': '12/01/2011', 'age': '17', 'clubName': 'Hertha BSC', 'clubID': '44', 'value': '€500k'}, {'date': '29/06/2011', 'age': '18', 'clubName': 'Hertha BSC', 'clubID': '44', 'value': '€1.00m'}, {'date': '23/01/2012', 'age': '18', 'clubName': 'Hertha BSC', 'clubID': '44', 'value': '€750k'}, {'date': '29/06/2012', 'age': '19', 'clubName': 'Hertha BSC', 'clubID': '44', 'value': '€500k'}, {'date': '04/01/2013', 'age': '19', 'clubName': 'Hertha BSC', 'clubID': '44', 'value': '€800k'}, {'date': '29/06/2013', 'age': '20', 'clubName': 'Hertha BSC', 'clubID': '44', 'value': '€1.25m'}, {'date': '05/11/2013', 'age': '20', 'clubName': 'Hertha BSC', 'clubID': '44', 'value': '€2.20m'}, {'date': '12/02/2014', 'age': '20', 'clubName': 'Hertha BSC', 'clubID': '44', 'value': '€2.50m'}, {'date': '10/07/2014', 'age': '21', 'clubName': 'Hertha BSC', 'clubID': '44', 'value': '€3.00m'}, {'date': '04/02/2015', 'age': '21', 'clubName': 'Hertha BSC', 'clubID': '44', 'value': '€3.50m'}, {'date': '01/07/2015', 'age': '22', 'clubName': 'Hertha BSC', 'clubID': '44', 'value': '€3.50m'}, {'date': '15/02/2016', 'age': '22', 'clubName': 'Borussia Mönchengladbach', 'clubID': '18', 'value': '€3.50m'}, {'date': '22/07/2016', 'age': '23', 'clubName': 'Borussia Mönchengladbach', 'clubID': '18', 'value': '€3.00m'}, {'date': '07/02/2017', 'age': '23', 'clubName': 'Borussia Mönchengladbach', 'clubID': '18', 'value': '€2.00m'}, {'date': '19/06/2017', 'age': '24', 'clubName': 'Borussia Mönchengladbach', 'clubID': '18', 'value': '€2.00m'}, {'date': '18/10/2017', 'age': '24', 'clubName': 'TSG 1899 Hoffenheim', 'clubID': '533', 'value': '€2.50m'}, {'date': '28/12/2017', 'age': '24', 'clubName': 'TSG 1899 Hoffenheim', 'clubID': '533', 'value': '€3.00m'}, {'date': '04/04/2018', 'age': '25', 'clubName': 'TSG 1899 Hoffenheim', 'clubID': '533', 'value': '€4.00m'}, {'date': '05/06/2018', 'age': '25', 'clubName': 'TSG 1899 Hoffenheim', 'clubID': '533', 'value': '€7.00m'}, {'date': '22/08/2018', 'age': '25', 'clubName': 'TSG 1899 Hoffenheim', 'clubID': '533', 'value': '€10.00m'}, {'date': '22/10/2018', 'age': '25', 'clubName': 'TSG 1899 Hoffenheim', 'clubID': '533', 'value': '€15.00m'}, {'date': '18/12/2018', 'age': '25', 'clubName': 'TSG 1899 Hoffenheim', 'clubID': '533', 'value': '€20.00m'}, {'date': '05/06/2019', 'age': '26', 'clubName': 'TSG 1899 Hoffenheim', 'clubID': '533', 'value': '€25.00m'}, {'date': '17/12/2019', 'age': '26', 'clubName': 'Borussia Dortmund', 'clubID': '16', 'value': '€20.00m'}, {'date': '08/04/2020', 'age': '27', 'clubName': 'Borussia Dortmund', 'clubID': '16', 'value': '€16.00m'}, {'date': '08/07/2020', 'age': '27', 'clubName': 'Borussia Dortmund', 'clubID': '16', 'value': '€12.00m'}, {'date': '16/09/2020', 'age': '27', 'clubName': 'Borussia Dortmund', 'clubID': '16', 'value': '€10.00m'}, {'date': '10/02/2021', 'age': '27', 'clubName': 'Borussia Dortmund', 'clubID': '16', 'value': '€7.00m'}, {'date': '09/06/2021', 'age': '28', 'clubName': 'Borussia Dortmund', 'clubID': '16', 'value': '€6.00m'}, {'date': '22/12/2021', 'age': '28', 'clubName': 'Borussia Dortmund', 'clubID': '16', 'value': '€6.00m'}, {'date': '09/06/2022', 'age': '29', 'clubName': 'Borussia Dortmund', 'clubID': '16', 'value': '€4.00m'}, {'date': '21/09/2022', 'age': '29', 'clubName': 'Borussia Dortmund', 'clubID': '16', 'value': '€2.00m'}, {'date': '09/11/2022', 'age': '29', 'clubName': 'Borussia Dortmund', 'clubID': '16', 'value': '€2.00m'}, {'date': '22/06/2023', 'age': '30', 'clubName': 'Borussia Dortmund', 'clubID': '16', 'value': '€1.00m'}, {'date': '25/10/2023', 'age': '30', 'clubName': 'Without Club', 'clubID': '515', 'value': '€800k'}, {'date': '29/03/2024', 'age': '30', 'clubName': 'Without Club', 'clubID': '515', 'value': '€600k'}, {'date': '16/10/2024', 'age': '31', 'clubName': 'MKE Ankaragücü', 'clubID': '868', 'value': '€500k'}, {'date': '09/01/2025', 'age': '31', 'clubName': 'MKE Ankaragücü', 'clubID': '868', 'value': '€425k'}, {'date': '02/04/2025', 'age': '32', 'clubName': 'MKE Ankaragücü', 'clubID': '868', 'value': '€400k'}, {'date': '25/06/2025', 'age': '32', 'clubName': 'MKE Ankaragücü', 'clubID': '868', 'value': '€300k'}, {'date': '21/10/2025', 'age': '32', 'clubName': 'Without Club', 'clubID': '515', 'value': '€250k'}, {'date': '09/04/2026', 'age': '33', 'clubName': 'Without Club', 'clubID': '515', 'value': '€150k'}]}</t>
        </is>
      </c>
      <c r="L481" t="inlineStr">
        <is>
          <t>Germany</t>
        </is>
      </c>
      <c r="M481" t="inlineStr">
        <is>
          <t>1993-04-01</t>
        </is>
      </c>
      <c r="N481" t="inlineStr">
        <is>
          <t>Germany</t>
        </is>
      </c>
      <c r="O481">
        <f>(4+2+2)/3</f>
        <v/>
      </c>
      <c r="P481">
        <f>(7+6+6)/3</f>
        <v/>
      </c>
    </row>
    <row r="482">
      <c r="A482" t="inlineStr">
        <is>
          <t>Matic</t>
        </is>
      </c>
      <c r="B482" t="inlineStr">
        <is>
          <t>Man United</t>
        </is>
      </c>
      <c r="C482" t="inlineStr">
        <is>
          <t>Midfielder</t>
        </is>
      </c>
      <c r="D482" t="n">
        <v>194</v>
      </c>
      <c r="E482" t="n">
        <v>8</v>
      </c>
      <c r="F482" t="n">
        <v>0</v>
      </c>
      <c r="G482" t="n">
        <v>0</v>
      </c>
      <c r="H482" t="n">
        <v>24.6</v>
      </c>
      <c r="I482" t="n">
        <v>31.9</v>
      </c>
      <c r="J482" t="n">
        <v>74683</v>
      </c>
      <c r="K482" t="inlineStr">
        <is>
          <t>{'marketValueHistory': [{'date': 'Oct 21, 2008', 'age': '20', 'clubName': 'MFK Kosice', 'clubID': '779', 'value': '€350k'}, {'date': 'Feb 22, 2009', 'age': '20', 'clubName': 'MFK Kosice', 'clubID': '779', 'value': '€1.50m'}, {'date': 'Jan 25, 2010', 'age': '21', 'clubName': 'Chelsea FC', 'clubID': '631', 'value': '€2.00m'}, {'date': 'Jan 17, 2011', 'age': '22', 'clubName': 'Vitesse Arnhem', 'clubID': '499', 'value': '€2.25m'}, {'date': 'Jun 28, 2011', 'age': '22', 'clubName': 'Vitesse Arnhem', 'clubID': '499', 'value': '€3.00m'}, {'date': 'Feb 2, 2012', 'age': '23', 'clubName': 'SL Benfica', 'clubID': '294', 'value': '€4.00m'}, {'date': 'Jul 7, 2012', 'age': '23', 'clubName': 'SL Benfica', 'clubID': '294', 'value': '€6.00m'}, {'date': 'Mar 27, 2013', 'age': '24', 'clubName': 'SL Benfica', 'clubID': '294', 'value': '€14.00m'}, {'date': 'Jul 2, 2013', 'age': '24', 'clubName': 'SL Benfica', 'clubID': '294', 'value': '€22.00m'}, {'date': 'Oct 8, 2013', 'age': '25', 'clubName': 'SL Benfica', 'clubID': '294', 'value': '€27.00m'}, {'date': 'Feb 5, 2014', 'age': '25', 'clubName': 'Chelsea FC', 'clubID': '631', 'value': '€25.00m'}, {'date': 'Aug 12, 2014', 'age': '26', 'clubName': 'Chelsea FC', 'clubID': '631', 'value': '€26.00m'}, {'date': 'Feb 12, 2015', 'age': '26', 'clubName': 'Chelsea FC', 'clubID': '631', 'value': '€34.00m'}, {'date': 'Jul 1, 2015', 'age': '26', 'clubName': 'Chelsea FC', 'clubID': '631', 'value': '€40.00m'}, {'date': 'Feb 9, 2016', 'age': '27', 'clubName': 'Chelsea FC', 'clubID': '631', 'value': '€38.00m'}, {'date': 'Aug 1, 2016', 'age': '28', 'clubName': 'Chelsea FC', 'clubID': '631', 'value': '€32.00m'}, {'date': 'Feb 20, 2017', 'age': '28', 'clubName': 'Chelsea FC', 'clubID': '631', 'value': '€35.00m'}, {'date': 'Jun 28, 2017', 'age': '28', 'clubName': 'Chelsea FC', 'clubID': '631', 'value': '€35.00m'}, {'date': 'Jan 2, 2018', 'age': '29', 'clubName': 'Manchester United', 'clubID': '985', 'value': '€40.00m'}, {'date': 'May 28, 2018', 'age': '29', 'clubName': 'Manchester United', 'clubID': '985', 'value': '€40.00m'}, {'date': 'Dec 19, 2018', 'age': '30', 'clubName': 'Manchester United', 'clubID': '985', 'value': '€35.00m'}, {'date': 'Jun 13, 2019', 'age': '30', 'clubName': 'Manchester United', 'clubID': '985', 'value': '€30.00m'}, {'date': 'Sep 12, 2019', 'age': '31', 'clubName': 'Manchester United', 'clubID': '985', 'value': '€25.00m'}, {'date': 'Dec 10, 2019', 'age': '31', 'clubName': 'Manchester United', 'clubID': '985', 'value': '€20.00m'}, {'date': 'Apr 8, 2020', 'age': '31', 'clubName': 'Manchester United', 'clubID': '985', 'value': '€16.00m'}, {'date': 'Oct 13, 2020', 'age': '32', 'clubName': 'Manchester United', 'clubID': '985', 'value': '€16.00m'}, {'date': 'Dec 17, 2020', 'age': '32', 'clubName': 'Manchester United', 'clubID': '985', 'value': '€12.00m'}, {'date': 'Mar 18, 2021', 'age': '32', 'clubName': 'Manchester United', 'clubID': '985', 'value': '€10.00m'}, {'date': 'Jun 8, 2021', 'age': '32', 'clubName': 'Manchester United', 'clubID': '985', 'value': '€8.00m'}, {'date': 'Dec 23, 2021', 'age': '33', 'clubName': 'Manchester United', 'clubID': '985', 'value': '€6.00m'}, {'date': 'Jun 15, 2022', 'age': '33', 'clubName': 'Manchester United', 'clubID': '985', 'value': '€5.00m'}, {'date': 'Nov 11, 2022', 'age': '34', 'clubName': 'AS Roma', 'clubID': '12', 'value': '€4.00m'}, {'date': 'Jun 15, 2023', 'age': '34', 'clubName': 'AS Roma', 'clubID': '12', 'value': '€4.00m'}, {'date': 'Dec 18, 2023', 'age': '35', 'clubName': 'Stade Rennais FC', 'clubID': '273', 'value': '€3.50m'}, {'date': 'Jun 3, 2024', 'age': '35', 'clubName': 'Olympique Lyon', 'clubID': '1041', 'value': '€3.00m'}, {'date': 'Dec 10, 2024', 'age': '36', 'clubName': 'Olympique Lyon', 'clubID': '1041', 'value': '€2.50m'}, {'date': 'Jun 3, 2025', 'age': '36', 'clubName': 'Olympique Lyon', 'clubID': '1041', 'value': '€2.00m'}, {'date': 'Dec 23, 2025', 'age': '37', 'clubName': 'US Sassuolo', 'clubID': '6574', 'value': '€1.80m'}]}</t>
        </is>
      </c>
      <c r="L482" t="inlineStr">
        <is>
          <t>Serbia</t>
        </is>
      </c>
      <c r="M482" t="inlineStr">
        <is>
          <t>1988-08-01</t>
        </is>
      </c>
      <c r="N482" t="inlineStr">
        <is>
          <t>Serbia</t>
        </is>
      </c>
      <c r="O482">
        <f>(5+4)/2</f>
        <v/>
      </c>
      <c r="P482">
        <f>(10+8+6)/3</f>
        <v/>
      </c>
    </row>
    <row r="483">
      <c r="A483" t="inlineStr">
        <is>
          <t>Gerhardt</t>
        </is>
      </c>
      <c r="B483" t="inlineStr">
        <is>
          <t>Wolfsburg</t>
        </is>
      </c>
      <c r="C483" t="inlineStr">
        <is>
          <t>Midfielder</t>
        </is>
      </c>
      <c r="D483" t="n">
        <v>192</v>
      </c>
      <c r="E483" t="n">
        <v>5</v>
      </c>
      <c r="F483" t="n">
        <v>0</v>
      </c>
      <c r="G483" t="n">
        <v>1</v>
      </c>
      <c r="H483" t="n">
        <v>25.8</v>
      </c>
      <c r="I483" t="n">
        <v>31.8</v>
      </c>
      <c r="J483" t="n">
        <v>119277</v>
      </c>
      <c r="K483" t="inlineStr">
        <is>
          <t>{'marketValueHistory': [{'date': '06/04/2013', 'age': '19', 'clubName': '1.FC Köln U19', 'clubID': '1461', 'value': '€75k'}, {'date': '19/08/2013', 'age': '19', 'clubName': '1.FC Köln', 'clubID': '3', 'value': '€350k'}, {'date': '14/10/2013', 'age': '19', 'clubName': '1.FC Köln', 'clubID': '3', 'value': '€700k'}, {'date': '20/01/2014', 'age': '19', 'clubName': '1.FC Köln', 'clubID': '3', 'value': '€1.50m'}, {'date': '30/06/2014', 'age': '20', 'clubName': '1.FC Köln', 'clubID': '3', 'value': '€3.50m'}, {'date': '04/02/2015', 'age': '20', 'clubName': '1.FC Köln', 'clubID': '3', 'value': '€3.50m'}, {'date': '01/07/2015', 'age': '21', 'clubName': '1.FC Köln', 'clubID': '3', 'value': '€3.50m'}, {'date': '15/02/2016', 'age': '21', 'clubName': '1.FC Köln', 'clubID': '3', 'value': '€3.50m'}, {'date': '13/04/2016', 'age': '22', 'clubName': '1.FC Köln', 'clubID': '3', 'value': '€4.50m'}, {'date': '22/07/2016', 'age': '22', 'clubName': 'VfL Wolfsburg', 'clubID': '82', 'value': '€10.00m'}, {'date': '07/02/2017', 'age': '22', 'clubName': 'VfL Wolfsburg', 'clubID': '82', 'value': '€12.00m'}, {'date': '19/06/2017', 'age': '23', 'clubName': 'VfL Wolfsburg', 'clubID': '82', 'value': '€10.00m'}, {'date': '28/12/2017', 'age': '23', 'clubName': 'VfL Wolfsburg', 'clubID': '82', 'value': '€8.00m'}, {'date': '04/04/2018', 'age': '24', 'clubName': 'VfL Wolfsburg', 'clubID': '82', 'value': '€6.50m'}, {'date': '05/06/2018', 'age': '24', 'clubName': 'VfL Wolfsburg', 'clubID': '82', 'value': '€5.00m'}, {'date': '18/12/2018', 'age': '24', 'clubName': 'VfL Wolfsburg', 'clubID': '82', 'value': '€6.00m'}, {'date': '06/03/2019', 'age': '24', 'clubName': 'VfL Wolfsburg', 'clubID': '82', 'value': '€8.50m'}, {'date': '05/06/2019', 'age': '25', 'clubName': 'VfL Wolfsburg', 'clubID': '82', 'value': '€10.00m'}, {'date': '17/12/2019', 'age': '25', 'clubName': 'VfL Wolfsburg', 'clubID': '82', 'value': '€8.50m'}, {'date': '08/04/2020', 'age': '26', 'clubName': 'VfL Wolfsburg', 'clubID': '82', 'value': '€6.80m'}, {'date': '16/09/2020', 'age': '26', 'clubName': 'VfL Wolfsburg', 'clubID': '82', 'value': '€6.00m'}, {'date': '10/02/2021', 'age': '26', 'clubName': 'VfL Wolfsburg', 'clubID': '82', 'value': '€7.50m'}, {'date': '09/06/2021', 'age': '27', 'clubName': 'VfL Wolfsburg', 'clubID': '82', 'value': '€10.00m'}, {'date': '07/10/2021', 'age': '27', 'clubName': 'VfL Wolfsburg', 'clubID': '82', 'value': '€7.00m'}, {'date': '22/12/2021', 'age': '27', 'clubName': 'VfL Wolfsburg', 'clubID': '82', 'value': '€7.00m'}, {'date': '24/03/2022', 'age': '28', 'clubName': 'VfL Wolfsburg', 'clubID': '82', 'value': '€5.50m'}, {'date': '09/06/2022', 'age': '28', 'clubName': 'VfL Wolfsburg', 'clubID': '82', 'value': '€6.00m'}, {'date': '09/11/2022', 'age': '28', 'clubName': 'VfL Wolfsburg', 'clubID': '82', 'value': '€6.00m'}, {'date': '29/03/2023', 'age': '29', 'clubName': 'VfL Wolfsburg', 'clubID': '82', 'value': '€7.00m'}, {'date': '22/06/2023', 'age': '29', 'clubName': 'VfL Wolfsburg', 'clubID': '82', 'value': '€6.00m'}, {'date': '14/12/2023', 'age': '29', 'clubName': 'VfL Wolfsburg', 'clubID': '82', 'value': '€5.00m'}, {'date': '29/05/2024', 'age': '30', 'clubName': 'VfL Wolfsburg', 'clubID': '82', 'value': '€4.00m'}, {'date': '20/12/2024', 'age': '30', 'clubName': 'VfL Wolfsburg', 'clubID': '82', 'value': '€3.00m'}, {'date': '05/06/2025', 'age': '31', 'clubName': 'VfL Wolfsburg', 'clubID': '82', 'value': '€2.50m'}, {'date': '19/12/2025', 'age': '31', 'clubName': 'VfL Wolfsburg', 'clubID': '82', 'value': '€2.00m'}]}</t>
        </is>
      </c>
      <c r="L483" t="inlineStr">
        <is>
          <t>Germany</t>
        </is>
      </c>
      <c r="M483" t="inlineStr">
        <is>
          <t>1994-03-13</t>
        </is>
      </c>
      <c r="N483" t="inlineStr">
        <is>
          <t>Germany</t>
        </is>
      </c>
      <c r="O483">
        <f>(5.5+6+6)/3</f>
        <v/>
      </c>
      <c r="P483">
        <f>(7.5+10+7+7)/4</f>
        <v/>
      </c>
    </row>
    <row r="484">
      <c r="A484" t="inlineStr">
        <is>
          <t>Kryvtsov</t>
        </is>
      </c>
      <c r="B484" t="inlineStr">
        <is>
          <t>Shakhtar Donetsk</t>
        </is>
      </c>
      <c r="C484" t="inlineStr">
        <is>
          <t>Defender</t>
        </is>
      </c>
      <c r="D484" t="n">
        <v>192</v>
      </c>
      <c r="E484" t="n">
        <v>3</v>
      </c>
      <c r="F484" t="n">
        <v>0</v>
      </c>
      <c r="G484" t="n">
        <v>1</v>
      </c>
      <c r="H484" t="n">
        <v>23.4</v>
      </c>
      <c r="I484" t="n">
        <v>30.1</v>
      </c>
      <c r="J484" t="n">
        <v>74089</v>
      </c>
      <c r="K484" t="inlineStr">
        <is>
          <t>{'id': '74089', 'marketValue': '€1.80m', 'marketValueHistory': [{'age': '17', 'date': 'May 21, 2008', 'clubName': 'Metalurg Zaporizhya', 'value': '€150k', 'clubID': '6994'}, {'age': '17', 'date': 'Oct 9, 2008', 'clubName': 'Metalurg Zaporizhya', 'value': '€225k', 'clubID': '6994'}, {'age': '17', 'date': 'Dec 2, 2008', 'clubName': 'Metalurg Zaporizhya', 'value': '€450k', 'clubID': '6994'}, {'age': '18', 'date': 'Mar 18, 2009', 'clubName': 'Metalurg Zaporizhya', 'value': '€450k', 'clubID': '6994'}, {'age': '18', 'date': 'Sep 21, 2009', 'clubName': 'Metalurg Zaporizhya', 'value': '€900k', 'clubID': '6994'}, {'age': '18', 'date': 'Feb 17, 2010', 'clubName': 'Metalurg Zaporizhya', 'value': '€800k', 'clubID': '6994'}, {'age': '19', 'date': 'Aug 28, 2010', 'clubName': 'Shakhtar Donetsk', 'value': '€1.00m', 'clubID': '660'}, {'age': '19', 'date': 'Jan 2, 2011', 'clubName': 'Shakhtar Donetsk', 'value': '€1.00m', 'clubID': '660'}, {'age': '20', 'date': 'Jun 10, 2011', 'clubName': 'Shakhtar Donetsk', 'value': '€900k', 'clubID': '660'}, {'age': '20', 'date': 'Jan 5, 2012', 'clubName': 'Shakhtar Donetsk', 'value': '€1.20m', 'clubID': '660'}, {'age': '21', 'date': 'Jul 2, 2012', 'clubName': 'Shakhtar Donetsk', 'value': '€1.00m', 'clubID': '660'}, {'age': '22', 'date': 'Jun 17, 2013', 'clubName': 'Shakhtar Donetsk', 'value': '€1.50m', 'clubID': '660'}, {'age': '22', 'date': 'Jan 2, 2014', 'clubName': 'Shakhtar Donetsk', 'value': '€2.00m', 'clubID': '660'}, {'age': '23', 'date': 'Jun 30, 2014', 'clubName': 'Shakhtar Donetsk', 'value': '€2.50m', 'clubID': '660'}, {'age': '23', 'date': 'Dec 25, 2014', 'clubName': 'Shakhtar Donetsk', 'value': '€2.00m', 'clubID': '660'}, {'age': '24', 'date': 'Jun 7, 2015', 'clubName': 'Shakhtar Donetsk', 'value': '€2.00m', 'clubID': '660'}, {'age': '24', 'date': 'Dec 18, 2015', 'clubName': 'Shakhtar Donetsk', 'value': '€1.50m', 'clubID': '660'}, {'age': '25', 'date': 'Jul 21, 2016', 'clubName': 'Shakhtar Donetsk', 'value': '€2.00m', 'clubID': '660'}, {'age': '25', 'date': 'Jan 3, 2017', 'clubName': 'Shakhtar Donetsk', 'value': '€2.00m', 'clubID': '660'}, {'age': '26', 'date': 'Jun 26, 2017', 'clubName': 'Shakhtar Donetsk', 'value': '€1.80m', 'clubID': '660'}, {'age': '26', 'date': 'Jan 12, 2018', 'clubName': 'Shakhtar Donetsk', 'value': '€1.80m', 'clubID': '660'}, {'age': '27', 'date': 'Aug 6, 2018', 'clubName': 'Shakhtar Donetsk', 'value': '€2.00m', 'clubID': '660'}, {'age': '27', 'date': 'Dec 10, 2018', 'clubName': 'Shakhtar Donetsk', 'value': '€2.50m', 'clubID': '660'}, {'age': '28', 'date': 'Jun 20, 2019', 'clubName': 'Shakhtar Donetsk', 'value': '€4.00m', 'clubID': '660'}, {'age': '28', 'date': 'Jan 8, 2020', 'clubName': 'Shakhtar Donetsk', 'value': '€5.00m', 'clubID': '660'}, {'age': '29', 'date': 'Apr 8, 2020', 'clubName': 'Shakhtar Donetsk', 'value': '€4.00m', 'clubID': '660'}, {'age': '29', 'date': 'Sep 4, 2020', 'clubName': 'Shakhtar Donetsk', 'value': '€4.50m', 'clubID': '660'}, {'age': '29', 'date': 'Jan 14, 2021', 'clubName': 'Shakhtar Donetsk', 'value': '€4.50m', 'clubID': '660'}, {'age': '30', 'date': 'May 27, 2021', 'clubName': 'Shakhtar Donetsk', 'value': '€4.00m', 'clubID': '660'}, {'age': '30', 'date': 'Dec 20, 2021', 'clubName': 'Shakhtar Donetsk', 'value': '€3.00m', 'clubID': '660'}, {'age': '31', 'date': 'May 18, 2022', 'clubName': 'Shakhtar Donetsk', 'value': '€3.00m', 'clubID': '660'}, {'age': '31', 'date': 'Dec 6, 2022', 'clubName': 'Shakhtar Donetsk', 'value': '€2.00m', 'clubID': '660'}, {'age': '32', 'date': 'Aug 22, 2023', 'clubName': 'Inter Miami CF', 'value': '€2.00m', 'clubID': '69261'}, {'age': '32', 'date': 'Dec 18, 2023', 'clubName': 'Inter Miami CF', 'value': '€2.00m', 'clubID': '69261'}, {'age': '33', 'date': 'Mar 25, 2024', 'clubName': 'Inter Miami CF', 'value': '€1.80m', 'clubID': '69261'}], 'ranking': {'Worldwide': '4.703', 'MLS': '224', 'Miami': '14', 'Ukraine': '47', 'Centre-Back': '810', 'Year 1991': '113'}, 'updatedAt': datetime.datetime(2024, 5, 23, 22, 35, 8, 495615)}</t>
        </is>
      </c>
      <c r="L484" t="inlineStr">
        <is>
          <t>Ukraine</t>
        </is>
      </c>
      <c r="M484" t="inlineStr">
        <is>
          <t>1991-03-15</t>
        </is>
      </c>
      <c r="N484" t="inlineStr">
        <is>
          <t>34</t>
        </is>
      </c>
      <c r="O484">
        <f>(3+2)/2</f>
        <v/>
      </c>
      <c r="P484">
        <f>(4.5+4+3)/3</f>
        <v/>
      </c>
    </row>
    <row r="485">
      <c r="A485" t="inlineStr">
        <is>
          <t>Uysal</t>
        </is>
      </c>
      <c r="B485" t="inlineStr">
        <is>
          <t>Besiktas</t>
        </is>
      </c>
      <c r="C485" t="inlineStr">
        <is>
          <t>Midfielder</t>
        </is>
      </c>
      <c r="D485" t="n">
        <v>189</v>
      </c>
      <c r="E485" t="n">
        <v>3</v>
      </c>
      <c r="F485" t="n">
        <v>0</v>
      </c>
      <c r="G485" t="n">
        <v>0</v>
      </c>
      <c r="H485" t="n">
        <v>19.8</v>
      </c>
      <c r="I485" t="n">
        <v>31.6</v>
      </c>
      <c r="J485" t="n">
        <v>77710</v>
      </c>
      <c r="K485" t="inlineStr">
        <is>
          <t>{'marketValueHistory': [{'date': 'Sep 3, 2008', 'age': '17', 'clubName': 'Besiktas JK U21', 'clubID': '4521', 'value': '€50k'}, {'date': 'Mar 21, 2009', 'age': '18', 'clubName': 'Besiktas JK U21', 'clubID': '4521', 'value': '€100k'}, {'date': 'Jul 16, 2009', 'age': '18', 'clubName': 'Besiktas JK', 'clubID': '114', 'value': '€300k'}, {'date': 'Jan 11, 2010', 'age': '18', 'clubName': 'Besiktas JK', 'clubID': '114', 'value': '€200k'}, {'date': 'Feb 28, 2010', 'age': '19', 'clubName': 'Besiktas JK', 'clubID': '114', 'value': '€300k'}, {'date': 'Jun 22, 2010', 'age': '19', 'clubName': 'Besiktas JK', 'clubID': '114', 'value': '€1.50m'}, {'date': 'Jan 21, 2011', 'age': '19', 'clubName': 'Besiktas JK', 'clubID': '114', 'value': '€3.00m'}, {'date': 'Jul 1, 2011', 'age': '20', 'clubName': 'Besiktas JK', 'clubID': '114', 'value': '€4.50m'}, {'date': 'Jan 9, 2012', 'age': '20', 'clubName': 'Besiktas JK', 'clubID': '114', 'value': '€5.00m'}, {'date': 'Jun 19, 2012', 'age': '21', 'clubName': 'Besiktas JK', 'clubID': '114', 'value': '€4.50m'}, {'date': 'Jan 6, 2013', 'age': '21', 'clubName': 'Besiktas JK', 'clubID': '114', 'value': '€5.50m'}, {'date': 'Jun 15, 2013', 'age': '22', 'clubName': 'Besiktas JK', 'clubID': '114', 'value': '€5.50m'}, {'date': 'Jan 27, 2014', 'age': '23', 'clubName': 'Besiktas JK', 'clubID': '114', 'value': '€5.00m'}, {'date': 'Jul 23, 2014', 'age': '23', 'clubName': 'Besiktas JK', 'clubID': '114', 'value': '€5.00m'}, {'date': 'Jan 26, 2015', 'age': '24', 'clubName': 'Besiktas JK', 'clubID': '114', 'value': '€4.00m'}, {'date': 'Jun 25, 2015', 'age': '24', 'clubName': 'Besiktas JK', 'clubID': '114', 'value': '€4.00m'}, {'date': 'Jan 18, 2016', 'age': '24', 'clubName': 'Besiktas JK', 'clubID': '114', 'value': '€4.00m'}, {'date': 'Jul 15, 2016', 'age': '25', 'clubName': 'Besiktas JK', 'clubID': '114', 'value': '€4.50m'}, {'date': 'Jan 10, 2017', 'age': '25', 'clubName': 'Besiktas JK', 'clubID': '114', 'value': '€4.50m'}, {'date': 'Jun 9, 2017', 'age': '26', 'clubName': 'Besiktas JK', 'clubID': '114', 'value': '€3.25m'}, {'date': 'Feb 12, 2018', 'age': '27', 'clubName': 'Besiktas JK', 'clubID': '114', 'value': '€2.50m'}, {'date': 'May 29, 2018', 'age': '27', 'clubName': 'Besiktas JK', 'clubID': '114', 'value': '€1.50m'}, {'date': 'Jan 4, 2019', 'age': '27', 'clubName': 'Besiktas JK', 'clubID': '114', 'value': '€1.50m'}, {'date': 'Jun 4, 2019', 'age': '28', 'clubName': 'Besiktas JK', 'clubID': '114', 'value': '€1.10m'}, {'date': 'Jan 3, 2020', 'age': '28', 'clubName': 'Besiktas JK', 'clubID': '114', 'value': '€850k'}, {'date': 'Apr 8, 2020', 'age': '29', 'clubName': 'Besiktas JK', 'clubID': '114', 'value': '€675k'}, {'date': 'Aug 4, 2020', 'age': '29', 'clubName': 'Besiktas JK', 'clubID': '114', 'value': '€675k'}, {'date': 'Dec 23, 2020', 'age': '29', 'clubName': 'Besiktas JK', 'clubID': '114', 'value': '€950k'}, {'date': 'Mar 16, 2021', 'age': '30', 'clubName': 'Besiktas JK', 'clubID': '114', 'value': '€950k'}, {'date': 'May 21, 2021', 'age': '30', 'clubName': 'Besiktas JK', 'clubID': '114', 'value': '€1.20m'}, {'date': 'Oct 12, 2021', 'age': '30', 'clubName': 'Besiktas JK', 'clubID': '114', 'value': '€1.20m'}, {'date': 'Jan 4, 2022', 'age': '30', 'clubName': 'Besiktas JK', 'clubID': '114', 'value': '€1.00m'}, {'date': 'Mar 31, 2022', 'age': '31', 'clubName': 'Besiktas JK', 'clubID': '114', 'value': '€900k'}, {'date': 'Jun 1, 2022', 'age': '31', 'clubName': 'Besiktas JK', 'clubID': '114', 'value': '€850k'}, {'date': 'Oct 27, 2022', 'age': '31', 'clubName': 'Besiktas JK', 'clubID': '114', 'value': '€850k'}, {'date': 'Mar 14, 2023', 'age': '32', 'clubName': 'Besiktas JK', 'clubID': '114', 'value': '€650k'}, {'date': 'Jun 8, 2023', 'age': '32', 'clubName': 'Besiktas JK', 'clubID': '114', 'value': '€500k'}, {'date': 'Sep 27, 2023', 'age': '32', 'clubName': 'Besiktas JK', 'clubID': '114', 'value': '€600k'}, {'date': 'Dec 21, 2023', 'age': '32', 'clubName': 'Besiktas JK', 'clubID': '114', 'value': '€650k'}, {'date': 'Mar 15, 2024', 'age': '33', 'clubName': 'Besiktas JK', 'clubID': '114', 'value': '€750k'}, {'date': 'May 31, 2024', 'age': '33', 'clubName': 'Besiktas JK', 'clubID': '114', 'value': '€750k'}, {'date': 'Oct 4, 2024', 'age': '33', 'clubName': 'Besiktas JK', 'clubID': '114', 'value': '€650k'}, {'date': 'Dec 23, 2024', 'age': '33', 'clubName': 'Besiktas JK', 'clubID': '114', 'value': '€550k'}, {'date': 'Mar 20, 2025', 'age': '34', 'clubName': 'Besiktas JK', 'clubID': '114', 'value': '€500k'}, {'date': 'Jun 18, 2025', 'age': '34', 'clubName': 'Besiktas JK', 'clubID': '114', 'value': '€400k'}, {'date': 'Oct 1, 2025', 'age': '34', 'clubName': 'Besiktas JK', 'clubID': '114', 'value': '€300k'}, {'date': 'Dec 17, 2025', 'age': '34', 'clubName': 'Besiktas JK', 'clubID': '114', 'value': '€200k'}, {'date': 'Mar 5, 2026', 'age': '35', 'clubName': 'Besiktas JK', 'clubID': '114', 'value': '€100k'}]}</t>
        </is>
      </c>
      <c r="L485" t="inlineStr">
        <is>
          <t>Türkiye</t>
        </is>
      </c>
      <c r="M485" t="inlineStr">
        <is>
          <t>1991-01-24</t>
        </is>
      </c>
      <c r="N485" t="inlineStr">
        <is>
          <t>Turkey</t>
        </is>
      </c>
      <c r="O485">
        <f>(1+0.9+0.85+0.85)/4</f>
        <v/>
      </c>
      <c r="P485">
        <f>(0.95+1.2+1.2)/3</f>
        <v/>
      </c>
    </row>
    <row r="486">
      <c r="A486" t="inlineStr">
        <is>
          <t>Chilwell</t>
        </is>
      </c>
      <c r="B486" t="inlineStr">
        <is>
          <t>Chelsea</t>
        </is>
      </c>
      <c r="C486" t="inlineStr">
        <is>
          <t>Defender</t>
        </is>
      </c>
      <c r="D486" t="n">
        <v>188</v>
      </c>
      <c r="E486" t="n">
        <v>4</v>
      </c>
      <c r="F486" t="n">
        <v>0</v>
      </c>
      <c r="G486" t="n">
        <v>0</v>
      </c>
      <c r="H486" t="n">
        <v>23.3</v>
      </c>
      <c r="I486" t="n">
        <v>31.7</v>
      </c>
      <c r="J486" t="n">
        <v>316125</v>
      </c>
      <c r="K486" t="inlineStr">
        <is>
          <t>{'id': '316125', 'marketValue': '€30.00m', 'marketValueHistory': [{'age': '19', 'date': 'Feb 24, 2016', 'clubName': 'Leicester City', 'value': '€1.00m', 'clubID': '1003'}, {'age': '19', 'date': 'Aug 1, 2016', 'clubName': 'Leicester City', 'value': '€2.50m', 'clubID': '1003'}, {'age': '20', 'date': 'Feb 20, 2017', 'clubName': 'Leicester City', 'value': '€2.50m', 'clubID': '1003'}, {'age': '20', 'date': 'Jun 28, 2017', 'clubName': 'Leicester City', 'value': '€2.50m', 'clubID': '1003'}, {'age': '21', 'date': 'Jan 2, 2018', 'clubName': 'Leicester City', 'value': '€3.00m', 'clubID': '1003'}, {'age': '21', 'date': 'May 28, 2018', 'clubName': 'Leicester City', 'value': '€8.00m', 'clubID': '1003'}, {'age': '21', 'date': 'Oct 17, 2018', 'clubName': 'Leicester City', 'value': '€15.00m', 'clubID': '1003'}, {'age': '21', 'date': 'Dec 19, 2018', 'clubName': 'Leicester City', 'value': '€25.00m', 'clubID': '1003'}, {'age': '22', 'date': 'Jun 13, 2019', 'clubName': 'Leicester City', 'value': '€35.00m', 'clubID': '1003'}, {'age': '22', 'date': 'Dec 10, 2019', 'clubName': 'Leicester City', 'value': '€50.00m', 'clubID': '1003'}, {'age': '23', 'date': 'Apr 8, 2020', 'clubName': 'Leicester City', 'value': '€40.00m', 'clubID': '1003'}, {'age': '23', 'date': 'Oct 13, 2020', 'clubName': 'Chelsea FC', 'value': '€50.00m', 'clubID': '631'}, {'age': '24', 'date': 'Mar 18, 2021', 'clubName': 'Chelsea FC', 'value': '€50.00m', 'clubID': '631'}, {'age': '24', 'date': 'May 28, 2021', 'clubName': 'Chelsea FC', 'value': '€45.00m', 'clubID': '631'}, {'age': '24', 'date': 'Oct 5, 2021', 'clubName': 'Chelsea FC', 'value': '€38.00m', 'clubID': '631'}, {'age': '25', 'date': 'Dec 23, 2021', 'clubName': 'Chelsea FC', 'value': '€38.00m', 'clubID': '631'}, {'age': '25', 'date': 'Jun 15, 2022', 'clubName': 'Chelsea FC', 'value': '€38.00m', 'clubID': '631'}, {'age': '25', 'date': 'Nov 3, 2022', 'clubName': 'Chelsea FC', 'value': '€38.00m', 'clubID': '631'}, {'age': '26', 'date': 'Mar 16, 2023', 'clubName': 'Chelsea FC', 'value': '€35.00m', 'clubID': '631'}, {'age': '26', 'date': 'Jun 20, 2023', 'clubName': 'Chelsea FC', 'value': '€35.00m', 'clubID': '631'}, {'age': '26', 'date': 'Dec 19, 2023', 'clubName': 'Chelsea FC', 'value': '€30.00m', 'clubID': '631'}], 'ranking': {'Worldwide': '248', 'Premier League': '128', 'Chelsea': '16', 'England': '40', 'Left-Back': '15', 'Year 1996': '25'}, 'updatedAt': datetime.datetime(2024, 5, 23, 22, 18, 47, 622500)}</t>
        </is>
      </c>
      <c r="L486" t="inlineStr">
        <is>
          <t>United Kingdom</t>
        </is>
      </c>
      <c r="M486" t="inlineStr">
        <is>
          <t>1996-12-21</t>
        </is>
      </c>
      <c r="N486" t="inlineStr">
        <is>
          <t>21</t>
        </is>
      </c>
      <c r="O486">
        <f>(38+38)/2</f>
        <v/>
      </c>
      <c r="P486">
        <f>(50+45+38+38)/4</f>
        <v/>
      </c>
    </row>
    <row r="487">
      <c r="A487" t="inlineStr">
        <is>
          <t>Origi</t>
        </is>
      </c>
      <c r="B487" t="inlineStr">
        <is>
          <t>Liverpool</t>
        </is>
      </c>
      <c r="C487" t="inlineStr">
        <is>
          <t>Forward</t>
        </is>
      </c>
      <c r="D487" t="n">
        <v>187</v>
      </c>
      <c r="E487" t="n">
        <v>7</v>
      </c>
      <c r="F487" t="n">
        <v>1</v>
      </c>
      <c r="G487" t="n">
        <v>1</v>
      </c>
      <c r="H487" t="n">
        <v>23.8</v>
      </c>
      <c r="I487" t="n">
        <v>32.4</v>
      </c>
      <c r="J487" t="n">
        <v>148368</v>
      </c>
      <c r="K487" t="inlineStr">
        <is>
          <t>{'id': '148368', 'marketValue': '€5.00m', 'marketValueHistory': [{'age': '18', 'date': 'Jul 22, 2013', 'clubName': 'LOSC Lille', 'value': '€250k', 'clubID': '1082'}, {'age': '18', 'date': 'Sep 13, 2013', 'clubName': 'LOSC Lille', 'value': '€750k', 'clubID': '1082'}, {'age': '18', 'date': 'Jan 14, 2014', 'clubName': 'LOSC Lille', 'value': '€1.00m', 'clubID': '1082'}, {'age': '19', 'date': 'Aug 7, 2014', 'clubName': 'LOSC Lille', 'value': '€6.50m', 'clubID': '1082'}, {'age': '19', 'date': 'Nov 20, 2014', 'clubName': 'LOSC Lille', 'value': '€9.00m', 'clubID': '1082'}, {'age': '19', 'date': 'Jan 14, 2015', 'clubName': 'LOSC Lille', 'value': '€9.00m', 'clubID': '1082'}, {'age': '20', 'date': 'Jun 6, 2015', 'clubName': 'LOSC Lille', 'value': '€9.00m', 'clubID': '1082'}, {'age': '20', 'date': 'Feb 9, 2016', 'clubName': 'Liverpool FC', 'value': '€9.00m', 'clubID': '31'}, {'age': '21', 'date': 'Jun 1, 2016', 'clubName': 'Liverpool FC', 'value': '€11.00m', 'clubID': '31'}, {'age': '21', 'date': 'Aug 1, 2016', 'clubName': 'Liverpool FC', 'value': '€11.00m', 'clubID': '31'}, {'age': '21', 'date': 'Feb 20, 2017', 'clubName': 'Liverpool FC', 'value': '€12.00m', 'clubID': '31'}, {'age': '22', 'date': 'Jun 28, 2017', 'clubName': 'Liverpool FC', 'value': '€12.00m', 'clubID': '31'}, {'age': '22', 'date': 'Dec 28, 2017', 'clubName': 'VfL Wolfsburg', 'value': '€12.00m', 'clubID': '82'}, {'age': '22', 'date': 'Apr 4, 2018', 'clubName': 'VfL Wolfsburg', 'value': '€10.00m', 'clubID': '82'}, {'age': '23', 'date': 'Jun 5, 2018', 'clubName': 'VfL Wolfsburg', 'value': '€10.00m', 'clubID': '82'}, {'age': '23', 'date': 'Dec 19, 2018', 'clubName': 'Liverpool FC', 'value': '€10.00m', 'clubID': '31'}, {'age': '24', 'date': 'Jun 13, 2019', 'clubName': 'Liverpool FC', 'value': '€20.00m', 'clubID': '31'}, {'age': '24', 'date': 'Dec 10, 2019', 'clubName': 'Liverpool FC', 'value': '€20.00m', 'clubID': '31'}, {'age': '24', 'date': 'Apr 8, 2020', 'clubName': 'Liverpool FC', 'value': '€16.00m', 'clubID': '31'}, {'age': '25', 'date': 'Oct 13, 2020', 'clubName': 'Liverpool FC', 'value': '€16.00m', 'clubID': '31'}, {'age': '25', 'date': 'Mar 18, 2021', 'clubName': 'Liverpool FC', 'value': '€16.00m', 'clubID': '31'}, {'age': '26', 'date': 'Jun 8, 2021', 'clubName': 'Liverpool FC', 'value': '€12.00m', 'clubID': '31'}, {'age': '26', 'date': 'Dec 23, 2021', 'clubName': 'Liverpool FC', 'value': '€12.00m', 'clubID': '31'}, {'age': '27', 'date': 'Jun 15, 2022', 'clubName': 'Liverpool FC', 'value': '€12.00m', 'clubID': '31'}, {'age': '27', 'date': 'Nov 11, 2022', 'clubName': 'AC Milan', 'value': '€10.00m', 'clubID': '5'}, {'age': '27', 'date': 'Mar 21, 2023', 'clubName': 'AC Milan', 'value': '€8.00m', 'clubID': '5'}, {'age': '28', 'date': 'Jun 15, 2023', 'clubName': 'AC Milan', 'value': '€6.00m', 'clubID': '5'}, {'age': '28', 'date': 'Dec 19, 2023', 'clubName': 'Nottingham Forest', 'value': '€5.00m', 'clubID': '703'}], 'ranking': {'Worldwide': '1.821', 'Premier League': '387', 'Nottm Forest': '21', 'Belgium': '51', 'Centre-Forward': '263', 'Year 1995': '117'}, 'updatedAt': datetime.datetime(2024, 5, 23, 22, 30, 6, 844311)}</t>
        </is>
      </c>
      <c r="L487" t="inlineStr">
        <is>
          <t>Belgium</t>
        </is>
      </c>
      <c r="M487" t="inlineStr">
        <is>
          <t>1995-04-18</t>
        </is>
      </c>
      <c r="N487" t="inlineStr">
        <is>
          <t>Belgium</t>
        </is>
      </c>
      <c r="O487">
        <f>(12+10)/2</f>
        <v/>
      </c>
      <c r="P487">
        <f>(16+12+12)/3</f>
        <v/>
      </c>
    </row>
    <row r="488">
      <c r="A488" t="inlineStr">
        <is>
          <t>Moisander</t>
        </is>
      </c>
      <c r="B488" t="inlineStr">
        <is>
          <t>Malmo</t>
        </is>
      </c>
      <c r="C488" t="inlineStr">
        <is>
          <t>Defender</t>
        </is>
      </c>
      <c r="D488" t="n">
        <v>187</v>
      </c>
      <c r="E488" t="n">
        <v>3</v>
      </c>
      <c r="F488" t="n">
        <v>0</v>
      </c>
      <c r="G488" t="n">
        <v>0</v>
      </c>
      <c r="H488" t="n">
        <v>22</v>
      </c>
      <c r="I488" t="n">
        <v>29.5</v>
      </c>
      <c r="J488" t="n">
        <v>5017</v>
      </c>
      <c r="K488" t="inlineStr">
        <is>
          <t>{'marketValueHistory': [{'date': '04/10/2004', 'age': '19', 'clubName': 'Ajax Amsterdam U21', 'clubID': '41580', 'value': '€50k'}, {'date': '04/04/2008', 'age': '22', 'clubName': 'FC Zwolle', 'clubID': '1269', 'value': '€400k'}, {'date': '18/07/2008', 'age': '22', 'clubName': 'AZ Alkmaar', 'clubID': '1090', 'value': '€700k'}, {'date': '02/12/2008', 'age': '23', 'clubName': 'AZ Alkmaar', 'clubID': '1090', 'value': '€1.20m'}, {'date': '08/01/2009', 'age': '23', 'clubName': 'AZ Alkmaar', 'clubID': '1090', 'value': '€2.00m'}, {'date': '19/05/2009', 'age': '23', 'clubName': 'AZ Alkmaar', 'clubID': '1090', 'value': '€3.00m'}, {'date': '04/08/2010', 'age': '24', 'clubName': 'AZ Alkmaar', 'clubID': '1090', 'value': '€3.50m'}, {'date': '06/07/2012', 'age': '26', 'clubName': 'AZ Alkmaar', 'clubID': '1090', 'value': '€5.00m'}, {'date': '09/01/2013', 'age': '27', 'clubName': 'Ajax Amsterdam', 'clubID': '610', 'value': '€5.50m'}, {'date': '28/05/2013', 'age': '27', 'clubName': 'Ajax Amsterdam', 'clubID': '610', 'value': '€6.50m'}, {'date': '11/02/2014', 'age': '28', 'clubName': 'Ajax Amsterdam', 'clubID': '610', 'value': '€6.50m'}, {'date': '11/08/2014', 'age': '28', 'clubName': 'Ajax Amsterdam', 'clubID': '610', 'value': '€6.50m'}, {'date': '16/02/2015', 'age': '29', 'clubName': 'Ajax Amsterdam', 'clubID': '610', 'value': '€5.50m'}, {'date': '01/07/2015', 'age': '29', 'clubName': 'UC Sampdoria', 'clubID': '1038', 'value': '€5.00m'}, {'date': '05/11/2015', 'age': '30', 'clubName': 'UC Sampdoria', 'clubID': '1038', 'value': '€4.00m'}, {'date': '04/01/2016', 'age': '30', 'clubName': 'UC Sampdoria', 'clubID': '1038', 'value': '€3.00m'}, {'date': '22/07/2016', 'age': '30', 'clubName': 'SV Werder Bremen', 'clubID': '86', 'value': '€2.00m'}, {'date': '07/02/2017', 'age': '31', 'clubName': 'SV Werder Bremen', 'clubID': '86', 'value': '€2.00m'}, {'date': '19/06/2017', 'age': '31', 'clubName': 'SV Werder Bremen', 'clubID': '86', 'value': '€2.00m'}, {'date': '28/12/2017', 'age': '32', 'clubName': 'SV Werder Bremen', 'clubID': '86', 'value': '€2.00m'}, {'date': '05/06/2018', 'age': '32', 'clubName': 'SV Werder Bremen', 'clubID': '86', 'value': '€2.50m'}, {'date': '18/12/2018', 'age': '33', 'clubName': 'SV Werder Bremen', 'clubID': '86', 'value': '€2.00m'}, {'date': '05/06/2019', 'age': '33', 'clubName': 'SV Werder Bremen', 'clubID': '86', 'value': '€2.00m'}, {'date': '17/12/2019', 'age': '34', 'clubName': 'SV Werder Bremen', 'clubID': '86', 'value': '€1.50m'}, {'date': '08/04/2020', 'age': '34', 'clubName': 'SV Werder Bremen', 'clubID': '86', 'value': '€1.20m'}, {'date': '16/09/2020', 'age': '34', 'clubName': 'SV Werder Bremen', 'clubID': '86', 'value': '€1.00m'}, {'date': '10/02/2021', 'age': '35', 'clubName': 'SV Werder Bremen', 'clubID': '86', 'value': '€700k'}, {'date': '09/06/2021', 'age': '35', 'clubName': 'SV Werder Bremen', 'clubID': '86', 'value': '€700k'}, {'date': '17/09/2021', 'age': '35', 'clubName': 'Malmö FF', 'clubID': '496', 'value': '€600k'}, {'date': '17/12/2021', 'age': '36', 'clubName': 'Malmö FF', 'clubID': '496', 'value': '€400k'}, {'date': '24/06/2022', 'age': '36', 'clubName': 'Malmö FF', 'clubID': '496', 'value': '€350k'}, {'date': '14/12/2022', 'age': '37', 'clubName': 'Malmö FF', 'clubID': '496', 'value': '€300k'}, {'date': '27/06/2023', 'age': '37', 'clubName': 'Malmö FF', 'clubID': '496', 'value': '€300k'}, {'date': '08/12/2023', 'age': '38', 'clubName': 'Malmö FF', 'clubID': '496', 'value': '€300k'}, {'date': '13/06/2024', 'age': '38', 'clubName': 'Malmö FF', 'clubID': '496', 'value': '€250k'}, {'date': '20/12/2024', 'age': '39', 'clubName': 'Malmö FF', 'clubID': '496', 'value': '€200k'}, {'date': '01/01/2025', 'age': '39', 'clubName': 'Retired', 'clubID': '123', 'value': '-'}]}</t>
        </is>
      </c>
      <c r="L488" t="inlineStr">
        <is>
          <t>Finland</t>
        </is>
      </c>
      <c r="M488" t="inlineStr">
        <is>
          <t>1985-09-29</t>
        </is>
      </c>
      <c r="N488" t="inlineStr">
        <is>
          <t>Finland</t>
        </is>
      </c>
      <c r="O488">
        <f>(0.35+0.3)/2</f>
        <v/>
      </c>
      <c r="P488">
        <f>(0.7+0.7+0.6+0.4)/4</f>
        <v/>
      </c>
    </row>
    <row r="489">
      <c r="A489" t="inlineStr">
        <is>
          <t>Montiel</t>
        </is>
      </c>
      <c r="B489" t="inlineStr">
        <is>
          <t>Sevilla</t>
        </is>
      </c>
      <c r="C489" t="inlineStr">
        <is>
          <t>Defender</t>
        </is>
      </c>
      <c r="D489" t="n">
        <v>186</v>
      </c>
      <c r="E489" t="n">
        <v>4</v>
      </c>
      <c r="F489" t="n">
        <v>0</v>
      </c>
      <c r="G489" t="n">
        <v>0</v>
      </c>
      <c r="H489" t="n">
        <v>24.9</v>
      </c>
      <c r="I489" t="n">
        <v>31.4</v>
      </c>
      <c r="J489" t="n">
        <v>402733</v>
      </c>
      <c r="K489" t="inlineStr">
        <is>
          <t>{'id': '402733', 'marketValue': '€10.00m', 'marketValueHistory': [{'age': '19', 'date': 'Aug 8, 2016', 'clubName': 'CA River Plate II', 'value': '€250k', 'clubID': '15108'}, {'age': '20', 'date': 'Feb 13, 2017', 'clubName': 'CA River Plate II', 'value': '€500k', 'clubID': '15108'}, {'age': '20', 'date': 'Oct 9, 2017', 'clubName': 'CA River Plate', 'value': '€1.50m', 'clubID': '15108'}, {'age': '21', 'date': 'May 8, 2018', 'clubName': 'CA River Plate', 'value': '€2.00m', 'clubID': '15108'}, {'age': '21', 'date': 'Dec 18, 2018', 'clubName': 'CA River Plate', 'value': '€7.50m', 'clubID': '15108'}, {'age': '22', 'date': 'Aug 6, 2019', 'clubName': 'CA River Plate', 'value': '€10.00m', 'clubID': '15108'}, {'age': '22', 'date': 'Dec 5, 2019', 'clubName': 'CA River Plate', 'value': '€10.00m', 'clubID': '15108'}, {'age': '23', 'date': 'Apr 8, 2020', 'clubName': 'CA River Plate', 'value': '€8.00m', 'clubID': '15108'}, {'age': '24', 'date': 'Feb 8, 2021', 'clubName': 'CA River Plate', 'value': '€12.50m', 'clubID': '15108'}, {'age': '24', 'date': 'Jun 11, 2021', 'clubName': 'CA River Plate', 'value': '€14.50m', 'clubID': '15108'}, {'age': '24', 'date': 'Jul 16, 2021', 'clubName': 'CA River Plate', 'value': '€17.00m', 'clubID': '15108'}, {'age': '24', 'date': 'Dec 30, 2021', 'clubName': 'Sevilla FC', 'value': '€17.00m', 'clubID': '368'}, {'age': '25', 'date': 'Jun 3, 2022', 'clubName': 'Sevilla FC', 'value': '€14.00m', 'clubID': '368'}, {'age': '25', 'date': 'Nov 7, 2022', 'clubName': 'Sevilla FC', 'value': '€12.00m', 'clubID': '368'}, {'age': '26', 'date': 'Jun 13, 2023', 'clubName': 'Sevilla FC', 'value': '€12.00m', 'clubID': '368'}, {'age': '26', 'date': 'Dec 19, 2023', 'clubName': 'Nottingham Forest', 'value': '€10.00m', 'clubID': '703'}], 'ranking': {'Worldwide': '987', 'Premier League': '313', 'Nottm Forest': '15', 'Argentina': '41', 'Right-Back': '58', 'Year 1997': '121'}, 'updatedAt': datetime.datetime(2024, 5, 23, 22, 28, 8, 771294)}</t>
        </is>
      </c>
      <c r="L489" t="inlineStr">
        <is>
          <t>Argentina</t>
        </is>
      </c>
      <c r="M489" t="inlineStr">
        <is>
          <t>1997-01-01</t>
        </is>
      </c>
      <c r="N489" t="inlineStr">
        <is>
          <t>38</t>
        </is>
      </c>
      <c r="O489">
        <f>(14+12)/2</f>
        <v/>
      </c>
      <c r="P489">
        <f>(12.5+14.5+17+17)/4</f>
        <v/>
      </c>
    </row>
    <row r="490">
      <c r="A490" t="inlineStr">
        <is>
          <t>Jones</t>
        </is>
      </c>
      <c r="B490" t="inlineStr">
        <is>
          <t>Liverpool</t>
        </is>
      </c>
      <c r="C490" t="inlineStr">
        <is>
          <t>Midfielder</t>
        </is>
      </c>
      <c r="D490" t="n">
        <v>185</v>
      </c>
      <c r="E490" t="n">
        <v>4</v>
      </c>
      <c r="F490" t="n">
        <v>0</v>
      </c>
      <c r="G490" t="n">
        <v>2</v>
      </c>
      <c r="H490" t="n">
        <v>27.1</v>
      </c>
      <c r="I490" t="n">
        <v>30.4</v>
      </c>
      <c r="J490" t="n">
        <v>433188</v>
      </c>
      <c r="K490" t="inlineStr">
        <is>
          <t>{'marketValueHistory': [{'date': '09/08/2019', 'age': '18', 'clubName': 'Liverpool FC U23', 'clubID': '31', 'value': '€1.50m'}, {'date': '10/12/2019', 'age': '18', 'clubName': 'Liverpool FC U23', 'clubID': '31', 'value': '€2.00m'}, {'date': '08/04/2020', 'age': '19', 'clubName': 'Liverpool FC U23', 'clubID': '31', 'value': '€1.80m'}, {'date': '30/07/2020', 'age': '19', 'clubName': 'Liverpool FC', 'clubID': '31', 'value': '€5.00m'}, {'date': '13/10/2020', 'age': '19', 'clubName': 'Liverpool FC', 'clubID': '31', 'value': '€5.00m'}, {'date': '17/12/2020', 'age': '19', 'clubName': 'Liverpool FC', 'clubID': '31', 'value': '€17.00m'}, {'date': '18/03/2021', 'age': '20', 'clubName': 'Liverpool FC', 'clubID': '31', 'value': '€30.00m'}, {'date': '08/06/2021', 'age': '20', 'clubName': 'Liverpool FC', 'clubID': '31', 'value': '€30.00m'}, {'date': '23/12/2021', 'age': '20', 'clubName': 'Liverpool FC', 'clubID': '31', 'value': '€30.00m'}, {'date': '15/06/2022', 'age': '21', 'clubName': 'Liverpool FC', 'clubID': '31', 'value': '€28.00m'}, {'date': '15/09/2022', 'age': '21', 'clubName': 'Liverpool FC', 'clubID': '31', 'value': '€25.00m'}, {'date': '03/11/2022', 'age': '21', 'clubName': 'Liverpool FC', 'clubID': '31', 'value': '€22.00m'}, {'date': '16/03/2023', 'age': '22', 'clubName': 'Liverpool FC', 'clubID': '31', 'value': '€17.00m'}, {'date': '20/06/2023', 'age': '22', 'clubName': 'Liverpool FC', 'clubID': '31', 'value': '€22.00m'}, {'date': '12/07/2023', 'age': '22', 'clubName': 'Liverpool FC', 'clubID': '31', 'value': '€25.00m'}, {'date': '09/10/2023', 'age': '22', 'clubName': 'Liverpool FC', 'clubID': '31', 'value': '€30.00m'}, {'date': '19/12/2023', 'age': '22', 'clubName': 'Liverpool FC', 'clubID': '31', 'value': '€30.00m'}, {'date': '14/03/2024', 'age': '23', 'clubName': 'Liverpool FC', 'clubID': '31', 'value': '€35.00m'}, {'date': '27/05/2024', 'age': '23', 'clubName': 'Liverpool FC', 'clubID': '31', 'value': '€35.00m'}, {'date': '16/12/2024', 'age': '23', 'clubName': 'Liverpool FC', 'clubID': '31', 'value': '€45.00m'}, {'date': '18/03/2025', 'age': '24', 'clubName': 'Liverpool FC', 'clubID': '31', 'value': '€50.00m'}, {'date': '30/05/2025', 'age': '24', 'clubName': 'Liverpool FC', 'clubID': '31', 'value': '€45.00m'}, {'date': '09/12/2025', 'age': '24', 'clubName': 'Liverpool FC', 'clubID': '31', 'value': '€40.00m'}, {'date': '09/03/2026', 'age': '25', 'clubName': 'Liverpool FC', 'clubID': '31', 'value': '€35.00m'}]}</t>
        </is>
      </c>
      <c r="L490" t="inlineStr">
        <is>
          <t>United Kingdom</t>
        </is>
      </c>
      <c r="M490" t="inlineStr">
        <is>
          <t>2001-01-30</t>
        </is>
      </c>
      <c r="N490" t="inlineStr">
        <is>
          <t>6</t>
        </is>
      </c>
      <c r="O490">
        <f>(28+25+22)/3</f>
        <v/>
      </c>
      <c r="P490">
        <f>(30+30+30)/3</f>
        <v/>
      </c>
    </row>
    <row r="491">
      <c r="A491" t="inlineStr">
        <is>
          <t>Alex Teixeira</t>
        </is>
      </c>
      <c r="B491" t="inlineStr">
        <is>
          <t>Besiktas</t>
        </is>
      </c>
      <c r="C491" t="inlineStr">
        <is>
          <t>Midfielder</t>
        </is>
      </c>
      <c r="D491" t="n">
        <v>184</v>
      </c>
      <c r="E491" t="n">
        <v>3</v>
      </c>
      <c r="F491" t="n">
        <v>0</v>
      </c>
      <c r="G491" t="n">
        <v>0</v>
      </c>
      <c r="H491" t="n">
        <v>18.6</v>
      </c>
      <c r="I491" t="n">
        <v>29.5</v>
      </c>
      <c r="J491" t="n">
        <v>66515</v>
      </c>
      <c r="K491" t="inlineStr">
        <is>
          <t>{'marketValueHistory': [{'date': 'Feb 5, 2008', 'age': '18', 'clubName': 'Clube de Regatas Vasco da Gama', 'clubID': '978', 'value': '€3.00m'}, {'date': 'Aug 8, 2008', 'age': '18', 'clubName': 'Clube de Regatas Vasco da Gama', 'clubID': '978', 'value': '€1.60m'}, {'date': 'Sep 6, 2009', 'age': '19', 'clubName': 'Clube de Regatas Vasco da Gama', 'clubID': '978', 'value': '€2.00m'}, {'date': 'Dec 8, 2009', 'age': '19', 'clubName': 'Clube de Regatas Vasco da Gama', 'clubID': '978', 'value': '€3.50m'}, {'date': 'Feb 16, 2010', 'age': '20', 'clubName': 'Shakhtar Donetsk', 'clubID': '660', 'value': '€4.00m'}, {'date': 'May 11, 2010', 'age': '20', 'clubName': 'Shakhtar Donetsk', 'clubID': '660', 'value': '€3.50m'}, {'date': 'Aug 28, 2010', 'age': '20', 'clubName': 'Shakhtar Donetsk', 'clubID': '660', 'value': '€4.50m'}, {'date': 'Jan 2, 2011', 'age': '20', 'clubName': 'Shakhtar Donetsk', 'clubID': '660', 'value': '€4.50m'}, {'date': 'Jul 4, 2011', 'age': '21', 'clubName': 'Shakhtar Donetsk', 'clubID': '660', 'value': '€5.50m'}, {'date': 'Jan 5, 2012', 'age': '21', 'clubName': 'Shakhtar Donetsk', 'clubID': '660', 'value': '€6.00m'}, {'date': 'Jul 2, 2012', 'age': '22', 'clubName': 'Shakhtar Donetsk', 'clubID': '660', 'value': '€7.50m'}, {'date': 'Nov 21, 2012', 'age': '22', 'clubName': 'Shakhtar Donetsk', 'clubID': '660', 'value': '€11.00m'}, {'date': 'Jun 17, 2013', 'age': '23', 'clubName': 'Shakhtar Donetsk', 'clubID': '660', 'value': '€13.00m'}, {'date': 'Jan 2, 2014', 'age': '23', 'clubName': 'Shakhtar Donetsk', 'clubID': '660', 'value': '€17.00m'}, {'date': 'Jun 30, 2014', 'age': '24', 'clubName': 'Shakhtar Donetsk', 'clubID': '660', 'value': '€17.00m'}, {'date': 'Dec 25, 2014', 'age': '24', 'clubName': 'Shakhtar Donetsk', 'clubID': '660', 'value': '€20.00m'}, {'date': 'Jun 7, 2015', 'age': '25', 'clubName': 'Shakhtar Donetsk', 'clubID': '660', 'value': '€23.00m'}, {'date': 'Dec 18, 2015', 'age': '25', 'clubName': 'Shakhtar Donetsk', 'clubID': '660', 'value': '€30.00m'}, {'date': 'Feb 27, 2016', 'age': '26', 'clubName': 'Jiangsu Suning', 'clubID': '22219', 'value': '€20.00m'}, {'date': 'Jun 20, 2016', 'age': '26', 'clubName': 'Jiangsu Suning', 'clubID': '22219', 'value': '€18.00m'}, {'date': 'Nov 20, 2016', 'age': '26', 'clubName': 'Jiangsu Suning', 'clubID': '22219', 'value': '€19.00m'}, {'date': 'Mar 5, 2017', 'age': '27', 'clubName': 'Jiangsu Suning', 'clubID': '22219', 'value': '€19.00m'}, {'date': 'Jun 19, 2017', 'age': '27', 'clubName': 'Jiangsu Suning', 'clubID': '22219', 'value': '€17.00m'}, {'date': 'Dec 1, 2017', 'age': '27', 'clubName': 'Jiangsu Suning', 'clubID': '22219', 'value': '€12.00m'}, {'date': 'Jun 5, 2018', 'age': '28', 'clubName': 'Jiangsu Suning', 'clubID': '22219', 'value': '€18.00m'}, {'date': 'Dec 9, 2018', 'age': '28', 'clubName': 'Jiangsu Suning', 'clubID': '22219', 'value': '€19.00m'}, {'date': 'Sep 5, 2019', 'age': '29', 'clubName': 'Jiangsu Suning', 'clubID': '22219', 'value': '€17.00m'}, {'date': 'Dec 27, 2019', 'age': '29', 'clubName': 'Jiangsu Suning', 'clubID': '22219', 'value': '€17.00m'}, {'date': 'Apr 8, 2020', 'age': '30', 'clubName': 'Jiangsu Suning', 'clubID': '22219', 'value': '€13.50m'}, {'date': 'Dec 26, 2020', 'age': '30', 'clubName': 'Jiangsu FC', 'clubID': '22219', 'value': '€12.00m'}, {'date': 'Apr 9, 2021', 'age': '31', 'clubName': 'Without Club', 'clubID': '515', 'value': '€7.00m'}, {'date': 'Oct 12, 2021', 'age': '31', 'clubName': 'Besiktas JK', 'clubID': '114', 'value': '€6.50m'}, {'date': 'Jan 4, 2022', 'age': '31', 'clubName': 'Besiktas JK', 'clubID': '114', 'value': '€4.50m'}, {'date': 'Mar 31, 2022', 'age': '32', 'clubName': 'Besiktas JK', 'clubID': '114', 'value': '€4.00m'}, {'date': 'Jun 1, 2022', 'age': '32', 'clubName': 'Besiktas JK', 'clubID': '114', 'value': '€2.90m'}, {'date': 'Aug 5, 2022', 'age': '32', 'clubName': 'Clube de Regatas Vasco da Gama', 'clubID': '978', 'value': '€2.50m'}, {'date': 'Dec 28, 2022', 'age': '32', 'clubName': 'Clube de Regatas Vasco da Gama', 'clubID': '978', 'value': '€1.80m'}, {'date': 'Apr 7, 2023', 'age': '33', 'clubName': 'Clube de Regatas Vasco da Gama', 'clubID': '978', 'value': '€1.50m'}, {'date': 'Jul 25, 2023', 'age': '33', 'clubName': 'Clube de Regatas Vasco da Gama', 'clubID': '978', 'value': '€1.00m'}, {'date': 'Dec 11, 2023', 'age': '33', 'clubName': 'Clube de Regatas Vasco da Gama', 'clubID': '978', 'value': '€900k'}, {'date': 'Mar 29, 2024', 'age': '34', 'clubName': 'Without Club', 'clubID': '515', 'value': '€500k'}, {'date': 'Dec 9, 2024', 'age': '34', 'clubName': 'Clube de Regatas Vasco da Gama', 'clubID': '978', 'value': '€300k'}, {'date': 'Jun 6, 2025', 'age': '35', 'clubName': 'Clube de Regatas Vasco da Gama', 'clubID': '978', 'value': '€200k'}, {'date': 'Oct 21, 2025', 'age': '35', 'clubName': 'Without Club', 'clubID': '515', 'value': '€175k'}]}</t>
        </is>
      </c>
      <c r="L491" t="inlineStr">
        <is>
          <t>Brazil</t>
        </is>
      </c>
      <c r="M491" t="inlineStr">
        <is>
          <t>1990-01-06</t>
        </is>
      </c>
      <c r="N491" t="inlineStr">
        <is>
          <t>Brazil</t>
        </is>
      </c>
      <c r="O491">
        <f>(4.5+4+2.9+2.5+1.8)/5</f>
        <v/>
      </c>
      <c r="P491">
        <f>(7+6.5)/2</f>
        <v/>
      </c>
    </row>
    <row r="492">
      <c r="A492" t="inlineStr">
        <is>
          <t>Haidara</t>
        </is>
      </c>
      <c r="B492" t="inlineStr">
        <is>
          <t>Leipzig</t>
        </is>
      </c>
      <c r="C492" t="inlineStr">
        <is>
          <t>Midfielder</t>
        </is>
      </c>
      <c r="D492" t="n">
        <v>182</v>
      </c>
      <c r="E492" t="n">
        <v>4</v>
      </c>
      <c r="F492" t="n">
        <v>0</v>
      </c>
      <c r="G492" t="n">
        <v>0</v>
      </c>
      <c r="H492" t="n">
        <v>24.4</v>
      </c>
      <c r="I492" t="n">
        <v>29.5</v>
      </c>
      <c r="J492" t="n">
        <v>402008</v>
      </c>
      <c r="K492" t="inlineStr">
        <is>
          <t>{'marketValueHistory': [{'date': 'Jul 29, 2016', 'age': '18', 'clubName': 'FC Liefering', 'clubID': '37024', 'value': '€100k'}, {'date': 'Dec 3, 2016', 'age': '18', 'clubName': 'FC Liefering', 'clubID': '37024', 'value': '€300k'}, {'date': 'May 27, 2017', 'age': '19', 'clubName': 'FC Liefering', 'clubID': '37024', 'value': '€600k'}, {'date': 'Aug 1, 2017', 'age': '19', 'clubName': 'Red Bull Salzburg', 'clubID': '409', 'value': '€800k'}, {'date': 'Oct 11, 2017', 'age': '19', 'clubName': 'Red Bull Salzburg', 'clubID': '409', 'value': '€1.75m'}, {'date': 'Jan 2, 2018', 'age': '19', 'clubName': 'Red Bull Salzburg', 'clubID': '409', 'value': '€3.00m'}, {'date': 'Mar 30, 2018', 'age': '20', 'clubName': 'Red Bull Salzburg', 'clubID': '409', 'value': '€5.00m'}, {'date': 'Jun 14, 2018', 'age': '20', 'clubName': 'Red Bull Salzburg', 'clubID': '409', 'value': '€15.00m'}, {'date': 'Dec 19, 2018', 'age': '20', 'clubName': 'Red Bull Salzburg', 'clubID': '409', 'value': '€20.00m'}, {'date': 'Jun 5, 2019', 'age': '21', 'clubName': 'RB Leipzig', 'clubID': '23826', 'value': '€20.00m'}, {'date': 'Dec 17, 2019', 'age': '21', 'clubName': 'RB Leipzig', 'clubID': '23826', 'value': '€17.00m'}, {'date': 'Apr 8, 2020', 'age': '22', 'clubName': 'RB Leipzig', 'clubID': '23826', 'value': '€15.50m'}, {'date': 'Nov 26, 2020', 'age': '22', 'clubName': 'RB Leipzig', 'clubID': '23826', 'value': '€18.00m'}, {'date': 'Feb 10, 2021', 'age': '23', 'clubName': 'RB Leipzig', 'clubID': '23826', 'value': '€22.00m'}, {'date': 'Jun 9, 2021', 'age': '23', 'clubName': 'RB Leipzig', 'clubID': '23826', 'value': '€24.00m'}, {'date': 'Dec 22, 2021', 'age': '23', 'clubName': 'RB Leipzig', 'clubID': '23826', 'value': '€24.00m'}, {'date': 'Jun 9, 2022', 'age': '24', 'clubName': 'RB Leipzig', 'clubID': '23826', 'value': '€24.00m'}, {'date': 'Sep 21, 2022', 'age': '24', 'clubName': 'RB Leipzig', 'clubID': '23826', 'value': '€20.00m'}, {'date': 'Nov 9, 2022', 'age': '24', 'clubName': 'RB Leipzig', 'clubID': '23826', 'value': '€17.00m'}, {'date': 'Jun 22, 2023', 'age': '25', 'clubName': 'RB Leipzig', 'clubID': '23826', 'value': '€17.00m'}, {'date': 'Dec 14, 2023', 'age': '25', 'clubName': 'RB Leipzig', 'clubID': '23826', 'value': '€17.00m'}, {'date': 'May 29, 2024', 'age': '26', 'clubName': 'RB Leipzig', 'clubID': '23826', 'value': '€20.00m'}, {'date': 'Dec 20, 2024', 'age': '26', 'clubName': 'RB Leipzig', 'clubID': '23826', 'value': '€20.00m'}, {'date': 'Jun 5, 2025', 'age': '27', 'clubName': 'RB Leipzig', 'clubID': '23826', 'value': '€16.00m'}, {'date': 'Oct 14, 2025', 'age': '27', 'clubName': 'RB Leipzig', 'clubID': '23826', 'value': '€12.00m'}, {'date': 'Dec 19, 2025', 'age': '27', 'clubName': 'RB Leipzig', 'clubID': '23826', 'value': '€6.00m'}]}</t>
        </is>
      </c>
      <c r="L492" t="inlineStr">
        <is>
          <t>Mali</t>
        </is>
      </c>
      <c r="M492" t="inlineStr">
        <is>
          <t>1998-01-31</t>
        </is>
      </c>
      <c r="N492" t="inlineStr">
        <is>
          <t>50</t>
        </is>
      </c>
      <c r="O492">
        <f>(24+20+17)/3</f>
        <v/>
      </c>
      <c r="P492">
        <f>(22+24+24)/3</f>
        <v/>
      </c>
    </row>
    <row r="493">
      <c r="A493" t="inlineStr">
        <is>
          <t>Guerreiro</t>
        </is>
      </c>
      <c r="B493" t="inlineStr">
        <is>
          <t>Dortmund</t>
        </is>
      </c>
      <c r="C493" t="inlineStr">
        <is>
          <t>Defender</t>
        </is>
      </c>
      <c r="D493" t="n">
        <v>182</v>
      </c>
      <c r="E493" t="n">
        <v>3</v>
      </c>
      <c r="F493" t="n">
        <v>0</v>
      </c>
      <c r="G493" t="n">
        <v>0</v>
      </c>
      <c r="H493" t="n">
        <v>23.1</v>
      </c>
      <c r="I493" t="n">
        <v>30.4</v>
      </c>
      <c r="J493" t="n">
        <v>170986</v>
      </c>
      <c r="K493" t="inlineStr">
        <is>
          <t>{'marketValueHistory': [{'date': 'Jul 30, 2012', 'age': '18', 'clubName': 'SM Caen', 'clubID': '1162', 'value': '€200k'}, {'date': 'Jan 4, 2013', 'age': '19', 'clubName': 'SM Caen', 'clubID': '1162', 'value': '€750k'}, {'date': 'May 29, 2013', 'age': '19', 'clubName': 'SM Caen', 'clubID': '1162', 'value': '€1.50m'}, {'date': 'Sep 13, 2013', 'age': '19', 'clubName': 'FC Lorient', 'clubID': '1158', 'value': '€2.00m'}, {'date': 'Jan 14, 2014', 'age': '20', 'clubName': 'FC Lorient', 'clubID': '1158', 'value': '€3.00m'}, {'date': 'Aug 7, 2014', 'age': '20', 'clubName': 'FC Lorient', 'clubID': '1158', 'value': '€3.50m'}, {'date': 'Jan 14, 2015', 'age': '21', 'clubName': 'FC Lorient', 'clubID': '1158', 'value': '€6.00m'}, {'date': 'Jun 6, 2015', 'age': '21', 'clubName': 'FC Lorient', 'clubID': '1158', 'value': '€7.50m'}, {'date': 'Feb 4, 2016', 'age': '22', 'clubName': 'FC Lorient', 'clubID': '1158', 'value': '€7.50m'}, {'date': 'Jun 1, 2016', 'age': '22', 'clubName': 'FC Lorient', 'clubID': '1158', 'value': '€9.00m'}, {'date': 'Jul 22, 2016', 'age': '22', 'clubName': 'Borussia Dortmund', 'clubID': '16', 'value': '€12.00m'}, {'date': 'Oct 13, 2016', 'age': '22', 'clubName': 'Borussia Dortmund', 'clubID': '16', 'value': '€18.00m'}, {'date': 'Feb 7, 2017', 'age': '23', 'clubName': 'Borussia Dortmund', 'clubID': '16', 'value': '€18.00m'}, {'date': 'Jun 19, 2017', 'age': '23', 'clubName': 'Borussia Dortmund', 'clubID': '16', 'value': '€20.00m'}, {'date': 'Dec 28, 2017', 'age': '24', 'clubName': 'Borussia Dortmund', 'clubID': '16', 'value': '€20.00m'}, {'date': 'Jun 5, 2018', 'age': '24', 'clubName': 'Borussia Dortmund', 'clubID': '16', 'value': '€18.00m'}, {'date': 'Jul 16, 2018', 'age': '24', 'clubName': 'Borussia Dortmund', 'clubID': '16', 'value': '€21.00m'}, {'date': 'Oct 22, 2018', 'age': '24', 'clubName': 'Borussia Dortmund', 'clubID': '16', 'value': '€18.00m'}, {'date': 'Dec 18, 2018', 'age': '24', 'clubName': 'Borussia Dortmund', 'clubID': '16', 'value': '€20.00m'}, {'date': 'Jun 5, 2019', 'age': '25', 'clubName': 'Borussia Dortmund', 'clubID': '16', 'value': '€25.00m'}, {'date': 'Dec 17, 2019', 'age': '25', 'clubName': 'Borussia Dortmund', 'clubID': '16', 'value': '€25.00m'}, {'date': 'Mar 11, 2020', 'age': '26', 'clubName': 'Borussia Dortmund', 'clubID': '16', 'value': '€35.00m'}, {'date': 'Apr 8, 2020', 'age': '26', 'clubName': 'Borussia Dortmund', 'clubID': '16', 'value': '€28.00m'}, {'date': 'Jul 8, 2020', 'age': '26', 'clubName': 'Borussia Dortmund', 'clubID': '16', 'value': '€35.00m'}, {'date': 'Feb 10, 2021', 'age': '27', 'clubName': 'Borussia Dortmund', 'clubID': '16', 'value': '€35.00m'}, {'date': 'Jun 1, 2021', 'age': '27', 'clubName': 'Borussia Dortmund', 'clubID': '16', 'value': '€40.00m'}, {'date': 'Dec 22, 2021', 'age': '28', 'clubName': 'Borussia Dortmund', 'clubID': '16', 'value': '€35.00m'}, {'date': 'Jun 9, 2022', 'age': '28', 'clubName': 'Borussia Dortmund', 'clubID': '16', 'value': '€25.00m'}, {'date': 'Sep 21, 2022', 'age': '28', 'clubName': 'Borussia Dortmund', 'clubID': '16', 'value': '€20.00m'}, {'date': 'Nov 9, 2022', 'age': '28', 'clubName': 'Borussia Dortmund', 'clubID': '16', 'value': '€20.00m'}, {'date': 'Jun 22, 2023', 'age': '29', 'clubName': 'Borussia Dortmund', 'clubID': '16', 'value': '€20.00m'}, {'date': 'Oct 18, 2023', 'age': '29', 'clubName': 'Bayern Munich', 'clubID': '27', 'value': '€15.00m'}, {'date': 'Dec 14, 2023', 'age': '29', 'clubName': 'Bayern Munich', 'clubID': '27', 'value': '€15.00m'}, {'date': 'May 29, 2024', 'age': '30', 'clubName': 'Bayern Munich', 'clubID': '27', 'value': '€12.00m'}, {'date': 'Dec 20, 2024', 'age': '30', 'clubName': 'Bayern Munich', 'clubID': '27', 'value': '€10.00m'}, {'date': 'Jun 5, 2025', 'age': '31', 'clubName': 'Bayern Munich', 'clubID': '27', 'value': '€8.00m'}, {'date': 'Dec 19, 2025', 'age': '31', 'clubName': 'Bayern Munich', 'clubID': '27', 'value': '€6.00m'}]}</t>
        </is>
      </c>
      <c r="L493" t="inlineStr">
        <is>
          <t>Portugal</t>
        </is>
      </c>
      <c r="M493" t="inlineStr">
        <is>
          <t>1993-12-22</t>
        </is>
      </c>
      <c r="N493" t="inlineStr">
        <is>
          <t>65</t>
        </is>
      </c>
      <c r="O493">
        <f>(25+20+20)/3</f>
        <v/>
      </c>
      <c r="P493">
        <f>(35+40+35)/3</f>
        <v/>
      </c>
    </row>
    <row r="494">
      <c r="A494" t="inlineStr">
        <is>
          <t>N. Williams</t>
        </is>
      </c>
      <c r="B494" t="inlineStr">
        <is>
          <t>Liverpool</t>
        </is>
      </c>
      <c r="C494" t="inlineStr">
        <is>
          <t>Defender</t>
        </is>
      </c>
      <c r="D494" t="n">
        <v>180</v>
      </c>
      <c r="E494" t="n">
        <v>3</v>
      </c>
      <c r="F494" t="n">
        <v>0</v>
      </c>
      <c r="G494" t="n">
        <v>0</v>
      </c>
      <c r="H494" t="n">
        <v>23.5</v>
      </c>
      <c r="I494" t="n">
        <v>33.3</v>
      </c>
      <c r="J494" t="n">
        <v>1492333</v>
      </c>
      <c r="L494" t="inlineStr">
        <is>
          <t>Scotland</t>
        </is>
      </c>
    </row>
    <row r="495">
      <c r="A495" t="inlineStr">
        <is>
          <t>Vlahovic</t>
        </is>
      </c>
      <c r="B495" t="inlineStr">
        <is>
          <t>Juventus</t>
        </is>
      </c>
      <c r="C495" t="inlineStr">
        <is>
          <t>Forward</t>
        </is>
      </c>
      <c r="D495" t="n">
        <v>180</v>
      </c>
      <c r="E495" t="n">
        <v>2</v>
      </c>
      <c r="F495" t="n">
        <v>1</v>
      </c>
      <c r="G495" t="n">
        <v>0</v>
      </c>
      <c r="H495" t="n">
        <v>20.9</v>
      </c>
      <c r="I495" t="n">
        <v>31.6</v>
      </c>
      <c r="J495" t="n">
        <v>357498</v>
      </c>
      <c r="K495" t="inlineStr">
        <is>
          <t>{'marketValueHistory': [{'date': '29/05/2016', 'age': '16', 'clubName': 'FK Partizan Belgrade', 'clubID': '669', 'value': '€500k'}, {'date': '18/12/2016', 'age': '16', 'clubName': 'FK Partizan Belgrade', 'clubID': '669', 'value': '€500k'}, {'date': '04/05/2017', 'age': '17', 'clubName': 'FK Partizan Belgrade', 'clubID': '669', 'value': '€500k'}, {'date': '10/01/2018', 'age': '17', 'clubName': 'FK Partizan Belgrade', 'clubID': '669', 'value': '€1.00m'}, {'date': '01/07/2018', 'age': '18', 'clubName': 'ACF Fiorentina', 'clubID': '430', 'value': '€1.00m'}, {'date': '20/12/2018', 'age': '18', 'clubName': 'ACF Fiorentina', 'clubID': '430', 'value': '€1.00m'}, {'date': '06/06/2019', 'age': '19', 'clubName': 'ACF Fiorentina', 'clubID': '430', 'value': '€1.50m'}, {'date': '08/10/2019', 'age': '19', 'clubName': 'ACF Fiorentina', 'clubID': '430', 'value': '€3.00m'}, {'date': '12/12/2019', 'age': '19', 'clubName': 'ACF Fiorentina', 'clubID': '430', 'value': '€6.00m'}, {'date': '03/03/2020', 'age': '20', 'clubName': 'ACF Fiorentina', 'clubID': '430', 'value': '€18.00m'}, {'date': '08/04/2020', 'age': '20', 'clubName': 'ACF Fiorentina', 'clubID': '430', 'value': '€16.00m'}, {'date': '25/08/2020', 'age': '20', 'clubName': 'ACF Fiorentina', 'clubID': '430', 'value': '€16.00m'}, {'date': '29/12/2020', 'age': '20', 'clubName': 'ACF Fiorentina', 'clubID': '430', 'value': '€16.00m'}, {'date': '23/03/2021', 'age': '21', 'clubName': 'ACF Fiorentina', 'clubID': '430', 'value': '€25.00m'}, {'date': '03/06/2021', 'age': '21', 'clubName': 'ACF Fiorentina', 'clubID': '430', 'value': '€40.00m'}, {'date': '14/10/2021', 'age': '21', 'clubName': 'ACF Fiorentina', 'clubID': '430', 'value': '€50.00m'}, {'date': '28/12/2021', 'age': '21', 'clubName': 'ACF Fiorentina', 'clubID': '430', 'value': '€70.00m'}, {'date': '15/03/2022', 'age': '22', 'clubName': 'Juventus FC', 'clubID': '506', 'value': '€85.00m'}, {'date': '07/06/2022', 'age': '22', 'clubName': 'Juventus FC', 'clubID': '506', 'value': '€85.00m'}, {'date': '11/11/2022', 'age': '22', 'clubName': 'Juventus FC', 'clubID': '506', 'value': '€80.00m'}, {'date': '21/03/2023', 'age': '23', 'clubName': 'Juventus FC', 'clubID': '506', 'value': '€75.00m'}, {'date': '15/06/2023', 'age': '23', 'clubName': 'Juventus FC', 'clubID': '506', 'value': '€70.00m'}, {'date': '20/12/2023', 'age': '23', 'clubName': 'Juventus FC', 'clubID': '506', 'value': '€60.00m'}, {'date': '12/03/2024', 'age': '24', 'clubName': 'Juventus FC', 'clubID': '506', 'value': '€65.00m'}, {'date': '05/06/2024', 'age': '24', 'clubName': 'Juventus FC', 'clubID': '506', 'value': '€65.00m'}, {'date': '18/12/2024', 'age': '24', 'clubName': 'Juventus FC', 'clubID': '506', 'value': '€60.00m'}, {'date': '25/03/2025', 'age': '25', 'clubName': 'Juventus FC', 'clubID': '506', 'value': '€45.00m'}, {'date': '17/06/2025', 'age': '25', 'clubName': 'Juventus FC', 'clubID': '506', 'value': '€35.00m'}, {'date': '23/12/2025', 'age': '25', 'clubName': 'Juventus FC', 'clubID': '506', 'value': '€35.00m'}]}</t>
        </is>
      </c>
      <c r="L495" t="inlineStr">
        <is>
          <t>Serbia</t>
        </is>
      </c>
      <c r="M495" t="inlineStr">
        <is>
          <t>2000-01-28</t>
        </is>
      </c>
      <c r="N495" t="inlineStr">
        <is>
          <t>Serbia</t>
        </is>
      </c>
      <c r="O495">
        <f>(85+85+80)/3</f>
        <v/>
      </c>
      <c r="P495">
        <f>(25+40+50+70)/4</f>
        <v/>
      </c>
    </row>
    <row r="496">
      <c r="A496" t="inlineStr">
        <is>
          <t>Morato</t>
        </is>
      </c>
      <c r="B496" t="inlineStr">
        <is>
          <t>Benfica</t>
        </is>
      </c>
      <c r="C496" t="inlineStr">
        <is>
          <t>Defender</t>
        </is>
      </c>
      <c r="D496" t="n">
        <v>180</v>
      </c>
      <c r="E496" t="n">
        <v>2</v>
      </c>
      <c r="F496" t="n">
        <v>1</v>
      </c>
      <c r="G496" t="n">
        <v>0</v>
      </c>
      <c r="H496" t="n">
        <v>19.6</v>
      </c>
      <c r="I496" t="n">
        <v>30.3</v>
      </c>
      <c r="J496" t="n">
        <v>673492</v>
      </c>
      <c r="K496" t="inlineStr">
        <is>
          <t>{'marketValueHistory': [{'date': 'May 28, 2019', 'age': '17', 'clubName': 'São Paulo FC U20', 'clubID': '14708', 'value': '€50k'}, {'date': 'Dec 31, 2019', 'age': '18', 'clubName': 'SL Benfica B', 'clubID': '10330', 'value': '€2.00m'}, {'date': 'Apr 8, 2020', 'age': '18', 'clubName': 'SL Benfica B', 'clubID': '10330', 'value': '€1.80m'}, {'date': 'Nov 2, 2020', 'age': '19', 'clubName': 'SL Benfica B', 'clubID': '10330', 'value': '€1.50m'}, {'date': 'Jun 29, 2021', 'age': '19', 'clubName': 'SL Benfica B', 'clubID': '10330', 'value': '€2.00m'}, {'date': 'Sep 21, 2021', 'age': '20', 'clubName': 'SL Benfica', 'clubID': '294', 'value': '€5.00m'}, {'date': 'Dec 27, 2021', 'age': '20', 'clubName': 'SL Benfica', 'clubID': '294', 'value': '€7.50m'}, {'date': 'Mar 10, 2022', 'age': '20', 'clubName': 'SL Benfica', 'clubID': '294', 'value': '€10.00m'}, {'date': 'May 31, 2022', 'age': '20', 'clubName': 'SL Benfica', 'clubID': '294', 'value': '€10.00m'}, {'date': 'Sep 16, 2022', 'age': '21', 'clubName': 'SL Benfica', 'clubID': '294', 'value': '€15.00m'}, {'date': 'Nov 1, 2022', 'age': '21', 'clubName': 'SL Benfica', 'clubID': '294', 'value': '€15.00m'}, {'date': 'Jun 16, 2023', 'age': '21', 'clubName': 'SL Benfica', 'clubID': '294', 'value': '€13.00m'}, {'date': 'Dec 27, 2023', 'age': '22', 'clubName': 'SL Benfica', 'clubID': '294', 'value': '€15.00m'}, {'date': 'Jun 6, 2024', 'age': '22', 'clubName': 'SL Benfica', 'clubID': '294', 'value': '€15.00m'}, {'date': 'Dec 16, 2024', 'age': '23', 'clubName': 'Nottingham Forest', 'clubID': '703', 'value': '€15.00m'}, {'date': 'May 30, 2025', 'age': '23', 'clubName': 'Nottingham Forest', 'clubID': '703', 'value': '€14.00m'}, {'date': 'Dec 9, 2025', 'age': '24', 'clubName': 'Nottingham Forest', 'clubID': '703', 'value': '€14.00m'}]}</t>
        </is>
      </c>
      <c r="L496" t="inlineStr">
        <is>
          <t>Brazil</t>
        </is>
      </c>
      <c r="M496" t="inlineStr">
        <is>
          <t>2001-06-30</t>
        </is>
      </c>
      <c r="N496" t="inlineStr">
        <is>
          <t>0</t>
        </is>
      </c>
      <c r="O496">
        <f>(10+10+15+15)/4</f>
        <v/>
      </c>
      <c r="P496">
        <f>(2+5+7.5)/3</f>
        <v/>
      </c>
    </row>
    <row r="497">
      <c r="A497" t="inlineStr">
        <is>
          <t>Morton</t>
        </is>
      </c>
      <c r="B497" t="inlineStr">
        <is>
          <t>Liverpool</t>
        </is>
      </c>
      <c r="C497" t="inlineStr">
        <is>
          <t>Midfielder</t>
        </is>
      </c>
      <c r="D497" t="n">
        <v>180</v>
      </c>
      <c r="E497" t="n">
        <v>2</v>
      </c>
      <c r="F497" t="n">
        <v>0</v>
      </c>
      <c r="G497" t="n">
        <v>0</v>
      </c>
      <c r="H497" t="n">
        <v>23.5</v>
      </c>
      <c r="I497" t="n">
        <v>31.9</v>
      </c>
      <c r="J497" t="n">
        <v>618494</v>
      </c>
      <c r="K497" t="inlineStr">
        <is>
          <t>{'marketValueHistory': [{'date': '05/10/2021', 'age': '18', 'clubName': 'Liverpool FC U23', 'clubID': '31', 'value': '€300k'}, {'date': '29/03/2022', 'age': '19', 'clubName': 'Liverpool FC U23', 'clubID': '31', 'value': '€3.00m'}, {'date': '14/09/2022', 'age': '19', 'clubName': 'Blackburn Rovers', 'clubID': '164', 'value': '€4.00m'}, {'date': '27/10/2022', 'age': '19', 'clubName': 'Blackburn Rovers', 'clubID': '164', 'value': '€5.00m'}, {'date': '24/03/2023', 'age': '20', 'clubName': 'Blackburn Rovers', 'clubID': '164', 'value': '€7.00m'}, {'date': '01/06/2023', 'age': '20', 'clubName': 'Liverpool FC U21', 'clubID': '31', 'value': '€7.00m'}, {'date': '21/12/2023', 'age': '21', 'clubName': 'Hull City', 'clubID': '3008', 'value': '€8.00m'}, {'date': '24/05/2024', 'age': '21', 'clubName': 'Hull City', 'clubID': '3008', 'value': '€8.00m'}, {'date': '16/12/2024', 'age': '22', 'clubName': 'Liverpool FC', 'clubID': '31', 'value': '€8.00m'}, {'date': '30/05/2025', 'age': '22', 'clubName': 'Liverpool FC', 'clubID': '31', 'value': '€7.00m'}, {'date': '10/10/2025', 'age': '22', 'clubName': 'Olympique Lyon', 'clubID': '1041', 'value': '€12.00m'}, {'date': '15/12/2025', 'age': '23', 'clubName': 'Olympique Lyon', 'clubID': '1041', 'value': '€18.00m'}, {'date': '27/03/2026', 'age': '23', 'clubName': 'Olympique Lyon', 'clubID': '1041', 'value': '€25.00m'}]}</t>
        </is>
      </c>
      <c r="L497" t="inlineStr">
        <is>
          <t>France</t>
        </is>
      </c>
      <c r="M497" t="inlineStr">
        <is>
          <t>2003-07-01</t>
        </is>
      </c>
      <c r="N497" t="inlineStr">
        <is>
          <t>England</t>
        </is>
      </c>
      <c r="O497">
        <f>(3+4+5)/3</f>
        <v/>
      </c>
      <c r="P497">
        <f>0.3</f>
        <v/>
      </c>
    </row>
    <row r="498">
      <c r="A498" t="inlineStr">
        <is>
          <t>Burgy</t>
        </is>
      </c>
      <c r="B498" t="inlineStr">
        <is>
          <t>Young Boys</t>
        </is>
      </c>
      <c r="C498" t="inlineStr">
        <is>
          <t>Defender</t>
        </is>
      </c>
      <c r="D498" t="n">
        <v>180</v>
      </c>
      <c r="E498" t="n">
        <v>2</v>
      </c>
      <c r="F498" t="n">
        <v>0</v>
      </c>
      <c r="G498" t="n">
        <v>0</v>
      </c>
      <c r="H498" t="n">
        <v>21.4</v>
      </c>
      <c r="I498" t="n">
        <v>31.4</v>
      </c>
      <c r="J498" t="n">
        <v>203895</v>
      </c>
      <c r="K498" t="inlineStr">
        <is>
          <t>{'marketValueHistory': [{'date': '15/12/2014', 'age': '19', 'clubName': 'BSC Young Boys U21', 'clubID': '5508', 'value': '€50k'}, {'date': '18/12/2015', 'age': '20', 'clubName': 'FC Wohlen', 'clubID': '1978', 'value': '€250k'}, {'date': '16/07/2016', 'age': '20', 'clubName': 'BSC Young Boys', 'clubID': '452', 'value': '€300k'}, {'date': '20/12/2016', 'age': '21', 'clubName': 'BSC Young Boys', 'clubID': '452', 'value': '€300k'}, {'date': '12/07/2017', 'age': '21', 'clubName': 'FC Thun', 'clubID': '938', 'value': '€400k'}, {'date': '08/01/2018', 'age': '22', 'clubName': 'FC Thun', 'clubID': '938', 'value': '€400k'}, {'date': '24/04/2018', 'age': '22', 'clubName': 'FC Thun', 'clubID': '938', 'value': '€400k'}, {'date': '12/07/2018', 'age': '22', 'clubName': 'BSC Young Boys', 'clubID': '452', 'value': '€700k'}, {'date': '21/01/2019', 'age': '23', 'clubName': 'FC Aarau', 'clubID': '116', 'value': '€700k'}, {'date': '04/06/2019', 'age': '23', 'clubName': 'FC Aarau', 'clubID': '116', 'value': '€500k'}, {'date': '06/01/2020', 'age': '24', 'clubName': 'BSC Young Boys', 'clubID': '452', 'value': '€500k'}, {'date': '08/04/2020', 'age': '24', 'clubName': 'BSC Young Boys', 'clubID': '452', 'value': '€400k'}, {'date': '31/07/2020', 'age': '24', 'clubName': 'BSC Young Boys', 'clubID': '452', 'value': '€400k'}, {'date': '28/12/2020', 'age': '25', 'clubName': 'BSC Young Boys', 'clubID': '452', 'value': '€400k'}, {'date': '16/06/2021', 'age': '25', 'clubName': 'SC Paderborn 07', 'clubID': '127', 'value': '€400k'}, {'date': '03/01/2022', 'age': '26', 'clubName': 'BSC Young Boys', 'clubID': '452', 'value': '€400k'}, {'date': '20/06/2022', 'age': '26', 'clubName': 'Viborg FF', 'clubID': '1063', 'value': '€400k'}, {'date': '13/09/2022', 'age': '27', 'clubName': 'Viborg FF', 'clubID': '1063', 'value': '€450k'}, {'date': '22/12/2022', 'age': '27', 'clubName': 'Viborg FF', 'clubID': '1063', 'value': '€600k'}, {'date': '26/06/2023', 'age': '27', 'clubName': 'Viborg FF', 'clubID': '1063', 'value': '€750k'}, {'date': '21/12/2023', 'age': '28', 'clubName': 'Viborg FF', 'clubID': '1063', 'value': '€750k'}, {'date': '10/06/2024', 'age': '28', 'clubName': 'Viborg FF', 'clubID': '1063', 'value': '€850k'}, {'date': '09/12/2024', 'age': '29', 'clubName': 'Viborg FF', 'clubID': '1063', 'value': '€900k'}, {'date': '16/06/2025', 'age': '29', 'clubName': 'Odense Boldklub', 'clubID': '173', 'value': '€900k'}, {'date': '15/12/2025', 'age': '30', 'clubName': 'Odense Boldklub', 'clubID': '173', 'value': '€800k'}]}</t>
        </is>
      </c>
      <c r="L498" t="inlineStr">
        <is>
          <t>Switzerland</t>
        </is>
      </c>
      <c r="M498" t="inlineStr">
        <is>
          <t>1995-08-07</t>
        </is>
      </c>
      <c r="N498" t="inlineStr">
        <is>
          <t>Switzerland</t>
        </is>
      </c>
      <c r="O498">
        <f>(0.4+0.4+0.45+0.6)/4</f>
        <v/>
      </c>
      <c r="P498">
        <f>0.4</f>
        <v/>
      </c>
    </row>
    <row r="499">
      <c r="A499" t="inlineStr">
        <is>
          <t>Vida</t>
        </is>
      </c>
      <c r="B499" t="inlineStr">
        <is>
          <t>Besiktas</t>
        </is>
      </c>
      <c r="C499" t="inlineStr">
        <is>
          <t>Defender</t>
        </is>
      </c>
      <c r="D499" t="n">
        <v>180</v>
      </c>
      <c r="E499" t="n">
        <v>2</v>
      </c>
      <c r="F499" t="n">
        <v>0</v>
      </c>
      <c r="G499" t="n">
        <v>0</v>
      </c>
      <c r="H499" t="n">
        <v>19.1</v>
      </c>
      <c r="I499" t="n">
        <v>31.3</v>
      </c>
      <c r="J499" t="n">
        <v>37666</v>
      </c>
      <c r="K499" t="inlineStr">
        <is>
          <t>{'marketValueHistory': [{'date': 'May 2, 2007', 'age': '19', 'clubName': 'CSD Colo-Colo', 'clubID': '2433', 'value': '€5.00m'}, {'date': 'Jan 1, 2008', 'age': '20', 'clubName': 'Bayer 04 Leverkusen', 'clubID': '15', 'value': '€7.50m'}, {'date': 'Mar 26, 2010', 'age': '22', 'clubName': 'Bayer 04 Leverkusen', 'clubID': '15', 'value': '€9.00m'}, {'date': 'Jul 16, 2010', 'age': '23', 'clubName': 'Bayer 04 Leverkusen', 'clubID': '15', 'value': '€11.00m'}, {'date': 'Nov 23, 2010', 'age': '23', 'clubName': 'Bayer 04 Leverkusen', 'clubID': '15', 'value': '€14.00m'}, {'date': 'Jan 12, 2011', 'age': '23', 'clubName': 'Bayer 04 Leverkusen', 'clubID': '15', 'value': '€17.00m'}, {'date': 'Jun 29, 2011', 'age': '24', 'clubName': 'Bayer 04 Leverkusen', 'clubID': '15', 'value': '€20.00m'}, {'date': 'Jan 11, 2012', 'age': '24', 'clubName': 'Juventus FC', 'clubID': '506', 'value': '€20.00m'}, {'date': 'Jun 8, 2012', 'age': '25', 'clubName': 'Juventus FC', 'clubID': '506', 'value': '€24.00m'}, {'date': 'Nov 7, 2012', 'age': '25', 'clubName': 'Juventus FC', 'clubID': '506', 'value': '€28.00m'}, {'date': 'Jan 15, 2013', 'age': '25', 'clubName': 'Juventus FC', 'clubID': '506', 'value': '€30.00m'}, {'date': 'Jun 19, 2013', 'age': '26', 'clubName': 'Juventus FC', 'clubID': '506', 'value': '€35.00m'}, {'date': 'Sep 25, 2013', 'age': '26', 'clubName': 'Juventus FC', 'clubID': '506', 'value': '€40.00m'}, {'date': 'Jan 7, 2014', 'age': '26', 'clubName': 'Juventus FC', 'clubID': '506', 'value': '€44.00m'}, {'date': 'Jul 11, 2014', 'age': '27', 'clubName': 'Juventus FC', 'clubID': '506', 'value': '€45.00m'}, {'date': 'Jan 7, 2015', 'age': '27', 'clubName': 'Juventus FC', 'clubID': '506', 'value': '€42.00m'}, {'date': 'Jul 1, 2015', 'age': '28', 'clubName': 'Juventus FC', 'clubID': '506', 'value': '€42.00m'}, {'date': 'Feb 15, 2016', 'age': '28', 'clubName': 'Bayern Munich', 'clubID': '27', 'value': '€37.00m'}, {'date': 'Jul 22, 2016', 'age': '29', 'clubName': 'Bayern Munich', 'clubID': '27', 'value': '€40.00m'}, {'date': 'Feb 7, 2017', 'age': '29', 'clubName': 'Bayern Munich', 'clubID': '27', 'value': '€37.00m'}, {'date': 'Jun 19, 2017', 'age': '30', 'clubName': 'Bayern Munich', 'clubID': '27', 'value': '€35.00m'}, {'date': 'Dec 28, 2017', 'age': '30', 'clubName': 'Bayern Munich', 'clubID': '27', 'value': '€35.00m'}, {'date': 'Jun 5, 2018', 'age': '31', 'clubName': 'Bayern Munich', 'clubID': '27', 'value': '€35.00m'}, {'date': 'Oct 31, 2018', 'age': '31', 'clubName': 'FC Barcelona', 'clubID': '131', 'value': '€25.00m'}, {'date': 'Dec 21, 2018', 'age': '31', 'clubName': 'FC Barcelona', 'clubID': '131', 'value': '€20.00m'}, {'date': 'Feb 28, 2019', 'age': '31', 'clubName': 'FC Barcelona', 'clubID': '131', 'value': '€18.00m'}, {'date': 'Jun 11, 2019', 'age': '32', 'clubName': 'FC Barcelona', 'clubID': '131', 'value': '€15.00m'}, {'date': 'Dec 20, 2019', 'age': '32', 'clubName': 'FC Barcelona', 'clubID': '131', 'value': '€14.00m'}, {'date': 'Apr 8, 2020', 'age': '32', 'clubName': 'FC Barcelona', 'clubID': '131', 'value': '€11.00m'}, {'date': 'Oct 29, 2020', 'age': '33', 'clubName': 'Inter Milan', 'clubID': '46', 'value': '€10.00m'}, {'date': 'Dec 29, 2020', 'age': '33', 'clubName': 'Inter Milan', 'clubID': '46', 'value': '€8.00m'}, {'date': 'Mar 23, 2021', 'age': '33', 'clubName': 'Inter Milan', 'clubID': '46', 'value': '€6.00m'}, {'date': 'Jun 3, 2021', 'age': '34', 'clubName': 'Inter Milan', 'clubID': '46', 'value': '€3.50m'}, {'date': 'Dec 28, 2021', 'age': '34', 'clubName': 'Inter Milan', 'clubID': '46', 'value': '€2.50m'}, {'date': 'Jun 7, 2022', 'age': '35', 'clubName': 'Inter Milan', 'clubID': '46', 'value': '€2.00m'}, {'date': 'Aug 19, 2022', 'age': '35', 'clubName': 'CR Flamengo', 'clubID': '614', 'value': '€2.00m'}, {'date': 'Nov 14, 2022', 'age': '35', 'clubName': 'CR Flamengo', 'clubID': '614', 'value': '€1.70m'}, {'date': 'Apr 7, 2023', 'age': '35', 'clubName': 'CR Flamengo', 'clubID': '614', 'value': '€1.20m'}, {'date': 'Jul 25, 2023', 'age': '36', 'clubName': 'Club Athletico Paranaense', 'clubID': '679', 'value': '€700k'}, {'date': 'Dec 11, 2023', 'age': '36', 'clubName': 'Club Athletico Paranaense', 'clubID': '679', 'value': '€600k'}, {'date': 'Mar 29, 2024', 'age': '36', 'clubName': 'CSD Colo-Colo', 'clubID': '2433', 'value': '€400k'}, {'date': 'Jun 13, 2024', 'age': '37', 'clubName': 'CSD Colo-Colo', 'clubID': '2433', 'value': '€300k'}, {'date': 'Nov 12, 2024', 'age': '37', 'clubName': 'CSD Colo-Colo', 'clubID': '2433', 'value': '€300k'}, {'date': 'Jun 30, 2025', 'age': '38', 'clubName': 'CSD Colo-Colo', 'clubID': '2433', 'value': '€250k'}, {'date': 'Dec 10, 2025', 'age': '38', 'clubName': 'CSD Colo-Colo', 'clubID': '2433', 'value': '€175k'}]}</t>
        </is>
      </c>
      <c r="L499" t="inlineStr">
        <is>
          <t>Chile</t>
        </is>
      </c>
      <c r="M499" t="inlineStr">
        <is>
          <t>1987-05-22</t>
        </is>
      </c>
      <c r="N499" t="inlineStr">
        <is>
          <t>Chile</t>
        </is>
      </c>
      <c r="O499">
        <f>(2+2+1.7)/3</f>
        <v/>
      </c>
      <c r="P499">
        <f>(6+3.5+2.5)/3</f>
        <v/>
      </c>
    </row>
    <row r="500">
      <c r="A500" t="inlineStr">
        <is>
          <t>Bailly</t>
        </is>
      </c>
      <c r="B500" t="inlineStr">
        <is>
          <t>Man United</t>
        </is>
      </c>
      <c r="C500" t="inlineStr">
        <is>
          <t>Defender</t>
        </is>
      </c>
      <c r="D500" t="n">
        <v>180</v>
      </c>
      <c r="E500" t="n">
        <v>2</v>
      </c>
      <c r="F500" t="n">
        <v>0</v>
      </c>
      <c r="G500" t="n">
        <v>0</v>
      </c>
      <c r="H500" t="n">
        <v>18.8</v>
      </c>
      <c r="I500" t="n">
        <v>34.3</v>
      </c>
      <c r="J500" t="n">
        <v>286384</v>
      </c>
      <c r="K500" t="inlineStr">
        <is>
          <t>{'id': '286384', 'marketValue': '€3.50m', 'marketValueHistory': [{'age': '20', 'date': 'Jul 12, 2014', 'clubName': 'RCD Espanyol Barcelona', 'clubID': '714'}, {'age': '20', 'date': 'Jan 23, 2015', 'clubName': 'RCD Espanyol Barcelona', 'value': '€400k', 'clubID': '714'}, {'age': '20', 'date': 'Jan 28, 2015', 'clubName': 'RCD Espanyol Barcelona', 'value': '€1.00m', 'clubID': '714'}, {'age': '20', 'date': 'Apr 9, 2015', 'clubName': 'Villarreal CF', 'value': '€3.00m', 'clubID': '1050'}, {'age': '21', 'date': 'Jul 1, 2015', 'clubName': 'Villarreal CF', 'value': '€3.00m', 'clubID': '1050'}, {'age': '21', 'date': 'Sep 29, 2015', 'clubName': 'Villarreal CF', 'value': '€6.00m', 'clubID': '1050'}, {'age': '21', 'date': 'Feb 22, 2016', 'clubName': 'Villarreal CF', 'value': '€8.00m', 'clubID': '1050'}, {'age': '22', 'date': 'Aug 1, 2016', 'clubName': 'Manchester United', 'value': '€20.00m', 'clubID': '985'}, {'age': '22', 'date': 'Oct 24, 2016', 'clubName': 'Manchester United', 'value': '€25.00m', 'clubID': '985'}, {'age': '22', 'date': 'Feb 20, 2017', 'clubName': 'Manchester United', 'value': '€25.00m', 'clubID': '985'}, {'age': '23', 'date': 'Jun 28, 2017', 'clubName': 'Manchester United', 'value': '€30.00m', 'clubID': '985'}, {'age': '23', 'date': 'Jan 2, 2018', 'clubName': 'Manchester United', 'value': '€35.00m', 'clubID': '985'}, {'age': '24', 'date': 'May 28, 2018', 'clubName': 'Manchester United', 'value': '€35.00m', 'clubID': '985'}, {'age': '24', 'date': 'Oct 17, 2018', 'clubName': 'Manchester United', 'value': '€30.00m', 'clubID': '985'}, {'age': '24', 'date': 'Dec 19, 2018', 'clubName': 'Manchester United', 'value': '€30.00m', 'clubID': '985'}, {'age': '25', 'date': 'Jun 13, 2019', 'clubName': 'Manchester United', 'value': '€25.00m', 'clubID': '985'}, {'age': '25', 'date': 'Dec 10, 2019', 'clubName': 'Manchester United', 'value': '€22.00m', 'clubID': '985'}, {'age': '25', 'date': 'Apr 8, 2020', 'clubName': 'Manchester United', 'value': '€17.50m', 'clubID': '985'}, {'age': '26', 'date': 'Oct 13, 2020', 'clubName': 'Manchester United', 'value': '€17.50m', 'clubID': '985'}, {'age': '26', 'date': 'Mar 18, 2021', 'clubName': 'Manchester United', 'value': '€15.00m', 'clubID': '985'}, {'age': '27', 'date': 'Jun 8, 2021', 'clubName': 'Manchester United', 'value': '€15.00m', 'clubID': '985'}, {'age': '27', 'date': 'Oct 5, 2021', 'clubName': 'Manchester United', 'value': '€10.00m', 'clubID': '985'}, {'age': '27', 'date': 'Dec 23, 2021', 'clubName': 'Manchester United', 'value': '€8.00m', 'clubID': '985'}, {'age': '28', 'date': 'Jun 15, 2022', 'clubName': 'Manchester United', 'value': '€6.00m', 'clubID': '985'}, {'age': '28', 'date': 'Sep 19, 2022', 'clubName': 'Olympique Marseille', 'value': '€8.00m', 'clubID': '244'}, {'age': '28', 'date': 'Nov 2, 2022', 'clubName': 'Olympique Marseille', 'value': '€8.00m', 'clubID': '244'}, {'age': '29', 'date': 'Jun 27, 2023', 'clubName': 'Olympique Marseille', 'value': '€5.00m', 'clubID': '244'}, {'age': '29', 'date': 'Sep 27, 2023', 'clubName': 'Besiktas JK', 'value': '€4.00m', 'clubID': '114'}, {'age': '29', 'date': 'Dec 21, 2023', 'clubName': 'Besiktas JK', 'value': '€3.40m', 'clubID': '114'}, {'age': '29', 'date': 'Mar 21, 2024', 'clubName': 'Villarreal CF', 'value': '€3.50m', 'clubID': '1050'}], 'ranking': {'Worldwide': '2.586', 'LaLiga': '248', 'Villarreal': '14', "Cote d'Ivoire": '35', 'Centre-Back': '435', 'Year 1994': '163'}, 'updatedAt': datetime.datetime(2024, 5, 23, 22, 25, 27, 798881)}</t>
        </is>
      </c>
      <c r="L500" t="inlineStr">
        <is>
          <t>Ivory Coast</t>
        </is>
      </c>
      <c r="M500" t="inlineStr">
        <is>
          <t>1994-04-12</t>
        </is>
      </c>
      <c r="N500" t="inlineStr">
        <is>
          <t>49</t>
        </is>
      </c>
      <c r="O500">
        <f>(6+8+8)/3</f>
        <v/>
      </c>
      <c r="P500">
        <f>(15+15+10+8)/4</f>
        <v/>
      </c>
    </row>
    <row r="501">
      <c r="A501" t="inlineStr">
        <is>
          <t>Leo Jardim</t>
        </is>
      </c>
      <c r="B501" t="inlineStr">
        <is>
          <t>Lille</t>
        </is>
      </c>
      <c r="C501" t="inlineStr">
        <is>
          <t>Goalkeeper</t>
        </is>
      </c>
      <c r="D501" t="n">
        <v>180</v>
      </c>
      <c r="E501" t="n">
        <v>2</v>
      </c>
      <c r="F501" t="n">
        <v>0</v>
      </c>
      <c r="G501" t="n">
        <v>0</v>
      </c>
      <c r="H501" t="n">
        <v>11.1</v>
      </c>
      <c r="I501" t="n">
        <v>21.8</v>
      </c>
      <c r="J501" t="n">
        <v>288415</v>
      </c>
      <c r="K501" t="inlineStr">
        <is>
          <t>{'marketValueHistory': [{'date': '01/02/2015', 'age': '19', 'clubName': 'Grêmio Foot-Ball Porto Alegrense', 'clubID': '210', 'value': '€100k'}, {'date': '31/05/2015', 'age': '20', 'clubName': 'Grêmio Foot-Ball Porto Alegrense', 'clubID': '210', 'value': '€100k'}, {'date': '15/12/2015', 'age': '20', 'clubName': 'Grêmio Foot-Ball Porto Alegrense', 'clubID': '210', 'value': '€100k'}, {'date': '27/05/2016', 'age': '21', 'clubName': 'Grêmio Foot-Ball Porto Alegrense', 'clubID': '210', 'value': '€100k'}, {'date': '28/11/2016', 'age': '21', 'clubName': 'Grêmio Foot-Ball Porto Alegrense', 'clubID': '210', 'value': '€100k'}, {'date': '07/12/2017', 'age': '22', 'clubName': 'Grêmio Foot-Ball Porto Alegrense', 'clubID': '210', 'value': '€250k'}, {'date': '23/05/2018', 'age': '23', 'clubName': 'Grêmio Foot-Ball Porto Alegrense', 'clubID': '210', 'value': '€100k'}, {'date': '01/11/2018', 'age': '23', 'clubName': 'Rio Ave FC', 'clubID': '2425', 'value': '€500k'}, {'date': '11/01/2019', 'age': '23', 'clubName': 'Rio Ave FC', 'clubID': '2425', 'value': '€800k'}, {'date': '07/06/2019', 'age': '24', 'clubName': 'Rio Ave FC', 'clubID': '2425', 'value': '€1.00m'}, {'date': '27/09/2019', 'age': '24', 'clubName': 'LOSC Lille', 'clubID': '1082', 'value': '€4.00m'}, {'date': '19/12/2019', 'age': '24', 'clubName': 'LOSC Lille', 'clubID': '1082', 'value': '€4.00m'}, {'date': '08/04/2020', 'age': '25', 'clubName': 'LOSC Lille', 'clubID': '1082', 'value': '€3.20m'}, {'date': '22/10/2020', 'age': '25', 'clubName': 'Boavista FC', 'clubID': '2503', 'value': '€3.50m'}, {'date': '28/01/2021', 'age': '25', 'clubName': 'Boavista FC', 'clubID': '2503', 'value': '€3.50m'}, {'date': '21/05/2021', 'age': '26', 'clubName': 'Boavista FC', 'clubID': '2503', 'value': '€3.00m'}, {'date': '16/12/2021', 'age': '26', 'clubName': 'LOSC Lille', 'clubID': '1082', 'value': '€2.50m'}, {'date': '23/03/2022', 'age': '27', 'clubName': 'LOSC Lille', 'clubID': '1082', 'value': '€3.00m'}, {'date': '30/05/2022', 'age': '27', 'clubName': 'LOSC Lille', 'clubID': '1082', 'value': '€4.00m'}, {'date': '02/11/2022', 'age': '27', 'clubName': 'LOSC Lille', 'clubID': '1082', 'value': '€3.00m'}, {'date': '07/04/2023', 'age': '28', 'clubName': 'Clube de Regatas Vasco da Gama', 'clubID': '978', 'value': '€3.00m'}, {'date': '25/07/2023', 'age': '28', 'clubName': 'Clube de Regatas Vasco da Gama', 'clubID': '978', 'value': '€3.00m'}, {'date': '11/12/2023', 'age': '28', 'clubName': 'Clube de Regatas Vasco da Gama', 'clubID': '978', 'value': '€3.50m'}, {'date': '28/03/2024', 'age': '29', 'clubName': 'Clube de Regatas Vasco da Gama', 'clubID': '978', 'value': '€4.50m'}, {'date': '17/06/2024', 'age': '29', 'clubName': 'Clube de Regatas Vasco da Gama', 'clubID': '978', 'value': '€5.50m'}, {'date': '09/12/2024', 'age': '29', 'clubName': 'Clube de Regatas Vasco da Gama', 'clubID': '978', 'value': '€7.00m'}, {'date': '06/06/2025', 'age': '30', 'clubName': 'Clube de Regatas Vasco da Gama', 'clubID': '978', 'value': '€7.00m'}, {'date': '10/12/2025', 'age': '30', 'clubName': 'Clube de Regatas Vasco da Gama', 'clubID': '978', 'value': '€7.00m'}]}</t>
        </is>
      </c>
      <c r="L501" t="inlineStr">
        <is>
          <t>Italy</t>
        </is>
      </c>
      <c r="M501" t="inlineStr">
        <is>
          <t>1995-03-20</t>
        </is>
      </c>
      <c r="N501" t="inlineStr">
        <is>
          <t>Brazil</t>
        </is>
      </c>
      <c r="O501">
        <f>(3+4+3)/3</f>
        <v/>
      </c>
      <c r="P501">
        <f>(3.5+3+2.5)/3</f>
        <v/>
      </c>
    </row>
    <row r="502">
      <c r="A502" t="inlineStr">
        <is>
          <t>M. Kerzhakov</t>
        </is>
      </c>
      <c r="B502" t="inlineStr">
        <is>
          <t>Zenit</t>
        </is>
      </c>
      <c r="C502" t="inlineStr">
        <is>
          <t>Goalkeeper</t>
        </is>
      </c>
      <c r="D502" t="n">
        <v>180</v>
      </c>
      <c r="E502" t="n">
        <v>2</v>
      </c>
      <c r="F502" t="n">
        <v>0</v>
      </c>
      <c r="G502" t="n">
        <v>0</v>
      </c>
      <c r="H502" t="n">
        <v>10.6</v>
      </c>
      <c r="I502" t="n">
        <v>23.7</v>
      </c>
      <c r="J502" t="n">
        <v>27706</v>
      </c>
      <c r="K502" t="inlineStr">
        <is>
          <t>{'marketValueHistory': [{'date': 'Mar 13, 2005', 'age': '18', 'clubName': 'Zenit St. Petersburg II', 'clubID': '6082', 'value': '€100k'}, {'date': 'Dec 2, 2005', 'age': '18', 'clubName': 'Zenit St. Petersburg II', 'clubID': '6082', 'value': '€200k'}, {'date': 'Mar 29, 2007', 'age': '20', 'clubName': 'Zenit St. Petersburg II', 'clubID': '6082', 'value': '€350k'}, {'date': 'Aug 1, 2010', 'age': '23', 'clubName': 'Alania Vladikavkaz', 'clubID': '2703', 'value': '€500k'}, {'date': 'Mar 21, 2011', 'age': '24', 'clubName': 'Volga Nizhniy Novgorod', 'clubID': '12438', 'value': '€350k'}, {'date': 'Aug 22, 2011', 'age': '24', 'clubName': 'Volga Nizhniy Novgorod', 'clubID': '12438', 'value': '€300k'}, {'date': 'Jan 20, 2012', 'age': '24', 'clubName': 'Volga Nizhniy Novgorod', 'clubID': '12438', 'value': '€250k'}, {'date': 'Jun 17, 2012', 'age': '25', 'clubName': 'Volga Nizhniy Novgorod', 'clubID': '12438', 'value': '€300k'}, {'date': 'Feb 11, 2013', 'age': '26', 'clubName': 'Volga Nizhniy Novgorod', 'clubID': '12438', 'value': '€500k'}, {'date': 'Jun 24, 2013', 'age': '26', 'clubName': 'Volga Nizhniy Novgorod', 'clubID': '12438', 'value': '€800k'}, {'date': 'Mar 28, 2014', 'age': '27', 'clubName': 'Anzhi Makhachkala', 'clubID': '2700', 'value': '€900k'}, {'date': 'Jun 7, 2015', 'age': '28', 'clubName': 'Anzhi Makhachkala', 'clubID': '2700', 'value': '€1.80m'}, {'date': 'Jan 6, 2016', 'age': '28', 'clubName': 'Zenit St. Petersburg', 'clubID': '964', 'value': '€2.00m'}, {'date': 'May 25, 2016', 'age': '29', 'clubName': 'Zenit St. Petersburg', 'clubID': '964', 'value': '€2.00m'}, {'date': 'Dec 27, 2016', 'age': '29', 'clubName': 'Zenit St. Petersburg', 'clubID': '964', 'value': '€2.00m'}, {'date': 'Jun 1, 2017', 'age': '30', 'clubName': 'FC Orenburg', 'clubID': '14589', 'value': '€1.80m'}, {'date': 'Oct 2, 2017', 'age': '30', 'clubName': 'Zenit St. Petersburg', 'clubID': '964', 'value': '€1.00m'}, {'date': 'Dec 23, 2017', 'age': '30', 'clubName': 'Zenit St. Petersburg', 'clubID': '964', 'value': '€750k'}, {'date': 'Jun 6, 2018', 'age': '31', 'clubName': 'Zenit St. Petersburg', 'clubID': '964', 'value': '€500k'}, {'date': 'Dec 20, 2018', 'age': '31', 'clubName': 'Zenit St. Petersburg', 'clubID': '964', 'value': '€500k'}, {'date': 'Jun 14, 2019', 'age': '32', 'clubName': 'Zenit St. Petersburg', 'clubID': '964', 'value': '€500k'}, {'date': 'Dec 23, 2019', 'age': '32', 'clubName': 'Zenit St. Petersburg', 'clubID': '964', 'value': '€800k'}, {'date': 'Apr 8, 2020', 'age': '33', 'clubName': 'Zenit St. Petersburg', 'clubID': '964', 'value': '€650k'}, {'date': 'Jul 29, 2020', 'age': '33', 'clubName': 'Zenit St. Petersburg', 'clubID': '964', 'value': '€900k'}, {'date': 'Oct 19, 2020', 'age': '33', 'clubName': 'Zenit St. Petersburg', 'clubID': '964', 'value': '€1.00m'}, {'date': 'Dec 29, 2020', 'age': '33', 'clubName': 'Zenit St. Petersburg', 'clubID': '964', 'value': '€1.50m'}, {'date': 'Jun 2, 2021', 'age': '34', 'clubName': 'Zenit St. Petersburg', 'clubID': '964', 'value': '€1.50m'}, {'date': 'Dec 29, 2021', 'age': '34', 'clubName': 'Zenit St. Petersburg', 'clubID': '964', 'value': '€1.00m'}, {'date': 'Jun 2, 2022', 'age': '35', 'clubName': 'Zenit St. Petersburg', 'clubID': '964', 'value': '€600k'}, {'date': 'Nov 21, 2022', 'age': '35', 'clubName': 'Zenit St. Petersburg', 'clubID': '964', 'value': '€500k'}, {'date': 'Jun 14, 2023', 'age': '36', 'clubName': 'Zenit St. Petersburg', 'clubID': '964', 'value': '€500k'}, {'date': 'Dec 13, 2023', 'age': '36', 'clubName': 'Zenit St. Petersburg', 'clubID': '964', 'value': '€500k'}, {'date': 'Jun 4, 2024', 'age': '37', 'clubName': 'Zenit St. Petersburg', 'clubID': '964', 'value': '€400k'}, {'date': 'Dec 12, 2024', 'age': '37', 'clubName': 'Zenit St. Petersburg', 'clubID': '964', 'value': '€300k'}, {'date': 'Jun 4, 2025', 'age': '38', 'clubName': 'Zenit St. Petersburg', 'clubID': '964', 'value': '€200k'}, {'date': 'Dec 16, 2025', 'age': '38', 'clubName': 'Zenit St. Petersburg', 'clubID': '964', 'value': '€100k'}]}</t>
        </is>
      </c>
      <c r="L502" t="inlineStr">
        <is>
          <t>Russia</t>
        </is>
      </c>
      <c r="M502" t="inlineStr">
        <is>
          <t>1987-01-28</t>
        </is>
      </c>
      <c r="N502" t="inlineStr">
        <is>
          <t>Russia</t>
        </is>
      </c>
      <c r="O502">
        <f>(0.6+0.5)/2</f>
        <v/>
      </c>
      <c r="P502">
        <f>(1.5+1)/2</f>
        <v/>
      </c>
    </row>
    <row r="503">
      <c r="A503" t="inlineStr">
        <is>
          <t>Onana</t>
        </is>
      </c>
      <c r="B503" t="inlineStr">
        <is>
          <t>Ajax</t>
        </is>
      </c>
      <c r="C503" t="inlineStr">
        <is>
          <t>Goalkeeper</t>
        </is>
      </c>
      <c r="D503" t="n">
        <v>180</v>
      </c>
      <c r="E503" t="n">
        <v>2</v>
      </c>
      <c r="F503" t="n">
        <v>0</v>
      </c>
      <c r="G503" t="n">
        <v>0</v>
      </c>
      <c r="H503" t="n">
        <v>8.4</v>
      </c>
      <c r="I503" t="n">
        <v>27</v>
      </c>
      <c r="J503" t="n">
        <v>485706</v>
      </c>
      <c r="K503" t="inlineStr">
        <is>
          <t>{'marketValueHistory': [{'date': '15/07/2020', 'age': '18', 'clubName': 'Hamburger SV', 'clubID': '41', 'value': '€400k'}, {'date': '18/11/2020', 'age': '19', 'clubName': 'Hamburger SV', 'clubID': '41', 'value': '€1.50m'}, {'date': '08/02/2021', 'age': '19', 'clubName': 'Hamburger SV', 'clubID': '41', 'value': '€1.50m'}, {'date': '16/06/2021', 'age': '19', 'clubName': 'Hamburger SV', 'clubID': '41', 'value': '€3.00m'}, {'date': '08/10/2021', 'age': '20', 'clubName': 'LOSC Lille', 'clubID': '1082', 'value': '€6.00m'}, {'date': '16/12/2021', 'age': '20', 'clubName': 'LOSC Lille', 'clubID': '1082', 'value': '€8.00m'}, {'date': '23/03/2022', 'age': '20', 'clubName': 'LOSC Lille', 'clubID': '1082', 'value': '€10.00m'}, {'date': '30/05/2022', 'age': '20', 'clubName': 'LOSC Lille', 'clubID': '1082', 'value': '€10.00m'}, {'date': '15/09/2022', 'age': '21', 'clubName': 'Everton FC', 'clubID': '29', 'value': '€30.00m'}, {'date': '03/11/2022', 'age': '21', 'clubName': 'Everton FC', 'clubID': '29', 'value': '€35.00m'}, {'date': '16/03/2023', 'age': '21', 'clubName': 'Everton FC', 'clubID': '29', 'value': '€42.00m'}, {'date': '20/06/2023', 'age': '21', 'clubName': 'Everton FC', 'clubID': '29', 'value': '€45.00m'}, {'date': '09/10/2023', 'age': '22', 'clubName': 'Everton FC', 'clubID': '29', 'value': '€50.00m'}, {'date': '19/12/2023', 'age': '22', 'clubName': 'Everton FC', 'clubID': '29', 'value': '€50.00m'}, {'date': '27/05/2024', 'age': '22', 'clubName': 'Everton FC', 'clubID': '29', 'value': '€50.00m'}, {'date': '01/10/2024', 'age': '23', 'clubName': 'Aston Villa', 'clubID': '405', 'value': '€55.00m'}, {'date': '16/12/2024', 'age': '23', 'clubName': 'Aston Villa', 'clubID': '405', 'value': '€55.00m'}, {'date': '30/05/2025', 'age': '23', 'clubName': 'Aston Villa', 'clubID': '405', 'value': '€50.00m'}, {'date': '17/10/2025', 'age': '24', 'clubName': 'Aston Villa', 'clubID': '405', 'value': '€42.00m'}, {'date': '09/12/2025', 'age': '24', 'clubName': 'Aston Villa', 'clubID': '405', 'value': '€42.00m'}, {'date': '09/03/2026', 'age': '24', 'clubName': 'Aston Villa', 'clubID': '405', 'value': '€45.00m'}]}</t>
        </is>
      </c>
      <c r="L503" t="inlineStr">
        <is>
          <t>Belgium</t>
        </is>
      </c>
      <c r="M503" t="inlineStr">
        <is>
          <t>2001-08-16</t>
        </is>
      </c>
      <c r="N503" t="inlineStr">
        <is>
          <t>Belgium</t>
        </is>
      </c>
      <c r="O503">
        <f>(10+10+30+35)/4</f>
        <v/>
      </c>
      <c r="P503">
        <f>(1.5+3+6+8)/4</f>
        <v/>
      </c>
    </row>
    <row r="504">
      <c r="A504" t="inlineStr">
        <is>
          <t>Mudryk</t>
        </is>
      </c>
      <c r="B504" t="inlineStr">
        <is>
          <t>Shakhtar Donetsk</t>
        </is>
      </c>
      <c r="C504" t="inlineStr">
        <is>
          <t>Forward</t>
        </is>
      </c>
      <c r="D504" t="n">
        <v>179</v>
      </c>
      <c r="E504" t="n">
        <v>6</v>
      </c>
      <c r="F504" t="n">
        <v>0</v>
      </c>
      <c r="G504" t="n">
        <v>0</v>
      </c>
      <c r="H504" t="n">
        <v>24.2</v>
      </c>
      <c r="I504" t="n">
        <v>34.8</v>
      </c>
      <c r="J504" t="n">
        <v>537860</v>
      </c>
      <c r="K504" t="inlineStr">
        <is>
          <t>{'id': '537860', 'marketValue': '€35.00m', 'marketValueHistory': [{'age': '18', 'date': 'Mar 22, 2019', 'clubName': 'Arsenal Kyiv', 'value': '€100k', 'clubID': '9007'}, {'age': '18', 'date': 'Jun 20, 2019', 'clubName': 'Arsenal Kyiv', 'value': '€200k', 'clubID': '9007'}, {'age': '19', 'date': 'Sep 4, 2020', 'clubName': 'Desna Chernigiv', 'value': '€200k', 'clubID': '16239'}, {'age': '20', 'date': 'Jan 14, 2021', 'clubName': 'Shakhtar Donetsk', 'value': '€600k', 'clubID': '660'}, {'age': '20', 'date': 'Jun 7, 2021', 'clubName': 'Shakhtar Donetsk', 'value': '€600k', 'clubID': '660'}, {'age': '20', 'date': 'Sep 3, 2021', 'clubName': 'Shakhtar Donetsk', 'value': '€900k', 'clubID': '660'}, {'age': '20', 'date': 'Dec 20, 2021', 'clubName': 'Shakhtar Donetsk', 'value': '€4.00m', 'clubID': '660'}, {'age': '21', 'date': 'May 18, 2022', 'clubName': 'Shakhtar Donetsk', 'value': '€9.00m', 'clubID': '660'}, {'age': '21', 'date': 'Sep 6, 2022', 'clubName': 'Shakhtar Donetsk', 'value': '€15.00m', 'clubID': '660'}, {'age': '21', 'date': 'Dec 6, 2022', 'clubName': 'Shakhtar Donetsk', 'value': '€40.00m', 'clubID': '660'}, {'age': '22', 'date': 'Mar 16, 2023', 'clubName': 'Chelsea FC', 'value': '€60.00m', 'clubID': '631'}, {'age': '22', 'date': 'Jun 20, 2023', 'clubName': 'Chelsea FC', 'value': '€50.00m', 'clubID': '631'}, {'age': '22', 'date': 'Oct 9, 2023', 'clubName': 'Chelsea FC', 'value': '€45.00m', 'clubID': '631'}, {'age': '22', 'date': 'Dec 19, 2023', 'clubName': 'Chelsea FC', 'value': '€40.00m', 'clubID': '631'}, {'age': '23', 'date': 'Mar 14, 2024', 'clubName': 'Chelsea FC', 'value': '€35.00m', 'clubID': '631'}], 'ranking': {'Worldwide': '194', 'Premier League': '94', 'Chelsea': '11', 'Ukraine': '2', 'Left Winger': '24', 'Year 2001': '22'}, 'updatedAt': datetime.datetime(2024, 5, 23, 22, 18, 8, 710060)}</t>
        </is>
      </c>
      <c r="L504" t="inlineStr">
        <is>
          <t>Ukraine</t>
        </is>
      </c>
      <c r="M504" t="inlineStr">
        <is>
          <t>2001-01-05</t>
        </is>
      </c>
      <c r="N504" t="inlineStr">
        <is>
          <t>Ukraine</t>
        </is>
      </c>
      <c r="O504">
        <f>(9+15+40)/3</f>
        <v/>
      </c>
      <c r="P504">
        <f>(0.6+0.6+0.9+4)/4</f>
        <v/>
      </c>
    </row>
    <row r="505">
      <c r="A505" t="inlineStr">
        <is>
          <t>L. de Jong</t>
        </is>
      </c>
      <c r="B505" t="inlineStr">
        <is>
          <t>Barcelona</t>
        </is>
      </c>
      <c r="C505" t="inlineStr">
        <is>
          <t>Forward</t>
        </is>
      </c>
      <c r="D505" t="n">
        <v>179</v>
      </c>
      <c r="E505" t="n">
        <v>3</v>
      </c>
      <c r="F505" t="n">
        <v>0</v>
      </c>
      <c r="G505" t="n">
        <v>0</v>
      </c>
      <c r="H505" t="n">
        <v>22.3</v>
      </c>
      <c r="I505" t="n">
        <v>29.3</v>
      </c>
      <c r="J505" t="n">
        <v>72522</v>
      </c>
      <c r="K505" t="inlineStr">
        <is>
          <t>{'marketValueHistory': [{'date': '08/08/2008', 'age': '17', 'clubName': 'De Graafschap Doetinchem', 'clubID': '642', 'value': '€150k'}, {'date': '22/06/2009', 'age': '18', 'clubName': 'De Graafschap Doetinchem', 'clubID': '642', 'value': '€650k'}, {'date': '02/01/2010', 'age': '19', 'clubName': 'FC Twente Enschede', 'clubID': '317', 'value': '€850k'}, {'date': '01/08/2010', 'age': '19', 'clubName': 'FC Twente Enschede', 'clubID': '317', 'value': '€1.25m'}, {'date': '17/01/2011', 'age': '20', 'clubName': 'FC Twente Enschede', 'clubID': '317', 'value': '€2.50m'}, {'date': '15/06/2011', 'age': '20', 'clubName': 'FC Twente Enschede', 'clubID': '317', 'value': '€5.50m'}, {'date': '21/10/2011', 'age': '21', 'clubName': 'FC Twente Enschede', 'clubID': '317', 'value': '€6.50m'}, {'date': '05/01/2012', 'age': '21', 'clubName': 'FC Twente Enschede', 'clubID': '317', 'value': '€8.00m'}, {'date': '06/07/2012', 'age': '21', 'clubName': 'FC Twente Enschede', 'clubID': '317', 'value': '€12.00m'}, {'date': '20/07/2012', 'age': '21', 'clubName': 'Borussia Mönchengladbach', 'clubID': '18', 'value': '€13.00m'}, {'date': '13/01/2013', 'age': '22', 'clubName': 'Borussia Mönchengladbach', 'clubID': '18', 'value': '€11.00m'}, {'date': '30/06/2013', 'age': '22', 'clubName': 'Borussia Mönchengladbach', 'clubID': '18', 'value': '€10.00m'}, {'date': '05/11/2013', 'age': '23', 'clubName': 'Borussia Mönchengladbach', 'clubID': '18', 'value': '€7.50m'}, {'date': '10/07/2014', 'age': '23', 'clubName': 'Borussia Mönchengladbach', 'clubID': '18', 'value': '€5.00m'}, {'date': '16/02/2015', 'age': '24', 'clubName': 'PSV Eindhoven', 'clubID': '383', 'value': '€6.00m'}, {'date': '01/07/2015', 'age': '24', 'clubName': 'PSV Eindhoven', 'clubID': '383', 'value': '€8.00m'}, {'date': '05/02/2016', 'age': '25', 'clubName': 'PSV Eindhoven', 'clubID': '383', 'value': '€10.00m'}, {'date': '15/07/2016', 'age': '25', 'clubName': 'PSV Eindhoven', 'clubID': '383', 'value': '€10.00m'}, {'date': '18/01/2017', 'age': '26', 'clubName': 'PSV Eindhoven', 'clubID': '383', 'value': '€9.00m'}, {'date': '07/06/2017', 'age': '26', 'clubName': 'PSV Eindhoven', 'clubID': '383', 'value': '€7.00m'}, {'date': '17/01/2018', 'age': '27', 'clubName': 'PSV Eindhoven', 'clubID': '383', 'value': '€7.00m'}, {'date': '12/06/2018', 'age': '27', 'clubName': 'PSV Eindhoven', 'clubID': '383', 'value': '€8.00m'}, {'date': '28/12/2018', 'age': '28', 'clubName': 'PSV Eindhoven', 'clubID': '383', 'value': '€10.00m'}, {'date': '12/06/2019', 'age': '28', 'clubName': 'PSV Eindhoven', 'clubID': '383', 'value': '€12.00m'}, {'date': '20/12/2019', 'age': '29', 'clubName': 'Sevilla FC', 'clubID': '368', 'value': '€12.00m'}, {'date': '08/04/2020', 'age': '29', 'clubName': 'Sevilla FC', 'clubID': '368', 'value': '€9.50m'}, {'date': '08/10/2020', 'age': '30', 'clubName': 'Sevilla FC', 'clubID': '368', 'value': '€12.00m'}, {'date': '05/01/2021', 'age': '30', 'clubName': 'Sevilla FC', 'clubID': '368', 'value': '€12.00m'}, {'date': '27/05/2021', 'age': '30', 'clubName': 'Sevilla FC', 'clubID': '368', 'value': '€10.00m'}, {'date': '13/10/2021', 'age': '31', 'clubName': 'FC Barcelona', 'clubID': '131', 'value': '€7.50m'}, {'date': '30/12/2021', 'age': '31', 'clubName': 'FC Barcelona', 'clubID': '131', 'value': '€4.00m'}, {'date': '03/06/2022', 'age': '31', 'clubName': 'FC Barcelona', 'clubID': '131', 'value': '€4.00m'}, {'date': '11/11/2022', 'age': '32', 'clubName': 'PSV Eindhoven', 'clubID': '383', 'value': '€4.00m'}, {'date': '23/06/2023', 'age': '32', 'clubName': 'PSV Eindhoven', 'clubID': '383', 'value': '€4.00m'}, {'date': '15/12/2023', 'age': '33', 'clubName': 'PSV Eindhoven', 'clubID': '383', 'value': '€3.50m'}, {'date': '31/05/2024', 'age': '33', 'clubName': 'PSV Eindhoven', 'clubID': '383', 'value': '€3.50m'}, {'date': '17/12/2024', 'age': '34', 'clubName': 'PSV Eindhoven', 'clubID': '383', 'value': '€3.00m'}, {'date': '28/05/2025', 'age': '34', 'clubName': 'PSV Eindhoven', 'clubID': '383', 'value': '€2.50m'}, {'date': '18/12/2025', 'age': '35', 'clubName': 'FC Porto', 'clubID': '720', 'value': '€1.50m'}, {'date': '19/03/2026', 'age': '35', 'clubName': 'FC Porto', 'clubID': '720', 'value': '€1.00m'}]}</t>
        </is>
      </c>
      <c r="L505" t="inlineStr">
        <is>
          <t>Netherlands</t>
        </is>
      </c>
      <c r="M505" t="inlineStr">
        <is>
          <t>1990-08-27</t>
        </is>
      </c>
      <c r="N505" t="inlineStr">
        <is>
          <t>Netherlands</t>
        </is>
      </c>
      <c r="O505">
        <f>(4+4)/2</f>
        <v/>
      </c>
      <c r="P505">
        <f>(12+10+7.5+4)/4</f>
        <v/>
      </c>
    </row>
    <row r="506">
      <c r="A506" t="inlineStr">
        <is>
          <t>Rugani</t>
        </is>
      </c>
      <c r="B506" t="inlineStr">
        <is>
          <t>Juventus</t>
        </is>
      </c>
      <c r="C506" t="inlineStr">
        <is>
          <t>Defender</t>
        </is>
      </c>
      <c r="D506" t="n">
        <v>177</v>
      </c>
      <c r="E506" t="n">
        <v>4</v>
      </c>
      <c r="F506" t="n">
        <v>0</v>
      </c>
      <c r="G506" t="n">
        <v>0</v>
      </c>
      <c r="H506" t="n">
        <v>21.7</v>
      </c>
      <c r="I506" t="n">
        <v>29</v>
      </c>
      <c r="J506" t="n">
        <v>162959</v>
      </c>
      <c r="K506" t="inlineStr">
        <is>
          <t>{'id': '162959', 'marketValue': '€4.00m', 'marketValueHistory': [{'age': '17', 'date': 'Nov 1, 2011', 'clubName': 'Empoli Primavera', 'value': '€100k', 'clubID': '749'}, {'age': '17', 'date': 'Mar 3, 2012', 'clubName': 'Empoli Primavera', 'value': '€200k', 'clubID': '749'}, {'age': '18', 'date': 'Jun 6, 2013', 'clubName': 'Juventus Primavera', 'value': '€200k', 'clubID': '506'}, {'age': '19', 'date': 'Jan 29, 2014', 'clubName': 'FC Empoli', 'value': '€1.50m', 'clubID': '749'}, {'age': '19', 'date': 'Jul 15, 2014', 'clubName': 'FC Empoli', 'value': '€3.00m', 'clubID': '749'}, {'age': '20', 'date': 'Nov 8, 2014', 'clubName': 'FC Empoli', 'value': '€5.00m', 'clubID': '749'}, {'age': '20', 'date': 'Jan 7, 2015', 'clubName': 'FC Empoli', 'value': '€7.50m', 'clubID': '749'}, {'age': '20', 'date': 'Jul 1, 2015', 'clubName': 'Juventus FC', 'value': '€10.00m', 'clubID': '506'}, {'age': '21', 'date': 'Jan 4, 2016', 'clubName': 'Juventus FC', 'value': '€10.00m', 'clubID': '506'}, {'age': '21', 'date': 'Jul 15, 2016', 'clubName': 'Juventus FC', 'value': '€13.00m', 'clubID': '506'}, {'age': '22', 'date': 'Jan 2, 2017', 'clubName': 'Juventus FC', 'value': '€17.00m', 'clubID': '506'}, {'age': '22', 'date': 'Jun 8, 2017', 'clubName': 'Juventus FC', 'value': '€17.00m', 'clubID': '506'}, {'age': '23', 'date': 'Dec 29, 2017', 'clubName': 'Juventus FC', 'value': '€20.00m', 'clubID': '506'}, {'age': '23', 'date': 'Jun 7, 2018', 'clubName': 'Juventus FC', 'value': '€22.00m', 'clubID': '506'}, {'age': '24', 'date': 'Dec 20, 2018', 'clubName': 'Juventus FC', 'value': '€22.00m', 'clubID': '506'}, {'age': '24', 'date': 'Jun 6, 2019', 'clubName': 'Juventus FC', 'value': '€22.00m', 'clubID': '506'}, {'age': '25', 'date': 'Dec 12, 2019', 'clubName': 'Juventus FC', 'value': '€19.00m', 'clubID': '506'}, {'age': '25', 'date': 'Mar 3, 2020', 'clubName': 'Juventus FC', 'value': '€15.00m', 'clubID': '506'}, {'age': '25', 'date': 'Apr 8, 2020', 'clubName': 'Juventus FC', 'value': '€12.00m', 'clubID': '506'}, {'age': '26', 'date': 'Aug 25, 2020', 'clubName': 'Juventus FC', 'value': '€12.00m', 'clubID': '506'}, {'age': '26', 'date': 'Oct 15, 2020', 'clubName': 'Stade Rennais FC', 'value': '€12.00m', 'clubID': '273'}, {'age': '26', 'date': 'Jan 7, 2021', 'clubName': 'Stade Rennais FC', 'value': '€10.00m', 'clubID': '273'}, {'age': '26', 'date': 'Jun 3, 2021', 'clubName': 'Cagliari Calcio', 'value': '€5.00m', 'clubID': '1390'}, {'age': '27', 'date': 'Dec 28, 2021', 'clubName': 'Juventus FC', 'value': '€3.50m', 'clubID': '506'}, {'age': '27', 'date': 'Jun 7, 2022', 'clubName': 'Juventus FC', 'value': '€3.50m', 'clubID': '506'}, {'age': '28', 'date': 'Nov 11, 2022', 'clubName': 'Juventus FC', 'value': '€2.50m', 'clubID': '506'}, {'age': '28', 'date': 'Jun 15, 2023', 'clubName': 'Juventus FC', 'value': '€2.00m', 'clubID': '506'}, {'age': '29', 'date': 'Dec 20, 2023', 'clubName': 'Juventus FC', 'value': '€4.00m', 'clubID': '506'}], 'ranking': {'Worldwide': '2.272', 'Serie A': '261', 'Juventus': '21', 'Italy': '107', 'Centre-Back': '373', 'Year 1994': '140'}, 'updatedAt': datetime.datetime(2024, 5, 23, 22, 32, 5, 826678)}</t>
        </is>
      </c>
      <c r="L506" t="inlineStr">
        <is>
          <t>Italy</t>
        </is>
      </c>
      <c r="M506" t="inlineStr">
        <is>
          <t>1994-07-29</t>
        </is>
      </c>
      <c r="N506" t="inlineStr">
        <is>
          <t>7</t>
        </is>
      </c>
      <c r="O506">
        <f>(3.5+2.5)/2</f>
        <v/>
      </c>
      <c r="P506">
        <f>(10+5+3.5)/3</f>
        <v/>
      </c>
    </row>
    <row r="507">
      <c r="A507" t="inlineStr">
        <is>
          <t>Chalobah</t>
        </is>
      </c>
      <c r="B507" t="inlineStr">
        <is>
          <t>Chelsea</t>
        </is>
      </c>
      <c r="C507" t="inlineStr">
        <is>
          <t>Defender</t>
        </is>
      </c>
      <c r="D507" t="n">
        <v>175</v>
      </c>
      <c r="E507" t="n">
        <v>3</v>
      </c>
      <c r="F507" t="n">
        <v>1</v>
      </c>
      <c r="G507" t="n">
        <v>0</v>
      </c>
      <c r="H507" t="n">
        <v>20.4</v>
      </c>
      <c r="I507" t="n">
        <v>31.3</v>
      </c>
      <c r="J507" t="n">
        <v>346314</v>
      </c>
      <c r="K507" t="inlineStr">
        <is>
          <t>{'id': '346314', 'marketValue': '€13.00m', 'marketValueHistory': [{'age': '19', 'date': 'Sep 24, 2018', 'clubName': 'Ipswich Town', 'value': '€1.00m', 'clubID': '677'}, {'age': '19', 'date': 'Jun 13, 2019', 'clubName': 'Chelsea FC U23', 'value': '€3.00m', 'clubID': '9250'}, {'age': '20', 'date': 'Feb 27, 2020', 'clubName': 'Huddersfield Town', 'value': '€3.00m', 'clubID': '1110'}, {'age': '20', 'date': 'Apr 8, 2020', 'clubName': 'Huddersfield Town', 'value': '€2.70m', 'clubID': '1110'}, {'age': '21', 'date': 'Oct 15, 2020', 'clubName': 'FC Lorient', 'value': '€2.70m', 'clubID': '1158'}, {'age': '21', 'date': 'Apr 9, 2021', 'clubName': 'FC Lorient', 'value': '€3.00m', 'clubID': '1158'}, {'age': '21', 'date': 'Jun 4, 2021', 'clubName': 'FC Lorient', 'value': '€3.50m', 'clubID': '1158'}, {'age': '22', 'date': 'Oct 5, 2021', 'clubName': 'Chelsea FC', 'value': '€10.00m', 'clubID': '631'}, {'age': '22', 'date': 'Dec 23, 2021', 'clubName': 'Chelsea FC', 'value': '€18.00m', 'clubID': '631'}, {'age': '22', 'date': 'Mar 29, 2022', 'clubName': 'Chelsea FC', 'value': '€20.00m', 'clubID': '631'}, {'age': '22', 'date': 'Jun 15, 2022', 'clubName': 'Chelsea FC', 'value': '€20.00m', 'clubID': '631'}, {'age': '23', 'date': 'Nov 3, 2022', 'clubName': 'Chelsea FC', 'value': '€22.00m', 'clubID': '631'}, {'age': '23', 'date': 'Jun 20, 2023', 'clubName': 'Chelsea FC', 'value': '€18.00m', 'clubID': '631'}, {'age': '24', 'date': 'Dec 19, 2023', 'clubName': 'Chelsea FC', 'value': '€18.00m', 'clubID': '631'}, {'age': '24', 'date': 'Mar 14, 2024', 'clubName': 'Chelsea FC', 'value': '€13.00m', 'clubID': '631'}], 'ranking': {'Worldwide': '813', 'Premier League': '273', 'Chelsea': '23', 'England': '96', 'Centre-Back': '147', 'Year 1999': '97'}, 'updatedAt': datetime.datetime(2024, 5, 23, 22, 17, 26, 984358)}</t>
        </is>
      </c>
      <c r="L507" t="inlineStr">
        <is>
          <t>United Kingdom</t>
        </is>
      </c>
      <c r="M507" t="inlineStr">
        <is>
          <t>1999-07-05</t>
        </is>
      </c>
      <c r="N507" t="inlineStr">
        <is>
          <t>1</t>
        </is>
      </c>
      <c r="O507">
        <f>(20+20+22)/3</f>
        <v/>
      </c>
      <c r="P507">
        <f>(3+3.5+10+18)/4</f>
        <v/>
      </c>
    </row>
    <row r="508">
      <c r="A508" t="inlineStr">
        <is>
          <t>Elanga</t>
        </is>
      </c>
      <c r="B508" t="inlineStr">
        <is>
          <t>Man United</t>
        </is>
      </c>
      <c r="C508" t="inlineStr">
        <is>
          <t>Forward</t>
        </is>
      </c>
      <c r="D508" t="n">
        <v>172</v>
      </c>
      <c r="E508" t="n">
        <v>3</v>
      </c>
      <c r="F508" t="n">
        <v>1</v>
      </c>
      <c r="G508" t="n">
        <v>0</v>
      </c>
      <c r="H508" t="n">
        <v>23</v>
      </c>
      <c r="I508" t="n">
        <v>34.1</v>
      </c>
      <c r="J508" t="n">
        <v>583189</v>
      </c>
      <c r="K508" t="inlineStr">
        <is>
          <t>{'marketValueHistory': [{'date': 'Jun 8, 2021', 'age': '19', 'clubName': 'Manchester United U23', 'clubID': '9251', 'value': '€800k'}, {'date': 'Dec 23, 2021', 'age': '19', 'clubName': 'Manchester United U23', 'clubID': '9251', 'value': '€4.00m'}, {'date': 'Mar 29, 2022', 'age': '19', 'clubName': 'Manchester United', 'clubID': '985', 'value': '€15.00m'}, {'date': 'Jun 15, 2022', 'age': '20', 'clubName': 'Manchester United', 'clubID': '985', 'value': '€20.00m'}, {'date': 'Sep 15, 2022', 'age': '20', 'clubName': 'Manchester United', 'clubID': '985', 'value': '€25.00m'}, {'date': 'Nov 3, 2022', 'age': '20', 'clubName': 'Manchester United', 'clubID': '985', 'value': '€25.00m'}, {'date': 'Jun 20, 2023', 'age': '21', 'clubName': 'Manchester United', 'clubID': '985', 'value': '€18.00m'}, {'date': 'Dec 19, 2023', 'age': '21', 'clubName': 'Nottingham Forest', 'clubID': '703', 'value': '€18.00m'}, {'date': 'Mar 14, 2024', 'age': '21', 'clubName': 'Nottingham Forest', 'clubID': '703', 'value': '€22.00m'}, {'date': 'May 27, 2024', 'age': '22', 'clubName': 'Nottingham Forest', 'clubID': '703', 'value': '€22.00m'}, {'date': 'Oct 1, 2024', 'age': '22', 'clubName': 'Nottingham Forest', 'clubID': '703', 'value': '€25.00m'}, {'date': 'Dec 16, 2024', 'age': '22', 'clubName': 'Nottingham Forest', 'clubID': '703', 'value': '€25.00m'}, {'date': 'Mar 18, 2025', 'age': '22', 'clubName': 'Nottingham Forest', 'clubID': '703', 'value': '€35.00m'}, {'date': 'May 30, 2025', 'age': '23', 'clubName': 'Nottingham Forest', 'clubID': '703', 'value': '€42.00m'}, {'date': 'Oct 17, 2025', 'age': '23', 'clubName': 'Newcastle United', 'clubID': '762', 'value': '€55.00m'}, {'date': 'Dec 9, 2025', 'age': '23', 'clubName': 'Newcastle United', 'clubID': '762', 'value': '€50.00m'}, {'date': 'Mar 9, 2026', 'age': '23', 'clubName': 'Newcastle United', 'clubID': '762', 'value': '€40.00m'}]}</t>
        </is>
      </c>
      <c r="L508" t="inlineStr">
        <is>
          <t>Sweden</t>
        </is>
      </c>
      <c r="M508" t="inlineStr">
        <is>
          <t>2002-04-27</t>
        </is>
      </c>
      <c r="N508" t="inlineStr">
        <is>
          <t>28</t>
        </is>
      </c>
      <c r="O508">
        <f>(15+20+25+25)/4</f>
        <v/>
      </c>
      <c r="P508">
        <f>(0.8+4)/2</f>
        <v/>
      </c>
    </row>
    <row r="509">
      <c r="A509" t="inlineStr">
        <is>
          <t>Paulo Otavio</t>
        </is>
      </c>
      <c r="B509" t="inlineStr">
        <is>
          <t>Wolfsburg</t>
        </is>
      </c>
      <c r="C509" t="inlineStr">
        <is>
          <t>Defender</t>
        </is>
      </c>
      <c r="D509" t="n">
        <v>171</v>
      </c>
      <c r="E509" t="n">
        <v>4</v>
      </c>
      <c r="F509" t="n">
        <v>0</v>
      </c>
      <c r="G509" t="n">
        <v>0</v>
      </c>
      <c r="H509" t="n">
        <v>20.2</v>
      </c>
      <c r="I509" t="n">
        <v>34</v>
      </c>
      <c r="J509" t="n">
        <v>221611</v>
      </c>
      <c r="K509" t="inlineStr">
        <is>
          <t>{'marketValueHistory': [{'date': '31/05/2015', 'age': '20', 'clubName': 'Paysandu SC', 'clubID': '6347', 'value': '€100k'}, {'date': '11/09/2015', 'age': '20', 'clubName': 'Paysandu SC', 'clubID': '6347', 'value': '€100k'}, {'date': '15/12/2015', 'age': '21', 'clubName': 'Coritiba Foot Ball Club', 'clubID': '776', 'value': '€125k'}, {'date': '03/12/2016', 'age': '22', 'clubName': 'LASK', 'clubID': '413', 'value': '€325k'}, {'date': '27/05/2017', 'age': '22', 'clubName': 'LASK', 'clubID': '413', 'value': '€500k'}, {'date': '21/08/2017', 'age': '22', 'clubName': 'FC Ingolstadt 04', 'clubID': '4795', 'value': '€1.00m'}, {'date': '22/01/2018', 'age': '23', 'clubName': 'FC Ingolstadt 04', 'clubID': '4795', 'value': '€900k'}, {'date': '19/06/2018', 'age': '23', 'clubName': 'FC Ingolstadt 04', 'clubID': '4795', 'value': '€650k'}, {'date': '08/01/2019', 'age': '24', 'clubName': 'FC Ingolstadt 04', 'clubID': '4795', 'value': '€650k'}, {'date': '12/06/2019', 'age': '24', 'clubName': 'FC Ingolstadt 04', 'clubID': '4795', 'value': '€1.00m'}, {'date': '17/12/2019', 'age': '25', 'clubName': 'VfL Wolfsburg', 'clubID': '82', 'value': '€1.00m'}, {'date': '08/04/2020', 'age': '25', 'clubName': 'VfL Wolfsburg', 'clubID': '82', 'value': '€800k'}, {'date': '16/09/2020', 'age': '25', 'clubName': 'VfL Wolfsburg', 'clubID': '82', 'value': '€1.20m'}, {'date': '10/02/2021', 'age': '26', 'clubName': 'VfL Wolfsburg', 'clubID': '82', 'value': '€3.00m'}, {'date': '31/03/2021', 'age': '26', 'clubName': 'VfL Wolfsburg', 'clubID': '82', 'value': '€6.00m'}, {'date': '09/06/2021', 'age': '26', 'clubName': 'VfL Wolfsburg', 'clubID': '82', 'value': '€8.00m'}, {'date': '22/12/2021', 'age': '27', 'clubName': 'VfL Wolfsburg', 'clubID': '82', 'value': '€7.00m'}, {'date': '09/06/2022', 'age': '27', 'clubName': 'VfL Wolfsburg', 'clubID': '82', 'value': '€6.00m'}, {'date': '09/11/2022', 'age': '27', 'clubName': 'VfL Wolfsburg', 'clubID': '82', 'value': '€6.50m'}, {'date': '22/06/2023', 'age': '28', 'clubName': 'VfL Wolfsburg', 'clubID': '82', 'value': '€4.00m'}, {'date': '27/11/2023', 'age': '29', 'clubName': 'Al-Sadd SC', 'clubID': '656', 'value': '€3.50m'}, {'date': '02/05/2024', 'age': '29', 'clubName': 'Al-Sadd SC', 'clubID': '656', 'value': '€3.30m'}, {'date': '10/12/2024', 'age': '30', 'clubName': 'Al-Sadd SC', 'clubID': '656', 'value': '€3.20m'}, {'date': '28/05/2025', 'age': '30', 'clubName': 'Al-Sadd SC', 'clubID': '656', 'value': '€3.00m'}, {'date': '30/12/2025', 'age': '31', 'clubName': 'Al-Sadd SC', 'clubID': '656', 'value': '€2.70m'}]}</t>
        </is>
      </c>
      <c r="L509" t="inlineStr">
        <is>
          <t>Brazil</t>
        </is>
      </c>
      <c r="M509" t="inlineStr">
        <is>
          <t>1994-11-23</t>
        </is>
      </c>
      <c r="N509" t="inlineStr">
        <is>
          <t>Brazil</t>
        </is>
      </c>
      <c r="O509">
        <f>(6+6.5)/2</f>
        <v/>
      </c>
      <c r="P509">
        <f>(3+6+8+7)/4</f>
        <v/>
      </c>
    </row>
    <row r="510">
      <c r="A510" t="inlineStr">
        <is>
          <t>Wolf</t>
        </is>
      </c>
      <c r="B510" t="inlineStr">
        <is>
          <t>Dortmund</t>
        </is>
      </c>
      <c r="C510" t="inlineStr">
        <is>
          <t>Midfielder</t>
        </is>
      </c>
      <c r="D510" t="n">
        <v>170</v>
      </c>
      <c r="E510" t="n">
        <v>5</v>
      </c>
      <c r="F510" t="n">
        <v>0</v>
      </c>
      <c r="G510" t="n">
        <v>0</v>
      </c>
      <c r="H510" t="n">
        <v>24.3</v>
      </c>
      <c r="I510" t="n">
        <v>32.3</v>
      </c>
      <c r="J510" t="n">
        <v>84181</v>
      </c>
      <c r="K510" t="inlineStr">
        <is>
          <t>{'id': '84181', 'updatedAt': datetime.datetime(2024, 5, 23, 22, 29, 24, 342858)}</t>
        </is>
      </c>
      <c r="L510" t="inlineStr">
        <is>
          <t>Germany</t>
        </is>
      </c>
      <c r="M510" t="inlineStr">
        <is>
          <t>1946-11-16</t>
        </is>
      </c>
      <c r="N510" t="inlineStr">
        <is>
          <t>Germany</t>
        </is>
      </c>
    </row>
    <row r="511">
      <c r="A511" t="inlineStr">
        <is>
          <t>Pongracic</t>
        </is>
      </c>
      <c r="B511" t="inlineStr">
        <is>
          <t>Dortmund</t>
        </is>
      </c>
      <c r="C511" t="inlineStr">
        <is>
          <t>Defender</t>
        </is>
      </c>
      <c r="D511" t="n">
        <v>170</v>
      </c>
      <c r="E511" t="n">
        <v>5</v>
      </c>
      <c r="F511" t="n">
        <v>0</v>
      </c>
      <c r="G511" t="n">
        <v>0</v>
      </c>
      <c r="H511" t="n">
        <v>20.6</v>
      </c>
      <c r="I511" t="n">
        <v>33.2</v>
      </c>
      <c r="J511" t="n">
        <v>282144</v>
      </c>
      <c r="K511" t="inlineStr">
        <is>
          <t>{'marketValueHistory': [{'date': 'Aug 23, 2016', 'age': '18', 'clubName': 'FC Ingolstadt 04 U19', 'clubID': '13683', 'value': '€25k'}, {'date': 'Jun 27, 2017', 'age': '19', 'clubName': 'TSV 1860 Munich', 'clubID': '72', 'value': '€250k'}, {'date': 'Jul 2, 2017', 'age': '19', 'clubName': 'Red Bull Salzburg', 'clubID': '409', 'value': '€500k'}, {'date': 'Oct 11, 2017', 'age': '20', 'clubName': 'Red Bull Salzburg', 'clubID': '409', 'value': '€900k'}, {'date': 'Jan 2, 2018', 'age': '20', 'clubName': 'Red Bull Salzburg', 'clubID': '409', 'value': '€1.50m'}, {'date': 'Jun 14, 2018', 'age': '20', 'clubName': 'Red Bull Salzburg', 'clubID': '409', 'value': '€2.50m'}, {'date': 'Oct 25, 2018', 'age': '21', 'clubName': 'Red Bull Salzburg', 'clubID': '409', 'value': '€5.00m'}, {'date': 'Dec 19, 2018', 'age': '21', 'clubName': 'Red Bull Salzburg', 'clubID': '409', 'value': '€7.50m'}, {'date': 'Jun 3, 2019', 'age': '21', 'clubName': 'Red Bull Salzburg', 'clubID': '409', 'value': '€7.50m'}, {'date': 'Dec 16, 2019', 'age': '22', 'clubName': 'Red Bull Salzburg', 'clubID': '409', 'value': '€6.00m'}, {'date': 'Feb 11, 2020', 'age': '22', 'clubName': 'VfL Wolfsburg', 'clubID': '82', 'value': '€9.00m'}, {'date': 'Apr 8, 2020', 'age': '22', 'clubName': 'VfL Wolfsburg', 'clubID': '82', 'value': '€7.00m'}, {'date': 'Jul 8, 2020', 'age': '22', 'clubName': 'VfL Wolfsburg', 'clubID': '82', 'value': '€10.00m'}, {'date': 'Feb 10, 2021', 'age': '23', 'clubName': 'VfL Wolfsburg', 'clubID': '82', 'value': '€10.00m'}, {'date': 'Jun 9, 2021', 'age': '23', 'clubName': 'VfL Wolfsburg', 'clubID': '82', 'value': '€8.50m'}, {'date': 'Dec 22, 2021', 'age': '24', 'clubName': 'Borussia Dortmund', 'clubID': '16', 'value': '€7.50m'}, {'date': 'Jun 9, 2022', 'age': '24', 'clubName': 'Borussia Dortmund', 'clubID': '16', 'value': '€6.00m'}, {'date': 'Nov 11, 2022', 'age': '25', 'clubName': 'US Lecce', 'clubID': '1005', 'value': '€6.00m'}, {'date': 'Jun 15, 2023', 'age': '25', 'clubName': 'US Lecce', 'clubID': '1005', 'value': '€4.00m'}, {'date': 'Dec 20, 2023', 'age': '26', 'clubName': 'US Lecce', 'clubID': '1005', 'value': '€6.00m'}, {'date': 'Jun 5, 2024', 'age': '26', 'clubName': 'US Lecce', 'clubID': '1005', 'value': '€7.00m'}, {'date': 'Oct 18, 2024', 'age': '27', 'clubName': 'ACF Fiorentina', 'clubID': '430', 'value': '€10.00m'}, {'date': 'Dec 18, 2024', 'age': '27', 'clubName': 'ACF Fiorentina', 'clubID': '430', 'value': '€10.00m'}, {'date': 'Jun 17, 2025', 'age': '27', 'clubName': 'ACF Fiorentina', 'clubID': '430', 'value': '€10.00m'}, {'date': 'Dec 23, 2025', 'age': '28', 'clubName': 'ACF Fiorentina', 'clubID': '430', 'value': '€7.50m'}]}</t>
        </is>
      </c>
      <c r="L511" t="inlineStr">
        <is>
          <t>Croatia</t>
        </is>
      </c>
      <c r="M511" t="inlineStr">
        <is>
          <t>1997-09-11</t>
        </is>
      </c>
      <c r="N511" t="inlineStr">
        <is>
          <t>Germany</t>
        </is>
      </c>
      <c r="O511">
        <f>(6+6)/2</f>
        <v/>
      </c>
      <c r="P511">
        <f>(10+8.5+7.5)/3</f>
        <v/>
      </c>
    </row>
    <row r="512">
      <c r="A512" t="inlineStr">
        <is>
          <t>Sergi Roberto</t>
        </is>
      </c>
      <c r="B512" t="inlineStr">
        <is>
          <t>Barcelona</t>
        </is>
      </c>
      <c r="C512" t="inlineStr">
        <is>
          <t>Midfielder</t>
        </is>
      </c>
      <c r="D512" t="n">
        <v>169</v>
      </c>
      <c r="E512" t="n">
        <v>3</v>
      </c>
      <c r="F512" t="n">
        <v>0</v>
      </c>
      <c r="G512" t="n">
        <v>0</v>
      </c>
      <c r="H512" t="n">
        <v>22</v>
      </c>
      <c r="I512" t="n">
        <v>31.9</v>
      </c>
      <c r="J512" t="n">
        <v>85370</v>
      </c>
      <c r="K512" t="inlineStr">
        <is>
          <t>{'marketValueHistory': [{'date': '20/08/2010', 'age': '18', 'clubName': 'FC Barcelona B', 'clubID': '2464', 'value': '€1.50m'}, {'date': '04/02/2011', 'age': '18', 'clubName': 'FC Barcelona B', 'clubID': '2464', 'value': '€1.50m'}, {'date': '08/08/2011', 'age': '19', 'clubName': 'FC Barcelona B', 'clubID': '2464', 'value': '€2.50m'}, {'date': '01/03/2012', 'age': '20', 'clubName': 'FC Barcelona B', 'clubID': '2464', 'value': '€2.50m'}, {'date': '07/08/2012', 'age': '20', 'clubName': 'FC Barcelona B', 'clubID': '2464', 'value': '€5.00m'}, {'date': '10/01/2013', 'age': '20', 'clubName': 'FC Barcelona B', 'clubID': '2464', 'value': '€5.00m'}, {'date': '09/05/2013', 'age': '21', 'clubName': 'FC Barcelona B', 'clubID': '2464', 'value': '€7.50m'}, {'date': '12/06/2013', 'age': '21', 'clubName': 'FC Barcelona B', 'clubID': '2464', 'value': '€7.50m'}, {'date': '23/01/2014', 'age': '21', 'clubName': 'FC Barcelona', 'clubID': '131', 'value': '€8.00m'}, {'date': '20/07/2014', 'age': '22', 'clubName': 'FC Barcelona', 'clubID': '131', 'value': '€8.00m'}, {'date': '23/01/2015', 'age': '22', 'clubName': 'FC Barcelona', 'clubID': '131', 'value': '€8.00m'}, {'date': '01/07/2015', 'age': '23', 'clubName': 'FC Barcelona', 'clubID': '131', 'value': '€8.00m'}, {'date': '22/11/2015', 'age': '23', 'clubName': 'FC Barcelona', 'clubID': '131', 'value': '€15.00m'}, {'date': '22/02/2016', 'age': '24', 'clubName': 'FC Barcelona', 'clubID': '131', 'value': '€20.00m'}, {'date': '15/07/2016', 'age': '24', 'clubName': 'FC Barcelona', 'clubID': '131', 'value': '€20.00m'}, {'date': '27/10/2016', 'age': '24', 'clubName': 'FC Barcelona', 'clubID': '131', 'value': '€25.00m'}, {'date': '24/01/2017', 'age': '24', 'clubName': 'FC Barcelona', 'clubID': '131', 'value': '€25.00m'}, {'date': '05/06/2017', 'age': '25', 'clubName': 'FC Barcelona', 'clubID': '131', 'value': '€25.00m'}, {'date': '01/01/2018', 'age': '25', 'clubName': 'FC Barcelona', 'clubID': '131', 'value': '€40.00m'}, {'date': '22/03/2018', 'age': '26', 'clubName': 'FC Barcelona', 'clubID': '131', 'value': '€60.00m'}, {'date': '30/05/2018', 'age': '26', 'clubName': 'FC Barcelona', 'clubID': '131', 'value': '€55.00m'}, {'date': '21/12/2018', 'age': '26', 'clubName': 'FC Barcelona', 'clubID': '131', 'value': '€55.00m'}, {'date': '11/06/2019', 'age': '27', 'clubName': 'FC Barcelona', 'clubID': '131', 'value': '€50.00m'}, {'date': '20/12/2019', 'age': '27', 'clubName': 'FC Barcelona', 'clubID': '131', 'value': '€50.00m'}, {'date': '08/04/2020', 'age': '28', 'clubName': 'FC Barcelona', 'clubID': '131', 'value': '€40.00m'}, {'date': '08/10/2020', 'age': '28', 'clubName': 'FC Barcelona', 'clubID': '131', 'value': '€20.00m'}, {'date': '23/11/2020', 'age': '28', 'clubName': 'FC Barcelona', 'clubID': '131', 'value': '€25.00m'}, {'date': '05/01/2021', 'age': '28', 'clubName': 'FC Barcelona', 'clubID': '131', 'value': '€25.00m'}, {'date': '10/06/2021', 'age': '29', 'clubName': 'FC Barcelona', 'clubID': '131', 'value': '€18.00m'}, {'date': '13/10/2021', 'age': '29', 'clubName': 'FC Barcelona', 'clubID': '131', 'value': '€15.00m'}, {'date': '30/12/2021', 'age': '29', 'clubName': 'FC Barcelona', 'clubID': '131', 'value': '€9.00m'}, {'date': '21/03/2022', 'age': '30', 'clubName': 'FC Barcelona', 'clubID': '131', 'value': '€7.00m'}, {'date': '03/06/2022', 'age': '30', 'clubName': 'FC Barcelona', 'clubID': '131', 'value': '€6.00m'}, {'date': '07/11/2022', 'age': '30', 'clubName': 'FC Barcelona', 'clubID': '131', 'value': '€6.00m'}, {'date': '13/06/2023', 'age': '31', 'clubName': 'FC Barcelona', 'clubID': '131', 'value': '€5.00m'}, {'date': '13/10/2023', 'age': '31', 'clubName': 'FC Barcelona', 'clubID': '131', 'value': '€4.00m'}, {'date': '22/12/2023', 'age': '31', 'clubName': 'FC Barcelona', 'clubID': '131', 'value': '€3.00m'}, {'date': '07/06/2024', 'age': '32', 'clubName': 'FC Barcelona', 'clubID': '131', 'value': '€2.50m'}, {'date': '18/12/2024', 'age': '32', 'clubName': 'Como 1907', 'clubID': '1047', 'value': '€2.00m'}, {'date': '17/06/2025', 'age': '33', 'clubName': 'Como 1907', 'clubID': '1047', 'value': '€1.50m'}, {'date': '23/12/2025', 'age': '33', 'clubName': 'Como 1907', 'clubID': '1047', 'value': '€1.50m'}]}</t>
        </is>
      </c>
      <c r="L512" t="inlineStr">
        <is>
          <t>Spain</t>
        </is>
      </c>
      <c r="M512" t="inlineStr">
        <is>
          <t>1992-02-07</t>
        </is>
      </c>
      <c r="N512" t="inlineStr">
        <is>
          <t>Spain</t>
        </is>
      </c>
      <c r="O512">
        <f>(7+6+6)/3</f>
        <v/>
      </c>
      <c r="P512">
        <f>(25+18+15+9)/4</f>
        <v/>
      </c>
    </row>
    <row r="513">
      <c r="A513" t="inlineStr">
        <is>
          <t>Kean</t>
        </is>
      </c>
      <c r="B513" t="inlineStr">
        <is>
          <t>Juventus</t>
        </is>
      </c>
      <c r="C513" t="inlineStr">
        <is>
          <t>Forward</t>
        </is>
      </c>
      <c r="D513" t="n">
        <v>168</v>
      </c>
      <c r="E513" t="n">
        <v>6</v>
      </c>
      <c r="F513" t="n">
        <v>1</v>
      </c>
      <c r="G513" t="n">
        <v>0</v>
      </c>
      <c r="H513" t="n">
        <v>20.6</v>
      </c>
      <c r="I513" t="n">
        <v>32.6</v>
      </c>
      <c r="J513" t="n">
        <v>392757</v>
      </c>
      <c r="K513" t="inlineStr">
        <is>
          <t>{'marketValueHistory': [{'date': 'Dec 10, 2019', 'age': '19', 'clubName': 'Chelsea FC U23', 'clubID': '9250', 'value': '€1.50m'}, {'date': 'Feb 27, 2020', 'age': '19', 'clubName': 'Swansea City', 'clubID': '2288', 'value': '€3.00m'}, {'date': 'Apr 8, 2020', 'age': '19', 'clubName': 'Swansea City', 'clubID': '2288', 'value': '€2.70m'}, {'date': 'Oct 15, 2020', 'age': '20', 'clubName': 'Swansea City', 'clubID': '2288', 'value': '€5.50m'}, {'date': 'Mar 10, 2021', 'age': '20', 'clubName': 'Swansea City', 'clubID': '2288', 'value': '€6.00m'}, {'date': 'Jun 8, 2021', 'age': '20', 'clubName': 'Chelsea FC', 'clubID': '631', 'value': '€10.00m'}, {'date': 'Oct 5, 2021', 'age': '21', 'clubName': 'Crystal Palace', 'clubID': '873', 'value': '€20.00m'}, {'date': 'Dec 23, 2021', 'age': '21', 'clubName': 'Crystal Palace', 'clubID': '873', 'value': '€22.00m'}, {'date': 'Mar 29, 2022', 'age': '21', 'clubName': 'Crystal Palace', 'clubID': '873', 'value': '€30.00m'}, {'date': 'Jun 15, 2022', 'age': '21', 'clubName': 'Crystal Palace', 'clubID': '873', 'value': '€32.00m'}, {'date': 'Nov 3, 2022', 'age': '22', 'clubName': 'Crystal Palace', 'clubID': '873', 'value': '€35.00m'}, {'date': 'Jun 20, 2023', 'age': '22', 'clubName': 'Crystal Palace', 'clubID': '873', 'value': '€35.00m'}, {'date': 'Dec 19, 2023', 'age': '23', 'clubName': 'Crystal Palace', 'clubID': '873', 'value': '€38.00m'}, {'date': 'May 27, 2024', 'age': '23', 'clubName': 'Crystal Palace', 'clubID': '873', 'value': '€38.00m'}, {'date': 'Oct 1, 2024', 'age': '24', 'clubName': 'Crystal Palace', 'clubID': '873', 'value': '€45.00m'}, {'date': 'Dec 16, 2024', 'age': '24', 'clubName': 'Crystal Palace', 'clubID': '873', 'value': '€45.00m'}, {'date': 'May 30, 2025', 'age': '24', 'clubName': 'Crystal Palace', 'clubID': '873', 'value': '€45.00m'}, {'date': 'Oct 17, 2025', 'age': '25', 'clubName': 'Crystal Palace', 'clubID': '873', 'value': '€50.00m'}, {'date': 'Dec 9, 2025', 'age': '25', 'clubName': 'Crystal Palace', 'clubID': '873', 'value': '€55.00m'}, {'date': 'Mar 9, 2026', 'age': '25', 'clubName': 'Manchester City', 'clubID': '281', 'value': '€65.00m'}]}</t>
        </is>
      </c>
      <c r="L513" t="inlineStr">
        <is>
          <t>United Kingdom</t>
        </is>
      </c>
      <c r="M513" t="inlineStr">
        <is>
          <t>2000-07-13</t>
        </is>
      </c>
      <c r="N513" t="inlineStr">
        <is>
          <t>England</t>
        </is>
      </c>
      <c r="O513">
        <f>(30+32+35)/3</f>
        <v/>
      </c>
      <c r="P513">
        <f>(6+10+20+22)/4</f>
        <v/>
      </c>
    </row>
    <row r="514">
      <c r="A514" t="inlineStr">
        <is>
          <t>Gomes</t>
        </is>
      </c>
      <c r="B514" t="inlineStr">
        <is>
          <t>Lille</t>
        </is>
      </c>
      <c r="C514" t="inlineStr">
        <is>
          <t>Midfielder</t>
        </is>
      </c>
      <c r="D514" t="n">
        <v>168</v>
      </c>
      <c r="E514" t="n">
        <v>4</v>
      </c>
      <c r="F514" t="n">
        <v>1</v>
      </c>
      <c r="G514" t="n">
        <v>1</v>
      </c>
      <c r="H514" t="n">
        <v>19.7</v>
      </c>
      <c r="I514" t="n">
        <v>32.2</v>
      </c>
      <c r="J514" t="n">
        <v>159372</v>
      </c>
      <c r="K514" t="inlineStr">
        <is>
          <t>{'marketValueHistory': [{'date': 'Dec 10, 2010', 'age': '17', 'clubName': 'Santos FC', 'clubID': '221', 'value': '€400k'}, {'date': 'May 30, 2011', 'age': '18', 'clubName': 'Santos FC', 'clubID': '221', 'value': '€400k'}, {'date': 'Aug 29, 2011', 'age': '18', 'clubName': 'Santos FC', 'clubID': '221', 'value': '€750k'}, {'date': 'Dec 8, 2011', 'age': '18', 'clubName': 'Santos FC', 'clubID': '221', 'value': '€1.00m'}, {'date': 'May 24, 2012', 'age': '19', 'clubName': 'Santos FC', 'clubID': '221', 'value': '€1.00m'}, {'date': 'Jul 29, 2012', 'age': '19', 'clubName': 'Santos FC', 'clubID': '221', 'value': '€2.00m'}, {'date': 'Dec 5, 2012', 'age': '19', 'clubName': 'Santos FC', 'clubID': '221', 'value': '€6.00m'}, {'date': 'Jul 22, 2013', 'age': '20', 'clubName': 'SS Lazio', 'clubID': '398', 'value': '€8.00m'}, {'date': 'Jan 7, 2014', 'age': '20', 'clubName': 'SS Lazio', 'clubID': '398', 'value': '€7.50m'}, {'date': 'Jul 1, 2014', 'age': '21', 'clubName': 'SS Lazio', 'clubID': '398', 'value': '€6.50m'}, {'date': 'Jan 7, 2015', 'age': '21', 'clubName': 'SS Lazio', 'clubID': '398', 'value': '€9.00m'}, {'date': 'Mar 20, 2015', 'age': '21', 'clubName': 'SS Lazio', 'clubID': '398', 'value': '€15.00m'}, {'date': 'Jul 1, 2015', 'age': '22', 'clubName': 'SS Lazio', 'clubID': '398', 'value': '€20.00m'}, {'date': 'Jan 4, 2016', 'age': '22', 'clubName': 'SS Lazio', 'clubID': '398', 'value': '€20.00m'}, {'date': 'Jul 15, 2016', 'age': '23', 'clubName': 'SS Lazio', 'clubID': '398', 'value': '€19.00m'}, {'date': 'Jan 2, 2017', 'age': '23', 'clubName': 'SS Lazio', 'clubID': '398', 'value': '€24.00m'}, {'date': 'Jun 8, 2017', 'age': '24', 'clubName': 'SS Lazio', 'clubID': '398', 'value': '€25.00m'}, {'date': 'Dec 29, 2017', 'age': '24', 'clubName': 'SS Lazio', 'clubID': '398', 'value': '€25.00m'}, {'date': 'Jun 7, 2018', 'age': '25', 'clubName': 'SS Lazio', 'clubID': '398', 'value': '€30.00m'}, {'date': 'Aug 13, 2018', 'age': '25', 'clubName': 'West Ham United', 'clubID': '379', 'value': '€35.00m'}, {'date': 'Dec 19, 2018', 'age': '25', 'clubName': 'West Ham United', 'clubID': '379', 'value': '€35.00m'}, {'date': 'Mar 5, 2019', 'age': '25', 'clubName': 'West Ham United', 'clubID': '379', 'value': '€40.00m'}, {'date': 'Jun 13, 2019', 'age': '26', 'clubName': 'West Ham United', 'clubID': '379', 'value': '€40.00m'}, {'date': 'Sep 12, 2019', 'age': '26', 'clubName': 'West Ham United', 'clubID': '379', 'value': '€45.00m'}, {'date': 'Dec 10, 2019', 'age': '26', 'clubName': 'West Ham United', 'clubID': '379', 'value': '€45.00m'}, {'date': 'Mar 9, 2020', 'age': '26', 'clubName': 'West Ham United', 'clubID': '379', 'value': '€40.00m'}, {'date': 'Apr 8, 2020', 'age': '26', 'clubName': 'West Ham United', 'clubID': '379', 'value': '€32.00m'}, {'date': 'Jul 30, 2020', 'age': '27', 'clubName': 'West Ham United', 'clubID': '379', 'value': '€25.00m'}, {'date': 'Jan 28, 2021', 'age': '27', 'clubName': 'FC Porto', 'clubID': '720', 'value': '€18.00m'}, {'date': 'Mar 25, 2021', 'age': '27', 'clubName': 'FC Porto', 'clubID': '720', 'value': '€15.00m'}, {'date': 'May 21, 2021', 'age': '28', 'clubName': 'FC Porto', 'clubID': '720', 'value': '€10.00m'}, {'date': 'Dec 28, 2021', 'age': '28', 'clubName': 'SS Lazio', 'clubID': '398', 'value': '€10.00m'}, {'date': 'Mar 15, 2022', 'age': '28', 'clubName': 'SS Lazio', 'clubID': '398', 'value': '€13.00m'}, {'date': 'Jun 7, 2022', 'age': '29', 'clubName': 'SS Lazio', 'clubID': '398', 'value': '€13.00m'}, {'date': 'Nov 11, 2022', 'age': '29', 'clubName': 'SS Lazio', 'clubID': '398', 'value': '€15.00m'}, {'date': 'Jun 15, 2023', 'age': '30', 'clubName': 'SS Lazio', 'clubID': '398', 'value': '€15.00m'}, {'date': 'Dec 20, 2023', 'age': '30', 'clubName': 'SS Lazio', 'clubID': '398', 'value': '€10.00m'}, {'date': 'Jun 5, 2024', 'age': '31', 'clubName': 'SS Lazio', 'clubID': '398', 'value': '€8.00m'}, {'date': 'Sep 27, 2024', 'age': '31', 'clubName': 'Sociedade Esportiva Palmeiras', 'clubID': '1023', 'value': '€7.00m'}, {'date': 'Dec 9, 2024', 'age': '31', 'clubName': 'Sociedade Esportiva Palmeiras', 'clubID': '1023', 'value': '€6.00m'}, {'date': 'Mar 28, 2025', 'age': '31', 'clubName': 'Sociedade Esportiva Palmeiras', 'clubID': '1023', 'value': '€5.00m'}, {'date': 'Jun 6, 2025', 'age': '32', 'clubName': 'Sociedade Esportiva Palmeiras', 'clubID': '1023', 'value': '€4.00m'}, {'date': 'Sep 5, 2025', 'age': '32', 'clubName': 'Sociedade Esportiva Palmeiras', 'clubID': '1023', 'value': '€3.00m'}, {'date': 'Dec 10, 2025', 'age': '32', 'clubName': 'Sociedade Esportiva Palmeiras', 'clubID': '1023', 'value': '€2.50m'}, {'date': 'Mar 12, 2026', 'age': '32', 'clubName': 'Sociedade Esportiva Palmeiras', 'clubID': '1023', 'value': '€2.00m'}]}</t>
        </is>
      </c>
      <c r="L514" t="inlineStr">
        <is>
          <t>Brazil</t>
        </is>
      </c>
      <c r="M514" t="inlineStr">
        <is>
          <t>1993-04-15</t>
        </is>
      </c>
      <c r="N514" t="inlineStr">
        <is>
          <t>Brazil</t>
        </is>
      </c>
      <c r="O514">
        <f>(13+13+15)/3</f>
        <v/>
      </c>
      <c r="P514">
        <f>(18+15+10+10)/4</f>
        <v/>
      </c>
    </row>
    <row r="515">
      <c r="A515" t="inlineStr">
        <is>
          <t>Oliver Torres</t>
        </is>
      </c>
      <c r="B515" t="inlineStr">
        <is>
          <t>Sevilla</t>
        </is>
      </c>
      <c r="C515" t="inlineStr">
        <is>
          <t>Midfielder</t>
        </is>
      </c>
      <c r="D515" t="n">
        <v>168</v>
      </c>
      <c r="E515" t="n">
        <v>4</v>
      </c>
      <c r="F515" t="n">
        <v>0</v>
      </c>
      <c r="G515" t="n">
        <v>0</v>
      </c>
      <c r="H515" t="n">
        <v>25.8</v>
      </c>
      <c r="I515" t="n">
        <v>29.1</v>
      </c>
      <c r="J515" t="n">
        <v>214775</v>
      </c>
      <c r="K515" t="inlineStr">
        <is>
          <t>{'marketValueHistory': [{'date': '01/08/2012', 'age': '17', 'clubName': 'Atlético Madrileño', 'clubID': '3679', 'value': '€3.00m'}, {'date': '10/01/2013', 'age': '18', 'clubName': 'Atlético Madrileño', 'clubID': '3679', 'value': '€3.00m'}, {'date': '12/06/2013', 'age': '18', 'clubName': 'Atlético Madrileño', 'clubID': '3679', 'value': '€4.00m'}, {'date': '25/07/2013', 'age': '18', 'clubName': 'Atlético de Madrid', 'clubID': '13', 'value': '€8.00m'}, {'date': '23/01/2014', 'age': '19', 'clubName': 'Atlético de Madrid', 'clubID': '13', 'value': '€8.00m'}, {'date': '17/02/2015', 'age': '20', 'clubName': 'FC Porto', 'clubID': '720', 'value': '€11.00m'}, {'date': '01/07/2015', 'age': '20', 'clubName': 'Atlético de Madrid', 'clubID': '13', 'value': '€14.00m'}, {'date': '22/02/2016', 'age': '21', 'clubName': 'Atlético de Madrid', 'clubID': '13', 'value': '€14.00m'}, {'date': '15/07/2016', 'age': '21', 'clubName': 'Atlético de Madrid', 'clubID': '13', 'value': '€14.00m'}, {'date': '22/02/2017', 'age': '22', 'clubName': 'FC Porto', 'clubID': '720', 'value': '€14.00m'}, {'date': '26/06/2017', 'age': '22', 'clubName': 'FC Porto', 'clubID': '720', 'value': '€14.00m'}, {'date': '07/02/2018', 'age': '23', 'clubName': 'FC Porto', 'clubID': '720', 'value': '€12.00m'}, {'date': '13/06/2018', 'age': '23', 'clubName': 'FC Porto', 'clubID': '720', 'value': '€12.00m'}, {'date': '11/01/2019', 'age': '24', 'clubName': 'FC Porto', 'clubID': '720', 'value': '€14.00m'}, {'date': '18/03/2019', 'age': '24', 'clubName': 'FC Porto', 'clubID': '720', 'value': '€17.00m'}, {'date': '07/06/2019', 'age': '24', 'clubName': 'FC Porto', 'clubID': '720', 'value': '€17.00m'}, {'date': '20/12/2019', 'age': '25', 'clubName': 'Sevilla FC', 'clubID': '368', 'value': '€17.00m'}, {'date': '08/04/2020', 'age': '25', 'clubName': 'Sevilla FC', 'clubID': '368', 'value': '€13.50m'}, {'date': '08/10/2020', 'age': '25', 'clubName': 'Sevilla FC', 'clubID': '368', 'value': '€14.00m'}, {'date': '05/01/2021', 'age': '26', 'clubName': 'Sevilla FC', 'clubID': '368', 'value': '€13.00m'}, {'date': '10/06/2021', 'age': '26', 'clubName': 'Sevilla FC', 'clubID': '368', 'value': '€13.00m'}, {'date': '13/10/2021', 'age': '26', 'clubName': 'Sevilla FC', 'clubID': '368', 'value': '€9.00m'}, {'date': '30/12/2021', 'age': '27', 'clubName': 'Sevilla FC', 'clubID': '368', 'value': '€9.00m'}, {'date': '03/06/2022', 'age': '27', 'clubName': 'Sevilla FC', 'clubID': '368', 'value': '€8.00m'}, {'date': '07/11/2022', 'age': '27', 'clubName': 'Sevilla FC', 'clubID': '368', 'value': '€9.00m'}, {'date': '13/06/2023', 'age': '28', 'clubName': 'Sevilla FC', 'clubID': '368', 'value': '€9.00m'}, {'date': '13/10/2023', 'age': '28', 'clubName': 'Sevilla FC', 'clubID': '368', 'value': '€6.00m'}, {'date': '22/12/2023', 'age': '29', 'clubName': 'Sevilla FC', 'clubID': '368', 'value': '€6.00m'}, {'date': '07/06/2024', 'age': '29', 'clubName': 'Sevilla FC', 'clubID': '368', 'value': '€6.00m'}, {'date': '11/12/2024', 'age': '30', 'clubName': 'CF Monterrey', 'clubID': '2407', 'value': '€5.00m'}, {'date': '31/03/2025', 'age': '30', 'clubName': 'CF Monterrey', 'clubID': '2407', 'value': '€4.50m'}, {'date': '26/05/2025', 'age': '30', 'clubName': 'CF Monterrey', 'clubID': '2407', 'value': '€4.00m'}, {'date': '29/12/2025', 'age': '31', 'clubName': 'CF Monterrey', 'clubID': '2407', 'value': '€3.50m'}]}</t>
        </is>
      </c>
      <c r="L515" t="inlineStr">
        <is>
          <t>Spain</t>
        </is>
      </c>
      <c r="M515" t="inlineStr">
        <is>
          <t>1994-11-10</t>
        </is>
      </c>
      <c r="N515" t="inlineStr">
        <is>
          <t>24</t>
        </is>
      </c>
      <c r="O515">
        <f>(8+9)/2</f>
        <v/>
      </c>
      <c r="P515">
        <f>(13+13+9+9)/4</f>
        <v/>
      </c>
    </row>
    <row r="516">
      <c r="A516" t="inlineStr">
        <is>
          <t>Lefort</t>
        </is>
      </c>
      <c r="B516" t="inlineStr">
        <is>
          <t>Young Boys</t>
        </is>
      </c>
      <c r="C516" t="inlineStr">
        <is>
          <t>Defender</t>
        </is>
      </c>
      <c r="D516" t="n">
        <v>167</v>
      </c>
      <c r="E516" t="n">
        <v>3</v>
      </c>
      <c r="F516" t="n">
        <v>0</v>
      </c>
      <c r="G516" t="n">
        <v>0</v>
      </c>
      <c r="H516" t="n">
        <v>21.1</v>
      </c>
      <c r="I516" t="n">
        <v>30.6</v>
      </c>
      <c r="J516" t="n">
        <v>192492</v>
      </c>
      <c r="K516" t="inlineStr">
        <is>
          <t>{'marketValueHistory': [{'date': '13/07/2016', 'age': '22', 'clubName': 'Amiens SC', 'clubID': '1416', 'value': '€150k'}, {'date': '20/03/2017', 'age': '23', 'clubName': 'Amiens SC', 'clubID': '1416', 'value': '€400k'}, {'date': '15/06/2017', 'age': '23', 'clubName': 'Amiens SC', 'clubID': '1416', 'value': '€700k'}, {'date': '16/05/2018', 'age': '24', 'clubName': 'Quevilly Rouen Métropole', 'clubID': '7124', 'value': '€700k'}, {'date': '17/12/2018', 'age': '25', 'clubName': 'Amiens SC', 'clubID': '1416', 'value': '€700k'}, {'date': '03/06/2019', 'age': '25', 'clubName': 'Amiens SC', 'clubID': '1416', 'value': '€3.00m'}, {'date': '19/12/2019', 'age': '26', 'clubName': 'Amiens SC', 'clubID': '1416', 'value': '€2.00m'}, {'date': '08/04/2020', 'age': '26', 'clubName': 'BSC Young Boys', 'clubID': '452', 'value': '€1.60m'}, {'date': '31/07/2020', 'age': '26', 'clubName': 'BSC Young Boys', 'clubID': '452', 'value': '€1.60m'}, {'date': '28/12/2020', 'age': '27', 'clubName': 'BSC Young Boys', 'clubID': '452', 'value': '€1.60m'}, {'date': '23/06/2021', 'age': '27', 'clubName': 'BSC Young Boys', 'clubID': '452', 'value': '€1.70m'}, {'date': '03/01/2022', 'age': '28', 'clubName': 'BSC Young Boys', 'clubID': '452', 'value': '€1.00m'}, {'date': '08/06/2022', 'age': '28', 'clubName': 'BSC Young Boys', 'clubID': '452', 'value': '€1.00m'}, {'date': '28/10/2022', 'age': '29', 'clubName': 'Paris FC', 'clubID': '10004', 'value': '€900k'}, {'date': '16/06/2023', 'age': '29', 'clubName': 'Paris FC', 'clubID': '10004', 'value': '€900k'}, {'date': '13/12/2023', 'age': '30', 'clubName': 'Angers SCO', 'clubID': '1420', 'value': '€900k'}, {'date': '11/06/2024', 'age': '30', 'clubName': 'Angers SCO', 'clubID': '1420', 'value': '€1.00m'}, {'date': '10/12/2024', 'age': '31', 'clubName': 'Angers SCO', 'clubID': '1420', 'value': '€1.20m'}, {'date': '03/06/2025', 'age': '31', 'clubName': 'Angers SCO', 'clubID': '1420', 'value': '€1.50m'}, {'date': '15/12/2025', 'age': '32', 'clubName': 'Angers SCO', 'clubID': '1420', 'value': '€1.20m'}]}</t>
        </is>
      </c>
      <c r="L516" t="inlineStr">
        <is>
          <t>France</t>
        </is>
      </c>
      <c r="M516" t="inlineStr">
        <is>
          <t>1993-08-09</t>
        </is>
      </c>
      <c r="N516" t="inlineStr">
        <is>
          <t>France</t>
        </is>
      </c>
      <c r="O516">
        <f>(1+1+0.9)/3</f>
        <v/>
      </c>
      <c r="P516">
        <f>1.7</f>
        <v/>
      </c>
    </row>
    <row r="517">
      <c r="A517" t="inlineStr">
        <is>
          <t>Diallo</t>
        </is>
      </c>
      <c r="B517" t="inlineStr">
        <is>
          <t>Paris</t>
        </is>
      </c>
      <c r="C517" t="inlineStr">
        <is>
          <t>Defender</t>
        </is>
      </c>
      <c r="D517" t="n">
        <v>165</v>
      </c>
      <c r="E517" t="n">
        <v>2</v>
      </c>
      <c r="F517" t="n">
        <v>0</v>
      </c>
      <c r="G517" t="n">
        <v>0</v>
      </c>
      <c r="H517" t="n">
        <v>17.9</v>
      </c>
      <c r="I517" t="n">
        <v>30.7</v>
      </c>
      <c r="J517" t="n">
        <v>536835</v>
      </c>
      <c r="K517" t="inlineStr">
        <is>
          <t>{'marketValueHistory': [{'date': 'Oct 29, 2020', 'age': '18', 'clubName': 'Atalanta BC', 'clubID': '800', 'value': '€15.00m'}, {'date': 'Dec 29, 2020', 'age': '18', 'clubName': 'Atalanta BC', 'clubID': '800', 'value': '€15.00m'}, {'date': 'Mar 18, 2021', 'age': '18', 'clubName': 'Manchester United', 'clubID': '985', 'value': '€15.00m'}, {'date': 'Jun 8, 2021', 'age': '18', 'clubName': 'Manchester United', 'clubID': '985', 'value': '€18.00m'}, {'date': 'Dec 23, 2021', 'age': '19', 'clubName': 'Manchester United', 'clubID': '985', 'value': '€18.00m'}, {'date': 'Jun 15, 2022', 'age': '19', 'clubName': 'Manchester United', 'clubID': '985', 'value': '€15.00m'}, {'date': 'Sep 14, 2022', 'age': '20', 'clubName': 'Sunderland AFC', 'clubID': '289', 'value': '€10.00m'}, {'date': 'Oct 27, 2022', 'age': '20', 'clubName': 'Sunderland AFC', 'clubID': '289', 'value': '€7.00m'}, {'date': 'Mar 24, 2023', 'age': '20', 'clubName': 'Sunderland AFC', 'clubID': '289', 'value': '€13.00m'}, {'date': 'Jun 1, 2023', 'age': '20', 'clubName': 'Manchester United', 'clubID': '985', 'value': '€18.00m'}, {'date': 'Dec 19, 2023', 'age': '21', 'clubName': 'Manchester United', 'clubID': '985', 'value': '€18.00m'}, {'date': 'May 27, 2024', 'age': '21', 'clubName': 'Manchester United', 'clubID': '985', 'value': '€18.00m'}, {'date': 'Oct 1, 2024', 'age': '22', 'clubName': 'Manchester United', 'clubID': '985', 'value': '€22.00m'}, {'date': 'Dec 16, 2024', 'age': '22', 'clubName': 'Manchester United', 'clubID': '985', 'value': '€25.00m'}, {'date': 'Mar 18, 2025', 'age': '22', 'clubName': 'Manchester United', 'clubID': '985', 'value': '€40.00m'}, {'date': 'May 30, 2025', 'age': '22', 'clubName': 'Manchester United', 'clubID': '985', 'value': '€45.00m'}, {'date': 'Oct 17, 2025', 'age': '23', 'clubName': 'Manchester United', 'clubID': '985', 'value': '€40.00m'}, {'date': 'Dec 9, 2025', 'age': '23', 'clubName': 'Manchester United', 'clubID': '985', 'value': '€50.00m'}]}</t>
        </is>
      </c>
      <c r="L517" t="inlineStr">
        <is>
          <t>Ivory Coast</t>
        </is>
      </c>
      <c r="M517" t="inlineStr">
        <is>
          <t>2002-07-11</t>
        </is>
      </c>
      <c r="N517" t="inlineStr">
        <is>
          <t>Ivory Coast</t>
        </is>
      </c>
      <c r="O517">
        <f>(15+10+7)/3</f>
        <v/>
      </c>
      <c r="P517">
        <f>(15+18+18)/3</f>
        <v/>
      </c>
    </row>
    <row r="518">
      <c r="A518" t="inlineStr">
        <is>
          <t>Ricca</t>
        </is>
      </c>
      <c r="B518" t="inlineStr">
        <is>
          <t>Club Brugge</t>
        </is>
      </c>
      <c r="C518" t="inlineStr">
        <is>
          <t>Defender</t>
        </is>
      </c>
      <c r="D518" t="n">
        <v>164</v>
      </c>
      <c r="E518" t="n">
        <v>4</v>
      </c>
      <c r="F518" t="n">
        <v>0</v>
      </c>
      <c r="G518" t="n">
        <v>0</v>
      </c>
      <c r="H518" t="n">
        <v>21.9</v>
      </c>
      <c r="I518" t="n">
        <v>30.3</v>
      </c>
      <c r="J518" t="n">
        <v>502821</v>
      </c>
      <c r="K518" t="inlineStr">
        <is>
          <t>{'marketValueHistory': [{'date': '29/10/2020', 'age': '18', 'clubName': 'AS Roma', 'clubID': '12', 'value': '€700k'}, {'date': '29/12/2020', 'age': '18', 'clubName': 'AS Roma', 'clubID': '12', 'value': '€2.50m'}, {'date': '03/06/2021', 'age': '19', 'clubName': 'AS Roma', 'clubID': '12', 'value': '€2.50m'}, {'date': '14/10/2021', 'age': '19', 'clubName': 'AS Roma', 'clubID': '12', 'value': '€4.00m'}, {'date': '28/12/2021', 'age': '19', 'clubName': 'AS Roma', 'clubID': '12', 'value': '€4.00m'}, {'date': '07/06/2022', 'age': '20', 'clubName': 'Genoa CFC', 'clubID': '252', 'value': '€3.50m'}, {'date': '10/11/2022', 'age': '20', 'clubName': 'FC Basel 1893', 'clubID': '26', 'value': '€3.50m'}, {'date': '07/06/2023', 'age': '21', 'clubName': 'FC Basel 1893', 'clubID': '26', 'value': '€4.50m'}, {'date': '11/10/2023', 'age': '21', 'clubName': 'Bologna FC 1909', 'clubID': '1025', 'value': '€5.00m'}, {'date': '20/12/2023', 'age': '21', 'clubName': 'Bologna FC 1909', 'clubID': '1025', 'value': '€13.00m'}, {'date': '12/03/2024', 'age': '21', 'clubName': 'Bologna FC 1909', 'clubID': '1025', 'value': '€25.00m'}, {'date': '05/06/2024', 'age': '22', 'clubName': 'Bologna FC 1909', 'clubID': '1025', 'value': '€30.00m'}, {'date': '18/07/2024', 'age': '22', 'clubName': 'Bologna FC 1909', 'clubID': '1025', 'value': '€45.00m'}, {'date': '16/12/2024', 'age': '22', 'clubName': 'Arsenal FC', 'clubID': '11', 'value': '€45.00m'}, {'date': '18/03/2025', 'age': '22', 'clubName': 'Arsenal FC', 'clubID': '11', 'value': '€40.00m'}, {'date': '30/05/2025', 'age': '23', 'clubName': 'Arsenal FC', 'clubID': '11', 'value': '€35.00m'}, {'date': '17/10/2025', 'age': '23', 'clubName': 'Arsenal FC', 'clubID': '11', 'value': '€40.00m'}, {'date': '09/12/2025', 'age': '23', 'clubName': 'Arsenal FC', 'clubID': '11', 'value': '€50.00m'}]}</t>
        </is>
      </c>
      <c r="L518" t="inlineStr">
        <is>
          <t>Italy</t>
        </is>
      </c>
      <c r="M518" t="inlineStr">
        <is>
          <t>2002-05-19</t>
        </is>
      </c>
      <c r="N518" t="inlineStr">
        <is>
          <t>Italy</t>
        </is>
      </c>
      <c r="O518">
        <f>(3.5+3.5)/2</f>
        <v/>
      </c>
      <c r="P518">
        <f>(2.5+4+4)/3</f>
        <v/>
      </c>
    </row>
    <row r="519">
      <c r="A519" t="inlineStr">
        <is>
          <t>Tiago Tomas</t>
        </is>
      </c>
      <c r="B519" t="inlineStr">
        <is>
          <t>Sporting CP</t>
        </is>
      </c>
      <c r="C519" t="inlineStr">
        <is>
          <t>Forward</t>
        </is>
      </c>
      <c r="D519" t="n">
        <v>162</v>
      </c>
      <c r="E519" t="n">
        <v>5</v>
      </c>
      <c r="F519" t="n">
        <v>0</v>
      </c>
      <c r="G519" t="n">
        <v>0</v>
      </c>
      <c r="H519" t="n">
        <v>22.1</v>
      </c>
      <c r="I519" t="n">
        <v>32.4</v>
      </c>
      <c r="J519" t="n">
        <v>552955</v>
      </c>
      <c r="K519" t="inlineStr">
        <is>
          <t>{'marketValueHistory': [{'date': '13/08/2019', 'age': '18', 'clubName': 'CD Cruz Azul U20', 'clubID': '25928', 'value': '€100k'}, {'date': '10/01/2020', 'age': '18', 'clubName': 'CD Cruz Azul', 'clubID': '3711', 'value': '€100k'}, {'date': '27/06/2020', 'age': '19', 'clubName': 'CD Cruz Azul', 'clubID': '3711', 'value': '€1.50m'}, {'date': '18/12/2020', 'age': '19', 'clubName': 'CD Cruz Azul', 'clubID': '3711', 'value': '€2.50m'}, {'date': '21/04/2021', 'age': '20', 'clubName': 'CD Cruz Azul', 'clubID': '3711', 'value': '€2.50m'}, {'date': '15/10/2021', 'age': '20', 'clubName': 'CD Cruz Azul', 'clubID': '3711', 'value': '€4.00m'}, {'date': '11/04/2022', 'age': '20', 'clubName': 'CD Cruz Azul', 'clubID': '3711', 'value': '€4.00m'}, {'date': '11/11/2022', 'age': '21', 'clubName': 'Feyenoord Rotterdam', 'clubID': '234', 'value': '€6.00m'}, {'date': '17/03/2023', 'age': '21', 'clubName': 'Feyenoord Rotterdam', 'clubID': '234', 'value': '€9.00m'}, {'date': '23/06/2023', 'age': '22', 'clubName': 'Feyenoord Rotterdam', 'clubID': '234', 'value': '€25.00m'}, {'date': '17/10/2023', 'age': '22', 'clubName': 'Feyenoord Rotterdam', 'clubID': '234', 'value': '€40.00m'}, {'date': '15/12/2023', 'age': '22', 'clubName': 'Feyenoord Rotterdam', 'clubID': '234', 'value': '€50.00m'}, {'date': '18/03/2024', 'age': '22', 'clubName': 'Feyenoord Rotterdam', 'clubID': '234', 'value': '€45.00m'}, {'date': '31/05/2024', 'age': '23', 'clubName': 'Feyenoord Rotterdam', 'clubID': '234', 'value': '€40.00m'}, {'date': '17/12/2024', 'age': '23', 'clubName': 'Feyenoord Rotterdam', 'clubID': '234', 'value': '€37.00m'}, {'date': '17/06/2025', 'age': '24', 'clubName': 'AC Milan', 'clubID': '5', 'value': '€30.00m'}, {'date': '07/10/2025', 'age': '24', 'clubName': 'AC Milan', 'clubID': '5', 'value': '€25.00m'}, {'date': '23/12/2025', 'age': '24', 'clubName': 'AC Milan', 'clubID': '5', 'value': '€20.00m'}]}</t>
        </is>
      </c>
      <c r="L519" t="inlineStr">
        <is>
          <t>Italy</t>
        </is>
      </c>
      <c r="M519" t="inlineStr">
        <is>
          <t>2001-04-18</t>
        </is>
      </c>
      <c r="N519" t="inlineStr">
        <is>
          <t>Mexico</t>
        </is>
      </c>
      <c r="O519">
        <f>(4+6)/2</f>
        <v/>
      </c>
      <c r="P519">
        <f>(2.5+4)/2</f>
        <v/>
      </c>
    </row>
    <row r="520">
      <c r="A520" t="inlineStr">
        <is>
          <t>Van Der Brempt</t>
        </is>
      </c>
      <c r="B520" t="inlineStr">
        <is>
          <t>Club Brugge</t>
        </is>
      </c>
      <c r="C520" t="inlineStr">
        <is>
          <t>Defender</t>
        </is>
      </c>
      <c r="D520" t="n">
        <v>162</v>
      </c>
      <c r="E520" t="n">
        <v>5</v>
      </c>
      <c r="F520" t="n">
        <v>0</v>
      </c>
      <c r="G520" t="n">
        <v>0</v>
      </c>
      <c r="H520" t="n">
        <v>21.5</v>
      </c>
      <c r="I520" t="n">
        <v>31.9</v>
      </c>
      <c r="J520" t="n">
        <v>490423</v>
      </c>
      <c r="K520" t="inlineStr">
        <is>
          <t>{'marketValueHistory': [{'date': 'Sep 13, 2019', 'age': '17', 'clubName': 'Club Brugge KV', 'clubID': '2282', 'value': '€100k'}, {'date': 'Dec 13, 2019', 'age': '17', 'clubName': 'Club Brugge KV', 'clubID': '2282', 'value': '€300k'}, {'date': 'Aug 6, 2020', 'age': '18', 'clubName': 'Club Brugge KV', 'clubID': '2282', 'value': '€350k'}, {'date': 'Oct 16, 2020', 'age': '18', 'clubName': 'Club Brugge KV', 'clubID': '2282', 'value': '€350k'}, {'date': 'Jan 4, 2021', 'age': '18', 'clubName': 'Club Brugge KV', 'clubID': '2282', 'value': '€600k'}, {'date': 'Mar 17, 2021', 'age': '18', 'clubName': 'Club Brugge KV', 'clubID': '2282', 'value': '€1.20m'}, {'date': 'Jun 7, 2021', 'age': '19', 'clubName': 'Club Brugge KV', 'clubID': '2282', 'value': '€1.20m'}, {'date': 'Jan 6, 2022', 'age': '19', 'clubName': 'Club Brugge KV', 'clubID': '2282', 'value': '€1.20m'}, {'date': 'Mar 11, 2022', 'age': '19', 'clubName': 'Red Bull Salzburg', 'clubID': '409', 'value': '€3.00m'}, {'date': 'May 27, 2022', 'age': '20', 'clubName': 'Red Bull Salzburg', 'clubID': '409', 'value': '€3.00m'}, {'date': 'Nov 10, 2022', 'age': '20', 'clubName': 'Red Bull Salzburg', 'clubID': '409', 'value': '€3.00m'}, {'date': 'Jun 12, 2023', 'age': '21', 'clubName': 'Red Bull Salzburg', 'clubID': '409', 'value': '€3.00m'}, {'date': 'Oct 20, 2023', 'age': '21', 'clubName': 'Hamburger SV', 'clubID': '41', 'value': '€3.50m'}, {'date': 'Dec 15, 2023', 'age': '21', 'clubName': 'Hamburger SV', 'clubID': '41', 'value': '€3.50m'}, {'date': 'Jun 6, 2024', 'age': '22', 'clubName': 'Hamburger SV', 'clubID': '41', 'value': '€3.00m'}, {'date': 'Dec 18, 2024', 'age': '22', 'clubName': 'Como 1907', 'clubID': '1047', 'value': '€3.00m'}, {'date': 'Mar 25, 2025', 'age': '22', 'clubName': 'Como 1907', 'clubID': '1047', 'value': '€4.00m'}, {'date': 'Jun 17, 2025', 'age': '23', 'clubName': 'Como 1907', 'clubID': '1047', 'value': '€4.00m'}, {'date': 'Dec 23, 2025', 'age': '23', 'clubName': 'Como 1907', 'clubID': '1047', 'value': '€3.50m'}]}</t>
        </is>
      </c>
      <c r="L520" t="inlineStr">
        <is>
          <t>Belgium</t>
        </is>
      </c>
      <c r="M520" t="inlineStr">
        <is>
          <t>2002-04-01</t>
        </is>
      </c>
      <c r="N520" t="inlineStr">
        <is>
          <t>Belgium</t>
        </is>
      </c>
      <c r="O520">
        <f>(1.2+3+3+3)/4</f>
        <v/>
      </c>
      <c r="P520">
        <f>(0.6+1.2+1.2)/3</f>
        <v/>
      </c>
    </row>
    <row r="521">
      <c r="A521" t="inlineStr">
        <is>
          <t>Tymchyk</t>
        </is>
      </c>
      <c r="B521" t="inlineStr">
        <is>
          <t>Dynamo Kyiv</t>
        </is>
      </c>
      <c r="C521" t="inlineStr">
        <is>
          <t>Defender</t>
        </is>
      </c>
      <c r="D521" t="n">
        <v>160</v>
      </c>
      <c r="E521" t="n">
        <v>4</v>
      </c>
      <c r="F521" t="n">
        <v>0</v>
      </c>
      <c r="G521" t="n">
        <v>0</v>
      </c>
      <c r="H521" t="n">
        <v>22</v>
      </c>
      <c r="I521" t="n">
        <v>33.5</v>
      </c>
      <c r="J521" t="n">
        <v>287792</v>
      </c>
      <c r="K521" t="inlineStr">
        <is>
          <t>{'marketValueHistory': [{'date': '26/06/2017', 'age': '20', 'clubName': 'Dynamo Kyiv II', 'clubID': '21218', 'value': '€300k'}, {'date': '12/01/2018', 'age': '20', 'clubName': 'Zorya Lugansk', 'clubID': '10690', 'value': '€300k'}, {'date': '06/08/2018', 'age': '21', 'clubName': 'Zorya Lugansk', 'clubID': '10690', 'value': '€400k'}, {'date': '10/12/2018', 'age': '21', 'clubName': 'Zorya Lugansk', 'clubID': '10690', 'value': '€600k'}, {'date': '20/06/2019', 'age': '22', 'clubName': 'Zorya Lugansk', 'clubID': '10690', 'value': '€600k'}, {'date': '08/01/2020', 'age': '22', 'clubName': 'Zorya Lugansk', 'clubID': '10690', 'value': '€1.00m'}, {'date': '08/04/2020', 'age': '23', 'clubName': 'Zorya Lugansk', 'clubID': '10690', 'value': '€800k'}, {'date': '04/09/2020', 'age': '23', 'clubName': 'Dynamo Kyiv', 'clubID': '338', 'value': '€1.20m'}, {'date': '14/01/2021', 'age': '23', 'clubName': 'Dynamo Kyiv', 'clubID': '338', 'value': '€1.50m'}, {'date': '27/05/2021', 'age': '24', 'clubName': 'Dynamo Kyiv', 'clubID': '338', 'value': '€1.20m'}, {'date': '20/12/2021', 'age': '24', 'clubName': 'Dynamo Kyiv', 'clubID': '338', 'value': '€2.50m'}, {'date': '18/05/2022', 'age': '25', 'clubName': 'Dynamo Kyiv', 'clubID': '338', 'value': '€2.50m'}, {'date': '06/12/2022', 'age': '25', 'clubName': 'Dynamo Kyiv', 'clubID': '338', 'value': '€2.00m'}, {'date': '21/06/2023', 'age': '26', 'clubName': 'Dynamo Kyiv', 'clubID': '338', 'value': '€3.00m'}, {'date': '11/12/2023', 'age': '26', 'clubName': 'Dynamo Kyiv', 'clubID': '338', 'value': '€3.00m'}, {'date': '06/06/2024', 'age': '27', 'clubName': 'Dynamo Kyiv', 'clubID': '338', 'value': '€4.00m'}, {'date': '17/12/2024', 'age': '27', 'clubName': 'Dynamo Kyiv', 'clubID': '338', 'value': '€5.00m'}, {'date': '10/06/2025', 'age': '28', 'clubName': 'Dynamo Kyiv', 'clubID': '338', 'value': '€5.00m'}, {'date': '18/12/2025', 'age': '28', 'clubName': 'Dynamo Kyiv', 'clubID': '338', 'value': '€3.50m'}]}</t>
        </is>
      </c>
      <c r="L521" t="inlineStr">
        <is>
          <t>Ukraine</t>
        </is>
      </c>
      <c r="M521" t="inlineStr">
        <is>
          <t>1997-01-20</t>
        </is>
      </c>
      <c r="N521" t="inlineStr">
        <is>
          <t>Ukraine</t>
        </is>
      </c>
      <c r="O521">
        <f>(2.5+2)/2</f>
        <v/>
      </c>
      <c r="P521">
        <f>(1.5+1.2+2.5)/3</f>
        <v/>
      </c>
    </row>
    <row r="522">
      <c r="A522" t="inlineStr">
        <is>
          <t>Ibrahimovic</t>
        </is>
      </c>
      <c r="B522" t="inlineStr">
        <is>
          <t>Milan</t>
        </is>
      </c>
      <c r="C522" t="inlineStr">
        <is>
          <t>Forward</t>
        </is>
      </c>
      <c r="D522" t="n">
        <v>160</v>
      </c>
      <c r="E522" t="n">
        <v>4</v>
      </c>
      <c r="F522" t="n">
        <v>0</v>
      </c>
      <c r="G522" t="n">
        <v>0</v>
      </c>
      <c r="H522" t="n">
        <v>16.4</v>
      </c>
      <c r="I522" t="n">
        <v>31</v>
      </c>
      <c r="J522" t="n">
        <v>3455</v>
      </c>
      <c r="K522" t="inlineStr">
        <is>
          <t>{'marketValueHistory': [{'date': 'Oct 4, 2004', 'age': '23', 'clubName': 'Juventus FC', 'clubID': '506', 'value': '€22.00m'}, {'date': 'Jan 26, 2005', 'age': '23', 'clubName': 'Juventus FC', 'clubID': '506', 'value': '€25.00m'}, {'date': 'Jul 28, 2005', 'age': '23', 'clubName': 'Juventus FC', 'clubID': '506', 'value': '€28.00m'}, {'date': 'Apr 9, 2006', 'age': '24', 'clubName': 'Juventus FC', 'clubID': '506', 'value': '€25.00m'}, {'date': 'May 27, 2007', 'age': '25', 'clubName': 'Inter Milan', 'clubID': '46', 'value': '€35.00m'}, {'date': 'Feb 15, 2008', 'age': '26', 'clubName': 'Inter Milan', 'clubID': '46', 'value': '€38.00m'}, {'date': 'Jul 4, 2008', 'age': '26', 'clubName': 'Inter Milan', 'clubID': '46', 'value': '€42.00m'}, {'date': 'Sep 1, 2008', 'age': '26', 'clubName': 'Inter Milan', 'clubID': '46', 'value': '€45.00m'}, {'date': 'Aug 6, 2009', 'age': '27', 'clubName': 'FC Barcelona', 'clubID': '131', 'value': '€45.00m'}, {'date': 'Dec 3, 2009', 'age': '28', 'clubName': 'FC Barcelona', 'clubID': '131', 'value': '€46.00m'}, {'date': 'Apr 12, 2010', 'age': '28', 'clubName': 'FC Barcelona', 'clubID': '131', 'value': '€46.00m'}, {'date': 'Sep 1, 2010', 'age': '28', 'clubName': 'AC Milan', 'clubID': '5', 'value': '€30.00m'}, {'date': 'Jan 20, 2011', 'age': '29', 'clubName': 'AC Milan', 'clubID': '5', 'value': '€35.00m'}, {'date': 'Jun 21, 2011', 'age': '29', 'clubName': 'AC Milan', 'clubID': '5', 'value': '€35.00m'}, {'date': 'Jan 12, 2012', 'age': '30', 'clubName': 'AC Milan', 'clubID': '5', 'value': '€37.00m'}, {'date': 'Jul 25, 2012', 'age': '30', 'clubName': 'Paris Saint-Germain', 'clubID': '583', 'value': '€35.00m'}, {'date': 'Jan 7, 2013', 'age': '31', 'clubName': 'Paris Saint-Germain', 'clubID': '583', 'value': '€35.00m'}, {'date': 'May 30, 2013', 'age': '31', 'clubName': 'Paris Saint-Germain', 'clubID': '583', 'value': '€30.00m'}, {'date': 'Jan 14, 2014', 'age': '32', 'clubName': 'Paris Saint-Germain', 'clubID': '583', 'value': '€28.00m'}, {'date': 'Aug 1, 2014', 'age': '32', 'clubName': 'Paris Saint-Germain', 'clubID': '583', 'value': '€26.00m'}, {'date': 'Jan 14, 2015', 'age': '33', 'clubName': 'Paris Saint-Germain', 'clubID': '583', 'value': '€21.00m'}, {'date': 'Jun 6, 2015', 'age': '33', 'clubName': 'Paris Saint-Germain', 'clubID': '583', 'value': '€15.00m'}, {'date': 'Feb 4, 2016', 'age': '34', 'clubName': 'Paris Saint-Germain', 'clubID': '583', 'value': '€15.00m'}, {'date': 'Jun 1, 2016', 'age': '34', 'clubName': 'Paris Saint-Germain', 'clubID': '583', 'value': '€15.00m'}, {'date': 'Aug 1, 2016', 'age': '34', 'clubName': 'Manchester United', 'clubID': '985', 'value': '€12.00m'}, {'date': 'Feb 20, 2017', 'age': '35', 'clubName': 'Manchester United', 'clubID': '985', 'value': '€12.00m'}, {'date': 'Jun 28, 2017', 'age': '35', 'clubName': 'Manchester United', 'clubID': '985', 'value': '€10.00m'}, {'date': 'Oct 23, 2017', 'age': '36', 'clubName': 'Manchester United', 'clubID': '985', 'value': '€8.00m'}, {'date': 'Jan 2, 2018', 'age': '36', 'clubName': 'Manchester United', 'clubID': '985', 'value': '€7.00m'}, {'date': 'Mar 23, 2018', 'age': '36', 'clubName': 'Los Angeles Galaxy', 'clubID': '1061', 'value': '€5.00m'}, {'date': 'May 2, 2018', 'age': '36', 'clubName': 'Los Angeles Galaxy', 'clubID': '1061', 'value': '€4.00m'}, {'date': 'Dec 15, 2018', 'age': '37', 'clubName': 'Los Angeles Galaxy', 'clubID': '1061', 'value': '€3.50m'}, {'date': 'May 27, 2019', 'age': '37', 'clubName': 'Los Angeles Galaxy', 'clubID': '1061', 'value': '€3.50m'}, {'date': 'Nov 30, 2019', 'age': '38', 'clubName': 'Los Angeles Galaxy', 'clubID': '1061', 'value': '€3.50m'}, {'date': 'Apr 8, 2020', 'age': '38', 'clubName': 'AC Milan', 'clubID': '5', 'value': '€2.80m'}, {'date': 'Aug 25, 2020', 'age': '38', 'clubName': 'AC Milan', 'clubID': '5', 'value': '€3.50m'}, {'date': 'Dec 29, 2020', 'age': '39', 'clubName': 'AC Milan', 'clubID': '5', 'value': '€5.00m'}, {'date': 'Jun 3, 2021', 'age': '39', 'clubName': 'AC Milan', 'clubID': '5', 'value': '€4.00m'}, {'date': 'Dec 28, 2021', 'age': '40', 'clubName': 'AC Milan', 'clubID': '5', 'value': '€4.00m'}, {'date': 'Jun 7, 2022', 'age': '40', 'clubName': 'AC Milan', 'clubID': '5', 'value': '€3.00m'}, {'date': 'Nov 11, 2022', 'age': '41', 'clubName': 'AC Milan', 'clubID': '5', 'value': '€2.00m'}, {'date': 'Jun 15, 2023', 'age': '41', 'clubName': 'AC Milan', 'clubID': '5', 'value': '€2.00m'}, {'date': 'Jul 1, 2023', 'age': '41', 'clubName': 'Retired', 'clubID': '123', 'value': '-'}]}</t>
        </is>
      </c>
      <c r="L522" t="inlineStr">
        <is>
          <t>Sweden</t>
        </is>
      </c>
      <c r="M522" t="inlineStr">
        <is>
          <t>1982-09-04</t>
        </is>
      </c>
      <c r="N522" t="inlineStr">
        <is>
          <t>Sweden</t>
        </is>
      </c>
      <c r="O522">
        <f>(3+2)/2</f>
        <v/>
      </c>
      <c r="P522">
        <f>(4+4)/2</f>
        <v/>
      </c>
    </row>
    <row r="523">
      <c r="A523" t="inlineStr">
        <is>
          <t>Saul Niguez</t>
        </is>
      </c>
      <c r="B523" t="inlineStr">
        <is>
          <t>Chelsea</t>
        </is>
      </c>
      <c r="C523" t="inlineStr">
        <is>
          <t>Midfielder</t>
        </is>
      </c>
      <c r="D523" t="n">
        <v>159</v>
      </c>
      <c r="E523" t="n">
        <v>5</v>
      </c>
      <c r="F523" t="n">
        <v>0</v>
      </c>
      <c r="G523" t="n">
        <v>0</v>
      </c>
      <c r="H523" t="n">
        <v>23</v>
      </c>
      <c r="I523" t="n">
        <v>32.1</v>
      </c>
      <c r="J523" t="n">
        <v>148928</v>
      </c>
      <c r="K523" t="inlineStr">
        <is>
          <t>{'marketValueHistory': [{'date': 'Aug 7, 2012', 'age': '17', 'clubName': 'Atlético Madrileño', 'clubID': '3679', 'value': '€1.50m'}, {'date': 'Jan 10, 2013', 'age': '18', 'clubName': 'Atlético Madrileño', 'clubID': '3679', 'value': '€2.00m'}, {'date': 'Jun 12, 2013', 'age': '18', 'clubName': 'Atlético Madrileño', 'clubID': '3679', 'value': '€2.00m'}, {'date': 'Jul 25, 2013', 'age': '18', 'clubName': 'Rayo Vallecano', 'clubID': '367', 'value': '€5.00m'}, {'date': 'Jan 23, 2014', 'age': '19', 'clubName': 'Rayo Vallecano', 'clubID': '367', 'value': '€5.00m'}, {'date': 'Feb 20, 2014', 'age': '19', 'clubName': 'Rayo Vallecano', 'clubID': '367', 'value': '€7.50m'}, {'date': 'Jul 20, 2014', 'age': '19', 'clubName': 'Atlético de Madrid', 'clubID': '13', 'value': '€7.50m'}, {'date': 'Jan 23, 2015', 'age': '20', 'clubName': 'Atlético de Madrid', 'clubID': '13', 'value': '€9.00m'}, {'date': 'Jul 1, 2015', 'age': '20', 'clubName': 'Atlético de Madrid', 'clubID': '13', 'value': '€10.00m'}, {'date': 'Feb 22, 2016', 'age': '21', 'clubName': 'Atlético de Madrid', 'clubID': '13', 'value': '€15.00m'}, {'date': 'Apr 7, 2016', 'age': '21', 'clubName': 'Atlético de Madrid', 'clubID': '13', 'value': '€20.00m'}, {'date': 'Jul 15, 2016', 'age': '21', 'clubName': 'Atlético de Madrid', 'clubID': '13', 'value': '€35.00m'}, {'date': 'Jan 24, 2017', 'age': '22', 'clubName': 'Atlético de Madrid', 'clubID': '13', 'value': '€35.00m'}, {'date': 'Jun 5, 2017', 'age': '22', 'clubName': 'Atlético de Madrid', 'clubID': '13', 'value': '€40.00m'}, {'date': 'Jan 1, 2018', 'age': '23', 'clubName': 'Atlético de Madrid', 'clubID': '13', 'value': '€70.00m'}, {'date': 'May 30, 2018', 'age': '23', 'clubName': 'Atlético de Madrid', 'clubID': '13', 'value': '€70.00m'}, {'date': 'Oct 31, 2018', 'age': '23', 'clubName': 'Atlético de Madrid', 'clubID': '13', 'value': '€90.00m'}, {'date': 'Dec 21, 2018', 'age': '24', 'clubName': 'Atlético de Madrid', 'clubID': '13', 'value': '€90.00m'}, {'date': 'Jun 11, 2019', 'age': '24', 'clubName': 'Atlético de Madrid', 'clubID': '13', 'value': '€90.00m'}, {'date': 'Dec 20, 2019', 'age': '25', 'clubName': 'Atlético de Madrid', 'clubID': '13', 'value': '€90.00m'}, {'date': 'Apr 8, 2020', 'age': '25', 'clubName': 'Atlético de Madrid', 'clubID': '13', 'value': '€72.00m'}, {'date': 'Oct 8, 2020', 'age': '25', 'clubName': 'Atlético de Madrid', 'clubID': '13', 'value': '€70.00m'}, {'date': 'Jan 5, 2021', 'age': '26', 'clubName': 'Atlético de Madrid', 'clubID': '13', 'value': '€60.00m'}, {'date': 'Mar 19, 2021', 'age': '26', 'clubName': 'Atlético de Madrid', 'clubID': '13', 'value': '€55.00m'}, {'date': 'Jun 10, 2021', 'age': '26', 'clubName': 'Atlético de Madrid', 'clubID': '13', 'value': '€40.00m'}, {'date': 'Dec 23, 2021', 'age': '27', 'clubName': 'Chelsea FC', 'clubID': '631', 'value': '€35.00m'}, {'date': 'Mar 29, 2022', 'age': '27', 'clubName': 'Chelsea FC', 'clubID': '631', 'value': '€28.00m'}, {'date': 'Jun 15, 2022', 'age': '27', 'clubName': 'Chelsea FC', 'clubID': '631', 'value': '€25.00m'}, {'date': 'Sep 23, 2022', 'age': '27', 'clubName': 'Atlético de Madrid', 'clubID': '13', 'value': '€20.00m'}, {'date': 'Nov 7, 2022', 'age': '27', 'clubName': 'Atlético de Madrid', 'clubID': '13', 'value': '€15.00m'}, {'date': 'Mar 23, 2023', 'age': '28', 'clubName': 'Atlético de Madrid', 'clubID': '13', 'value': '€10.00m'}, {'date': 'Jun 13, 2023', 'age': '28', 'clubName': 'Atlético de Madrid', 'clubID': '13', 'value': '€10.00m'}, {'date': 'Oct 13, 2023', 'age': '28', 'clubName': 'Atlético de Madrid', 'clubID': '13', 'value': '€12.00m'}, {'date': 'Dec 22, 2023', 'age': '29', 'clubName': 'Atlético de Madrid', 'clubID': '13', 'value': '€12.00m'}, {'date': 'Mar 21, 2024', 'age': '29', 'clubName': 'Atlético de Madrid', 'clubID': '13', 'value': '€7.50m'}, {'date': 'Jun 7, 2024', 'age': '29', 'clubName': 'Atlético de Madrid', 'clubID': '13', 'value': '€7.50m'}, {'date': 'Oct 11, 2024', 'age': '29', 'clubName': 'Sevilla FC', 'clubID': '368', 'value': '€5.00m'}, {'date': 'Dec 27, 2024', 'age': '30', 'clubName': 'Sevilla FC', 'clubID': '368', 'value': '€3.50m'}, {'date': 'Jun 9, 2025', 'age': '30', 'clubName': 'Sevilla FC', 'clubID': '368', 'value': '€3.00m'}, {'date': 'Dec 10, 2025', 'age': '31', 'clubName': 'CR Flamengo', 'clubID': '614', 'value': '€2.50m'}, {'date': 'Mar 12, 2026', 'age': '31', 'clubName': 'CR Flamengo', 'clubID': '614', 'value': '€2.00m'}]}</t>
        </is>
      </c>
      <c r="L523" t="inlineStr">
        <is>
          <t>Spain</t>
        </is>
      </c>
      <c r="M523" t="inlineStr">
        <is>
          <t>1994-11-21</t>
        </is>
      </c>
      <c r="N523" t="inlineStr">
        <is>
          <t>19</t>
        </is>
      </c>
      <c r="O523">
        <f>(28+25+20+15)/4</f>
        <v/>
      </c>
      <c r="P523">
        <f>(60+55+40+35)/4</f>
        <v/>
      </c>
    </row>
    <row r="524">
      <c r="A524" t="inlineStr">
        <is>
          <t>Pedri</t>
        </is>
      </c>
      <c r="B524" t="inlineStr">
        <is>
          <t>Barcelona</t>
        </is>
      </c>
      <c r="C524" t="inlineStr">
        <is>
          <t>Midfielder</t>
        </is>
      </c>
      <c r="D524" t="n">
        <v>158</v>
      </c>
      <c r="E524" t="n">
        <v>2</v>
      </c>
      <c r="F524" t="n">
        <v>0</v>
      </c>
      <c r="G524" t="n">
        <v>0</v>
      </c>
      <c r="H524" t="n">
        <v>20.7</v>
      </c>
      <c r="I524" t="n">
        <v>30.8</v>
      </c>
      <c r="J524" t="n">
        <v>683840</v>
      </c>
      <c r="K524" t="inlineStr">
        <is>
          <t>{'marketValueHistory': [{'date': '10/09/2019', 'age': '16', 'clubName': 'UD Las Palmas', 'clubID': '472', 'value': '€5.00m'}, {'date': '20/12/2019', 'age': '17', 'clubName': 'UD Las Palmas', 'clubID': '472', 'value': '€8.00m'}, {'date': '08/04/2020', 'age': '17', 'clubName': 'UD Las Palmas', 'clubID': '472', 'value': '€7.20m'}, {'date': '08/10/2020', 'age': '17', 'clubName': 'FC Barcelona', 'clubID': '131', 'value': '€15.00m'}, {'date': '23/11/2020', 'age': '17', 'clubName': 'FC Barcelona', 'clubID': '131', 'value': '€30.00m'}, {'date': '05/01/2021', 'age': '18', 'clubName': 'FC Barcelona', 'clubID': '131', 'value': '€50.00m'}, {'date': '19/03/2021', 'age': '18', 'clubName': 'FC Barcelona', 'clubID': '131', 'value': '€70.00m'}, {'date': '31/05/2021', 'age': '18', 'clubName': 'FC Barcelona', 'clubID': '131', 'value': '€70.00m'}, {'date': '15/07/2021', 'age': '18', 'clubName': 'FC Barcelona', 'clubID': '131', 'value': '€80.00m'}, {'date': '30/12/2021', 'age': '19', 'clubName': 'FC Barcelona', 'clubID': '131', 'value': '€80.00m'}, {'date': '03/06/2022', 'age': '19', 'clubName': 'FC Barcelona', 'clubID': '131', 'value': '€80.00m'}, {'date': '23/09/2022', 'age': '19', 'clubName': 'FC Barcelona', 'clubID': '131', 'value': '€90.00m'}, {'date': '07/11/2022', 'age': '19', 'clubName': 'FC Barcelona', 'clubID': '131', 'value': '€100.00m'}, {'date': '13/06/2023', 'age': '20', 'clubName': 'FC Barcelona', 'clubID': '131', 'value': '€100.00m'}, {'date': '22/12/2023', 'age': '21', 'clubName': 'FC Barcelona', 'clubID': '131', 'value': '€90.00m'}, {'date': '21/03/2024', 'age': '21', 'clubName': 'FC Barcelona', 'clubID': '131', 'value': '€80.00m'}, {'date': '07/06/2024', 'age': '21', 'clubName': 'FC Barcelona', 'clubID': '131', 'value': '€80.00m'}, {'date': '27/12/2024', 'age': '22', 'clubName': 'FC Barcelona', 'clubID': '131', 'value': '€100.00m'}, {'date': '21/03/2025', 'age': '22', 'clubName': 'FC Barcelona', 'clubID': '131', 'value': '€120.00m'}, {'date': '09/06/2025', 'age': '22', 'clubName': 'FC Barcelona', 'clubID': '131', 'value': '€140.00m'}, {'date': '12/12/2025', 'age': '23', 'clubName': 'FC Barcelona', 'clubID': '131', 'value': '€140.00m'}, {'date': '16/03/2026', 'age': '23', 'clubName': 'FC Barcelona', 'clubID': '131', 'value': '€150.00m'}]}</t>
        </is>
      </c>
      <c r="L524" t="inlineStr">
        <is>
          <t>Spain</t>
        </is>
      </c>
      <c r="M524" t="inlineStr">
        <is>
          <t>2002-11-25</t>
        </is>
      </c>
      <c r="N524" t="inlineStr">
        <is>
          <t>40</t>
        </is>
      </c>
      <c r="O524">
        <f>(80+90+100)/3</f>
        <v/>
      </c>
      <c r="P524">
        <f>(50+70+70+80+80)/5</f>
        <v/>
      </c>
    </row>
    <row r="525">
      <c r="A525" t="inlineStr">
        <is>
          <t>Pizzi</t>
        </is>
      </c>
      <c r="B525" t="inlineStr">
        <is>
          <t>Benfica</t>
        </is>
      </c>
      <c r="C525" t="inlineStr">
        <is>
          <t>Midfielder</t>
        </is>
      </c>
      <c r="D525" t="n">
        <v>157</v>
      </c>
      <c r="E525" t="n">
        <v>6</v>
      </c>
      <c r="F525" t="n">
        <v>0</v>
      </c>
      <c r="G525" t="n">
        <v>0</v>
      </c>
      <c r="H525" t="n">
        <v>21.2</v>
      </c>
      <c r="I525" t="n">
        <v>31</v>
      </c>
      <c r="J525" t="n">
        <v>64339</v>
      </c>
      <c r="K525" t="inlineStr">
        <is>
          <t>{'marketValueHistory': [{'date': '15/01/2010', 'age': '20', 'clubName': 'FC Paços de Ferreira', 'clubID': '2995', 'value': '€400k'}, {'date': '14/07/2010', 'age': '20', 'clubName': 'FC Paços de Ferreira', 'clubID': '2995', 'value': '€1.30m'}, {'date': '28/06/2011', 'age': '21', 'clubName': 'FC Paços de Ferreira', 'clubID': '2995', 'value': '€4.60m'}, {'date': '01/09/2011', 'age': '21', 'clubName': 'Atlético de Madrid', 'clubID': '13', 'value': '€7.50m'}, {'date': '03/02/2012', 'age': '22', 'clubName': 'Atlético de Madrid', 'clubID': '13', 'value': '€4.50m'}, {'date': '08/08/2012', 'age': '22', 'clubName': 'Deportivo de La Coruña', 'clubID': '897', 'value': '€3.50m'}, {'date': '11/01/2013', 'age': '23', 'clubName': 'Deportivo de La Coruña', 'clubID': '897', 'value': '€6.00m'}, {'date': '14/06/2013', 'age': '23', 'clubName': 'Deportivo de La Coruña', 'clubID': '897', 'value': '€6.00m'}, {'date': '25/07/2013', 'age': '23', 'clubName': 'Atlético de Madrid', 'clubID': '13', 'value': '€6.00m'}, {'date': '23/01/2014', 'age': '24', 'clubName': 'RCD Espanyol Barcelona', 'clubID': '714', 'value': '€3.00m'}, {'date': '17/02/2015', 'age': '25', 'clubName': 'SL Benfica', 'clubID': '294', 'value': '€3.20m'}, {'date': '01/07/2015', 'age': '25', 'clubName': 'SL Benfica', 'clubID': '294', 'value': '€7.00m'}, {'date': '24/02/2016', 'age': '26', 'clubName': 'SL Benfica', 'clubID': '294', 'value': '€11.00m'}, {'date': '29/07/2016', 'age': '26', 'clubName': 'SL Benfica', 'clubID': '294', 'value': '€13.00m'}, {'date': '22/02/2017', 'age': '27', 'clubName': 'SL Benfica', 'clubID': '294', 'value': '€17.00m'}, {'date': '26/06/2017', 'age': '27', 'clubName': 'SL Benfica', 'clubID': '294', 'value': '€20.00m'}, {'date': '07/02/2018', 'age': '28', 'clubName': 'SL Benfica', 'clubID': '294', 'value': '€20.00m'}, {'date': '13/06/2018', 'age': '28', 'clubName': 'SL Benfica', 'clubID': '294', 'value': '€20.00m'}, {'date': '01/11/2018', 'age': '29', 'clubName': 'SL Benfica', 'clubID': '294', 'value': '€22.00m'}, {'date': '11/01/2019', 'age': '29', 'clubName': 'SL Benfica', 'clubID': '294', 'value': '€20.00m'}, {'date': '18/03/2019', 'age': '29', 'clubName': 'SL Benfica', 'clubID': '294', 'value': '€22.00m'}, {'date': '07/06/2019', 'age': '29', 'clubName': 'SL Benfica', 'clubID': '294', 'value': '€25.00m'}, {'date': '30/12/2019', 'age': '30', 'clubName': 'SL Benfica', 'clubID': '294', 'value': '€27.00m'}, {'date': '08/04/2020', 'age': '30', 'clubName': 'SL Benfica', 'clubID': '294', 'value': '€21.50m'}, {'date': '17/08/2020', 'age': '30', 'clubName': 'SL Benfica', 'clubID': '294', 'value': '€22.00m'}, {'date': '22/10/2020', 'age': '31', 'clubName': 'SL Benfica', 'clubID': '294', 'value': '€20.00m'}, {'date': '28/01/2021', 'age': '31', 'clubName': 'SL Benfica', 'clubID': '294', 'value': '€18.00m'}, {'date': '25/03/2021', 'age': '31', 'clubName': 'SL Benfica', 'clubID': '294', 'value': '€12.00m'}, {'date': '21/05/2021', 'age': '31', 'clubName': 'SL Benfica', 'clubID': '294', 'value': '€12.00m'}, {'date': '21/09/2021', 'age': '31', 'clubName': 'SL Benfica', 'clubID': '294', 'value': '€10.00m'}, {'date': '27/12/2021', 'age': '32', 'clubName': 'SL Benfica', 'clubID': '294', 'value': '€8.00m'}, {'date': '31/03/2022', 'age': '32', 'clubName': 'Basaksehir FK', 'clubID': '6890', 'value': '€6.00m'}, {'date': '01/06/2022', 'age': '32', 'clubName': 'Basaksehir FK', 'clubID': '6890', 'value': '€4.00m'}, {'date': '15/12/2022', 'age': '33', 'clubName': 'Al-Wahda FC', 'clubID': '161', 'value': '€3.00m'}, {'date': '16/06/2023', 'age': '33', 'clubName': 'SC Braga', 'clubID': '1075', 'value': '€2.00m'}, {'date': '27/12/2023', 'age': '34', 'clubName': 'SC Braga', 'clubID': '1075', 'value': '€1.20m'}, {'date': '08/03/2024', 'age': '34', 'clubName': 'SC Braga', 'clubID': '1075', 'value': '€1.00m'}, {'date': '06/06/2024', 'age': '34', 'clubName': 'SC Braga', 'clubID': '1075', 'value': '€800k'}, {'date': '24/09/2024', 'age': '34', 'clubName': 'APOEL Nicosia', 'clubID': '2784', 'value': '€700k'}, {'date': '09/12/2024', 'age': '35', 'clubName': 'APOEL Nicosia', 'clubID': '2784', 'value': '€600k'}, {'date': '29/05/2025', 'age': '35', 'clubName': 'APOEL Nicosia', 'clubID': '2784', 'value': '€400k'}, {'date': '18/12/2025', 'age': '36', 'clubName': 'GD Estoril Praia', 'clubID': '1465', 'value': '€300k'}]}</t>
        </is>
      </c>
      <c r="L525" t="inlineStr">
        <is>
          <t>Portugal</t>
        </is>
      </c>
      <c r="M525" t="inlineStr">
        <is>
          <t>1989-10-06</t>
        </is>
      </c>
      <c r="N525" t="inlineStr">
        <is>
          <t>17</t>
        </is>
      </c>
      <c r="O525">
        <f>(6+4+3)/3</f>
        <v/>
      </c>
      <c r="P525">
        <f>(18+12+12+10+8)/5</f>
        <v/>
      </c>
    </row>
    <row r="526">
      <c r="A526" t="inlineStr">
        <is>
          <t>Vormer</t>
        </is>
      </c>
      <c r="B526" t="inlineStr">
        <is>
          <t>Club Brugge</t>
        </is>
      </c>
      <c r="C526" t="inlineStr">
        <is>
          <t>Midfielder</t>
        </is>
      </c>
      <c r="D526" t="n">
        <v>156</v>
      </c>
      <c r="E526" t="n">
        <v>4</v>
      </c>
      <c r="F526" t="n">
        <v>0</v>
      </c>
      <c r="G526" t="n">
        <v>1</v>
      </c>
      <c r="H526" t="n">
        <v>20.9</v>
      </c>
      <c r="I526" t="n">
        <v>29.5</v>
      </c>
      <c r="J526" t="n">
        <v>45864</v>
      </c>
      <c r="K526" t="inlineStr">
        <is>
          <t>{'marketValueHistory': [{'date': 'Feb 8, 2007', 'age': '18', 'clubName': 'AZ Alkmaar', 'clubID': '1090', 'value': '€250k'}, {'date': 'Aug 14, 2007', 'age': '19', 'clubName': 'AZ Alkmaar', 'clubID': '1090', 'value': '€400k'}, {'date': 'Jan 7, 2008', 'age': '19', 'clubName': 'AZ Alkmaar', 'clubID': '1090', 'value': '€600k'}, {'date': 'Aug 3, 2008', 'age': '20', 'clubName': 'Roda JC Kerkrade', 'clubID': '192', 'value': '€900k'}, {'date': 'Jun 22, 2009', 'age': '21', 'clubName': 'Roda JC Kerkrade', 'clubID': '192', 'value': '€800k'}, {'date': 'Jan 17, 2011', 'age': '22', 'clubName': 'Roda JC Kerkrade', 'clubID': '192', 'value': '€1.20m'}, {'date': 'Jun 17, 2011', 'age': '23', 'clubName': 'Roda JC Kerkrade', 'clubID': '192', 'value': '€1.75m'}, {'date': 'Jan 20, 2012', 'age': '23', 'clubName': 'Roda JC Kerkrade', 'clubID': '192', 'value': '€2.50m'}, {'date': 'Jan 9, 2013', 'age': '24', 'clubName': 'Feyenoord Rotterdam', 'clubID': '234', 'value': '€1.80m'}, {'date': 'May 28, 2013', 'age': '25', 'clubName': 'Feyenoord Rotterdam', 'clubID': '234', 'value': '€1.25m'}, {'date': 'Feb 11, 2014', 'age': '25', 'clubName': 'Feyenoord Rotterdam', 'clubID': '234', 'value': '€1.00m'}, {'date': 'Aug 11, 2014', 'age': '26', 'clubName': 'Feyenoord Rotterdam', 'clubID': '234', 'value': '€1.25m'}, {'date': 'Jan 7, 2015', 'age': '26', 'clubName': 'Club Brugge KV', 'clubID': '2282', 'value': '€2.00m'}, {'date': 'Jun 24, 2015', 'age': '27', 'clubName': 'Club Brugge KV', 'clubID': '2282', 'value': '€3.00m'}, {'date': 'Oct 22, 2015', 'age': '27', 'clubName': 'Club Brugge KV', 'clubID': '2282', 'value': '€5.00m'}, {'date': 'Feb 7, 2016', 'age': '27', 'clubName': 'Club Brugge KV', 'clubID': '2282', 'value': '€5.00m'}, {'date': 'Jul 15, 2016', 'age': '28', 'clubName': 'Club Brugge KV', 'clubID': '2282', 'value': '€5.00m'}, {'date': 'Jan 21, 2017', 'age': '28', 'clubName': 'Club Brugge KV', 'clubID': '2282', 'value': '€6.00m'}, {'date': 'Jun 6, 2017', 'age': '29', 'clubName': 'Club Brugge KV', 'clubID': '2282', 'value': '€6.00m'}, {'date': 'Jan 9, 2018', 'age': '29', 'clubName': 'Club Brugge KV', 'clubID': '2282', 'value': '€7.00m'}, {'date': 'Jun 3, 2018', 'age': '30', 'clubName': 'Club Brugge KV', 'clubID': '2282', 'value': '€7.50m'}, {'date': 'Dec 27, 2018', 'age': '30', 'clubName': 'Club Brugge KV', 'clubID': '2282', 'value': '€7.00m'}, {'date': 'Jun 10, 2019', 'age': '31', 'clubName': 'Club Brugge KV', 'clubID': '2282', 'value': '€6.00m'}, {'date': 'Dec 13, 2019', 'age': '31', 'clubName': 'Club Brugge KV', 'clubID': '2282', 'value': '€6.00m'}, {'date': 'Apr 8, 2020', 'age': '31', 'clubName': 'Club Brugge KV', 'clubID': '2282', 'value': '€4.80m'}, {'date': 'Oct 16, 2020', 'age': '32', 'clubName': 'Club Brugge KV', 'clubID': '2282', 'value': '€4.30m'}, {'date': 'Jun 7, 2021', 'age': '33', 'clubName': 'Club Brugge KV', 'clubID': '2282', 'value': '€4.00m'}, {'date': 'Oct 6, 2021', 'age': '33', 'clubName': 'Club Brugge KV', 'clubID': '2282', 'value': '€3.50m'}, {'date': 'Jan 6, 2022', 'age': '33', 'clubName': 'Club Brugge KV', 'clubID': '2282', 'value': '€2.50m'}, {'date': 'Apr 12, 2022', 'age': '33', 'clubName': 'Club Brugge KV', 'clubID': '2282', 'value': '€1.80m'}, {'date': 'Sep 7, 2022', 'age': '34', 'clubName': 'Club Brugge KV', 'clubID': '2282', 'value': '€1.50m'}, {'date': 'Nov 4, 2022', 'age': '34', 'clubName': 'Club Brugge KV', 'clubID': '2282', 'value': '€1.00m'}, {'date': 'Mar 22, 2023', 'age': '34', 'clubName': 'Zulte Waregem', 'clubID': '3508', 'value': '€750k'}, {'date': 'Jun 9, 2023', 'age': '35', 'clubName': 'Zulte Waregem', 'clubID': '3508', 'value': '€600k'}, {'date': 'Dec 28, 2023', 'age': '35', 'clubName': 'Zulte Waregem', 'clubID': '3508', 'value': '€500k'}, {'date': 'Jun 20, 2024', 'age': '36', 'clubName': 'Zulte Waregem', 'clubID': '3508', 'value': '€300k'}, {'date': 'Jul 1, 2024', 'age': '36', 'clubName': 'Retired', 'clubID': '123', 'value': '-'}]}</t>
        </is>
      </c>
      <c r="L526" t="inlineStr">
        <is>
          <t>Netherlands</t>
        </is>
      </c>
      <c r="M526" t="inlineStr">
        <is>
          <t>1988-05-11</t>
        </is>
      </c>
      <c r="N526" t="inlineStr">
        <is>
          <t>Belgium</t>
        </is>
      </c>
      <c r="O526">
        <f>(2.5+1.8+1.5+1)/4</f>
        <v/>
      </c>
      <c r="P526">
        <f>(4+3.5)/2</f>
        <v/>
      </c>
    </row>
    <row r="527">
      <c r="A527" t="inlineStr">
        <is>
          <t>Hutchinson</t>
        </is>
      </c>
      <c r="B527" t="inlineStr">
        <is>
          <t>Besiktas</t>
        </is>
      </c>
      <c r="C527" t="inlineStr">
        <is>
          <t>Midfielder</t>
        </is>
      </c>
      <c r="D527" t="n">
        <v>156</v>
      </c>
      <c r="E527" t="n">
        <v>4</v>
      </c>
      <c r="F527" t="n">
        <v>0</v>
      </c>
      <c r="G527" t="n">
        <v>0</v>
      </c>
      <c r="H527" t="n">
        <v>19.9</v>
      </c>
      <c r="I527" t="n">
        <v>30.5</v>
      </c>
      <c r="J527" t="n">
        <v>741238</v>
      </c>
      <c r="K527" t="inlineStr">
        <is>
          <t>{'marketValueHistory': [{'date': '03/11/2022', 'age': '19', 'clubName': 'Chelsea FC U21', 'clubID': '9250', 'value': '€1.00m'}, {'date': '27/10/2023', 'age': '19', 'clubName': 'Ipswich Town', 'clubID': '677', 'value': '€3.00m'}, {'date': '21/12/2023', 'age': '20', 'clubName': 'Ipswich Town', 'clubID': '677', 'value': '€3.00m'}, {'date': '07/03/2024', 'age': '20', 'clubName': 'Ipswich Town', 'clubID': '677', 'value': '€4.50m'}, {'date': '24/05/2024', 'age': '20', 'clubName': 'Ipswich Town', 'clubID': '677', 'value': '€7.00m'}, {'date': '01/10/2024', 'age': '20', 'clubName': 'Ipswich Town', 'clubID': '677', 'value': '€18.00m'}, {'date': '16/12/2024', 'age': '21', 'clubName': 'Ipswich Town', 'clubID': '677', 'value': '€22.00m'}, {'date': '30/05/2025', 'age': '21', 'clubName': 'Ipswich Town', 'clubID': '677', 'value': '€22.00m'}, {'date': '17/10/2025', 'age': '21', 'clubName': 'Nottingham Forest', 'clubID': '703', 'value': '€35.00m'}, {'date': '09/12/2025', 'age': '22', 'clubName': 'Nottingham Forest', 'clubID': '703', 'value': '€30.00m'}]}</t>
        </is>
      </c>
      <c r="L527" t="inlineStr">
        <is>
          <t>England</t>
        </is>
      </c>
      <c r="M527" t="inlineStr">
        <is>
          <t>2003-10-29</t>
        </is>
      </c>
      <c r="N527" t="inlineStr">
        <is>
          <t>England</t>
        </is>
      </c>
      <c r="O527">
        <f>1</f>
        <v/>
      </c>
    </row>
    <row r="528">
      <c r="A528" t="inlineStr">
        <is>
          <t>Yansane</t>
        </is>
      </c>
      <c r="B528" t="inlineStr">
        <is>
          <t>Sheriff</t>
        </is>
      </c>
      <c r="C528" t="inlineStr">
        <is>
          <t>Forward</t>
        </is>
      </c>
      <c r="D528" t="n">
        <v>156</v>
      </c>
      <c r="E528" t="n">
        <v>3</v>
      </c>
      <c r="F528" t="n">
        <v>1</v>
      </c>
      <c r="G528" t="n">
        <v>0</v>
      </c>
      <c r="H528" t="n">
        <v>21.6</v>
      </c>
      <c r="I528" t="n">
        <v>30.4</v>
      </c>
      <c r="J528" t="n">
        <v>490292</v>
      </c>
      <c r="K528" t="inlineStr">
        <is>
          <t>{'marketValueHistory': [{'date': 'Jan 10, 2018', 'age': '20', 'clubName': 'FUS Rabat', 'clubID': '6371', 'value': '€200k'}, {'date': 'Jun 10, 2018', 'age': '20', 'clubName': 'FUS Rabat', 'clubID': '6371', 'value': '€225k'}, {'date': 'Dec 27, 2018', 'age': '21', 'clubName': 'FUS Rabat', 'clubID': '6371', 'value': '€200k'}, {'date': 'Jul 25, 2019', 'age': '21', 'clubName': 'Isloch Minsk Region', 'clubID': '36755', 'value': '€400k'}, {'date': 'Dec 9, 2019', 'age': '22', 'clubName': 'Isloch Minsk Region', 'clubID': '36755', 'value': '€600k'}, {'date': 'Apr 8, 2020', 'age': '22', 'clubName': 'Isloch Minsk Region', 'clubID': '36755', 'value': '€475k'}, {'date': 'Jul 3, 2020', 'age': '22', 'clubName': 'Isloch Minsk Region', 'clubID': '36755', 'value': '€650k'}, {'date': 'May 24, 2021', 'age': '23', 'clubName': 'FC Nizhniy Novgorod', 'clubID': '49702', 'value': '€750k'}, {'date': 'Oct 18, 2021', 'age': '24', 'clubName': 'FC Sheriff Tiraspol', 'clubID': '2481', 'value': '€1.00m'}, {'date': 'Dec 25, 2021', 'age': '24', 'clubName': 'FC Sheriff Tiraspol', 'clubID': '2481', 'value': '€1.20m'}, {'date': 'May 23, 2022', 'age': '24', 'clubName': 'FC Sheriff Tiraspol', 'clubID': '2481', 'value': '€1.20m'}, {'date': 'Nov 21, 2022', 'age': '25', 'clubName': 'FC Pari Nizhniy Novgorod', 'clubID': '49702', 'value': '€800k'}, {'date': 'Jun 14, 2023', 'age': '25', 'clubName': 'FC Pari Nizhniy Novgorod', 'clubID': '49702', 'value': '€600k'}, {'date': 'Dec 18, 2023', 'age': '26', 'clubName': 'HNK Rijeka', 'clubID': '144', 'value': '€700k'}, {'date': 'Jun 4, 2024', 'age': '26', 'clubName': 'HNK Rijeka', 'clubID': '144', 'value': '€400k'}, {'date': 'Sep 25, 2024', 'age': '27', 'clubName': 'Torpedo Kutaisi', 'clubID': '253', 'value': '€400k'}, {'date': 'Dec 23, 2024', 'age': '27', 'clubName': 'Torpedo Kutaisi', 'clubID': '253', 'value': '€350k'}, {'date': 'Jun 9, 2025', 'age': '27', 'clubName': 'Sumgayit PFC', 'clubID': '36999', 'value': '€275k'}, {'date': 'Dec 23, 2025', 'age': '28', 'clubName': 'Omonia Aradippou', 'clubID': '16024', 'value': '€250k'}, {'date': 'Mar 31, 2026', 'age': '28', 'clubName': 'FC Pyunik Yerevan', 'clubID': '10301', 'value': '€300k'}]}</t>
        </is>
      </c>
      <c r="L528" t="inlineStr">
        <is>
          <t>Guinea</t>
        </is>
      </c>
      <c r="M528" t="inlineStr">
        <is>
          <t>1997-07-29</t>
        </is>
      </c>
      <c r="N528" t="inlineStr">
        <is>
          <t>Guinea</t>
        </is>
      </c>
      <c r="O528">
        <f>(1.2+0.8)/2</f>
        <v/>
      </c>
      <c r="P528">
        <f>(0.75+1+1.2)/3</f>
        <v/>
      </c>
    </row>
    <row r="529">
      <c r="A529" t="inlineStr">
        <is>
          <t>Alexis Sanchez</t>
        </is>
      </c>
      <c r="B529" t="inlineStr">
        <is>
          <t>Inter</t>
        </is>
      </c>
      <c r="C529" t="inlineStr">
        <is>
          <t>Forward</t>
        </is>
      </c>
      <c r="D529" t="n">
        <v>155</v>
      </c>
      <c r="E529" t="n">
        <v>6</v>
      </c>
      <c r="F529" t="n">
        <v>1</v>
      </c>
      <c r="G529" t="n">
        <v>1</v>
      </c>
      <c r="H529" t="n">
        <v>19</v>
      </c>
      <c r="I529" t="n">
        <v>32.7</v>
      </c>
      <c r="J529" t="n">
        <v>40433</v>
      </c>
      <c r="K529" t="inlineStr">
        <is>
          <t>{'marketValueHistory': [{'date': '29/12/2006', 'age': '18', 'clubName': 'CSD Colo-Colo', 'clubID': '2433', 'value': '€50k'}, {'date': '24/09/2007', 'age': '18', 'clubName': 'CA River Plate', 'clubID': '15108', 'value': '€2.75m'}, {'date': '31/03/2008', 'age': '19', 'clubName': 'CA River Plate', 'clubID': '15108', 'value': '€3.40m'}, {'date': '04/07/2008', 'age': '19', 'clubName': 'Udinese Calcio', 'clubID': '410', 'value': '€3.80m'}, {'date': '06/08/2009', 'age': '20', 'clubName': 'Udinese Calcio', 'clubID': '410', 'value': '€6.50m'}, {'date': '27/01/2010', 'age': '21', 'clubName': 'Udinese Calcio', 'clubID': '410', 'value': '€7.00m'}, {'date': '09/05/2010', 'age': '21', 'clubName': 'Udinese Calcio', 'clubID': '410', 'value': '€8.00m'}, {'date': '01/08/2010', 'age': '21', 'clubName': 'Udinese Calcio', 'clubID': '410', 'value': '€9.50m'}, {'date': '10/01/2011', 'age': '22', 'clubName': 'Udinese Calcio', 'clubID': '410', 'value': '€13.50m'}, {'date': '18/03/2011', 'age': '22', 'clubName': 'Udinese Calcio', 'clubID': '410', 'value': '€18.50m'}, {'date': '21/06/2011', 'age': '22', 'clubName': 'Udinese Calcio', 'clubID': '410', 'value': '€25.00m'}, {'date': '29/07/2011', 'age': '22', 'clubName': 'FC Barcelona', 'clubID': '131', 'value': '€26.00m'}, {'date': '03/02/2012', 'age': '23', 'clubName': 'FC Barcelona', 'clubID': '131', 'value': '€28.00m'}, {'date': '14/04/2012', 'age': '23', 'clubName': 'FC Barcelona', 'clubID': '131', 'value': '€30.00m'}, {'date': '07/08/2012', 'age': '23', 'clubName': 'FC Barcelona', 'clubID': '131', 'value': '€38.00m'}, {'date': '10/01/2013', 'age': '24', 'clubName': 'FC Barcelona', 'clubID': '131', 'value': '€28.00m'}, {'date': '07/03/2013', 'age': '24', 'clubName': 'FC Barcelona', 'clubID': '131', 'value': '€25.00m'}, {'date': '12/06/2013', 'age': '24', 'clubName': 'FC Barcelona', 'clubID': '131', 'value': '€26.00m'}, {'date': '23/01/2014', 'age': '25', 'clubName': 'FC Barcelona', 'clubID': '131', 'value': '€30.00m'}, {'date': '12/08/2014', 'age': '25', 'clubName': 'Arsenal FC', 'clubID': '11', 'value': '€38.00m'}, {'date': '12/02/2015', 'age': '26', 'clubName': 'Arsenal FC', 'clubID': '11', 'value': '€45.00m'}, {'date': '01/07/2015', 'age': '26', 'clubName': 'Arsenal FC', 'clubID': '11', 'value': '€55.00m'}, {'date': '09/02/2016', 'age': '27', 'clubName': 'Arsenal FC', 'clubID': '11', 'value': '€55.00m'}, {'date': '01/08/2016', 'age': '27', 'clubName': 'Arsenal FC', 'clubID': '11', 'value': '€55.00m'}, {'date': '20/02/2017', 'age': '28', 'clubName': 'Arsenal FC', 'clubID': '11', 'value': '€65.00m'}, {'date': '28/06/2017', 'age': '28', 'clubName': 'Arsenal FC', 'clubID': '11', 'value': '€65.00m'}, {'date': '02/01/2018', 'age': '29', 'clubName': 'Arsenal FC', 'clubID': '11', 'value': '€70.00m'}, {'date': '28/05/2018', 'age': '29', 'clubName': 'Manchester United', 'clubID': '985', 'value': '€70.00m'}, {'date': '17/10/2018', 'age': '29', 'clubName': 'Manchester United', 'clubID': '985', 'value': '€55.00m'}, {'date': '19/12/2018', 'age': '30', 'clubName': 'Manchester United', 'clubID': '985', 'value': '€45.00m'}, {'date': '13/06/2019', 'age': '30', 'clubName': 'Manchester United', 'clubID': '985', 'value': '€35.00m'}, {'date': '12/12/2019', 'age': '30', 'clubName': 'Inter Milan', 'clubID': '46', 'value': '€25.00m'}, {'date': '03/03/2020', 'age': '31', 'clubName': 'Inter Milan', 'clubID': '46', 'value': '€20.00m'}, {'date': '08/04/2020', 'age': '31', 'clubName': 'Inter Milan', 'clubID': '46', 'value': '€16.00m'}, {'date': '25/08/2020', 'age': '31', 'clubName': 'Inter Milan', 'clubID': '46', 'value': '€16.00m'}, {'date': '29/12/2020', 'age': '32', 'clubName': 'Inter Milan', 'clubID': '46', 'value': '€10.00m'}, {'date': '03/06/2021', 'age': '32', 'clubName': 'Inter Milan', 'clubID': '46', 'value': '€7.50m'}, {'date': '14/10/2021', 'age': '32', 'clubName': 'Inter Milan', 'clubID': '46', 'value': '€5.00m'}, {'date': '28/12/2021', 'age': '33', 'clubName': 'Inter Milan', 'clubID': '46', 'value': '€3.50m'}, {'date': '07/06/2022', 'age': '33', 'clubName': 'Inter Milan', 'clubID': '46', 'value': '€3.50m'}, {'date': '02/11/2022', 'age': '33', 'clubName': 'Olympique Marseille', 'clubID': '244', 'value': '€4.50m'}, {'date': '27/06/2023', 'age': '34', 'clubName': 'Olympique Marseille', 'clubID': '244', 'value': '€4.00m'}, {'date': '20/12/2023', 'age': '35', 'clubName': 'Inter Milan', 'clubID': '46', 'value': '€2.50m'}, {'date': '05/06/2024', 'age': '35', 'clubName': 'Inter Milan', 'clubID': '46', 'value': '€2.50m'}, {'date': '18/12/2024', 'age': '35', 'clubName': 'Udinese Calcio', 'clubID': '410', 'value': '€2.00m'}, {'date': '17/06/2025', 'age': '36', 'clubName': 'Udinese Calcio', 'clubID': '410', 'value': '€1.50m'}, {'date': '12/12/2025', 'age': '36', 'clubName': 'Sevilla FC', 'clubID': '368', 'value': '€1.40m'}]}</t>
        </is>
      </c>
      <c r="L529" t="inlineStr">
        <is>
          <t>Chile</t>
        </is>
      </c>
      <c r="M529" t="inlineStr">
        <is>
          <t>1988-12-19</t>
        </is>
      </c>
      <c r="N529" t="inlineStr">
        <is>
          <t>Chile</t>
        </is>
      </c>
      <c r="O529">
        <f>(3.5+4.5)/2</f>
        <v/>
      </c>
      <c r="P529">
        <f>(7.5+5+3.5)/3</f>
        <v/>
      </c>
    </row>
    <row r="530">
      <c r="A530" t="inlineStr">
        <is>
          <t>Meite</t>
        </is>
      </c>
      <c r="B530" t="inlineStr">
        <is>
          <t>Benfica</t>
        </is>
      </c>
      <c r="C530" t="inlineStr">
        <is>
          <t>Midfielder</t>
        </is>
      </c>
      <c r="D530" t="n">
        <v>155</v>
      </c>
      <c r="E530" t="n">
        <v>3</v>
      </c>
      <c r="F530" t="n">
        <v>0</v>
      </c>
      <c r="G530" t="n">
        <v>0</v>
      </c>
      <c r="H530" t="n">
        <v>19.9</v>
      </c>
      <c r="I530" t="n">
        <v>31.6</v>
      </c>
      <c r="J530" t="n">
        <v>164913</v>
      </c>
      <c r="K530" t="inlineStr">
        <is>
          <t>{'marketValueHistory': [{'date': '20/07/2011', 'age': '17', 'clubName': 'AJ Auxerre', 'clubID': '290', 'value': '€100k'}, {'date': '24/12/2011', 'age': '17', 'clubName': 'AJ Auxerre', 'clubID': '290', 'value': '€200k'}, {'date': '23/05/2012', 'age': '18', 'clubName': 'AJ Auxerre', 'clubID': '290', 'value': '€400k'}, {'date': '04/01/2013', 'age': '18', 'clubName': 'AJ Auxerre', 'clubID': '290', 'value': '€400k'}, {'date': '29/05/2013', 'age': '19', 'clubName': 'AJ Auxerre', 'clubID': '290', 'value': '€1.50m'}, {'date': '14/01/2014', 'age': '19', 'clubName': 'LOSC Lille', 'clubID': '1082', 'value': '€1.50m'}, {'date': '07/08/2014', 'age': '20', 'clubName': 'LOSC Lille', 'clubID': '1082', 'value': '€1.75m'}, {'date': '14/01/2015', 'age': '20', 'clubName': 'LOSC Lille', 'clubID': '1082', 'value': '€1.50m'}, {'date': '06/06/2015', 'age': '21', 'clubName': 'LOSC Lille', 'clubID': '1082', 'value': '€1.25m'}, {'date': '07/02/2016', 'age': '21', 'clubName': 'Zulte Waregem', 'clubID': '3508', 'value': '€900k'}, {'date': '15/07/2016', 'age': '22', 'clubName': 'Zulte Waregem', 'clubID': '3508', 'value': '€900k'}, {'date': '20/10/2016', 'age': '22', 'clubName': 'Zulte Waregem', 'clubID': '3508', 'value': '€2.00m'}, {'date': '21/01/2017', 'age': '22', 'clubName': 'Zulte Waregem', 'clubID': '3508', 'value': '€5.00m'}, {'date': '30/03/2017', 'age': '23', 'clubName': 'Zulte Waregem', 'clubID': '3508', 'value': '€7.00m'}, {'date': '06/06/2017', 'age': '23', 'clubName': 'Zulte Waregem', 'clubID': '3508', 'value': '€7.00m'}, {'date': '24/01/2018', 'age': '23', 'clubName': 'FC Girondins Bordeaux', 'clubID': '40', 'value': '€7.00m'}, {'date': '04/06/2018', 'age': '24', 'clubName': 'FC Girondins Bordeaux', 'clubID': '40', 'value': '€8.00m'}, {'date': '12/10/2018', 'age': '24', 'clubName': 'Torino FC', 'clubID': '416', 'value': '€10.00m'}, {'date': '20/12/2018', 'age': '24', 'clubName': 'Torino FC', 'clubID': '416', 'value': '€13.00m'}, {'date': '06/06/2019', 'age': '25', 'clubName': 'Torino FC', 'clubID': '416', 'value': '€13.00m'}, {'date': '12/12/2019', 'age': '25', 'clubName': 'Torino FC', 'clubID': '416', 'value': '€11.00m'}, {'date': '03/03/2020', 'age': '25', 'clubName': 'Torino FC', 'clubID': '416', 'value': '€9.00m'}, {'date': '08/04/2020', 'age': '26', 'clubName': 'Torino FC', 'clubID': '416', 'value': '€7.00m'}, {'date': '25/08/2020', 'age': '26', 'clubName': 'Torino FC', 'clubID': '416', 'value': '€6.00m'}, {'date': '29/12/2020', 'age': '26', 'clubName': 'Torino FC', 'clubID': '416', 'value': '€5.00m'}, {'date': '03/06/2021', 'age': '27', 'clubName': 'AC Milan', 'clubID': '5', 'value': '€5.00m'}, {'date': '27/12/2021', 'age': '27', 'clubName': 'SL Benfica', 'clubID': '294', 'value': '€5.00m'}, {'date': '31/05/2022', 'age': '28', 'clubName': 'SL Benfica', 'clubID': '294', 'value': '€5.00m'}, {'date': '11/11/2022', 'age': '28', 'clubName': 'US Cremonese', 'clubID': '2239', 'value': '€4.80m'}, {'date': '21/03/2023', 'age': '29', 'clubName': 'US Cremonese', 'clubID': '2239', 'value': '€4.00m'}, {'date': '15/06/2023', 'age': '29', 'clubName': 'US Cremonese', 'clubID': '2239', 'value': '€3.50m'}, {'date': '20/12/2023', 'age': '29', 'clubName': 'PAOK Thessaloniki', 'clubID': '1091', 'value': '€3.00m'}, {'date': '30/05/2024', 'age': '30', 'clubName': 'PAOK Thessaloniki', 'clubID': '1091', 'value': '€3.50m'}, {'date': '19/12/2024', 'age': '30', 'clubName': 'SL Benfica', 'clubID': '294', 'value': '€2.50m'}, {'date': '23/05/2025', 'age': '31', 'clubName': 'PAOK Thessaloniki', 'clubID': '1091', 'value': '€2.00m'}, {'date': '12/12/2025', 'age': '31', 'clubName': 'PAOK Thessaloniki', 'clubID': '1091', 'value': '€1.80m'}]}</t>
        </is>
      </c>
      <c r="L530" t="inlineStr">
        <is>
          <t>France</t>
        </is>
      </c>
      <c r="M530" t="inlineStr">
        <is>
          <t>1994-06-06</t>
        </is>
      </c>
      <c r="N530" t="inlineStr">
        <is>
          <t>France</t>
        </is>
      </c>
      <c r="O530">
        <f>(5+4.8)/2</f>
        <v/>
      </c>
      <c r="P530">
        <f>(5+5)/2</f>
        <v/>
      </c>
    </row>
    <row r="531">
      <c r="A531" t="inlineStr">
        <is>
          <t>Fabio Cardoso</t>
        </is>
      </c>
      <c r="B531" t="inlineStr">
        <is>
          <t>FC Porto</t>
        </is>
      </c>
      <c r="C531" t="inlineStr">
        <is>
          <t>Defender</t>
        </is>
      </c>
      <c r="D531" t="n">
        <v>155</v>
      </c>
      <c r="E531" t="n">
        <v>2</v>
      </c>
      <c r="F531" t="n">
        <v>0</v>
      </c>
      <c r="G531" t="n">
        <v>0</v>
      </c>
      <c r="H531" t="n">
        <v>18.7</v>
      </c>
      <c r="I531" t="n">
        <v>30.1</v>
      </c>
      <c r="J531" t="n">
        <v>155025</v>
      </c>
      <c r="K531" t="inlineStr">
        <is>
          <t>{'marketValueHistory': [{'date': 'Nov 10, 2012', 'age': '18', 'clubName': 'SL Benfica U19', 'clubID': '8889', 'value': '€300k'}, {'date': 'Nov 8, 2013', 'age': '19', 'clubName': 'SL Benfica B', 'clubID': '10330', 'value': '€500k'}, {'date': 'Feb 20, 2014', 'age': '19', 'clubName': 'SL Benfica B', 'clubID': '10330', 'value': '€500k'}, {'date': 'Feb 17, 2015', 'age': '20', 'clubName': 'FC Paços de Ferreira', 'clubID': '2995', 'value': '€750k'}, {'date': 'Jul 1, 2015', 'age': '21', 'clubName': 'FC Paços de Ferreira', 'clubID': '2995', 'value': '€1.10m'}, {'date': 'Feb 24, 2016', 'age': '21', 'clubName': 'FC Paços de Ferreira', 'clubID': '2995', 'value': '€1.50m'}, {'date': 'Jul 29, 2016', 'age': '22', 'clubName': 'Vitória Setúbal FC', 'clubID': '1085', 'value': '€1.50m'}, {'date': 'Oct 31, 2016', 'age': '22', 'clubName': 'Vitória Setúbal FC', 'clubID': '1085', 'value': '€1.00m'}, {'date': 'Feb 22, 2017', 'age': '22', 'clubName': 'Vitória Setúbal FC', 'clubID': '1085', 'value': '€1.50m'}, {'date': 'Jun 26, 2017', 'age': '23', 'clubName': 'Vitória Setúbal FC', 'clubID': '1085', 'value': '€1.50m'}, {'date': 'Mar 4, 2018', 'age': '23', 'clubName': 'Rangers FC', 'clubID': '124', 'value': '€900k'}, {'date': 'Nov 1, 2018', 'age': '24', 'clubName': 'CD Santa Clara', 'clubID': '2423', 'value': '€900k'}, {'date': 'Jan 11, 2019', 'age': '24', 'clubName': 'CD Santa Clara', 'clubID': '2423', 'value': '€1.25m'}, {'date': 'Jun 7, 2019', 'age': '25', 'clubName': 'CD Santa Clara', 'clubID': '2423', 'value': '€1.50m'}, {'date': 'Dec 30, 2019', 'age': '25', 'clubName': 'CD Santa Clara', 'clubID': '2423', 'value': '€1.50m'}, {'date': 'Apr 8, 2020', 'age': '25', 'clubName': 'CD Santa Clara', 'clubID': '2423', 'value': '€1.20m'}, {'date': 'Aug 17, 2020', 'age': '26', 'clubName': 'CD Santa Clara', 'clubID': '2423', 'value': '€2.00m'}, {'date': 'Jan 28, 2021', 'age': '26', 'clubName': 'CD Santa Clara', 'clubID': '2423', 'value': '€2.00m'}, {'date': 'May 21, 2021', 'age': '27', 'clubName': 'CD Santa Clara', 'clubID': '2423', 'value': '€2.00m'}, {'date': 'Dec 27, 2021', 'age': '27', 'clubName': 'FC Porto', 'clubID': '720', 'value': '€3.00m'}, {'date': 'May 31, 2022', 'age': '28', 'clubName': 'FC Porto', 'clubID': '720', 'value': '€3.00m'}, {'date': 'Nov 1, 2022', 'age': '28', 'clubName': 'FC Porto', 'clubID': '720', 'value': '€3.00m'}, {'date': 'Mar 2, 2023', 'age': '28', 'clubName': 'FC Porto', 'clubID': '720', 'value': '€4.00m'}, {'date': 'Jun 16, 2023', 'age': '29', 'clubName': 'FC Porto', 'clubID': '720', 'value': '€4.00m'}, {'date': 'Dec 27, 2023', 'age': '29', 'clubName': 'FC Porto', 'clubID': '720', 'value': '€4.00m'}, {'date': 'Jun 6, 2024', 'age': '30', 'clubName': 'FC Porto', 'clubID': '720', 'value': '€3.50m'}, {'date': 'Nov 18, 2024', 'age': '30', 'clubName': 'Al-Ain FC', 'clubID': '2150', 'value': '€3.50m'}, {'date': 'May 29, 2025', 'age': '31', 'clubName': 'Al-Ain FC', 'clubID': '2150', 'value': '€3.00m'}, {'date': 'Dec 12, 2025', 'age': '31', 'clubName': 'Sevilla FC', 'clubID': '368', 'value': '€2.50m'}, {'date': 'Mar 16, 2026', 'age': '31', 'clubName': 'Sevilla FC', 'clubID': '368', 'value': '€2.00m'}]}</t>
        </is>
      </c>
      <c r="L531" t="inlineStr">
        <is>
          <t>Portugal</t>
        </is>
      </c>
      <c r="M531" t="inlineStr">
        <is>
          <t>1994-04-19</t>
        </is>
      </c>
      <c r="N531" t="inlineStr">
        <is>
          <t>Portugal</t>
        </is>
      </c>
      <c r="O531">
        <f>(3+3)/2</f>
        <v/>
      </c>
      <c r="P531">
        <f>(2+2+3)/3</f>
        <v/>
      </c>
    </row>
    <row r="532">
      <c r="A532" t="inlineStr">
        <is>
          <t>Karavaiev</t>
        </is>
      </c>
      <c r="B532" t="inlineStr">
        <is>
          <t>Dynamo Kyiv</t>
        </is>
      </c>
      <c r="C532" t="inlineStr">
        <is>
          <t>Defender</t>
        </is>
      </c>
      <c r="D532" t="n">
        <v>154</v>
      </c>
      <c r="E532" t="n">
        <v>6</v>
      </c>
      <c r="F532" t="n">
        <v>0</v>
      </c>
      <c r="G532" t="n">
        <v>0</v>
      </c>
      <c r="H532" t="n">
        <v>21.6</v>
      </c>
      <c r="I532" t="n">
        <v>32.8</v>
      </c>
      <c r="J532" t="n">
        <v>59322</v>
      </c>
      <c r="K532" t="inlineStr">
        <is>
          <t>{'marketValueHistory': [{'date': 'Mar 1, 2012', 'age': '19', 'clubName': 'FC Sevastopol', 'clubID': '16245', 'value': '€250k'}, {'date': 'Sep 14, 2012', 'age': '20', 'clubName': 'FC Sevastopol', 'clubID': '16245', 'value': '€400k'}, {'date': 'Jun 16, 2013', 'age': '21', 'clubName': 'FC Sevastopol', 'clubID': '16245', 'value': '€600k'}, {'date': 'Dec 25, 2014', 'age': '22', 'clubName': 'Zorya Lugansk', 'clubID': '10690', 'value': '€700k'}, {'date': 'Jun 7, 2015', 'age': '23', 'clubName': 'Shakhtar Donetsk II', 'clubID': '8963', 'value': '€1.00m'}, {'date': 'Dec 18, 2015', 'age': '23', 'clubName': 'Zorya Lugansk', 'clubID': '10690', 'value': '€2.00m'}, {'date': 'Jun 1, 2016', 'age': '23', 'clubName': 'Zorya Lugansk', 'clubID': '10690', 'value': '€2.50m'}, {'date': 'Jul 21, 2016', 'age': '24', 'clubName': 'Zorya Lugansk', 'clubID': '10690', 'value': '€2.50m'}, {'date': 'Jan 3, 2017', 'age': '24', 'clubName': 'Shakhtar Donetsk', 'clubID': '660', 'value': '€2.50m'}, {'date': 'Jun 9, 2017', 'age': '25', 'clubName': 'Fenerbahce', 'clubID': '36', 'value': '€1.50m'}, {'date': 'Jan 12, 2018', 'age': '25', 'clubName': 'Zorya Lugansk', 'clubID': '10690', 'value': '€1.50m'}, {'date': 'Aug 6, 2018', 'age': '26', 'clubName': 'Zorya Lugansk', 'clubID': '10690', 'value': '€1.50m'}, {'date': 'Dec 10, 2018', 'age': '26', 'clubName': 'Zorya Lugansk', 'clubID': '10690', 'value': '€1.50m'}, {'date': 'Jun 20, 2019', 'age': '27', 'clubName': 'Zorya Lugansk', 'clubID': '10690', 'value': '€2.50m'}, {'date': 'Jan 8, 2020', 'age': '27', 'clubName': 'Dynamo Kyiv', 'clubID': '338', 'value': '€4.00m'}, {'date': 'Apr 8, 2020', 'age': '27', 'clubName': 'Dynamo Kyiv', 'clubID': '338', 'value': '€3.20m'}, {'date': 'Sep 4, 2020', 'age': '28', 'clubName': 'Dynamo Kyiv', 'clubID': '338', 'value': '€3.50m'}, {'date': 'Jan 14, 2021', 'age': '28', 'clubName': 'Dynamo Kyiv', 'clubID': '338', 'value': '€3.50m'}, {'date': 'May 27, 2021', 'age': '28', 'clubName': 'Dynamo Kyiv', 'clubID': '338', 'value': '€5.00m'}, {'date': 'Dec 20, 2021', 'age': '29', 'clubName': 'Dynamo Kyiv', 'clubID': '338', 'value': '€4.00m'}, {'date': 'May 18, 2022', 'age': '29', 'clubName': 'Dynamo Kyiv', 'clubID': '338', 'value': '€4.00m'}, {'date': 'Dec 6, 2022', 'age': '30', 'clubName': 'Dynamo Kyiv', 'clubID': '338', 'value': '€3.00m'}, {'date': 'Jun 21, 2023', 'age': '31', 'clubName': 'Dynamo Kyiv', 'clubID': '338', 'value': '€2.50m'}, {'date': 'Dec 11, 2023', 'age': '31', 'clubName': 'Dynamo Kyiv', 'clubID': '338', 'value': '€2.00m'}, {'date': 'Jun 6, 2024', 'age': '32', 'clubName': 'Dynamo Kyiv', 'clubID': '338', 'value': '€1.80m'}, {'date': 'Dec 17, 2024', 'age': '32', 'clubName': 'Dynamo Kyiv', 'clubID': '338', 'value': '€1.50m'}, {'date': 'Jun 10, 2025', 'age': '33', 'clubName': 'Dynamo Kyiv', 'clubID': '338', 'value': '€1.20m'}, {'date': 'Dec 18, 2025', 'age': '33', 'clubName': 'Dynamo Kyiv', 'clubID': '338', 'value': '€1.20m'}]}</t>
        </is>
      </c>
      <c r="L532" t="inlineStr">
        <is>
          <t>Ukraine</t>
        </is>
      </c>
      <c r="M532" t="inlineStr">
        <is>
          <t>1992-06-02</t>
        </is>
      </c>
      <c r="N532" t="inlineStr">
        <is>
          <t>Ukraine</t>
        </is>
      </c>
      <c r="O532">
        <f>(4+3)/2</f>
        <v/>
      </c>
      <c r="P532">
        <f>(3.5+5+4)/3</f>
        <v/>
      </c>
    </row>
    <row r="533">
      <c r="A533" t="inlineStr">
        <is>
          <t>Fati</t>
        </is>
      </c>
      <c r="B533" t="inlineStr">
        <is>
          <t>Barcelona</t>
        </is>
      </c>
      <c r="C533" t="inlineStr">
        <is>
          <t>Forward</t>
        </is>
      </c>
      <c r="D533" t="n">
        <v>154</v>
      </c>
      <c r="E533" t="n">
        <v>3</v>
      </c>
      <c r="F533" t="n">
        <v>1</v>
      </c>
      <c r="G533" t="n">
        <v>0</v>
      </c>
      <c r="H533" t="n">
        <v>19.7</v>
      </c>
      <c r="I533" t="n">
        <v>31.1</v>
      </c>
      <c r="J533" t="n">
        <v>466810</v>
      </c>
      <c r="K533" t="inlineStr">
        <is>
          <t>{'marketValueHistory': [{'date': 'Sep 10, 2019', 'age': '16', 'clubName': 'FC Barcelona U19', 'clubID': '2470', 'value': '€25.00m'}, {'date': 'Dec 20, 2019', 'age': '17', 'clubName': 'FC Barcelona B', 'clubID': '2464', 'value': '€40.00m'}, {'date': 'Apr 8, 2020', 'age': '17', 'clubName': 'FC Barcelona B', 'clubID': '2464', 'value': '€36.00m'}, {'date': 'Jul 23, 2020', 'age': '17', 'clubName': 'FC Barcelona B', 'clubID': '2464', 'value': '€50.00m'}, {'date': 'Oct 8, 2020', 'age': '17', 'clubName': 'FC Barcelona', 'clubID': '131', 'value': '€80.00m'}, {'date': 'Jan 5, 2021', 'age': '18', 'clubName': 'FC Barcelona', 'clubID': '131', 'value': '€80.00m'}, {'date': 'Jun 10, 2021', 'age': '18', 'clubName': 'FC Barcelona', 'clubID': '131', 'value': '€60.00m'}, {'date': 'Dec 30, 2021', 'age': '19', 'clubName': 'FC Barcelona', 'clubID': '131', 'value': '€60.00m'}, {'date': 'Jun 3, 2022', 'age': '19', 'clubName': 'FC Barcelona', 'clubID': '131', 'value': '€60.00m'}, {'date': 'Nov 7, 2022', 'age': '20', 'clubName': 'FC Barcelona', 'clubID': '131', 'value': '€50.00m'}, {'date': 'Mar 23, 2023', 'age': '20', 'clubName': 'FC Barcelona', 'clubID': '131', 'value': '€35.00m'}, {'date': 'Jun 13, 2023', 'age': '20', 'clubName': 'FC Barcelona', 'clubID': '131', 'value': '€35.00m'}, {'date': 'Dec 19, 2023', 'age': '21', 'clubName': 'Brighton &amp; Hove Albion', 'clubID': '1237', 'value': '€30.00m'}, {'date': 'May 27, 2024', 'age': '21', 'clubName': 'Brighton &amp; Hove Albion', 'clubID': '1237', 'value': '€25.00m'}, {'date': 'Oct 11, 2024', 'age': '21', 'clubName': 'FC Barcelona', 'clubID': '131', 'value': '€15.00m'}, {'date': 'Dec 27, 2024', 'age': '22', 'clubName': 'FC Barcelona', 'clubID': '131', 'value': '€10.00m'}, {'date': 'Mar 21, 2025', 'age': '22', 'clubName': 'FC Barcelona', 'clubID': '131', 'value': '€5.00m'}, {'date': 'Jun 9, 2025', 'age': '22', 'clubName': 'FC Barcelona', 'clubID': '131', 'value': '€5.00m'}, {'date': 'Oct 10, 2025', 'age': '22', 'clubName': 'AS Monaco', 'clubID': '162', 'value': '€10.00m'}, {'date': 'Dec 15, 2025', 'age': '23', 'clubName': 'AS Monaco', 'clubID': '162', 'value': '€10.00m'}, {'date': 'Mar 27, 2026', 'age': '23', 'clubName': 'AS Monaco', 'clubID': '162', 'value': '€15.00m'}]}</t>
        </is>
      </c>
      <c r="L533" t="inlineStr">
        <is>
          <t>Spain</t>
        </is>
      </c>
      <c r="M533" t="inlineStr">
        <is>
          <t>2002-10-31</t>
        </is>
      </c>
      <c r="N533" t="inlineStr">
        <is>
          <t>Spain</t>
        </is>
      </c>
      <c r="O533">
        <f>(60+50)/2</f>
        <v/>
      </c>
      <c r="P533">
        <f>(80+60+60)/3</f>
        <v/>
      </c>
    </row>
    <row r="534">
      <c r="A534" t="inlineStr">
        <is>
          <t>Mostovoy</t>
        </is>
      </c>
      <c r="B534" t="inlineStr">
        <is>
          <t>Zenit</t>
        </is>
      </c>
      <c r="C534" t="inlineStr">
        <is>
          <t>Midfielder</t>
        </is>
      </c>
      <c r="D534" t="n">
        <v>150</v>
      </c>
      <c r="E534" t="n">
        <v>5</v>
      </c>
      <c r="F534" t="n">
        <v>0</v>
      </c>
      <c r="G534" t="n">
        <v>0</v>
      </c>
      <c r="H534" t="n">
        <v>20.9</v>
      </c>
      <c r="I534" t="n">
        <v>32.2</v>
      </c>
      <c r="J534" t="n">
        <v>362570</v>
      </c>
      <c r="K534" t="inlineStr">
        <is>
          <t>{'marketValueHistory': [{'date': '25/08/2015', 'age': '17', 'clubName': 'Lokomotiv Moscow II', 'clubID': '932', 'value': '€50k'}, {'date': '01/07/2016', 'age': '18', 'clubName': 'FK Dolgoprudnyi', 'clubID': '37029', 'value': '€50k'}, {'date': '11/10/2016', 'age': '18', 'clubName': 'FC Khimki', 'clubID': '3719', 'value': '€100k'}, {'date': '28/12/2016', 'age': '19', 'clubName': 'FC Khimki', 'clubID': '3719', 'value': '€150k'}, {'date': '01/06/2017', 'age': '19', 'clubName': 'FC Khimki', 'clubID': '3719', 'value': '€200k'}, {'date': '05/12/2017', 'age': '20', 'clubName': 'FC Khimki', 'clubID': '3719', 'value': '€250k'}, {'date': '06/06/2018', 'age': '20', 'clubName': 'FC Khimki', 'clubID': '3719', 'value': '€350k'}, {'date': '20/12/2018', 'age': '21', 'clubName': 'FC Khimki', 'clubID': '3719', 'value': '€400k'}, {'date': '14/06/2019', 'age': '21', 'clubName': 'Zenit 2 St. Petersburg', 'clubID': '16950', 'value': '€400k'}, {'date': '23/12/2019', 'age': '22', 'clubName': 'FC Sochi', 'clubID': '41231', 'value': '€1.00m'}, {'date': '30/03/2020', 'age': '22', 'clubName': 'FC Sochi', 'clubID': '41231', 'value': '€2.00m'}, {'date': '08/04/2020', 'age': '22', 'clubName': 'FC Sochi', 'clubID': '41231', 'value': '€1.60m'}, {'date': '29/07/2020', 'age': '22', 'clubName': 'FC Sochi', 'clubID': '41231', 'value': '€2.00m'}, {'date': '19/10/2020', 'age': '22', 'clubName': 'Zenit St. Petersburg', 'clubID': '964', 'value': '€3.00m'}, {'date': '29/12/2020', 'age': '23', 'clubName': 'Zenit St. Petersburg', 'clubID': '964', 'value': '€3.00m'}, {'date': '26/05/2021', 'age': '23', 'clubName': 'Zenit St. Petersburg', 'clubID': '964', 'value': '€3.00m'}, {'date': '29/12/2021', 'age': '24', 'clubName': 'Zenit St. Petersburg', 'clubID': '964', 'value': '€3.00m'}, {'date': '02/06/2022', 'age': '24', 'clubName': 'Zenit St. Petersburg', 'clubID': '964', 'value': '€3.00m'}, {'date': '12/09/2022', 'age': '24', 'clubName': 'Zenit St. Petersburg', 'clubID': '964', 'value': '€3.50m'}, {'date': '21/11/2022', 'age': '25', 'clubName': 'Zenit St. Petersburg', 'clubID': '964', 'value': '€3.50m'}, {'date': '14/06/2023', 'age': '25', 'clubName': 'Zenit St. Petersburg', 'clubID': '964', 'value': '€3.50m'}, {'date': '13/12/2023', 'age': '26', 'clubName': 'Zenit St. Petersburg', 'clubID': '964', 'value': '€3.50m'}, {'date': '04/06/2024', 'age': '26', 'clubName': 'Zenit St. Petersburg', 'clubID': '964', 'value': '€3.50m'}, {'date': '12/12/2024', 'age': '27', 'clubName': 'Zenit St. Petersburg', 'clubID': '964', 'value': '€4.00m'}, {'date': '04/06/2025', 'age': '27', 'clubName': 'Zenit St. Petersburg', 'clubID': '964', 'value': '€4.00m'}, {'date': '16/12/2025', 'age': '28', 'clubName': 'Zenit St. Petersburg', 'clubID': '964', 'value': '€4.00m'}]}</t>
        </is>
      </c>
      <c r="L534" t="inlineStr">
        <is>
          <t>Russia</t>
        </is>
      </c>
      <c r="M534" t="inlineStr">
        <is>
          <t>1997-11-05</t>
        </is>
      </c>
      <c r="N534" t="inlineStr">
        <is>
          <t>Russia</t>
        </is>
      </c>
      <c r="O534">
        <f>(3+3.5+3.5)/3</f>
        <v/>
      </c>
      <c r="P534">
        <f>(3+3)/2</f>
        <v/>
      </c>
    </row>
    <row r="535">
      <c r="A535" t="inlineStr">
        <is>
          <t>Poulsen</t>
        </is>
      </c>
      <c r="B535" t="inlineStr">
        <is>
          <t>Leipzig</t>
        </is>
      </c>
      <c r="C535" t="inlineStr">
        <is>
          <t>Forward</t>
        </is>
      </c>
      <c r="D535" t="n">
        <v>147</v>
      </c>
      <c r="E535" t="n">
        <v>4</v>
      </c>
      <c r="F535" t="n">
        <v>0</v>
      </c>
      <c r="G535" t="n">
        <v>1</v>
      </c>
      <c r="H535" t="n">
        <v>18.8</v>
      </c>
      <c r="I535" t="n">
        <v>31.6</v>
      </c>
      <c r="J535" t="n">
        <v>157635</v>
      </c>
      <c r="K535" t="inlineStr">
        <is>
          <t>{'marketValueHistory': [{'date': '05/02/2012', 'age': '17', 'clubName': 'Lyngby Boldklub', 'clubID': '369', 'value': '€50k'}, {'date': '11/01/2013', 'age': '18', 'clubName': 'Lyngby Boldklub', 'clubID': '369', 'value': '€300k'}, {'date': '24/05/2013', 'age': '18', 'clubName': 'Lyngby Boldklub', 'clubID': '369', 'value': '€400k'}, {'date': '09/08/2013', 'age': '19', 'clubName': 'RB Leipzig', 'clubID': '23826', 'value': '€500k'}, {'date': '30/06/2014', 'age': '20', 'clubName': 'RB Leipzig', 'clubID': '23826', 'value': '€700k'}, {'date': '01/10/2014', 'age': '20', 'clubName': 'RB Leipzig', 'clubID': '23826', 'value': '€1.50m'}, {'date': '13/01/2015', 'age': '20', 'clubName': 'RB Leipzig', 'clubID': '23826', 'value': '€2.50m'}, {'date': '01/07/2015', 'age': '21', 'clubName': 'RB Leipzig', 'clubID': '23826', 'value': '€4.00m'}, {'date': '11/02/2016', 'age': '21', 'clubName': 'RB Leipzig', 'clubID': '23826', 'value': '€4.00m'}, {'date': '22/07/2016', 'age': '22', 'clubName': 'RB Leipzig', 'clubID': '23826', 'value': '€5.00m'}, {'date': '07/02/2017', 'age': '22', 'clubName': 'RB Leipzig', 'clubID': '23826', 'value': '€6.00m'}, {'date': '19/06/2017', 'age': '23', 'clubName': 'RB Leipzig', 'clubID': '23826', 'value': '€10.00m'}, {'date': '28/12/2017', 'age': '23', 'clubName': 'RB Leipzig', 'clubID': '23826', 'value': '€10.00m'}, {'date': '05/06/2018', 'age': '23', 'clubName': 'RB Leipzig', 'clubID': '23826', 'value': '€10.00m'}, {'date': '22/10/2018', 'age': '24', 'clubName': 'RB Leipzig', 'clubID': '23826', 'value': '€15.00m'}, {'date': '18/12/2018', 'age': '24', 'clubName': 'RB Leipzig', 'clubID': '23826', 'value': '€20.00m'}, {'date': '06/03/2019', 'age': '24', 'clubName': 'RB Leipzig', 'clubID': '23826', 'value': '€30.00m'}, {'date': '05/06/2019', 'age': '24', 'clubName': 'RB Leipzig', 'clubID': '23826', 'value': '€35.00m'}, {'date': '17/12/2019', 'age': '25', 'clubName': 'RB Leipzig', 'clubID': '23826', 'value': '€35.00m'}, {'date': '11/03/2020', 'age': '25', 'clubName': 'RB Leipzig', 'clubID': '23826', 'value': '€30.00m'}, {'date': '08/04/2020', 'age': '25', 'clubName': 'RB Leipzig', 'clubID': '23826', 'value': '€24.00m'}, {'date': '16/09/2020', 'age': '26', 'clubName': 'RB Leipzig', 'clubID': '23826', 'value': '€25.00m'}, {'date': '10/02/2021', 'age': '26', 'clubName': 'RB Leipzig', 'clubID': '23826', 'value': '€25.00m'}, {'date': '26/05/2021', 'age': '26', 'clubName': 'RB Leipzig', 'clubID': '23826', 'value': '€21.00m'}, {'date': '22/12/2021', 'age': '27', 'clubName': 'RB Leipzig', 'clubID': '23826', 'value': '€21.00m'}, {'date': '09/06/2022', 'age': '27', 'clubName': 'RB Leipzig', 'clubID': '23826', 'value': '€14.00m'}, {'date': '21/09/2022', 'age': '28', 'clubName': 'RB Leipzig', 'clubID': '23826', 'value': '€10.00m'}, {'date': '09/11/2022', 'age': '28', 'clubName': 'RB Leipzig', 'clubID': '23826', 'value': '€10.00m'}, {'date': '22/06/2023', 'age': '29', 'clubName': 'RB Leipzig', 'clubID': '23826', 'value': '€7.00m'}, {'date': '14/12/2023', 'age': '29', 'clubName': 'RB Leipzig', 'clubID': '23826', 'value': '€7.00m'}, {'date': '29/05/2024', 'age': '29', 'clubName': 'RB Leipzig', 'clubID': '23826', 'value': '€6.00m'}, {'date': '20/12/2024', 'age': '30', 'clubName': 'RB Leipzig', 'clubID': '23826', 'value': '€5.00m'}, {'date': '05/06/2025', 'age': '30', 'clubName': 'RB Leipzig', 'clubID': '23826', 'value': '€5.00m'}, {'date': '14/10/2025', 'age': '31', 'clubName': 'Hamburger SV', 'clubID': '41', 'value': '€2.50m'}, {'date': '19/12/2025', 'age': '31', 'clubName': 'Hamburger SV', 'clubID': '41', 'value': '€1.50m'}]}</t>
        </is>
      </c>
      <c r="L535" t="inlineStr">
        <is>
          <t>Tanzania</t>
        </is>
      </c>
      <c r="M535" t="inlineStr">
        <is>
          <t>1994-06-15</t>
        </is>
      </c>
      <c r="N535" t="inlineStr">
        <is>
          <t>Denmark</t>
        </is>
      </c>
      <c r="O535">
        <f>(14+10+10)/3</f>
        <v/>
      </c>
      <c r="P535">
        <f>(25+21+21)/3</f>
        <v/>
      </c>
    </row>
    <row r="536">
      <c r="A536" t="inlineStr">
        <is>
          <t>D'Ambrosio</t>
        </is>
      </c>
      <c r="B536" t="inlineStr">
        <is>
          <t>Inter</t>
        </is>
      </c>
      <c r="C536" t="inlineStr">
        <is>
          <t>Defender</t>
        </is>
      </c>
      <c r="D536" t="n">
        <v>147</v>
      </c>
      <c r="E536" t="n">
        <v>3</v>
      </c>
      <c r="F536" t="n">
        <v>0</v>
      </c>
      <c r="G536" t="n">
        <v>0</v>
      </c>
      <c r="H536" t="n">
        <v>19.2</v>
      </c>
      <c r="I536" t="n">
        <v>31.7</v>
      </c>
      <c r="J536" t="n">
        <v>55769</v>
      </c>
      <c r="K536" t="inlineStr">
        <is>
          <t>{'marketValueHistory': [{'date': 'Feb 10, 2010', 'age': '21', 'clubName': 'Torino FC', 'clubID': '416', 'value': '€300k'}, {'date': 'Oct 11, 2010', 'age': '22', 'clubName': 'Torino FC', 'clubID': '416', 'value': '€450k'}, {'date': 'Jun 17, 2011', 'age': '22', 'clubName': 'Torino FC', 'clubID': '416', 'value': '€400k'}, {'date': 'Jan 1, 2012', 'age': '23', 'clubName': 'Torino FC', 'clubID': '416', 'value': '€350k'}, {'date': 'Jun 12, 2012', 'age': '23', 'clubName': 'Torino FC', 'clubID': '416', 'value': '€450k'}, {'date': 'Jan 14, 2013', 'age': '24', 'clubName': 'Torino FC', 'clubID': '416', 'value': '€800k'}, {'date': 'Jun 19, 2013', 'age': '24', 'clubName': 'Torino FC', 'clubID': '416', 'value': '€2.50m'}, {'date': 'Jan 7, 2014', 'age': '25', 'clubName': 'Torino FC', 'clubID': '416', 'value': '€5.00m'}, {'date': 'Jul 1, 2014', 'age': '25', 'clubName': 'Inter Milan', 'clubID': '46', 'value': '€4.80m'}, {'date': 'Jan 7, 2015', 'age': '26', 'clubName': 'Inter Milan', 'clubID': '46', 'value': '€5.00m'}, {'date': 'Jul 1, 2015', 'age': '26', 'clubName': 'Inter Milan', 'clubID': '46', 'value': '€5.50m'}, {'date': 'Jan 4, 2016', 'age': '27', 'clubName': 'Inter Milan', 'clubID': '46', 'value': '€5.50m'}, {'date': 'Apr 1, 2016', 'age': '27', 'clubName': 'Inter Milan', 'clubID': '46', 'value': '€6.50m'}, {'date': 'Jul 15, 2016', 'age': '27', 'clubName': 'Inter Milan', 'clubID': '46', 'value': '€8.00m'}, {'date': 'Jan 2, 2017', 'age': '28', 'clubName': 'Inter Milan', 'clubID': '46', 'value': '€8.00m'}, {'date': 'Mar 28, 2017', 'age': '28', 'clubName': 'Inter Milan', 'clubID': '46', 'value': '€10.00m'}, {'date': 'Jun 8, 2017', 'age': '28', 'clubName': 'Inter Milan', 'clubID': '46', 'value': '€10.00m'}, {'date': 'Dec 29, 2017', 'age': '29', 'clubName': 'Inter Milan', 'clubID': '46', 'value': '€13.00m'}, {'date': 'Jun 7, 2018', 'age': '29', 'clubName': 'Inter Milan', 'clubID': '46', 'value': '€12.00m'}, {'date': 'Dec 20, 2018', 'age': '30', 'clubName': 'Inter Milan', 'clubID': '46', 'value': '€12.00m'}, {'date': 'Jun 6, 2019', 'age': '30', 'clubName': 'Inter Milan', 'clubID': '46', 'value': '€13.00m'}, {'date': 'Dec 12, 2019', 'age': '31', 'clubName': 'Inter Milan', 'clubID': '46', 'value': '€13.00m'}, {'date': 'Apr 8, 2020', 'age': '31', 'clubName': 'Inter Milan', 'clubID': '46', 'value': '€10.50m'}, {'date': 'Aug 25, 2020', 'age': '31', 'clubName': 'Inter Milan', 'clubID': '46', 'value': '€10.00m'}, {'date': 'Dec 29, 2020', 'age': '32', 'clubName': 'Inter Milan', 'clubID': '46', 'value': '€8.00m'}, {'date': 'Jun 3, 2021', 'age': '32', 'clubName': 'Inter Milan', 'clubID': '46', 'value': '€5.00m'}, {'date': 'Dec 28, 2021', 'age': '33', 'clubName': 'Inter Milan', 'clubID': '46', 'value': '€3.50m'}, {'date': 'Jun 7, 2022', 'age': '33', 'clubName': 'Inter Milan', 'clubID': '46', 'value': '€3.00m'}, {'date': 'Nov 11, 2022', 'age': '34', 'clubName': 'Inter Milan', 'clubID': '46', 'value': '€2.00m'}, {'date': 'Jun 15, 2023', 'age': '34', 'clubName': 'Inter Milan', 'clubID': '46', 'value': '€1.50m'}, {'date': 'Dec 20, 2023', 'age': '35', 'clubName': 'AC Monza', 'clubID': '2919', 'value': '€1.00m'}, {'date': 'Jun 5, 2024', 'age': '35', 'clubName': 'AC Monza', 'clubID': '2919', 'value': '€1.00m'}, {'date': 'Dec 18, 2024', 'age': '36', 'clubName': 'AC Monza', 'clubID': '2919', 'value': '€800k'}, {'date': 'Jun 17, 2025', 'age': '36', 'clubName': 'AC Monza', 'clubID': '2919', 'value': '€700k'}, {'date': 'Jul 1, 2025', 'age': '36', 'clubName': 'Retired', 'clubID': '123', 'value': '-'}]}</t>
        </is>
      </c>
      <c r="L536" t="inlineStr">
        <is>
          <t>Italy</t>
        </is>
      </c>
      <c r="M536" t="inlineStr">
        <is>
          <t>1988-09-09</t>
        </is>
      </c>
      <c r="N536" t="inlineStr">
        <is>
          <t>Italy</t>
        </is>
      </c>
      <c r="O536">
        <f>(3+2)/2</f>
        <v/>
      </c>
      <c r="P536">
        <f>(5+3.5)/2</f>
        <v/>
      </c>
    </row>
    <row r="537">
      <c r="A537" t="inlineStr">
        <is>
          <t>Schuurs</t>
        </is>
      </c>
      <c r="B537" t="inlineStr">
        <is>
          <t>Ajax</t>
        </is>
      </c>
      <c r="C537" t="inlineStr">
        <is>
          <t>Defender</t>
        </is>
      </c>
      <c r="D537" t="n">
        <v>146</v>
      </c>
      <c r="E537" t="n">
        <v>3</v>
      </c>
      <c r="F537" t="n">
        <v>0</v>
      </c>
      <c r="G537" t="n">
        <v>1</v>
      </c>
      <c r="H537" t="n">
        <v>14.4</v>
      </c>
      <c r="I537" t="n">
        <v>33.1</v>
      </c>
      <c r="J537" t="n">
        <v>418543</v>
      </c>
      <c r="K537" t="inlineStr">
        <is>
          <t>{'marketValueHistory': [{'date': '15/04/2016', 'age': '16', 'clubName': 'Fortuna Sittard U19', 'clubID': '10710', 'value': '€25k'}, {'date': '01/07/2016', 'age': '16', 'clubName': 'Fortuna Sittard', 'clubID': '385', 'value': '€25k'}, {'date': '02/02/2017', 'age': '17', 'clubName': 'Fortuna Sittard', 'clubID': '385', 'value': '€50k'}, {'date': '21/06/2017', 'age': '17', 'clubName': 'Fortuna Sittard', 'clubID': '385', 'value': '€100k'}, {'date': '26/10/2017', 'age': '17', 'clubName': 'Fortuna Sittard', 'clubID': '385', 'value': '€500k'}, {'date': '01/03/2018', 'age': '18', 'clubName': 'Fortuna Sittard', 'clubID': '385', 'value': '€1.50m'}, {'date': '29/06/2018', 'age': '18', 'clubName': 'Fortuna Sittard', 'clubID': '385', 'value': '€2.00m'}, {'date': '28/12/2018', 'age': '19', 'clubName': 'Ajax Amsterdam', 'clubID': '610', 'value': '€2.00m'}, {'date': '21/01/2019', 'age': '19', 'clubName': 'Ajax Amsterdam', 'clubID': '610', 'value': '€2.00m'}, {'date': '12/06/2019', 'age': '19', 'clubName': 'Ajax Amsterdam', 'clubID': '610', 'value': '€2.00m'}, {'date': '19/09/2019', 'age': '19', 'clubName': 'Ajax Amsterdam', 'clubID': '610', 'value': '€4.50m'}, {'date': '18/12/2019', 'age': '20', 'clubName': 'Ajax Amsterdam', 'clubID': '610', 'value': '€7.00m'}, {'date': '08/04/2020', 'age': '20', 'clubName': 'Ajax Amsterdam', 'clubID': '610', 'value': '€6.30m'}, {'date': '14/10/2020', 'age': '20', 'clubName': 'Ajax Amsterdam', 'clubID': '610', 'value': '€9.00m'}, {'date': '06/01/2021', 'age': '21', 'clubName': 'Ajax Amsterdam', 'clubID': '610', 'value': '€12.00m'}, {'date': '09/03/2021', 'age': '21', 'clubName': 'Ajax Amsterdam', 'clubID': '610', 'value': '€9.00m'}, {'date': '19/05/2021', 'age': '21', 'clubName': 'Ajax Amsterdam', 'clubID': '610', 'value': '€8.00m'}, {'date': '05/01/2022', 'age': '22', 'clubName': 'Ajax Amsterdam', 'clubID': '610', 'value': '€8.00m'}, {'date': '08/06/2022', 'age': '22', 'clubName': 'Ajax Amsterdam', 'clubID': '610', 'value': '€7.00m'}, {'date': '27/09/2022', 'age': '22', 'clubName': 'Torino FC', 'clubID': '416', 'value': '€9.00m'}, {'date': '11/11/2022', 'age': '22', 'clubName': 'Torino FC', 'clubID': '416', 'value': '€12.00m'}, {'date': '21/03/2023', 'age': '23', 'clubName': 'Torino FC', 'clubID': '416', 'value': '€20.00m'}, {'date': '15/06/2023', 'age': '23', 'clubName': 'Torino FC', 'clubID': '416', 'value': '€25.00m'}, {'date': '20/12/2023', 'age': '24', 'clubName': 'Torino FC', 'clubID': '416', 'value': '€25.00m'}, {'date': '05/06/2024', 'age': '24', 'clubName': 'Torino FC', 'clubID': '416', 'value': '€25.00m'}, {'date': '18/10/2024', 'age': '24', 'clubName': 'Torino FC', 'clubID': '416', 'value': '€17.00m'}, {'date': '18/12/2024', 'age': '25', 'clubName': 'Torino FC', 'clubID': '416', 'value': '€15.00m'}, {'date': '25/03/2025', 'age': '25', 'clubName': 'Torino FC', 'clubID': '416', 'value': '€10.00m'}, {'date': '17/06/2025', 'age': '25', 'clubName': 'Torino FC', 'clubID': '416', 'value': '€5.00m'}, {'date': '07/10/2025', 'age': '25', 'clubName': 'Torino FC', 'clubID': '416', 'value': '€2.50m'}, {'date': '23/12/2025', 'age': '26', 'clubName': 'Torino FC', 'clubID': '416', 'value': '€1.00m'}, {'date': '09/04/2026', 'age': '26', 'clubName': 'Without Club', 'clubID': '515', 'value': '€850k'}]}</t>
        </is>
      </c>
      <c r="L537" t="inlineStr">
        <is>
          <t>Netherlands</t>
        </is>
      </c>
      <c r="M537" t="inlineStr">
        <is>
          <t>1999-11-26</t>
        </is>
      </c>
      <c r="N537" t="inlineStr">
        <is>
          <t>Netherlands</t>
        </is>
      </c>
      <c r="O537">
        <f>(8+7+9+12)/4</f>
        <v/>
      </c>
      <c r="P537">
        <f>(12+9+8)/3</f>
        <v/>
      </c>
    </row>
    <row r="538">
      <c r="A538" t="inlineStr">
        <is>
          <t>Toni Martinez</t>
        </is>
      </c>
      <c r="B538" t="inlineStr">
        <is>
          <t>FC Porto</t>
        </is>
      </c>
      <c r="C538" t="inlineStr">
        <is>
          <t>Forward</t>
        </is>
      </c>
      <c r="D538" t="n">
        <v>144</v>
      </c>
      <c r="E538" t="n">
        <v>6</v>
      </c>
      <c r="F538" t="n">
        <v>0</v>
      </c>
      <c r="G538" t="n">
        <v>0</v>
      </c>
      <c r="H538" t="n">
        <v>19.6</v>
      </c>
      <c r="I538" t="n">
        <v>30.4</v>
      </c>
      <c r="J538" t="n">
        <v>302371</v>
      </c>
      <c r="K538" t="inlineStr">
        <is>
          <t>{'marketValueHistory': [{'date': '01/08/2016', 'age': '19', 'clubName': 'West Ham United U23', 'clubID': '9267', 'value': '€1.50m'}, {'date': '21/04/2017', 'age': '19', 'clubName': 'Oxford United', 'clubID': '988', 'value': '€1.50m'}, {'date': '02/03/2018', 'age': '20', 'clubName': 'Real Valladolid CF', 'clubID': '366', 'value': '€1.50m'}, {'date': '30/05/2018', 'age': '20', 'clubName': 'Real Valladolid CF', 'clubID': '366', 'value': '€1.50m'}, {'date': '19/02/2019', 'age': '21', 'clubName': 'CD Lugo', 'clubID': '11000', 'value': '€1.50m'}, {'date': '29/06/2019', 'age': '21', 'clubName': 'CD Lugo', 'clubID': '11000', 'value': '€1.20m'}, {'date': '30/12/2019', 'age': '22', 'clubName': 'FC Famalicão', 'clubID': '3329', 'value': '€2.00m'}, {'date': '08/04/2020', 'age': '22', 'clubName': 'FC Famalicão', 'clubID': '3329', 'value': '€1.60m'}, {'date': '17/08/2020', 'age': '23', 'clubName': 'FC Famalicão', 'clubID': '3329', 'value': '€7.00m'}, {'date': '28/01/2021', 'age': '23', 'clubName': 'FC Porto', 'clubID': '720', 'value': '€6.00m'}, {'date': '25/03/2021', 'age': '23', 'clubName': 'FC Porto', 'clubID': '720', 'value': '€4.00m'}, {'date': '21/05/2021', 'age': '23', 'clubName': 'FC Porto', 'clubID': '720', 'value': '€6.00m'}, {'date': '27/12/2021', 'age': '24', 'clubName': 'FC Porto', 'clubID': '720', 'value': '€5.00m'}, {'date': '31/05/2022', 'age': '24', 'clubName': 'FC Porto', 'clubID': '720', 'value': '€5.00m'}, {'date': '16/09/2022', 'age': '25', 'clubName': 'FC Porto', 'clubID': '720', 'value': '€7.00m'}, {'date': '01/11/2022', 'age': '25', 'clubName': 'FC Porto', 'clubID': '720', 'value': '€7.00m'}, {'date': '16/06/2023', 'age': '25', 'clubName': 'FC Porto', 'clubID': '720', 'value': '€7.00m'}, {'date': '27/12/2023', 'age': '26', 'clubName': 'FC Porto', 'clubID': '720', 'value': '€6.00m'}, {'date': '06/06/2024', 'age': '26', 'clubName': 'FC Porto', 'clubID': '720', 'value': '€5.00m'}, {'date': '27/12/2024', 'age': '27', 'clubName': 'Deportivo Alavés', 'clubID': '1108', 'value': '€4.00m'}, {'date': '21/03/2025', 'age': '27', 'clubName': 'Deportivo Alavés', 'clubID': '1108', 'value': '€2.80m'}, {'date': '09/06/2025', 'age': '27', 'clubName': 'Deportivo Alavés', 'clubID': '1108', 'value': '€2.50m'}, {'date': '02/10/2025', 'age': '28', 'clubName': 'Deportivo Alavés', 'clubID': '1108', 'value': '€3.00m'}, {'date': '12/12/2025', 'age': '28', 'clubName': 'Deportivo Alavés', 'clubID': '1108', 'value': '€3.50m'}, {'date': '16/03/2026', 'age': '28', 'clubName': 'Deportivo Alavés', 'clubID': '1108', 'value': '€4.00m'}]}</t>
        </is>
      </c>
      <c r="L538" t="inlineStr">
        <is>
          <t>Spain</t>
        </is>
      </c>
      <c r="M538" t="inlineStr">
        <is>
          <t>1998-02-03</t>
        </is>
      </c>
      <c r="N538" t="inlineStr">
        <is>
          <t>2</t>
        </is>
      </c>
      <c r="O538">
        <f>(5+7+7)/3</f>
        <v/>
      </c>
      <c r="P538">
        <f>(6+4+6+5)/4</f>
        <v/>
      </c>
    </row>
    <row r="539">
      <c r="A539" t="inlineStr">
        <is>
          <t>Matheus Cunha</t>
        </is>
      </c>
      <c r="B539" t="inlineStr">
        <is>
          <t>Atletico de Madrid</t>
        </is>
      </c>
      <c r="C539" t="inlineStr">
        <is>
          <t>Forward</t>
        </is>
      </c>
      <c r="D539" t="n">
        <v>142</v>
      </c>
      <c r="E539" t="n">
        <v>5</v>
      </c>
      <c r="F539" t="n">
        <v>0</v>
      </c>
      <c r="G539" t="n">
        <v>0</v>
      </c>
      <c r="H539" t="n">
        <v>18.3</v>
      </c>
      <c r="I539" t="n">
        <v>30.7</v>
      </c>
      <c r="J539" t="n">
        <v>517894</v>
      </c>
      <c r="K539" t="inlineStr">
        <is>
          <t>{'id': '517894', 'marketValue': '€42.00m', 'marketValueHistory': [{'age': '18', 'date': 'Jul 12, 2017', 'clubName': 'FC Sion', 'value': '€100k', 'clubID': '321'}, {'age': '18', 'date': 'Jan 8, 2018', 'clubName': 'FC Sion', 'value': '€100k', 'clubID': '321'}, {'age': '18', 'date': 'Apr 24, 2018', 'clubName': 'FC Sion', 'value': '€1.50m', 'clubID': '321'}, {'age': '19', 'date': 'Aug 22, 2018', 'clubName': 'RB Leipzig', 'value': '€12.50m', 'clubID': '23826'}, {'age': '19', 'date': 'Dec 18, 2018', 'clubName': 'RB Leipzig', 'value': '€12.50m', 'clubID': '23826'}, {'age': '20', 'date': 'Jun 5, 2019', 'clubName': 'RB Leipzig', 'value': '€15.00m', 'clubID': '23826'}, {'age': '20', 'date': 'Dec 17, 2019', 'clubName': 'RB Leipzig', 'value': '€13.00m', 'clubID': '23826'}, {'age': '20', 'date': 'Feb 11, 2020', 'clubName': 'Hertha BSC', 'value': '€15.00m', 'clubID': '44'}, {'age': '20', 'date': 'Apr 8, 2020', 'clubName': 'Hertha BSC', 'value': '€13.50m', 'clubID': '44'}, {'age': '21', 'date': 'Jul 8, 2020', 'clubName': 'Hertha BSC', 'value': '€22.00m', 'clubID': '44'}, {'age': '21', 'date': 'Nov 26, 2020', 'clubName': 'Hertha BSC', 'value': '€32.00m', 'clubID': '44'}, {'age': '21', 'date': 'Feb 10, 2021', 'clubName': 'Hertha BSC', 'value': '€30.00m', 'clubID': '44'}, {'age': '22', 'date': 'Jun 9, 2021', 'clubName': 'Hertha BSC', 'value': '€30.00m', 'clubID': '44'}, {'age': '22', 'date': 'Dec 30, 2021', 'clubName': 'Atlético de Madrid', 'value': '€30.00m', 'clubID': '13'}, {'age': '23', 'date': 'Jun 3, 2022', 'clubName': 'Atlético de Madrid', 'value': '€30.00m', 'clubID': '13'}, {'age': '23', 'date': 'Nov 7, 2022', 'clubName': 'Atlético de Madrid', 'value': '€20.00m', 'clubID': '13'}, {'age': '23', 'date': 'Mar 16, 2023', 'clubName': 'Wolverhampton Wanderers', 'value': '€30.00m', 'clubID': '543'}, {'age': '24', 'date': 'Jun 20, 2023', 'clubName': 'Wolverhampton Wanderers', 'value': '€25.00m', 'clubID': '543'}, {'age': '24', 'date': 'Oct 9, 2023', 'clubName': 'Wolverhampton Wanderers', 'value': '€28.00m', 'clubID': '543'}, {'age': '24', 'date': 'Dec 19, 2023', 'clubName': 'Wolverhampton Wanderers', 'value': '€32.00m', 'clubID': '543'}, {'age': '24', 'date': 'Mar 14, 2024', 'clubName': 'Wolverhampton Wanderers', 'value': '€42.00m', 'clubID': '543'}], 'ranking': {'Worldwide': '137', 'Premier League': '70', 'Wolves': '2', 'Brazil': '16', 'Centre-Forward': '25', 'Year 1999': '16'}, 'updatedAt': datetime.datetime(2024, 5, 23, 22, 30, 42, 269106)}</t>
        </is>
      </c>
      <c r="L539" t="inlineStr">
        <is>
          <t>Brazil</t>
        </is>
      </c>
      <c r="M539" t="inlineStr">
        <is>
          <t>1999-05-27</t>
        </is>
      </c>
      <c r="N539" t="inlineStr">
        <is>
          <t>Brazil</t>
        </is>
      </c>
      <c r="O539">
        <f>(30+20)/2</f>
        <v/>
      </c>
      <c r="P539">
        <f>(30+30+30)/3</f>
        <v/>
      </c>
    </row>
    <row r="540">
      <c r="A540" t="inlineStr">
        <is>
          <t>T. Hazard</t>
        </is>
      </c>
      <c r="B540" t="inlineStr">
        <is>
          <t>Dortmund</t>
        </is>
      </c>
      <c r="C540" t="inlineStr">
        <is>
          <t>Midfielder</t>
        </is>
      </c>
      <c r="D540" t="n">
        <v>142</v>
      </c>
      <c r="E540" t="n">
        <v>3</v>
      </c>
      <c r="F540" t="n">
        <v>0</v>
      </c>
      <c r="G540" t="n">
        <v>0</v>
      </c>
      <c r="H540" t="n">
        <v>19</v>
      </c>
      <c r="I540" t="n">
        <v>29.3</v>
      </c>
      <c r="J540" t="n">
        <v>102226</v>
      </c>
      <c r="K540" t="inlineStr">
        <is>
          <t>{'marketValueHistory': [{'date': 'Jul 22, 2011', 'age': '18', 'clubName': 'RC Lens', 'clubID': '826', 'value': '€150k'}, {'date': 'Sep 3, 2011', 'age': '18', 'clubName': 'RC Lens', 'clubID': '826', 'value': '€250k'}, {'date': 'Dec 24, 2011', 'age': '18', 'clubName': 'RC Lens', 'clubID': '826', 'value': '€400k'}, {'date': 'Jun 1, 2012', 'age': '19', 'clubName': 'RC Lens', 'clubID': '826', 'value': '€500k'}, {'date': 'Sep 18, 2012', 'age': '19', 'clubName': 'Zulte Waregem', 'clubID': '3508', 'value': '€1.00m'}, {'date': 'Jan 9, 2013', 'age': '19', 'clubName': 'Zulte Waregem', 'clubID': '3508', 'value': '€1.50m'}, {'date': 'Jun 25, 2013', 'age': '20', 'clubName': 'Zulte Waregem', 'clubID': '3508', 'value': '€4.00m'}, {'date': 'Oct 8, 2013', 'age': '20', 'clubName': 'Zulte Waregem', 'clubID': '3508', 'value': '€6.00m'}, {'date': 'Feb 10, 2014', 'age': '20', 'clubName': 'Zulte Waregem', 'clubID': '3508', 'value': '€10.00m'}, {'date': 'Jun 28, 2014', 'age': '21', 'clubName': 'Zulte Waregem', 'clubID': '3508', 'value': '€10.00m'}, {'date': 'Feb 4, 2015', 'age': '21', 'clubName': 'Borussia Mönchengladbach', 'clubID': '18', 'value': '€10.00m'}, {'date': 'Jul 1, 2015', 'age': '22', 'clubName': 'Borussia Mönchengladbach', 'clubID': '18', 'value': '€10.00m'}, {'date': 'Feb 15, 2016', 'age': '22', 'clubName': 'Borussia Mönchengladbach', 'clubID': '18', 'value': '€7.50m'}, {'date': 'Jul 22, 2016', 'age': '23', 'clubName': 'Borussia Mönchengladbach', 'clubID': '18', 'value': '€8.50m'}, {'date': 'Oct 13, 2016', 'age': '23', 'clubName': 'Borussia Mönchengladbach', 'clubID': '18', 'value': '€12.00m'}, {'date': 'Feb 7, 2017', 'age': '23', 'clubName': 'Borussia Mönchengladbach', 'clubID': '18', 'value': '€12.00m'}, {'date': 'Jun 19, 2017', 'age': '24', 'clubName': 'Borussia Mönchengladbach', 'clubID': '18', 'value': '€12.00m'}, {'date': 'Dec 28, 2017', 'age': '24', 'clubName': 'Borussia Mönchengladbach', 'clubID': '18', 'value': '€20.00m'}, {'date': 'Jun 5, 2018', 'age': '25', 'clubName': 'Borussia Mönchengladbach', 'clubID': '18', 'value': '€22.00m'}, {'date': 'Oct 22, 2018', 'age': '25', 'clubName': 'Borussia Mönchengladbach', 'clubID': '18', 'value': '€25.00m'}, {'date': 'Dec 18, 2018', 'age': '25', 'clubName': 'Borussia Mönchengladbach', 'clubID': '18', 'value': '€38.00m'}, {'date': 'Mar 6, 2019', 'age': '25', 'clubName': 'Borussia Mönchengladbach', 'clubID': '18', 'value': '€45.00m'}, {'date': 'Jun 5, 2019', 'age': '26', 'clubName': 'Borussia Mönchengladbach', 'clubID': '18', 'value': '€38.00m'}, {'date': 'Dec 17, 2019', 'age': '26', 'clubName': 'Borussia Dortmund', 'clubID': '16', 'value': '€40.00m'}, {'date': 'Apr 8, 2020', 'age': '27', 'clubName': 'Borussia Dortmund', 'clubID': '16', 'value': '€32.00m'}, {'date': 'Feb 10, 2021', 'age': '27', 'clubName': 'Borussia Dortmund', 'clubID': '16', 'value': '€32.00m'}, {'date': 'May 26, 2021', 'age': '28', 'clubName': 'Borussia Dortmund', 'clubID': '16', 'value': '€27.00m'}, {'date': 'Dec 22, 2021', 'age': '28', 'clubName': 'Borussia Dortmund', 'clubID': '16', 'value': '€20.00m'}, {'date': 'Jun 9, 2022', 'age': '29', 'clubName': 'Borussia Dortmund', 'clubID': '16', 'value': '€15.00m'}, {'date': 'Sep 21, 2022', 'age': '29', 'clubName': 'Borussia Dortmund', 'clubID': '16', 'value': '€12.00m'}, {'date': 'Nov 9, 2022', 'age': '29', 'clubName': 'Borussia Dortmund', 'clubID': '16', 'value': '€9.00m'}, {'date': 'Jun 23, 2023', 'age': '30', 'clubName': 'PSV Eindhoven', 'clubID': '383', 'value': '€7.00m'}, {'date': 'Oct 23, 2023', 'age': '30', 'clubName': 'RSC Anderlecht', 'clubID': '58', 'value': '€6.00m'}, {'date': 'Dec 19, 2023', 'age': '30', 'clubName': 'RSC Anderlecht', 'clubID': '58', 'value': '€6.00m'}, {'date': 'Jun 4, 2024', 'age': '31', 'clubName': 'RSC Anderlecht', 'clubID': '58', 'value': '€5.00m'}, {'date': 'Dec 11, 2024', 'age': '31', 'clubName': 'RSC Anderlecht', 'clubID': '58', 'value': '€4.00m'}, {'date': 'Mar 26, 2025', 'age': '31', 'clubName': 'RSC Anderlecht', 'clubID': '58', 'value': '€3.00m'}, {'date': 'Jun 12, 2025', 'age': '32', 'clubName': 'RSC Anderlecht', 'clubID': '58', 'value': '€2.50m'}, {'date': 'Dec 10, 2025', 'age': '32', 'clubName': 'RSC Anderlecht', 'clubID': '58', 'value': '€2.50m'}]}</t>
        </is>
      </c>
      <c r="L540" t="inlineStr">
        <is>
          <t>Belgium</t>
        </is>
      </c>
      <c r="M540" t="inlineStr">
        <is>
          <t>1993-03-29</t>
        </is>
      </c>
      <c r="N540" t="inlineStr">
        <is>
          <t>Belgium</t>
        </is>
      </c>
      <c r="O540">
        <f>(15+12+9)/3</f>
        <v/>
      </c>
      <c r="P540">
        <f>(32+27+20)/3</f>
        <v/>
      </c>
    </row>
    <row r="541">
      <c r="A541" t="inlineStr">
        <is>
          <t>Tagliafico</t>
        </is>
      </c>
      <c r="B541" t="inlineStr">
        <is>
          <t>Ajax</t>
        </is>
      </c>
      <c r="C541" t="inlineStr">
        <is>
          <t>Defender</t>
        </is>
      </c>
      <c r="D541" t="n">
        <v>139</v>
      </c>
      <c r="E541" t="n">
        <v>3</v>
      </c>
      <c r="F541" t="n">
        <v>0</v>
      </c>
      <c r="G541" t="n">
        <v>1</v>
      </c>
      <c r="H541" t="n">
        <v>16.6</v>
      </c>
      <c r="I541" t="n">
        <v>31.4</v>
      </c>
      <c r="J541" t="n">
        <v>131225</v>
      </c>
      <c r="K541" t="inlineStr">
        <is>
          <t>{'marketValueHistory': [{'date': '20/04/2010', 'age': '17', 'clubName': 'Unknown', 'clubID': '75', 'value': '€50k'}, {'date': '01/01/2011', 'age': '18', 'clubName': 'Unknown', 'clubID': '75', 'value': '€100k'}, {'date': '02/12/2012', 'age': '20', 'clubName': 'Real Murcia CF', 'clubID': '171', 'value': '€400k'}, {'date': '12/05/2013', 'age': '20', 'clubName': 'Real Murcia CF', 'clubID': '171', 'value': '€500k'}, {'date': '11/01/2015', 'age': '22', 'clubName': 'CA Banfield', 'clubID': '830', 'value': '€1.00m'}, {'date': '14/07/2015', 'age': '22', 'clubName': 'CA Independiente', 'clubID': '1234', 'value': '€2.00m'}, {'date': '06/02/2016', 'age': '23', 'clubName': 'CA Independiente', 'clubID': '1234', 'value': '€3.60m'}, {'date': '08/08/2016', 'age': '23', 'clubName': 'CA Independiente', 'clubID': '1234', 'value': '€4.00m'}, {'date': '13/02/2017', 'age': '24', 'clubName': 'CA Independiente', 'clubID': '1234', 'value': '€4.50m'}, {'date': '09/10/2017', 'age': '25', 'clubName': 'CA Independiente', 'clubID': '1234', 'value': '€6.00m'}, {'date': '17/01/2018', 'age': '25', 'clubName': 'Ajax Amsterdam', 'clubID': '610', 'value': '€7.00m'}, {'date': '27/03/2018', 'age': '25', 'clubName': 'Ajax Amsterdam', 'clubID': '610', 'value': '€9.00m'}, {'date': '12/06/2018', 'age': '25', 'clubName': 'Ajax Amsterdam', 'clubID': '610', 'value': '€12.00m'}, {'date': '04/10/2018', 'age': '26', 'clubName': 'Ajax Amsterdam', 'clubID': '610', 'value': '€16.00m'}, {'date': '28/12/2018', 'age': '26', 'clubName': 'Ajax Amsterdam', 'clubID': '610', 'value': '€20.00m'}, {'date': '13/03/2019', 'age': '26', 'clubName': 'Ajax Amsterdam', 'clubID': '610', 'value': '€25.00m'}, {'date': '12/06/2019', 'age': '26', 'clubName': 'Ajax Amsterdam', 'clubID': '610', 'value': '€28.00m'}, {'date': '18/12/2019', 'age': '27', 'clubName': 'Ajax Amsterdam', 'clubID': '610', 'value': '€35.00m'}, {'date': '08/04/2020', 'age': '27', 'clubName': 'Ajax Amsterdam', 'clubID': '610', 'value': '€28.00m'}, {'date': '14/10/2020', 'age': '28', 'clubName': 'Ajax Amsterdam', 'clubID': '610', 'value': '€28.00m'}, {'date': '06/01/2021', 'age': '28', 'clubName': 'Ajax Amsterdam', 'clubID': '610', 'value': '€25.00m'}, {'date': '19/05/2021', 'age': '28', 'clubName': 'Ajax Amsterdam', 'clubID': '610', 'value': '€22.00m'}, {'date': '04/10/2021', 'age': '29', 'clubName': 'Ajax Amsterdam', 'clubID': '610', 'value': '€18.00m'}, {'date': '05/01/2022', 'age': '29', 'clubName': 'Ajax Amsterdam', 'clubID': '610', 'value': '€16.00m'}, {'date': '17/03/2022', 'age': '29', 'clubName': 'Ajax Amsterdam', 'clubID': '610', 'value': '€12.00m'}, {'date': '08/06/2022', 'age': '29', 'clubName': 'Ajax Amsterdam', 'clubID': '610', 'value': '€11.00m'}, {'date': '02/11/2022', 'age': '30', 'clubName': 'Olympique Lyon', 'clubID': '1041', 'value': '€9.00m'}, {'date': '27/06/2023', 'age': '30', 'clubName': 'Olympique Lyon', 'clubID': '1041', 'value': '€9.00m'}, {'date': '18/12/2023', 'age': '31', 'clubName': 'Olympique Lyon', 'clubID': '1041', 'value': '€8.00m'}, {'date': '03/06/2024', 'age': '31', 'clubName': 'Olympique Lyon', 'clubID': '1041', 'value': '€8.00m'}, {'date': '10/12/2024', 'age': '32', 'clubName': 'Olympique Lyon', 'clubID': '1041', 'value': '€7.00m'}, {'date': '03/06/2025', 'age': '32', 'clubName': 'Olympique Lyon', 'clubID': '1041', 'value': '€6.00m'}, {'date': '15/12/2025', 'age': '33', 'clubName': 'Olympique Lyon', 'clubID': '1041', 'value': '€5.00m'}]}</t>
        </is>
      </c>
      <c r="L541" t="inlineStr">
        <is>
          <t>Argentina</t>
        </is>
      </c>
      <c r="M541" t="inlineStr">
        <is>
          <t>1992-08-31</t>
        </is>
      </c>
      <c r="N541" t="inlineStr">
        <is>
          <t>Argentina</t>
        </is>
      </c>
      <c r="O541">
        <f>(16+12+11+9)/4</f>
        <v/>
      </c>
      <c r="P541">
        <f>(25+22+18)/3</f>
        <v/>
      </c>
    </row>
    <row r="542">
      <c r="A542" t="inlineStr">
        <is>
          <t>Draxler</t>
        </is>
      </c>
      <c r="B542" t="inlineStr">
        <is>
          <t>Paris</t>
        </is>
      </c>
      <c r="C542" t="inlineStr">
        <is>
          <t>Midfielder</t>
        </is>
      </c>
      <c r="D542" t="n">
        <v>136</v>
      </c>
      <c r="E542" t="n">
        <v>3</v>
      </c>
      <c r="F542" t="n">
        <v>0</v>
      </c>
      <c r="G542" t="n">
        <v>0</v>
      </c>
      <c r="H542" t="n">
        <v>15.1</v>
      </c>
      <c r="I542" t="n">
        <v>33</v>
      </c>
      <c r="J542" t="n">
        <v>85148</v>
      </c>
      <c r="K542" t="inlineStr">
        <is>
          <t>{'id': '85148', 'marketValue': '€4.00m', 'marketValueHistory': [{'age': '17', 'date': 'Jan 21, 2011', 'clubName': 'FC Schalke 04', 'value': '€400k', 'clubID': '33'}, {'age': '17', 'date': 'Feb 1, 2011', 'clubName': 'FC Schalke 04', 'value': '€750k', 'clubID': '33'}, {'age': '17', 'date': 'Mar 18, 2011', 'clubName': 'FC Schalke 04', 'value': '€1.00m', 'clubID': '33'}, {'age': '17', 'date': 'Jun 29, 2011', 'clubName': 'FC Schalke 04', 'value': '€3.50m', 'clubID': '33'}, {'age': '17', 'date': 'Aug 30, 2011', 'clubName': 'FC Schalke 04', 'value': '€5.00m', 'clubID': '33'}, {'age': '18', 'date': 'Jan 23, 2012', 'clubName': 'FC Schalke 04', 'value': '€7.00m', 'clubID': '33'}, {'age': '18', 'date': 'Jun 29, 2012', 'clubName': 'FC Schalke 04', 'value': '€11.00m', 'clubID': '33'}, {'age': '19', 'date': 'Oct 30, 2012', 'clubName': 'FC Schalke 04', 'value': '€14.00m', 'clubID': '33'}, {'age': '19', 'date': 'Jan 13, 2013', 'clubName': 'FC Schalke 04', 'value': '€14.00m', 'clubID': '33'}, {'age': '19', 'date': 'Mar 11, 2013', 'clubName': 'FC Schalke 04', 'value': '€17.00m', 'clubID': '33'}, {'age': '19', 'date': 'Jun 30, 2013', 'clubName': 'FC Schalke 04', 'value': '€22.00m', 'clubID': '33'}, {'age': '19', 'date': 'Aug 27, 2013', 'clubName': 'FC Schalke 04', 'value': '€30.00m', 'clubID': '33'}, {'age': '20', 'date': 'Jul 10, 2014', 'clubName': 'FC Schalke 04', 'value': '€30.00m', 'clubID': '33'}, {'age': '21', 'date': 'Feb 4, 2015', 'clubName': 'FC Schalke 04', 'value': '€25.00m', 'clubID': '33'}, {'age': '21', 'date': 'Jul 1, 2015', 'clubName': 'FC Schalke 04', 'value': '€22.00m', 'clubID': '33'}, {'age': '22', 'date': 'Feb 15, 2016', 'clubName': 'VfL Wolfsburg', 'value': '€22.00m', 'clubID': '82'}, {'age': '22', 'date': 'Jun 1, 2016', 'clubName': 'VfL Wolfsburg', 'value': '€24.00m', 'clubID': '82'}, {'age': '22', 'date': 'Jul 22, 2016', 'clubName': 'VfL Wolfsburg', 'value': '€28.00m', 'clubID': '82'}, {'age': '23', 'date': 'Jan 16, 2017', 'clubName': 'Paris Saint-Germain', 'value': '€32.00m', 'clubID': '583'}, {'age': '23', 'date': 'Jun 1, 2017', 'clubName': 'Paris Saint-Germain', 'value': '€35.00m', 'clubID': '583'}, {'age': '24', 'date': 'Jan 24, 2018', 'clubName': 'Paris Saint-Germain', 'value': '€40.00m', 'clubID': '583'}, {'age': '24', 'date': 'Jun 4, 2018', 'clubName': 'Paris Saint-Germain', 'value': '€35.00m', 'clubID': '583'}, {'age': '24', 'date': 'Jul 16, 2018', 'clubName': 'Paris Saint-Germain', 'value': '€30.00m', 'clubID': '583'}, {'age': '25', 'date': 'Dec 17, 2018', 'clubName': 'Paris Saint-Germain', 'value': '€30.00m', 'clubID': '583'}, {'age': '25', 'date': 'Mar 7, 2019', 'clubName': 'Paris Saint-Germain', 'value': '€35.00m', 'clubID': '583'}, {'age': '25', 'date': 'Jun 3, 2019', 'clubName': 'Paris Saint-Germain', 'value': '€35.00m', 'clubID': '583'}, {'age': '26', 'date': 'Dec 19, 2019', 'clubName': 'Paris Saint-Germain', 'value': '€30.00m', 'clubID': '583'}, {'age': '26', 'date': 'Apr 8, 2020', 'clubName': 'Paris Saint-Germain', 'value': '€24.00m', 'clubID': '583'}, {'age': '27', 'date': 'Oct 15, 2020', 'clubName': 'Paris Saint-Germain', 'value': '€24.00m', 'clubID': '583'}, {'age': '27', 'date': 'Jan 7, 2021', 'clubName': 'Paris Saint-Germain', 'value': '€20.00m', 'clubID': '583'}, {'age': '27', 'date': 'Jun 4, 2021', 'clubName': 'Paris Saint-Germain', 'value': '€20.00m', 'clubID': '583'}, {'age': '28', 'date': 'Dec 16, 2021', 'clubName': 'Paris Saint-Germain', 'value': '€20.00m', 'clubID': '583'}, {'age': '28', 'date': 'May 30, 2022', 'clubName': 'Paris Saint-Germain', 'value': '€18.00m', 'clubID': '583'}, {'age': '29', 'date': 'Nov 1, 2022', 'clubName': 'SL Benfica', 'value': '€12.00m', 'clubID': '294'}, {'age': '29', 'date': 'Mar 2, 2023', 'clubName': 'SL Benfica', 'value': '€8.00m', 'clubID': '294'}, {'age': '29', 'date': 'Jun 16, 2023', 'clubName': 'SL Benfica', 'value': '€6.00m', 'clubID': '294'}, {'age': '30', 'date': 'Nov 27, 2023', 'clubName': 'Al-Ahli SC', 'value': '€5.00m', 'clubID': '3612'}, {'age': '30', 'date': 'May 2, 2024', 'clubName': 'Al-Ahli SC', 'value': '€4.00m', 'clubID': '3612'}], 'ranking': {'Worldwide': '2.272', 'Stars League': '19', 'Al-Ahli SC': '2', 'Germany': '122', 'Left Winger': '209', 'Year 1993': '104'}, 'updatedAt': datetime.datetime(2024, 5, 23, 22, 33, 39, 112582)}</t>
        </is>
      </c>
      <c r="L542" t="inlineStr">
        <is>
          <t>Germany</t>
        </is>
      </c>
      <c r="M542" t="inlineStr">
        <is>
          <t>1993-09-20</t>
        </is>
      </c>
      <c r="N542" t="inlineStr">
        <is>
          <t>Germany</t>
        </is>
      </c>
      <c r="O542">
        <f>(18+12)/2</f>
        <v/>
      </c>
      <c r="P542">
        <f>(20+20+20)/3</f>
        <v/>
      </c>
    </row>
    <row r="543">
      <c r="A543" t="inlineStr">
        <is>
          <t>Ridvan Yilmaz</t>
        </is>
      </c>
      <c r="B543" t="inlineStr">
        <is>
          <t>Besiktas</t>
        </is>
      </c>
      <c r="C543" t="inlineStr">
        <is>
          <t>Defender</t>
        </is>
      </c>
      <c r="D543" t="n">
        <v>135</v>
      </c>
      <c r="E543" t="n">
        <v>2</v>
      </c>
      <c r="F543" t="n">
        <v>0</v>
      </c>
      <c r="G543" t="n">
        <v>0</v>
      </c>
      <c r="H543" t="n">
        <v>15.3</v>
      </c>
      <c r="I543" t="n">
        <v>33</v>
      </c>
      <c r="J543" t="n">
        <v>477930</v>
      </c>
      <c r="K543" t="inlineStr">
        <is>
          <t>{'id': '477930', 'marketValue': '€5.00m', 'marketValueHistory': [{'age': '17', 'date': 'Nov 27, 2018', 'clubName': 'Besiktas JK U19', 'value': '€50k', 'clubID': '41852'}, {'age': '18', 'date': 'Jun 4, 2019', 'clubName': 'Besiktas JK', 'value': '€50k', 'clubID': '114'}, {'age': '19', 'date': 'Aug 4, 2020', 'clubName': 'Besiktas JK', 'value': '€400k', 'clubID': '114'}, {'age': '19', 'date': 'Dec 23, 2020', 'clubName': 'Besiktas JK', 'value': '€1.00m', 'clubID': '114'}, {'age': '19', 'date': 'Mar 16, 2021', 'clubName': 'Besiktas JK', 'value': '€1.90m', 'clubID': '114'}, {'age': '20', 'date': 'May 25, 2021', 'clubName': 'Besiktas JK', 'value': '€2.00m', 'clubID': '114'}, {'age': '20', 'date': 'Oct 12, 2021', 'clubName': 'Besiktas JK', 'value': '€3.80m', 'clubID': '114'}, {'age': '20', 'date': 'Jan 4, 2022', 'clubName': 'Besiktas JK', 'value': '€4.70m', 'clubID': '114'}, {'age': '20', 'date': 'Mar 31, 2022', 'clubName': 'Besiktas JK', 'value': '€5.50m', 'clubID': '114'}, {'age': '21', 'date': 'Jun 1, 2022', 'clubName': 'Besiktas JK', 'value': '€6.50m', 'clubID': '114'}, {'age': '21', 'date': 'Dec 13, 2022', 'clubName': 'Rangers FC', 'value': '€6.00m', 'clubID': '124'}, {'age': '21', 'date': 'Mar 22, 2023', 'clubName': 'Rangers FC', 'value': '€5.00m', 'clubID': '124'}, {'age': '22', 'date': 'Jun 26, 2023', 'clubName': 'Rangers FC', 'value': '€4.50m', 'clubID': '124'}, {'age': '22', 'date': 'Dec 5, 2023', 'clubName': 'Rangers FC', 'value': '€4.50m', 'clubID': '124'}, {'age': '22', 'date': 'Mar 20, 2024', 'clubName': 'Rangers FC', 'value': '€5.00m', 'clubID': '124'}], 'ranking': {'Worldwide': '1.821', 'Premiership': '17', 'Rangers': '9', 'Türkiye': '27', 'Left-Back': '114', 'Year 2001': '156'}, 'updatedAt': datetime.datetime(2024, 5, 23, 22, 32, 2, 687851)}</t>
        </is>
      </c>
      <c r="L543" t="inlineStr">
        <is>
          <t>Turkey</t>
        </is>
      </c>
      <c r="M543" t="inlineStr">
        <is>
          <t>2001-05-21</t>
        </is>
      </c>
      <c r="N543" t="inlineStr">
        <is>
          <t>Turkey</t>
        </is>
      </c>
      <c r="O543">
        <f>(4.7+5.5+6.5+6)/4</f>
        <v/>
      </c>
      <c r="P543">
        <f>(1.9+2+3.8)/3</f>
        <v/>
      </c>
    </row>
    <row r="544">
      <c r="A544" t="inlineStr">
        <is>
          <t>Sabitzer</t>
        </is>
      </c>
      <c r="B544" t="inlineStr">
        <is>
          <t>Bayern</t>
        </is>
      </c>
      <c r="C544" t="inlineStr">
        <is>
          <t>Midfielder</t>
        </is>
      </c>
      <c r="D544" t="n">
        <v>133</v>
      </c>
      <c r="E544" t="n">
        <v>5</v>
      </c>
      <c r="F544" t="n">
        <v>0</v>
      </c>
      <c r="G544" t="n">
        <v>0</v>
      </c>
      <c r="H544" t="n">
        <v>19.6</v>
      </c>
      <c r="I544" t="n">
        <v>30.1</v>
      </c>
      <c r="J544" t="n">
        <v>106987</v>
      </c>
      <c r="K544" t="inlineStr">
        <is>
          <t>{'marketValueHistory': [{'date': '26/11/2010', 'age': '16', 'clubName': 'FC Admira Wacker Mödling', 'clubID': '503', 'value': '€100k'}, {'date': '21/09/2011', 'age': '17', 'clubName': 'FC Admira Wacker Mödling', 'clubID': '503', 'value': '€125k'}, {'date': '30/12/2011', 'age': '17', 'clubName': 'FC Admira Wacker Mödling', 'clubID': '503', 'value': '€125k'}, {'date': '02/04/2012', 'age': '18', 'clubName': 'FC Admira Wacker Mödling', 'clubID': '503', 'value': '€250k'}, {'date': '30/05/2012', 'age': '18', 'clubName': 'FC Admira Wacker Mödling', 'clubID': '503', 'value': '€500k'}, {'date': '24/09/2012', 'age': '18', 'clubName': 'FC Admira Wacker Mödling', 'clubID': '503', 'value': '€1.20m'}, {'date': '19/12/2012', 'age': '18', 'clubName': 'FC Admira Wacker Mödling', 'clubID': '503', 'value': '€1.20m'}, {'date': '04/06/2013', 'age': '19', 'clubName': 'Rapid Vienna', 'clubID': '170', 'value': '€1.20m'}, {'date': '27/12/2013', 'age': '19', 'clubName': 'Rapid Vienna', 'clubID': '170', 'value': '€1.20m'}, {'date': '20/06/2014', 'age': '20', 'clubName': 'Rapid Vienna', 'clubID': '170', 'value': '€2.00m'}, {'date': '21/10/2014', 'age': '20', 'clubName': 'Red Bull Salzburg', 'clubID': '409', 'value': '€2.50m'}, {'date': '11/01/2015', 'age': '20', 'clubName': 'Red Bull Salzburg', 'clubID': '409', 'value': '€2.75m'}, {'date': '17/06/2015', 'age': '21', 'clubName': 'Red Bull Salzburg', 'clubID': '409', 'value': '€4.00m'}, {'date': '11/02/2016', 'age': '21', 'clubName': 'RB Leipzig', 'clubID': '23826', 'value': '€4.00m'}, {'date': '01/06/2016', 'age': '22', 'clubName': 'RB Leipzig', 'clubID': '23826', 'value': '€4.00m'}, {'date': '22/07/2016', 'age': '22', 'clubName': 'RB Leipzig', 'clubID': '23826', 'value': '€4.00m'}, {'date': '13/10/2016', 'age': '22', 'clubName': 'RB Leipzig', 'clubID': '23826', 'value': '€5.00m'}, {'date': '07/02/2017', 'age': '22', 'clubName': 'RB Leipzig', 'clubID': '23826', 'value': '€8.00m'}, {'date': '22/03/2017', 'age': '23', 'clubName': 'RB Leipzig', 'clubID': '23826', 'value': '€10.00m'}, {'date': '19/06/2017', 'age': '23', 'clubName': 'RB Leipzig', 'clubID': '23826', 'value': '€13.00m'}, {'date': '28/12/2017', 'age': '23', 'clubName': 'RB Leipzig', 'clubID': '23826', 'value': '€18.00m'}, {'date': '04/04/2018', 'age': '24', 'clubName': 'RB Leipzig', 'clubID': '23826', 'value': '€25.00m'}, {'date': '05/06/2018', 'age': '24', 'clubName': 'RB Leipzig', 'clubID': '23826', 'value': '€25.00m'}, {'date': '18/12/2018', 'age': '24', 'clubName': 'RB Leipzig', 'clubID': '23826', 'value': '€25.00m'}, {'date': '05/06/2019', 'age': '25', 'clubName': 'RB Leipzig', 'clubID': '23826', 'value': '€25.00m'}, {'date': '02/10/2019', 'age': '25', 'clubName': 'RB Leipzig', 'clubID': '23826', 'value': '€30.00m'}, {'date': '17/12/2019', 'age': '25', 'clubName': 'RB Leipzig', 'clubID': '23826', 'value': '€40.00m'}, {'date': '08/04/2020', 'age': '26', 'clubName': 'RB Leipzig', 'clubID': '23826', 'value': '€32.00m'}, {'date': '08/07/2020', 'age': '26', 'clubName': 'RB Leipzig', 'clubID': '23826', 'value': '€35.00m'}, {'date': '10/02/2021', 'age': '26', 'clubName': 'RB Leipzig', 'clubID': '23826', 'value': '€42.00m'}, {'date': '27/05/2021', 'age': '27', 'clubName': 'RB Leipzig', 'clubID': '23826', 'value': '€42.00m'}, {'date': '07/10/2021', 'age': '27', 'clubName': 'Bayern Munich', 'clubID': '27', 'value': '€32.00m'}, {'date': '22/12/2021', 'age': '27', 'clubName': 'Bayern Munich', 'clubID': '27', 'value': '€27.00m'}, {'date': '24/03/2022', 'age': '28', 'clubName': 'Bayern Munich', 'clubID': '27', 'value': '€22.00m'}, {'date': '09/06/2022', 'age': '28', 'clubName': 'Bayern Munich', 'clubID': '27', 'value': '€15.00m'}, {'date': '21/09/2022', 'age': '28', 'clubName': 'Bayern Munich', 'clubID': '27', 'value': '€20.00m'}, {'date': '09/11/2022', 'age': '28', 'clubName': 'Bayern Munich', 'clubID': '27', 'value': '€20.00m'}, {'date': '20/06/2023', 'age': '29', 'clubName': 'Manchester United', 'clubID': '985', 'value': '€20.00m'}, {'date': '14/12/2023', 'age': '29', 'clubName': 'Borussia Dortmund', 'clubID': '16', 'value': '€20.00m'}, {'date': '29/05/2024', 'age': '30', 'clubName': 'Borussia Dortmund', 'clubID': '16', 'value': '€20.00m'}, {'date': '20/12/2024', 'age': '30', 'clubName': 'Borussia Dortmund', 'clubID': '16', 'value': '€15.00m'}, {'date': '27/03/2025', 'age': '31', 'clubName': 'Borussia Dortmund', 'clubID': '16', 'value': '€10.00m'}, {'date': '05/06/2025', 'age': '31', 'clubName': 'Borussia Dortmund', 'clubID': '16', 'value': '€8.00m'}, {'date': '19/12/2025', 'age': '31', 'clubName': 'Borussia Dortmund', 'clubID': '16', 'value': '€7.00m'}]}</t>
        </is>
      </c>
      <c r="L544" t="inlineStr">
        <is>
          <t>Austria</t>
        </is>
      </c>
      <c r="M544" t="inlineStr">
        <is>
          <t>1994-03-17</t>
        </is>
      </c>
      <c r="N544" t="inlineStr">
        <is>
          <t>Austria</t>
        </is>
      </c>
      <c r="O544">
        <f>(22+15+20+20)/4</f>
        <v/>
      </c>
      <c r="P544">
        <f>(42+42+32+27)/4</f>
        <v/>
      </c>
    </row>
    <row r="545">
      <c r="A545" t="inlineStr">
        <is>
          <t>Daniel Braganca</t>
        </is>
      </c>
      <c r="B545" t="inlineStr">
        <is>
          <t>Sporting CP</t>
        </is>
      </c>
      <c r="C545" t="inlineStr">
        <is>
          <t>Midfielder</t>
        </is>
      </c>
      <c r="D545" t="n">
        <v>131</v>
      </c>
      <c r="E545" t="n">
        <v>5</v>
      </c>
      <c r="F545" t="n">
        <v>0</v>
      </c>
      <c r="G545" t="n">
        <v>0</v>
      </c>
      <c r="H545" t="n">
        <v>18.9</v>
      </c>
      <c r="I545" t="n">
        <v>31.2</v>
      </c>
      <c r="J545" t="n">
        <v>461943</v>
      </c>
      <c r="K545" t="inlineStr">
        <is>
          <t>{'marketValueHistory': [{'date': 'Feb 12, 2019', 'age': '19', 'clubName': 'SC Farense', 'clubID': '4294', 'value': '€200k'}, {'date': 'Jun 29, 2019', 'age': '20', 'clubName': 'SC Farense', 'clubID': '4294', 'value': '€350k'}, {'date': 'Dec 31, 2019', 'age': '20', 'clubName': 'GD Estoril Praia', 'clubID': '1465', 'value': '€525k'}, {'date': 'Apr 8, 2020', 'age': '20', 'clubName': 'GD Estoril Praia', 'clubID': '1465', 'value': '€475k'}, {'date': 'Oct 22, 2020', 'age': '21', 'clubName': 'Sporting CP', 'clubID': '336', 'value': '€1.50m'}, {'date': 'Jan 28, 2021', 'age': '21', 'clubName': 'Sporting CP', 'clubID': '336', 'value': '€1.50m'}, {'date': 'Mar 25, 2021', 'age': '21', 'clubName': 'Sporting CP', 'clubID': '336', 'value': '€3.00m'}, {'date': 'May 21, 2021', 'age': '21', 'clubName': 'Sporting CP', 'clubID': '336', 'value': '€5.00m'}, {'date': 'Dec 27, 2021', 'age': '22', 'clubName': 'Sporting CP', 'clubID': '336', 'value': '€8.00m'}, {'date': 'May 31, 2022', 'age': '23', 'clubName': 'Sporting CP', 'clubID': '336', 'value': '€7.00m'}, {'date': 'Nov 1, 2022', 'age': '23', 'clubName': 'Sporting CP', 'clubID': '336', 'value': '€5.00m'}, {'date': 'Jun 16, 2023', 'age': '24', 'clubName': 'Sporting CP', 'clubID': '336', 'value': '€5.00m'}, {'date': 'Dec 27, 2023', 'age': '24', 'clubName': 'Sporting CP', 'clubID': '336', 'value': '€5.00m'}, {'date': 'Jun 6, 2024', 'age': '25', 'clubName': 'Sporting CP', 'clubID': '336', 'value': '€8.00m'}, {'date': 'Oct 8, 2024', 'age': '25', 'clubName': 'Sporting CP', 'clubID': '336', 'value': '€12.00m'}, {'date': 'Dec 19, 2024', 'age': '25', 'clubName': 'Sporting CP', 'clubID': '336', 'value': '€14.00m'}, {'date': 'Mar 31, 2025', 'age': '25', 'clubName': 'Sporting CP', 'clubID': '336', 'value': '€12.00m'}, {'date': 'May 30, 2025', 'age': '26', 'clubName': 'Sporting CP', 'clubID': '336', 'value': '€12.00m'}, {'date': 'Dec 18, 2025', 'age': '26', 'clubName': 'Sporting CP', 'clubID': '336', 'value': '€10.00m'}]}</t>
        </is>
      </c>
      <c r="L545" t="inlineStr">
        <is>
          <t>Portugal</t>
        </is>
      </c>
      <c r="M545" t="inlineStr">
        <is>
          <t>1999-05-27</t>
        </is>
      </c>
      <c r="N545" t="inlineStr">
        <is>
          <t>Portugal</t>
        </is>
      </c>
      <c r="O545">
        <f>(7+5)/2</f>
        <v/>
      </c>
      <c r="P545">
        <f>(1.5+3+5+8)/4</f>
        <v/>
      </c>
    </row>
    <row r="546">
      <c r="A546" t="inlineStr">
        <is>
          <t>Diogo Goncalves</t>
        </is>
      </c>
      <c r="B546" t="inlineStr">
        <is>
          <t>Benfica</t>
        </is>
      </c>
      <c r="C546" t="inlineStr">
        <is>
          <t>Forward</t>
        </is>
      </c>
      <c r="D546" t="n">
        <v>131</v>
      </c>
      <c r="E546" t="n">
        <v>5</v>
      </c>
      <c r="F546" t="n">
        <v>0</v>
      </c>
      <c r="G546" t="n">
        <v>0</v>
      </c>
      <c r="H546" t="n">
        <v>18</v>
      </c>
      <c r="I546" t="n">
        <v>31.9</v>
      </c>
      <c r="J546" t="n">
        <v>258015</v>
      </c>
      <c r="K546" t="inlineStr">
        <is>
          <t>{'marketValueHistory': [{'date': 'Jul 31, 2015', 'age': '18', 'clubName': 'SL Benfica B', 'clubID': '10330', 'value': '€350k'}, {'date': 'Mar 14, 2016', 'age': '19', 'clubName': 'SL Benfica B', 'clubID': '10330', 'value': '€600k'}, {'date': 'Sep 30, 2016', 'age': '19', 'clubName': 'SL Benfica B', 'clubID': '10330', 'value': '€900k'}, {'date': 'Jun 30, 2017', 'age': '20', 'clubName': 'SL Benfica B', 'clubID': '10330', 'value': '€1.25m'}, {'date': 'Nov 6, 2017', 'age': '20', 'clubName': 'SL Benfica', 'clubID': '294', 'value': '€3.00m'}, {'date': 'Feb 7, 2018', 'age': '21', 'clubName': 'SL Benfica', 'clubID': '294', 'value': '€3.00m'}, {'date': 'Jun 13, 2018', 'age': '21', 'clubName': 'SL Benfica', 'clubID': '294', 'value': '€2.50m'}, {'date': 'Sep 24, 2018', 'age': '21', 'clubName': 'Nottingham Forest', 'clubID': '703', 'value': '€2.50m'}, {'date': 'Jun 28, 2019', 'age': '22', 'clubName': 'Nottingham Forest', 'clubID': '703', 'value': '€2.00m'}, {'date': 'Dec 30, 2019', 'age': '22', 'clubName': 'FC Famalicão', 'clubID': '3329', 'value': '€2.00m'}, {'date': 'Apr 8, 2020', 'age': '23', 'clubName': 'FC Famalicão', 'clubID': '3329', 'value': '€1.60m'}, {'date': 'Aug 17, 2020', 'age': '23', 'clubName': 'SL Benfica', 'clubID': '294', 'value': '€4.00m'}, {'date': 'Jan 28, 2021', 'age': '23', 'clubName': 'SL Benfica', 'clubID': '294', 'value': '€4.00m'}, {'date': 'Mar 25, 2021', 'age': '24', 'clubName': 'SL Benfica', 'clubID': '294', 'value': '€5.00m'}, {'date': 'May 21, 2021', 'age': '24', 'clubName': 'SL Benfica', 'clubID': '294', 'value': '€8.00m'}, {'date': 'Dec 27, 2021', 'age': '24', 'clubName': 'SL Benfica', 'clubID': '294', 'value': '€7.00m'}, {'date': 'Mar 10, 2022', 'age': '25', 'clubName': 'SL Benfica', 'clubID': '294', 'value': '€6.00m'}, {'date': 'May 31, 2022', 'age': '25', 'clubName': 'SL Benfica', 'clubID': '294', 'value': '€5.00m'}, {'date': 'Nov 1, 2022', 'age': '25', 'clubName': 'SL Benfica', 'clubID': '294', 'value': '€5.00m'}, {'date': 'Jun 26, 2023', 'age': '26', 'clubName': 'FC Copenhagen', 'clubID': '190', 'value': '€4.00m'}, {'date': 'Dec 21, 2023', 'age': '26', 'clubName': 'FC Copenhagen', 'clubID': '190', 'value': '€5.00m'}, {'date': 'Jun 10, 2024', 'age': '27', 'clubName': 'FC Copenhagen', 'clubID': '190', 'value': '€5.50m'}, {'date': 'Sep 26, 2024', 'age': '27', 'clubName': 'Real Salt Lake City', 'clubID': '6643', 'value': '€4.00m'}, {'date': 'Dec 12, 2024', 'age': '27', 'clubName': 'Real Salt Lake City', 'clubID': '6643', 'value': '€4.00m'}, {'date': 'Apr 17, 2025', 'age': '28', 'clubName': 'Real Salt Lake City', 'clubID': '6643', 'value': '€3.50m'}, {'date': 'Jun 5, 2025', 'age': '28', 'clubName': 'Real Salt Lake City', 'clubID': '6643', 'value': '€3.50m'}, {'date': 'Dec 11, 2025', 'age': '28', 'clubName': 'Real Salt Lake City', 'clubID': '6643', 'value': '€3.50m'}, {'date': 'Mar 5, 2026', 'age': '29', 'clubName': 'Konyaspor', 'clubID': '2293', 'value': '€2.80m'}]}</t>
        </is>
      </c>
      <c r="L546" t="inlineStr">
        <is>
          <t>Portugal</t>
        </is>
      </c>
      <c r="M546" t="inlineStr">
        <is>
          <t>1997-02-06</t>
        </is>
      </c>
      <c r="N546" t="inlineStr">
        <is>
          <t>Portugal</t>
        </is>
      </c>
      <c r="O546">
        <f>(6+5+5)/3</f>
        <v/>
      </c>
      <c r="P546">
        <f>(4+5+8+7)/4</f>
        <v/>
      </c>
    </row>
    <row r="547">
      <c r="A547" t="inlineStr">
        <is>
          <t>Wendell</t>
        </is>
      </c>
      <c r="B547" t="inlineStr">
        <is>
          <t>FC Porto</t>
        </is>
      </c>
      <c r="C547" t="inlineStr">
        <is>
          <t>Defender</t>
        </is>
      </c>
      <c r="D547" t="n">
        <v>131</v>
      </c>
      <c r="E547" t="n">
        <v>4</v>
      </c>
      <c r="F547" t="n">
        <v>0</v>
      </c>
      <c r="G547" t="n">
        <v>0</v>
      </c>
      <c r="H547" t="n">
        <v>16</v>
      </c>
      <c r="I547" t="n">
        <v>30.6</v>
      </c>
      <c r="J547" t="n">
        <v>228433</v>
      </c>
      <c r="K547" t="inlineStr">
        <is>
          <t>{'marketValueHistory': [{'date': 'Jun 8, 2013', 'age': '19', 'clubName': 'Grêmio Foot-Ball Porto Alegrense', 'clubID': '210', 'value': '€150k'}, {'date': 'Mar 28, 2014', 'age': '20', 'clubName': 'Grêmio Foot-Ball Porto Alegrense', 'clubID': '210', 'value': '€3.00m'}, {'date': 'Jul 10, 2014', 'age': '20', 'clubName': 'Bayer 04 Leverkusen', 'clubID': '15', 'value': '€5.00m'}, {'date': 'Aug 21, 2014', 'age': '21', 'clubName': 'Bayer 04 Leverkusen', 'clubID': '15', 'value': '€6.00m'}, {'date': 'Feb 4, 2015', 'age': '21', 'clubName': 'Bayer 04 Leverkusen', 'clubID': '15', 'value': '€6.00m'}, {'date': 'Jul 1, 2015', 'age': '21', 'clubName': 'Bayer 04 Leverkusen', 'clubID': '15', 'value': '€10.00m'}, {'date': 'Oct 16, 2015', 'age': '22', 'clubName': 'Bayer 04 Leverkusen', 'clubID': '15', 'value': '€15.00m'}, {'date': 'Feb 15, 2016', 'age': '22', 'clubName': 'Bayer 04 Leverkusen', 'clubID': '15', 'value': '€15.00m'}, {'date': 'Jul 22, 2016', 'age': '23', 'clubName': 'Bayer 04 Leverkusen', 'clubID': '15', 'value': '€15.00m'}, {'date': 'Feb 7, 2017', 'age': '23', 'clubName': 'Bayer 04 Leverkusen', 'clubID': '15', 'value': '€13.00m'}, {'date': 'Jun 19, 2017', 'age': '23', 'clubName': 'Bayer 04 Leverkusen', 'clubID': '15', 'value': '€12.00m'}, {'date': 'Dec 28, 2017', 'age': '24', 'clubName': 'Bayer 04 Leverkusen', 'clubID': '15', 'value': '€14.00m'}, {'date': 'Apr 4, 2018', 'age': '24', 'clubName': 'Bayer 04 Leverkusen', 'clubID': '15', 'value': '€18.00m'}, {'date': 'Jun 5, 2018', 'age': '24', 'clubName': 'Bayer 04 Leverkusen', 'clubID': '15', 'value': '€18.00m'}, {'date': 'Oct 22, 2018', 'age': '25', 'clubName': 'Bayer 04 Leverkusen', 'clubID': '15', 'value': '€25.00m'}, {'date': 'Dec 18, 2018', 'age': '25', 'clubName': 'Bayer 04 Leverkusen', 'clubID': '15', 'value': '€20.00m'}, {'date': 'Jun 5, 2019', 'age': '25', 'clubName': 'Bayer 04 Leverkusen', 'clubID': '15', 'value': '€20.00m'}, {'date': 'Dec 17, 2019', 'age': '26', 'clubName': 'Bayer 04 Leverkusen', 'clubID': '15', 'value': '€17.00m'}, {'date': 'Apr 8, 2020', 'age': '26', 'clubName': 'Bayer 04 Leverkusen', 'clubID': '15', 'value': '€13.50m'}, {'date': 'Jul 8, 2020', 'age': '26', 'clubName': 'Bayer 04 Leverkusen', 'clubID': '15', 'value': '€10.00m'}, {'date': 'Nov 26, 2020', 'age': '27', 'clubName': 'Bayer 04 Leverkusen', 'clubID': '15', 'value': '€7.50m'}, {'date': 'Feb 10, 2021', 'age': '27', 'clubName': 'Bayer 04 Leverkusen', 'clubID': '15', 'value': '€6.50m'}, {'date': 'Jun 9, 2021', 'age': '27', 'clubName': 'Bayer 04 Leverkusen', 'clubID': '15', 'value': '€6.50m'}, {'date': 'Dec 27, 2021', 'age': '28', 'clubName': 'FC Porto', 'clubID': '720', 'value': '€6.00m'}, {'date': 'May 31, 2022', 'age': '28', 'clubName': 'FC Porto', 'clubID': '720', 'value': '€5.00m'}, {'date': 'Nov 1, 2022', 'age': '29', 'clubName': 'FC Porto', 'clubID': '720', 'value': '€5.00m'}, {'date': 'Jun 16, 2023', 'age': '29', 'clubName': 'FC Porto', 'clubID': '720', 'value': '€5.00m'}, {'date': 'Dec 27, 2023', 'age': '30', 'clubName': 'FC Porto', 'clubID': '720', 'value': '€5.00m'}, {'date': 'Jun 6, 2024', 'age': '30', 'clubName': 'FC Porto', 'clubID': '720', 'value': '€7.00m'}, {'date': 'Oct 8, 2024', 'age': '31', 'clubName': 'FC Porto', 'clubID': '720', 'value': '€5.00m'}, {'date': 'Dec 19, 2024', 'age': '31', 'clubName': 'FC Porto', 'clubID': '720', 'value': '€4.50m'}, {'date': 'Jun 6, 2025', 'age': '31', 'clubName': 'São Paulo Futebol Clube', 'clubID': '585', 'value': '€3.50m'}, {'date': 'Sep 5, 2025', 'age': '32', 'clubName': 'São Paulo Futebol Clube', 'clubID': '585', 'value': '€3.00m'}, {'date': 'Dec 10, 2025', 'age': '32', 'clubName': 'São Paulo Futebol Clube', 'clubID': '585', 'value': '€2.50m'}, {'date': 'Mar 12, 2026', 'age': '32', 'clubName': 'São Paulo Futebol Clube', 'clubID': '585', 'value': '€2.00m'}]}</t>
        </is>
      </c>
      <c r="L547" t="inlineStr">
        <is>
          <t>Brazil</t>
        </is>
      </c>
      <c r="M547" t="inlineStr">
        <is>
          <t>1993-07-20</t>
        </is>
      </c>
      <c r="N547" t="inlineStr">
        <is>
          <t>6</t>
        </is>
      </c>
      <c r="O547">
        <f>(5+5)/2</f>
        <v/>
      </c>
      <c r="P547">
        <f>(6.5+6.5+6)/3</f>
        <v/>
      </c>
    </row>
    <row r="548">
      <c r="A548" t="inlineStr">
        <is>
          <t>Mechele</t>
        </is>
      </c>
      <c r="B548" t="inlineStr">
        <is>
          <t>Club Brugge</t>
        </is>
      </c>
      <c r="C548" t="inlineStr">
        <is>
          <t>Defender</t>
        </is>
      </c>
      <c r="D548" t="n">
        <v>131</v>
      </c>
      <c r="E548" t="n">
        <v>3</v>
      </c>
      <c r="F548" t="n">
        <v>0</v>
      </c>
      <c r="G548" t="n">
        <v>0</v>
      </c>
      <c r="H548" t="n">
        <v>16.5</v>
      </c>
      <c r="I548" t="n">
        <v>32.8</v>
      </c>
      <c r="J548" t="n">
        <v>236168</v>
      </c>
      <c r="K548" t="inlineStr">
        <is>
          <t>{'marketValueHistory': [{'date': '12/08/2013', 'age': '20', 'clubName': 'Club Brugge KV', 'clubID': '2282', 'value': '€500k'}, {'date': '08/10/2013', 'age': '20', 'clubName': 'Club Brugge KV', 'clubID': '2282', 'value': '€1.50m'}, {'date': '10/02/2014', 'age': '21', 'clubName': 'Club Brugge KV', 'clubID': '2282', 'value': '€2.50m'}, {'date': '28/06/2014', 'age': '21', 'clubName': 'Club Brugge KV', 'clubID': '2282', 'value': '€2.50m'}, {'date': '07/01/2015', 'age': '21', 'clubName': 'Club Brugge KV', 'clubID': '2282', 'value': '€3.00m'}, {'date': '24/06/2015', 'age': '22', 'clubName': 'Club Brugge KV', 'clubID': '2282', 'value': '€4.50m'}, {'date': '07/02/2016', 'age': '23', 'clubName': 'Club Brugge KV', 'clubID': '2282', 'value': '€3.50m'}, {'date': '15/07/2016', 'age': '23', 'clubName': 'Club Brugge KV', 'clubID': '2282', 'value': '€2.20m'}, {'date': '20/10/2016', 'age': '23', 'clubName': 'Club Brugge KV', 'clubID': '2282', 'value': '€1.50m'}, {'date': '21/01/2017', 'age': '23', 'clubName': 'Sint-Truidense VV', 'clubID': '475', 'value': '€1.20m'}, {'date': '06/06/2017', 'age': '24', 'clubName': 'Sint-Truidense VV', 'clubID': '475', 'value': '€1.20m'}, {'date': '09/01/2018', 'age': '24', 'clubName': 'Club Brugge KV', 'clubID': '2282', 'value': '€2.20m'}, {'date': '30/03/2018', 'age': '25', 'clubName': 'Club Brugge KV', 'clubID': '2282', 'value': '€3.00m'}, {'date': '03/06/2018', 'age': '25', 'clubName': 'Club Brugge KV', 'clubID': '2282', 'value': '€4.50m'}, {'date': '27/12/2018', 'age': '25', 'clubName': 'Club Brugge KV', 'clubID': '2282', 'value': '€6.00m'}, {'date': '10/06/2019', 'age': '26', 'clubName': 'Club Brugge KV', 'clubID': '2282', 'value': '€6.00m'}, {'date': '13/12/2019', 'age': '26', 'clubName': 'Club Brugge KV', 'clubID': '2282', 'value': '€6.00m'}, {'date': '08/04/2020', 'age': '27', 'clubName': 'Club Brugge KV', 'clubID': '2282', 'value': '€4.80m'}, {'date': '16/10/2020', 'age': '27', 'clubName': 'Club Brugge KV', 'clubID': '2282', 'value': '€5.50m'}, {'date': '17/03/2021', 'age': '28', 'clubName': 'Club Brugge KV', 'clubID': '2282', 'value': '€7.00m'}, {'date': '07/06/2021', 'age': '28', 'clubName': 'Club Brugge KV', 'clubID': '2282', 'value': '€7.00m'}, {'date': '06/10/2021', 'age': '28', 'clubName': 'Club Brugge KV', 'clubID': '2282', 'value': '€6.00m'}, {'date': '06/01/2022', 'age': '28', 'clubName': 'Club Brugge KV', 'clubID': '2282', 'value': '€5.50m'}, {'date': '12/04/2022', 'age': '29', 'clubName': 'Club Brugge KV', 'clubID': '2282', 'value': '€5.50m'}, {'date': '26/05/2022', 'age': '29', 'clubName': 'Club Brugge KV', 'clubID': '2282', 'value': '€6.00m'}, {'date': '04/11/2022', 'age': '29', 'clubName': 'Club Brugge KV', 'clubID': '2282', 'value': '€6.50m'}, {'date': '22/03/2023', 'age': '30', 'clubName': 'Club Brugge KV', 'clubID': '2282', 'value': '€5.00m'}, {'date': '09/06/2023', 'age': '30', 'clubName': 'Club Brugge KV', 'clubID': '2282', 'value': '€4.50m'}, {'date': '19/12/2023', 'age': '30', 'clubName': 'Club Brugge KV', 'clubID': '2282', 'value': '€4.00m'}, {'date': '22/03/2024', 'age': '31', 'clubName': 'Club Brugge KV', 'clubID': '2282', 'value': '€3.00m'}, {'date': '04/06/2024', 'age': '31', 'clubName': 'Club Brugge KV', 'clubID': '2282', 'value': '€3.00m'}, {'date': '11/12/2024', 'age': '31', 'clubName': 'Club Brugge KV', 'clubID': '2282', 'value': '€3.00m'}, {'date': '26/03/2025', 'age': '32', 'clubName': 'Club Brugge KV', 'clubID': '2282', 'value': '€3.50m'}, {'date': '12/06/2025', 'age': '32', 'clubName': 'Club Brugge KV', 'clubID': '2282', 'value': '€3.50m'}, {'date': '10/12/2025', 'age': '32', 'clubName': 'Club Brugge KV', 'clubID': '2282', 'value': '€3.00m'}]}</t>
        </is>
      </c>
      <c r="L548" t="inlineStr">
        <is>
          <t>Belgium</t>
        </is>
      </c>
      <c r="M548" t="inlineStr">
        <is>
          <t>1993-01-28</t>
        </is>
      </c>
      <c r="N548" t="inlineStr">
        <is>
          <t>Belgium</t>
        </is>
      </c>
      <c r="O548">
        <f>(5.5+5.5+6+6.5)/4</f>
        <v/>
      </c>
      <c r="P548">
        <f>(7+7+6)/3</f>
        <v/>
      </c>
    </row>
    <row r="549">
      <c r="A549" t="inlineStr">
        <is>
          <t>Muriel</t>
        </is>
      </c>
      <c r="B549" t="inlineStr">
        <is>
          <t>Atalanta</t>
        </is>
      </c>
      <c r="C549" t="inlineStr">
        <is>
          <t>Forward</t>
        </is>
      </c>
      <c r="D549" t="n">
        <v>130</v>
      </c>
      <c r="E549" t="n">
        <v>5</v>
      </c>
      <c r="F549" t="n">
        <v>1</v>
      </c>
      <c r="G549" t="n">
        <v>0</v>
      </c>
      <c r="H549" t="n">
        <v>16.9</v>
      </c>
      <c r="I549" t="n">
        <v>32.8</v>
      </c>
      <c r="J549" t="n">
        <v>119228</v>
      </c>
      <c r="K549" t="inlineStr">
        <is>
          <t>{'marketValueHistory': [{'date': 'Jan 4, 2010', 'age': '18', 'clubName': 'Deportivo Cali', 'clubID': '9961', 'value': '€75k'}, {'date': 'Jul 1, 2010', 'age': '19', 'clubName': 'Udinese Calcio', 'clubID': '410', 'value': '€1.50m'}, {'date': 'Aug 13, 2010', 'age': '19', 'clubName': 'Granada CF', 'clubID': '16795', 'value': '€1.50m'}, {'date': 'Feb 4, 2011', 'age': '19', 'clubName': 'Granada CF', 'clubID': '16795', 'value': '€1.40m'}, {'date': 'Jun 21, 2011', 'age': '20', 'clubName': 'Udinese Calcio', 'clubID': '410', 'value': '€1.00m'}, {'date': 'Jan 10, 2012', 'age': '20', 'clubName': 'US Lecce', 'clubID': '1005', 'value': '€2.20m'}, {'date': 'Apr 17, 2012', 'age': '21', 'clubName': 'US Lecce', 'clubID': '1005', 'value': '€5.00m'}, {'date': 'Jun 7, 2012', 'age': '21', 'clubName': 'US Lecce', 'clubID': '1005', 'value': '€8.00m'}, {'date': 'Jan 15, 2013', 'age': '21', 'clubName': 'Udinese Calcio', 'clubID': '410', 'value': '€9.00m'}, {'date': 'Jun 19, 2013', 'age': '22', 'clubName': 'Udinese Calcio', 'clubID': '410', 'value': '€14.00m'}, {'date': 'Jan 7, 2014', 'age': '22', 'clubName': 'Udinese Calcio', 'clubID': '410', 'value': '€14.00m'}, {'date': 'Jul 1, 2014', 'age': '23', 'clubName': 'Udinese Calcio', 'clubID': '410', 'value': '€12.00m'}, {'date': 'Nov 8, 2014', 'age': '23', 'clubName': 'Udinese Calcio', 'clubID': '410', 'value': '€11.00m'}, {'date': 'Jan 7, 2015', 'age': '23', 'clubName': 'Udinese Calcio', 'clubID': '410', 'value': '€10.00m'}, {'date': 'Jul 1, 2015', 'age': '24', 'clubName': 'UC Sampdoria', 'clubID': '1038', 'value': '€10.00m'}, {'date': 'Jan 4, 2016', 'age': '24', 'clubName': 'UC Sampdoria', 'clubID': '1038', 'value': '€10.00m'}, {'date': 'Jul 15, 2016', 'age': '25', 'clubName': 'UC Sampdoria', 'clubID': '1038', 'value': '€9.50m'}, {'date': 'Jan 2, 2017', 'age': '25', 'clubName': 'UC Sampdoria', 'clubID': '1038', 'value': '€12.50m'}, {'date': 'Mar 28, 2017', 'age': '25', 'clubName': 'UC Sampdoria', 'clubID': '1038', 'value': '€17.00m'}, {'date': 'Jun 8, 2017', 'age': '26', 'clubName': 'UC Sampdoria', 'clubID': '1038', 'value': '€17.00m'}, {'date': 'Aug 17, 2017', 'age': '26', 'clubName': 'Sevilla FC', 'clubID': '368', 'value': '€20.00m'}, {'date': 'Jan 1, 2018', 'age': '26', 'clubName': 'Sevilla FC', 'clubID': '368', 'value': '€15.00m'}, {'date': 'May 30, 2018', 'age': '27', 'clubName': 'Sevilla FC', 'clubID': '368', 'value': '€12.00m'}, {'date': 'Oct 31, 2018', 'age': '27', 'clubName': 'Sevilla FC', 'clubID': '368', 'value': '€9.00m'}, {'date': 'Dec 21, 2018', 'age': '27', 'clubName': 'Sevilla FC', 'clubID': '368', 'value': '€8.00m'}, {'date': 'Mar 1, 2019', 'age': '27', 'clubName': 'ACF Fiorentina', 'clubID': '430', 'value': '€10.00m'}, {'date': 'Jun 6, 2019', 'age': '28', 'clubName': 'ACF Fiorentina', 'clubID': '430', 'value': '€13.00m'}, {'date': 'Oct 8, 2019', 'age': '28', 'clubName': 'Atalanta BC', 'clubID': '800', 'value': '€15.00m'}, {'date': 'Dec 12, 2019', 'age': '28', 'clubName': 'Atalanta BC', 'clubID': '800', 'value': '€19.00m'}, {'date': 'Apr 8, 2020', 'age': '28', 'clubName': 'Atalanta BC', 'clubID': '800', 'value': '€15.00m'}, {'date': 'Aug 25, 2020', 'age': '29', 'clubName': 'Atalanta BC', 'clubID': '800', 'value': '€22.00m'}, {'date': 'Dec 29, 2020', 'age': '29', 'clubName': 'Atalanta BC', 'clubID': '800', 'value': '€22.00m'}, {'date': 'Mar 23, 2021', 'age': '29', 'clubName': 'Atalanta BC', 'clubID': '800', 'value': '€26.00m'}, {'date': 'Jun 3, 2021', 'age': '30', 'clubName': 'Atalanta BC', 'clubID': '800', 'value': '€30.00m'}, {'date': 'Dec 28, 2021', 'age': '30', 'clubName': 'Atalanta BC', 'clubID': '800', 'value': '€22.00m'}, {'date': 'Jun 7, 2022', 'age': '31', 'clubName': 'Atalanta BC', 'clubID': '800', 'value': '€20.00m'}, {'date': 'Nov 11, 2022', 'age': '31', 'clubName': 'Atalanta BC', 'clubID': '800', 'value': '€12.00m'}, {'date': 'Mar 21, 2023', 'age': '31', 'clubName': 'Atalanta BC', 'clubID': '800', 'value': '€8.00m'}, {'date': 'Jun 15, 2023', 'age': '32', 'clubName': 'Atalanta BC', 'clubID': '800', 'value': '€5.00m'}, {'date': 'Dec 20, 2023', 'age': '32', 'clubName': 'Atalanta BC', 'clubID': '800', 'value': '€3.50m'}, {'date': 'Mar 25, 2024', 'age': '32', 'clubName': 'Orlando City SC', 'clubID': '45604', 'value': '€3.00m'}, {'date': 'Jun 13, 2024', 'age': '33', 'clubName': 'Orlando City SC', 'clubID': '45604', 'value': '€2.00m'}, {'date': 'Dec 12, 2024', 'age': '33', 'clubName': 'Orlando City SC', 'clubID': '45604', 'value': '€1.80m'}, {'date': 'Apr 17, 2025', 'age': '34', 'clubName': 'Orlando City SC', 'clubID': '45604', 'value': '€1.50m'}, {'date': 'Jun 5, 2025', 'age': '34', 'clubName': 'Orlando City SC', 'clubID': '45604', 'value': '€1.20m'}, {'date': 'Dec 11, 2025', 'age': '34', 'clubName': 'Orlando City SC', 'clubID': '45604', 'value': '€1.00m'}, {'date': 'Mar 17, 2026', 'age': '34', 'clubName': 'Junior FC', 'clubID': '11854', 'value': '€900k'}]}</t>
        </is>
      </c>
      <c r="L549" t="inlineStr">
        <is>
          <t>Colombia</t>
        </is>
      </c>
      <c r="M549" t="inlineStr">
        <is>
          <t>1991-04-16</t>
        </is>
      </c>
      <c r="N549" t="inlineStr">
        <is>
          <t>Colombia</t>
        </is>
      </c>
      <c r="O549">
        <f>(20+12)/2</f>
        <v/>
      </c>
      <c r="P549">
        <f>(26+30+22)/3</f>
        <v/>
      </c>
    </row>
    <row r="550">
      <c r="A550" t="inlineStr">
        <is>
          <t>Aurier</t>
        </is>
      </c>
      <c r="B550" t="inlineStr">
        <is>
          <t>Villarreal</t>
        </is>
      </c>
      <c r="C550" t="inlineStr">
        <is>
          <t>Defender</t>
        </is>
      </c>
      <c r="D550" t="n">
        <v>129</v>
      </c>
      <c r="E550" t="n">
        <v>5</v>
      </c>
      <c r="F550" t="n">
        <v>0</v>
      </c>
      <c r="G550" t="n">
        <v>1</v>
      </c>
      <c r="H550" t="n">
        <v>16</v>
      </c>
      <c r="I550" t="n">
        <v>30.2</v>
      </c>
      <c r="J550" t="n">
        <v>127032</v>
      </c>
      <c r="K550" t="inlineStr">
        <is>
          <t>{'marketValueHistory': [{'date': '20/07/2010', 'age': '17', 'clubName': 'RC Lens', 'clubID': '826', 'value': '€500k'}, {'date': '28/12/2010', 'age': '18', 'clubName': 'RC Lens', 'clubID': '826', 'value': '€1.50m'}, {'date': '24/05/2011', 'age': '18', 'clubName': 'RC Lens', 'clubID': '826', 'value': '€2.00m'}, {'date': '24/12/2011', 'age': '19', 'clubName': 'RC Lens', 'clubID': '826', 'value': '€2.00m'}, {'date': '23/05/2012', 'age': '19', 'clubName': 'FC Toulouse', 'clubID': '415', 'value': '€2.00m'}, {'date': '07/01/2013', 'age': '20', 'clubName': 'FC Toulouse', 'clubID': '415', 'value': '€3.00m'}, {'date': '19/01/2013', 'age': '20', 'clubName': 'FC Toulouse', 'clubID': '415', 'value': '€4.00m'}, {'date': '30/05/2013', 'age': '20', 'clubName': 'FC Toulouse', 'clubID': '415', 'value': '€6.00m'}, {'date': '14/01/2014', 'age': '21', 'clubName': 'FC Toulouse', 'clubID': '415', 'value': '€6.50m'}, {'date': '01/08/2014', 'age': '21', 'clubName': 'Paris Saint-Germain', 'clubID': '583', 'value': '€10.00m'}, {'date': '14/01/2015', 'age': '22', 'clubName': 'Paris Saint-Germain', 'clubID': '583', 'value': '€10.00m'}, {'date': '06/06/2015', 'age': '22', 'clubName': 'Paris Saint-Germain', 'clubID': '583', 'value': '€10.00m'}, {'date': '04/02/2016', 'age': '23', 'clubName': 'Paris Saint-Germain', 'clubID': '583', 'value': '€15.00m'}, {'date': '13/07/2016', 'age': '23', 'clubName': 'Paris Saint-Germain', 'clubID': '583', 'value': '€15.00m'}, {'date': '16/01/2017', 'age': '24', 'clubName': 'Paris Saint-Germain', 'clubID': '583', 'value': '€15.00m'}, {'date': '01/06/2017', 'age': '24', 'clubName': 'Paris Saint-Germain', 'clubID': '583', 'value': '€15.00m'}, {'date': '02/01/2018', 'age': '25', 'clubName': 'Tottenham Hotspur', 'clubID': '148', 'value': '€20.00m'}, {'date': '28/05/2018', 'age': '25', 'clubName': 'Tottenham Hotspur', 'clubID': '148', 'value': '€20.00m'}, {'date': '19/12/2018', 'age': '25', 'clubName': 'Tottenham Hotspur', 'clubID': '148', 'value': '€20.00m'}, {'date': '13/06/2019', 'age': '26', 'clubName': 'Tottenham Hotspur', 'clubID': '148', 'value': '€18.00m'}, {'date': '12/09/2019', 'age': '26', 'clubName': 'Tottenham Hotspur', 'clubID': '148', 'value': '€15.00m'}, {'date': '10/12/2019', 'age': '26', 'clubName': 'Tottenham Hotspur', 'clubID': '148', 'value': '€20.00m'}, {'date': '08/04/2020', 'age': '27', 'clubName': 'Tottenham Hotspur', 'clubID': '148', 'value': '€16.00m'}, {'date': '13/10/2020', 'age': '27', 'clubName': 'Tottenham Hotspur', 'clubID': '148', 'value': '€16.00m'}, {'date': '17/12/2020', 'age': '27', 'clubName': 'Tottenham Hotspur', 'clubID': '148', 'value': '€20.00m'}, {'date': '18/03/2021', 'age': '28', 'clubName': 'Tottenham Hotspur', 'clubID': '148', 'value': '€20.00m'}, {'date': '08/06/2021', 'age': '28', 'clubName': 'Tottenham Hotspur', 'clubID': '148', 'value': '€20.00m'}, {'date': '13/10/2021', 'age': '28', 'clubName': 'Villarreal CF', 'clubID': '1050', 'value': '€15.00m'}, {'date': '30/12/2021', 'age': '29', 'clubName': 'Villarreal CF', 'clubID': '1050', 'value': '€12.00m'}, {'date': '03/06/2022', 'age': '29', 'clubName': 'Villarreal CF', 'clubID': '1050', 'value': '€10.00m'}, {'date': '15/09/2022', 'age': '29', 'clubName': 'Nottingham Forest', 'clubID': '703', 'value': '€8.00m'}, {'date': '03/11/2022', 'age': '29', 'clubName': 'Nottingham Forest', 'clubID': '703', 'value': '€6.00m'}, {'date': '20/06/2023', 'age': '30', 'clubName': 'Nottingham Forest', 'clubID': '703', 'value': '€8.00m'}, {'date': '19/12/2023', 'age': '30', 'clubName': 'Nottingham Forest', 'clubID': '703', 'value': '€7.00m'}, {'date': '15/03/2024', 'age': '31', 'clubName': 'Galatasaray', 'clubID': '141', 'value': '€6.00m'}, {'date': '31/05/2024', 'age': '31', 'clubName': 'Galatasaray', 'clubID': '141', 'value': '€3.70m'}, {'date': '16/10/2024', 'age': '31', 'clubName': 'Without Club', 'clubID': '515', 'value': '€2.50m'}, {'date': '04/04/2025', 'age': '32', 'clubName': 'Without Club', 'clubID': '515', 'value': '€1.50m'}, {'date': '08/12/2025', 'age': '32', 'clubName': 'Persepolis FC', 'clubID': '6079', 'value': '€1.20m'}, {'date': '09/04/2026', 'age': '33', 'clubName': 'Without Club', 'clubID': '515', 'value': '€800k'}]}</t>
        </is>
      </c>
      <c r="L550" t="inlineStr">
        <is>
          <t>France</t>
        </is>
      </c>
      <c r="M550" t="inlineStr">
        <is>
          <t>1992-12-24</t>
        </is>
      </c>
      <c r="N550" t="inlineStr">
        <is>
          <t>Ivory Coast</t>
        </is>
      </c>
      <c r="O550">
        <f>(10+8+6)/3</f>
        <v/>
      </c>
      <c r="P550">
        <f>(20+20+15+12)/4</f>
        <v/>
      </c>
    </row>
    <row r="551">
      <c r="A551" t="inlineStr">
        <is>
          <t>Reinier</t>
        </is>
      </c>
      <c r="B551" t="inlineStr">
        <is>
          <t>Dortmund</t>
        </is>
      </c>
      <c r="C551" t="inlineStr">
        <is>
          <t>Forward</t>
        </is>
      </c>
      <c r="D551" t="n">
        <v>126</v>
      </c>
      <c r="E551" t="n">
        <v>3</v>
      </c>
      <c r="F551" t="n">
        <v>0</v>
      </c>
      <c r="G551" t="n">
        <v>0</v>
      </c>
      <c r="H551" t="n">
        <v>16.7</v>
      </c>
      <c r="I551" t="n">
        <v>31.9</v>
      </c>
      <c r="J551" t="n">
        <v>627226</v>
      </c>
      <c r="K551" t="inlineStr">
        <is>
          <t>{'marketValueHistory': [{'date': 'May 28, 2019', 'age': '17', 'clubName': 'CR Flamengo', 'clubID': '614', 'value': '€3.00m'}, {'date': 'Aug 15, 2019', 'age': '17', 'clubName': 'CR Flamengo', 'clubID': '614', 'value': '€5.00m'}, {'date': 'Oct 16, 2019', 'age': '17', 'clubName': 'CR Flamengo', 'clubID': '614', 'value': '€15.00m'}, {'date': 'Nov 27, 2019', 'age': '17', 'clubName': 'CR Flamengo', 'clubID': '614', 'value': '€25.00m'}, {'date': 'Apr 8, 2020', 'age': '18', 'clubName': 'Real Madrid', 'clubID': '418', 'value': '€22.50m'}, {'date': 'Feb 10, 2021', 'age': '19', 'clubName': 'Borussia Dortmund', 'clubID': '16', 'value': '€18.00m'}, {'date': 'Jun 9, 2021', 'age': '19', 'clubName': 'Borussia Dortmund', 'clubID': '16', 'value': '€16.00m'}, {'date': 'Dec 22, 2021', 'age': '19', 'clubName': 'Borussia Dortmund', 'clubID': '16', 'value': '€10.00m'}, {'date': 'Jun 9, 2022', 'age': '20', 'clubName': 'Borussia Dortmund', 'clubID': '16', 'value': '€8.00m'}, {'date': 'Nov 7, 2022', 'age': '20', 'clubName': 'Girona FC', 'clubID': '12321', 'value': '€4.00m'}, {'date': 'Mar 23, 2023', 'age': '21', 'clubName': 'Girona FC', 'clubID': '12321', 'value': '€3.00m'}, {'date': 'Jun 13, 2023', 'age': '21', 'clubName': 'Girona FC', 'clubID': '12321', 'value': '€2.00m'}, {'date': 'Dec 20, 2023', 'age': '21', 'clubName': 'Frosinone Calcio', 'clubID': '8970', 'value': '€4.00m'}, {'date': 'Jun 5, 2024', 'age': '22', 'clubName': 'Frosinone Calcio', 'clubID': '8970', 'value': '€3.50m'}, {'date': 'Oct 14, 2024', 'age': '22', 'clubName': 'Granada CF', 'clubID': '16795', 'value': '€2.50m'}, {'date': 'Dec 13, 2024', 'age': '22', 'clubName': 'Granada CF', 'clubID': '16795', 'value': '€2.50m'}, {'date': 'Mar 27, 2025', 'age': '23', 'clubName': 'Granada CF', 'clubID': '16795', 'value': '€2.00m'}, {'date': 'Jun 24, 2025', 'age': '23', 'clubName': 'Granada CF', 'clubID': '16795', 'value': '€1.50m'}, {'date': 'Dec 10, 2025', 'age': '23', 'clubName': 'Clube Atlético Mineiro', 'clubID': '330', 'value': '€1.50m'}, {'date': 'Mar 12, 2026', 'age': '24', 'clubName': 'Clube Atlético Mineiro', 'clubID': '330', 'value': '€2.00m'}]}</t>
        </is>
      </c>
      <c r="L551" t="inlineStr">
        <is>
          <t>Brazil</t>
        </is>
      </c>
      <c r="M551" t="inlineStr">
        <is>
          <t>2002-01-19</t>
        </is>
      </c>
      <c r="N551" t="inlineStr">
        <is>
          <t>Brazil</t>
        </is>
      </c>
      <c r="O551">
        <f>(8+4)/2</f>
        <v/>
      </c>
      <c r="P551">
        <f>(18+16+10)/3</f>
        <v/>
      </c>
    </row>
    <row r="552">
      <c r="A552" t="inlineStr">
        <is>
          <t>Marcano</t>
        </is>
      </c>
      <c r="B552" t="inlineStr">
        <is>
          <t>FC Porto</t>
        </is>
      </c>
      <c r="C552" t="inlineStr">
        <is>
          <t>Defender</t>
        </is>
      </c>
      <c r="D552" t="n">
        <v>126</v>
      </c>
      <c r="E552" t="n">
        <v>2</v>
      </c>
      <c r="F552" t="n">
        <v>0</v>
      </c>
      <c r="G552" t="n">
        <v>0</v>
      </c>
      <c r="H552" t="n">
        <v>14.8</v>
      </c>
      <c r="I552" t="n">
        <v>31.6</v>
      </c>
      <c r="J552" t="n">
        <v>57723</v>
      </c>
      <c r="K552" t="inlineStr">
        <is>
          <t>{'id': '57723', 'marketValue': '€300k', 'marketValueHistory': [{'age': '20', 'date': 'Aug 28, 2007', 'clubName': 'Racing Santander', 'value': '€200k', 'clubID': '630'}, {'age': '20', 'date': 'Feb 4, 2008', 'clubName': 'Racing Santander', 'value': '€300k', 'clubID': '630'}, {'age': '21', 'date': 'Aug 25, 2008', 'clubName': 'Racing Santander', 'value': '€300k', 'clubID': '630'}, {'age': '21', 'date': 'Oct 15, 2008', 'clubName': 'Racing Santander', 'value': '€1.00m', 'clubID': '630'}, {'age': '21', 'date': 'Jan 24, 2009', 'clubName': 'Racing Santander', 'value': '€3.00m', 'clubID': '630'}, {'age': '22', 'date': 'Jul 22, 2009', 'clubName': 'Villarreal CF', 'value': '€6.00m', 'clubID': '1050'}, {'age': '22', 'date': 'Dec 3, 2009', 'clubName': 'Villarreal CF', 'value': '€6.00m', 'clubID': '1050'}, {'age': '22', 'date': 'Apr 12, 2010', 'clubName': 'Villarreal CF', 'value': '€6.00m', 'clubID': '1050'}, {'age': '23', 'date': 'Aug 27, 2010', 'clubName': 'Getafe CF', 'value': '€5.00m', 'clubID': '3709'}, {'age': '23', 'date': 'Dec 10, 2010', 'clubName': 'Getafe CF', 'value': '€4.00m', 'clubID': '3709'}, {'age': '23', 'date': 'Feb 4, 2011', 'clubName': 'Getafe CF', 'value': '€4.00m', 'clubID': '3709'}, {'age': '24', 'date': 'Nov 21, 2011', 'clubName': 'Olympiacos Piraeus', 'value': '€4.00m', 'clubID': '683'}, {'age': '24', 'date': 'Feb 26, 2012', 'clubName': 'Olympiacos Piraeus', 'value': '€3.75m', 'clubID': '683'}, {'age': '25', 'date': 'Jul 2, 2012', 'clubName': 'Rubin Kazan', 'value': '€5.00m', 'clubID': '2698'}, {'age': '25', 'date': 'Jan 20, 2013', 'clubName': 'Rubin Kazan', 'value': '€4.00m', 'clubID': '2698'}, {'age': '25', 'date': 'Jun 19, 2013', 'clubName': 'Rubin Kazan', 'value': '€4.00m', 'clubID': '2698'}, {'age': '26', 'date': 'Mar 28, 2014', 'clubName': 'Olympiacos Piraeus', 'value': '€4.00m', 'clubID': '683'}, {'age': '27', 'date': 'Jul 31, 2014', 'clubName': 'Rubin Kazan', 'value': '€4.00m', 'clubID': '2698'}, {'age': '27', 'date': 'Sep 30, 2014', 'clubName': 'FC Porto', 'value': '€3.00m', 'clubID': '720'}, {'age': '27', 'date': 'Feb 17, 2015', 'clubName': 'FC Porto', 'value': '€3.00m', 'clubID': '720'}, {'age': '28', 'date': 'Jul 1, 2015', 'clubName': 'FC Porto', 'value': '€4.70m', 'clubID': '720'}, {'age': '28', 'date': 'Oct 7, 2015', 'clubName': 'FC Porto', 'value': '€6.00m', 'clubID': '720'}, {'age': '28', 'date': 'Feb 24, 2016', 'clubName': 'FC Porto', 'value': '€7.00m', 'clubID': '720'}, {'age': '29', 'date': 'Jul 29, 2016', 'clubName': 'FC Porto', 'value': '€6.00m', 'clubID': '720'}, {'age': '29', 'date': 'Feb 22, 2017', 'clubName': 'FC Porto', 'value': '€8.00m', 'clubID': '720'}, {'age': '30', 'date': 'Jun 26, 2017', 'clubName': 'FC Porto', 'value': '€8.00m', 'clubID': '720'}, {'age': '30', 'date': 'Feb 7, 2018', 'clubName': 'FC Porto', 'value': '€8.00m', 'clubID': '720'}, {'age': '30', 'date': 'Jun 13, 2018', 'clubName': 'FC Porto', 'value': '€8.00m', 'clubID': '720'}, {'age': '31', 'date': 'Dec 20, 2018', 'clubName': 'AS Roma', 'value': '€6.00m', 'clubID': '12'}, {'age': '31', 'date': 'Jun 6, 2019', 'clubName': 'AS Roma', 'value': '€4.00m', 'clubID': '12'}, {'age': '32', 'date': 'Oct 11, 2019', 'clubName': 'FC Porto', 'value': '€3.00m', 'clubID': '720'}, {'age': '32', 'date': 'Dec 30, 2019', 'clubName': 'FC Porto', 'value': '€3.00m', 'clubID': '720'}, {'age': '32', 'date': 'Apr 8, 2020', 'clubName': 'FC Porto', 'value': '€2.40m', 'clubID': '720'}, {'age': '33', 'date': 'Aug 17, 2020', 'clubName': 'FC Porto', 'value': '€2.40m', 'clubID': '720'}, {'age': '33', 'date': 'Jan 28, 2021', 'clubName': 'FC Porto', 'value': '€1.50m', 'clubID': '720'}, {'age': '33', 'date': 'May 21, 2021', 'clubName': 'FC Porto', 'value': '€1.00m', 'clubID': '720'}, {'age': '34', 'date': 'Dec 27, 2021', 'clubName': 'FC Porto', 'value': '€800k', 'clubID': '720'}, {'age': '34', 'date': 'May 31, 2022', 'clubName': 'FC Porto', 'value': '€500k', 'clubID': '720'}, {'age': '35', 'date': 'Nov 1, 2022', 'clubName': 'FC Porto', 'value': '€500k', 'clubID': '720'}, {'age': '35', 'date': 'Jun 5, 2023', 'clubName': 'FC Porto', 'value': '€500k', 'clubID': '720'}, {'age': '36', 'date': 'Dec 27, 2023', 'clubName': 'FC Porto', 'value': '€300k', 'clubID': '720'}], 'updatedAt': datetime.datetime(2024, 5, 23, 22, 26, 41, 425265)}</t>
        </is>
      </c>
      <c r="L552" t="inlineStr">
        <is>
          <t>Spain</t>
        </is>
      </c>
      <c r="M552" t="inlineStr">
        <is>
          <t>1987-06-23</t>
        </is>
      </c>
      <c r="N552" t="inlineStr">
        <is>
          <t>Spain</t>
        </is>
      </c>
      <c r="O552">
        <f>(0.5+0.5)/2</f>
        <v/>
      </c>
      <c r="P552">
        <f>(1.5+1+0.8)/3</f>
        <v/>
      </c>
    </row>
    <row r="553">
      <c r="A553" t="inlineStr">
        <is>
          <t>Sarr</t>
        </is>
      </c>
      <c r="B553" t="inlineStr">
        <is>
          <t>Bayern</t>
        </is>
      </c>
      <c r="C553" t="inlineStr">
        <is>
          <t>Defender</t>
        </is>
      </c>
      <c r="D553" t="n">
        <v>125</v>
      </c>
      <c r="E553" t="n">
        <v>5</v>
      </c>
      <c r="F553" t="n">
        <v>0</v>
      </c>
      <c r="G553" t="n">
        <v>0</v>
      </c>
      <c r="H553" t="n">
        <v>17.2</v>
      </c>
      <c r="I553" t="n">
        <v>30.8</v>
      </c>
      <c r="J553" t="n">
        <v>568693</v>
      </c>
      <c r="K553" t="inlineStr">
        <is>
          <t>{'marketValueHistory': [{'date': '09/03/2021', 'age': '18', 'clubName': 'FC Metz', 'clubID': '347', 'value': '€3.00m'}, {'date': '04/06/2021', 'age': '18', 'clubName': 'FC Metz', 'clubID': '347', 'value': '€10.00m'}, {'date': '08/10/2021', 'age': '19', 'clubName': 'FC Metz', 'clubID': '347', 'value': '€20.00m'}, {'date': '16/12/2021', 'age': '19', 'clubName': 'FC Metz', 'clubID': '347', 'value': '€20.00m'}, {'date': '30/05/2022', 'age': '19', 'clubName': 'FC Metz', 'clubID': '347', 'value': '€15.00m'}, {'date': '03/11/2022', 'age': '20', 'clubName': 'Tottenham Hotspur', 'clubID': '148', 'value': '€15.00m'}, {'date': '20/06/2023', 'age': '20', 'clubName': 'Tottenham Hotspur', 'clubID': '148', 'value': '€15.00m'}, {'date': '09/10/2023', 'age': '21', 'clubName': 'Tottenham Hotspur', 'clubID': '148', 'value': '€35.00m'}, {'date': '19/12/2023', 'age': '21', 'clubName': 'Tottenham Hotspur', 'clubID': '148', 'value': '€35.00m'}, {'date': '14/03/2024', 'age': '21', 'clubName': 'Tottenham Hotspur', 'clubID': '148', 'value': '€40.00m'}, {'date': '27/05/2024', 'age': '21', 'clubName': 'Tottenham Hotspur', 'clubID': '148', 'value': '€45.00m'}, {'date': '16/12/2024', 'age': '22', 'clubName': 'Tottenham Hotspur', 'clubID': '148', 'value': '€45.00m'}, {'date': '18/03/2025', 'age': '22', 'clubName': 'Tottenham Hotspur', 'clubID': '148', 'value': '€40.00m'}, {'date': '30/05/2025', 'age': '22', 'clubName': 'Tottenham Hotspur', 'clubID': '148', 'value': '€32.00m'}, {'date': '17/10/2025', 'age': '23', 'clubName': 'Tottenham Hotspur', 'clubID': '148', 'value': '€35.00m'}, {'date': '09/12/2025', 'age': '23', 'clubName': 'Tottenham Hotspur', 'clubID': '148', 'value': '€35.00m'}, {'date': '09/03/2026', 'age': '23', 'clubName': 'Tottenham Hotspur', 'clubID': '148', 'value': '€32.00m'}]}</t>
        </is>
      </c>
      <c r="L553" t="inlineStr">
        <is>
          <t>Senegal</t>
        </is>
      </c>
      <c r="M553" t="inlineStr">
        <is>
          <t>2002-09-14</t>
        </is>
      </c>
      <c r="N553" t="inlineStr">
        <is>
          <t>Senegal</t>
        </is>
      </c>
      <c r="O553">
        <f>(15+15)/2</f>
        <v/>
      </c>
      <c r="P553">
        <f>(3+10+20+20)/4</f>
        <v/>
      </c>
    </row>
    <row r="554">
      <c r="A554" t="inlineStr">
        <is>
          <t>Rekik</t>
        </is>
      </c>
      <c r="B554" t="inlineStr">
        <is>
          <t>Sevilla</t>
        </is>
      </c>
      <c r="C554" t="inlineStr">
        <is>
          <t>Defender</t>
        </is>
      </c>
      <c r="D554" t="n">
        <v>125</v>
      </c>
      <c r="E554" t="n">
        <v>4</v>
      </c>
      <c r="F554" t="n">
        <v>0</v>
      </c>
      <c r="G554" t="n">
        <v>0</v>
      </c>
      <c r="H554" t="n">
        <v>15.1</v>
      </c>
      <c r="I554" t="n">
        <v>29.8</v>
      </c>
      <c r="J554" t="n">
        <v>182579</v>
      </c>
      <c r="K554" t="inlineStr">
        <is>
          <t>{'id': '182579', 'marketValue': '€3.50m', 'marketValueHistory': [{'age': '18', 'date': 'Mar 2, 2013', 'clubName': 'Blackburn Rovers', 'value': '€2.00m', 'clubID': '164'}, {'age': '18', 'date': 'Sep 26, 2013', 'clubName': 'PSV Eindhoven', 'value': '€2.50m', 'clubID': '383'}, {'age': '19', 'date': 'Feb 11, 2014', 'clubName': 'PSV Eindhoven', 'value': '€2.50m', 'clubID': '383'}, {'age': '19', 'date': 'Aug 12, 2014', 'clubName': 'PSV Eindhoven', 'value': '€2.50m', 'clubID': '383'}, {'age': '19', 'date': 'Aug 14, 2014', 'clubName': 'PSV Eindhoven', 'value': '€3.00m', 'clubID': '383'}, {'age': '20', 'date': 'Feb 16, 2015', 'clubName': 'PSV Eindhoven', 'value': '€3.50m', 'clubID': '383'}, {'age': '20', 'date': 'Jul 1, 2015', 'clubName': 'Olympique Marseille', 'value': '€4.00m', 'clubID': '244'}, {'age': '20', 'date': 'Sep 6, 2015', 'clubName': 'Olympique Marseille', 'value': '€5.00m', 'clubID': '244'}, {'age': '21', 'date': 'Feb 4, 2016', 'clubName': 'Olympique Marseille', 'value': '€4.00m', 'clubID': '244'}, {'age': '21', 'date': 'Jul 13, 2016', 'clubName': 'Olympique Marseille', 'value': '€3.00m', 'clubID': '244'}, {'age': '22', 'date': 'Jan 16, 2017', 'clubName': 'Olympique Marseille', 'value': '€3.00m', 'clubID': '244'}, {'age': '22', 'date': 'Jun 1, 2017', 'clubName': 'Olympique Marseille', 'value': '€2.50m', 'clubID': '244'}, {'age': '22', 'date': 'Oct 18, 2017', 'clubName': 'Hertha BSC', 'value': '€4.00m', 'clubID': '44'}, {'age': '23', 'date': 'Dec 28, 2017', 'clubName': 'Hertha BSC', 'value': '€7.50m', 'clubID': '44'}, {'age': '23', 'date': 'Apr 4, 2018', 'clubName': 'Hertha BSC', 'value': '€10.00m', 'clubID': '44'}, {'age': '23', 'date': 'Jun 5, 2018', 'clubName': 'Hertha BSC', 'value': '€10.00m', 'clubID': '44'}, {'age': '23', 'date': 'Aug 22, 2018', 'clubName': 'Hertha BSC', 'value': '€15.00m', 'clubID': '44'}, {'age': '24', 'date': 'Dec 18, 2018', 'clubName': 'Hertha BSC', 'value': '€15.00m', 'clubID': '44'}, {'age': '24', 'date': 'Jun 5, 2019', 'clubName': 'Hertha BSC', 'value': '€15.00m', 'clubID': '44'}, {'age': '25', 'date': 'Dec 17, 2019', 'clubName': 'Hertha BSC', 'value': '€12.00m', 'clubID': '44'}, {'age': '25', 'date': 'Apr 8, 2020', 'clubName': 'Hertha BSC', 'value': '€9.50m', 'clubID': '44'}, {'age': '25', 'date': 'Sep 16, 2020', 'clubName': 'Hertha BSC', 'value': '€8.50m', 'clubID': '44'}, {'age': '25', 'date': 'Oct 8, 2020', 'clubName': 'Sevilla FC', 'value': '€7.50m', 'clubID': '368'}, {'age': '25', 'date': 'Nov 23, 2020', 'clubName': 'Sevilla FC', 'value': '€4.00m', 'clubID': '368'}, {'age': '26', 'date': 'Jan 5, 2021', 'clubName': 'Sevilla FC', 'value': '€3.50m', 'clubID': '368'}, {'age': '26', 'date': 'Jun 10, 2021', 'clubName': 'Sevilla FC', 'value': '€3.00m', 'clubID': '368'}, {'age': '27', 'date': 'Dec 30, 2021', 'clubName': 'Sevilla FC', 'value': '€4.00m', 'clubID': '368'}, {'age': '27', 'date': 'Jun 3, 2022', 'clubName': 'Sevilla FC', 'value': '€5.00m', 'clubID': '368'}, {'age': '27', 'date': 'Nov 7, 2022', 'clubName': 'Sevilla FC', 'value': '€5.00m', 'clubID': '368'}, {'age': '28', 'date': 'Mar 23, 2023', 'clubName': 'Sevilla FC', 'value': '€4.00m', 'clubID': '368'}, {'age': '28', 'date': 'Jun 13, 2023', 'clubName': 'Sevilla FC', 'value': '€4.00m', 'clubID': '368'}, {'age': '28', 'date': 'Oct 12, 2023', 'clubName': 'Al-Jazira (Abu Dhabi)', 'value': '€4.00m', 'clubID': '2524'}, {'age': '29', 'date': 'Mar 8, 2024', 'clubName': 'Al-Jazira (Abu Dhabi)', 'value': '€3.50m', 'clubID': '2524'}], 'ranking': {'Worldwide': '2.586', 'UAE Pro League': '18', 'Al-Jazira': '1', 'Netherlands': '99', 'Centre-Back': '435', 'Year 1994': '163'}, 'updatedAt': datetime.datetime(2024, 5, 23, 22, 32, 1, 628497)}</t>
        </is>
      </c>
      <c r="L554" t="inlineStr">
        <is>
          <t>Netherlands</t>
        </is>
      </c>
      <c r="M554" t="inlineStr">
        <is>
          <t>1994-12-02</t>
        </is>
      </c>
      <c r="N554" t="inlineStr">
        <is>
          <t>Netherlands</t>
        </is>
      </c>
      <c r="O554">
        <f>(5+5)/2</f>
        <v/>
      </c>
      <c r="P554">
        <f>(3.5+3+4)/3</f>
        <v/>
      </c>
    </row>
    <row r="555">
      <c r="A555" t="inlineStr">
        <is>
          <t>Vecino</t>
        </is>
      </c>
      <c r="B555" t="inlineStr">
        <is>
          <t>Inter</t>
        </is>
      </c>
      <c r="C555" t="inlineStr">
        <is>
          <t>Midfielder</t>
        </is>
      </c>
      <c r="D555" t="n">
        <v>124</v>
      </c>
      <c r="E555" t="n">
        <v>4</v>
      </c>
      <c r="F555" t="n">
        <v>0</v>
      </c>
      <c r="G555" t="n">
        <v>0</v>
      </c>
      <c r="H555" t="n">
        <v>18.9</v>
      </c>
      <c r="I555" t="n">
        <v>28.6</v>
      </c>
      <c r="J555" t="n">
        <v>143812</v>
      </c>
      <c r="K555" t="inlineStr">
        <is>
          <t>{'marketValueHistory': [{'date': 'Aug 20, 2010', 'age': '18', 'clubName': 'Central Español FC', 'clubID': '10960', 'value': '€125k'}, {'date': 'Feb 1, 2011', 'age': '19', 'clubName': 'Central Español FC', 'clubID': '10960', 'value': '€250k'}, {'date': 'Aug 24, 2011', 'age': '20', 'clubName': 'Club Nacional', 'clubID': '866', 'value': '€275k'}, {'date': 'Feb 21, 2012', 'age': '20', 'clubName': 'Club Nacional', 'clubID': '866', 'value': '€350k'}, {'date': 'Aug 6, 2012', 'age': '20', 'clubName': 'Club Nacional', 'clubID': '866', 'value': '€500k'}, {'date': 'Feb 12, 2013', 'age': '21', 'clubName': 'ACF Fiorentina', 'clubID': '430', 'value': '€2.30m'}, {'date': 'Jun 19, 2013', 'age': '21', 'clubName': 'ACF Fiorentina', 'clubID': '430', 'value': '€2.30m'}, {'date': 'Jan 7, 2014', 'age': '22', 'clubName': 'ACF Fiorentina', 'clubID': '430', 'value': '€2.30m'}, {'date': 'Jul 1, 2014', 'age': '22', 'clubName': 'ACF Fiorentina', 'clubID': '430', 'value': '€2.50m'}, {'date': 'Jan 7, 2015', 'age': '23', 'clubName': 'FC Empoli', 'clubID': '749', 'value': '€3.20m'}, {'date': 'Jul 1, 2015', 'age': '23', 'clubName': 'ACF Fiorentina', 'clubID': '430', 'value': '€4.20m'}, {'date': 'Nov 5, 2015', 'age': '24', 'clubName': 'ACF Fiorentina', 'clubID': '430', 'value': '€6.00m'}, {'date': 'Jan 4, 2016', 'age': '24', 'clubName': 'ACF Fiorentina', 'clubID': '430', 'value': '€7.50m'}, {'date': 'Apr 1, 2016', 'age': '24', 'clubName': 'ACF Fiorentina', 'clubID': '430', 'value': '€10.00m'}, {'date': 'Jul 15, 2016', 'age': '24', 'clubName': 'ACF Fiorentina', 'clubID': '430', 'value': '€12.00m'}, {'date': 'Jan 2, 2017', 'age': '25', 'clubName': 'ACF Fiorentina', 'clubID': '430', 'value': '€11.00m'}, {'date': 'Jun 8, 2017', 'age': '25', 'clubName': 'ACF Fiorentina', 'clubID': '430', 'value': '€13.00m'}, {'date': 'Oct 13, 2017', 'age': '26', 'clubName': 'Inter Milan', 'clubID': '46', 'value': '€17.00m'}, {'date': 'Dec 29, 2017', 'age': '26', 'clubName': 'Inter Milan', 'clubID': '46', 'value': '€23.00m'}, {'date': 'Jun 7, 2018', 'age': '26', 'clubName': 'Inter Milan', 'clubID': '46', 'value': '€21.00m'}, {'date': 'Oct 12, 2018', 'age': '27', 'clubName': 'Inter Milan', 'clubID': '46', 'value': '€25.00m'}, {'date': 'Dec 20, 2018', 'age': '27', 'clubName': 'Inter Milan', 'clubID': '46', 'value': '€25.00m'}, {'date': 'Jun 6, 2019', 'age': '27', 'clubName': 'Inter Milan', 'clubID': '46', 'value': '€23.00m'}, {'date': 'Dec 12, 2019', 'age': '28', 'clubName': 'Inter Milan', 'clubID': '46', 'value': '€23.00m'}, {'date': 'Apr 8, 2020', 'age': '28', 'clubName': 'Inter Milan', 'clubID': '46', 'value': '€18.50m'}, {'date': 'Aug 25, 2020', 'age': '29', 'clubName': 'Inter Milan', 'clubID': '46', 'value': '€16.00m'}, {'date': 'Dec 29, 2020', 'age': '29', 'clubName': 'Inter Milan', 'clubID': '46', 'value': '€12.00m'}, {'date': 'Jun 3, 2021', 'age': '29', 'clubName': 'Inter Milan', 'clubID': '46', 'value': '€8.00m'}, {'date': 'Dec 28, 2021', 'age': '30', 'clubName': 'Inter Milan', 'clubID': '46', 'value': '€5.00m'}, {'date': 'Jun 7, 2022', 'age': '30', 'clubName': 'Inter Milan', 'clubID': '46', 'value': '€3.50m'}, {'date': 'Nov 11, 2022', 'age': '31', 'clubName': 'SS Lazio', 'clubID': '398', 'value': '€4.50m'}, {'date': 'Jun 15, 2023', 'age': '31', 'clubName': 'SS Lazio', 'clubID': '398', 'value': '€4.50m'}, {'date': 'Dec 20, 2023', 'age': '32', 'clubName': 'SS Lazio', 'clubID': '398', 'value': '€3.00m'}, {'date': 'Jun 5, 2024', 'age': '32', 'clubName': 'SS Lazio', 'clubID': '398', 'value': '€2.50m'}, {'date': 'Dec 18, 2024', 'age': '33', 'clubName': 'SS Lazio', 'clubID': '398', 'value': '€2.50m'}, {'date': 'Jun 17, 2025', 'age': '33', 'clubName': 'SS Lazio', 'clubID': '398', 'value': '€2.00m'}, {'date': 'Dec 23, 2025', 'age': '34', 'clubName': 'SS Lazio', 'clubID': '398', 'value': '€1.50m'}]}</t>
        </is>
      </c>
      <c r="L555" t="inlineStr">
        <is>
          <t>Italy</t>
        </is>
      </c>
      <c r="M555" t="inlineStr">
        <is>
          <t>1991-08-24</t>
        </is>
      </c>
      <c r="N555" t="inlineStr">
        <is>
          <t>Uruguay</t>
        </is>
      </c>
      <c r="O555">
        <f>(3.5+4.5)/2</f>
        <v/>
      </c>
      <c r="P555">
        <f>(8+5)/2</f>
        <v/>
      </c>
    </row>
    <row r="556">
      <c r="A556" t="inlineStr">
        <is>
          <t>Lewicki</t>
        </is>
      </c>
      <c r="B556" t="inlineStr">
        <is>
          <t>Malmo</t>
        </is>
      </c>
      <c r="C556" t="inlineStr">
        <is>
          <t>Midfielder</t>
        </is>
      </c>
      <c r="D556" t="n">
        <v>123</v>
      </c>
      <c r="E556" t="n">
        <v>2</v>
      </c>
      <c r="F556" t="n">
        <v>0</v>
      </c>
      <c r="G556" t="n">
        <v>0</v>
      </c>
      <c r="H556" t="n">
        <v>14.6</v>
      </c>
      <c r="I556" t="n">
        <v>29.9</v>
      </c>
      <c r="J556" t="n">
        <v>76051</v>
      </c>
      <c r="K556" t="inlineStr">
        <is>
          <t>{'marketValueHistory': [{'date': '27/04/2010', 'age': '17', 'clubName': 'FC Bayern Munich U19 ', 'clubID': '27', 'value': '€50k'}, {'date': '31/08/2010', 'age': '18', 'clubName': 'FC Bayern Munich II', 'clubID': '27', 'value': '€100k'}, {'date': '18/10/2010', 'age': '18', 'clubName': 'FC Bayern Munich II', 'clubID': '27', 'value': '€150k'}, {'date': '01/11/2010', 'age': '18', 'clubName': 'FC Bayern Munich II', 'clubID': '27', 'value': '€250k'}, {'date': '30/05/2011', 'age': '18', 'clubName': 'FC Bayern Munich II', 'clubID': '27', 'value': '€250k'}, {'date': '10/11/2011', 'age': '19', 'clubName': 'BK Häcken', 'clubID': '1109', 'value': '€250k'}, {'date': '30/09/2012', 'age': '20', 'clubName': 'BK Häcken', 'clubID': '1109', 'value': '€500k'}, {'date': '26/06/2014', 'age': '21', 'clubName': 'BK Häcken', 'clubID': '1109', 'value': '€700k'}, {'date': '11/04/2015', 'age': '22', 'clubName': 'Malmö FF', 'clubID': '496', 'value': '€1.10m'}, {'date': '14/06/2015', 'age': '22', 'clubName': 'Malmö FF', 'clubID': '496', 'value': '€1.25m'}, {'date': '29/11/2015', 'age': '23', 'clubName': 'Malmö FF', 'clubID': '496', 'value': '€1.50m'}, {'date': '01/06/2016', 'age': '23', 'clubName': 'Malmö FF', 'clubID': '496', 'value': '€1.70m'}, {'date': '11/12/2016', 'age': '24', 'clubName': 'Malmö FF', 'clubID': '496', 'value': '€1.60m'}, {'date': '20/06/2017', 'age': '24', 'clubName': 'Malmö FF', 'clubID': '496', 'value': '€1.60m'}, {'date': '17/11/2017', 'age': '25', 'clubName': 'Malmö FF', 'clubID': '496', 'value': '€1.50m'}, {'date': '20/06/2018', 'age': '25', 'clubName': 'Malmö FF', 'clubID': '496', 'value': '€1.25m'}, {'date': '16/01/2019', 'age': '26', 'clubName': 'Malmö FF', 'clubID': '496', 'value': '€1.20m'}, {'date': '28/06/2019', 'age': '26', 'clubName': 'Malmö FF', 'clubID': '496', 'value': '€1.30m'}, {'date': '20/11/2019', 'age': '27', 'clubName': 'Malmö FF', 'clubID': '496', 'value': '€1.20m'}, {'date': '08/04/2020', 'age': '27', 'clubName': 'Malmö FF', 'clubID': '496', 'value': '€950k'}, {'date': '05/08/2020', 'age': '28', 'clubName': 'Malmö FF', 'clubID': '496', 'value': '€1.10m'}, {'date': '10/12/2020', 'age': '28', 'clubName': 'Malmö FF', 'clubID': '496', 'value': '€1.70m'}, {'date': '09/06/2021', 'age': '28', 'clubName': 'Malmö FF', 'clubID': '496', 'value': '€1.50m'}, {'date': '17/09/2021', 'age': '29', 'clubName': 'Malmö FF', 'clubID': '496', 'value': '€1.70m'}, {'date': '17/12/2021', 'age': '29', 'clubName': 'Malmö FF', 'clubID': '496', 'value': '€1.70m'}, {'date': '24/06/2022', 'age': '29', 'clubName': 'Malmö FF', 'clubID': '496', 'value': '€1.50m'}, {'date': '02/09/2022', 'age': '30', 'clubName': 'Malmö FF', 'clubID': '496', 'value': '€1.20m'}, {'date': '14/12/2022', 'age': '30', 'clubName': 'Malmö FF', 'clubID': '496', 'value': '€1.20m'}, {'date': '27/06/2023', 'age': '30', 'clubName': 'Malmö FF', 'clubID': '496', 'value': '€800k'}, {'date': '13/09/2023', 'age': '31', 'clubName': 'Malmö FF', 'clubID': '496', 'value': '€600k'}, {'date': '08/12/2023', 'age': '31', 'clubName': 'Malmö FF', 'clubID': '496', 'value': '€500k'}, {'date': '13/06/2024', 'age': '31', 'clubName': 'Malmö FF', 'clubID': '496', 'value': '€400k'}, {'date': '20/12/2024', 'age': '32', 'clubName': 'Malmö FF', 'clubID': '496', 'value': '€300k'}, {'date': '18/06/2025', 'age': '32', 'clubName': 'Malmö FF', 'clubID': '496', 'value': '€200k'}, {'date': '19/11/2025', 'age': '33', 'clubName': 'Malmö FF', 'clubID': '496', 'value': '€175k'}, {'date': '19/01/2026', 'age': '33', 'clubName': 'Malmö FF', 'clubID': '496', 'value': '-'}]}</t>
        </is>
      </c>
      <c r="L556" t="inlineStr">
        <is>
          <t>Sweden</t>
        </is>
      </c>
      <c r="M556" t="inlineStr">
        <is>
          <t>1992-07-14</t>
        </is>
      </c>
      <c r="N556" t="inlineStr">
        <is>
          <t>Sweden</t>
        </is>
      </c>
      <c r="O556">
        <f>(1.5+1.2+1.2)/3</f>
        <v/>
      </c>
      <c r="P556">
        <f>(1.5+1.7+1.7)/3</f>
        <v/>
      </c>
    </row>
    <row r="557">
      <c r="A557" t="inlineStr">
        <is>
          <t>Dembele</t>
        </is>
      </c>
      <c r="B557" t="inlineStr">
        <is>
          <t>Barcelona</t>
        </is>
      </c>
      <c r="C557" t="inlineStr">
        <is>
          <t>Forward</t>
        </is>
      </c>
      <c r="D557" t="n">
        <v>122</v>
      </c>
      <c r="E557" t="n">
        <v>3</v>
      </c>
      <c r="F557" t="n">
        <v>0</v>
      </c>
      <c r="G557" t="n">
        <v>0</v>
      </c>
      <c r="H557" t="n">
        <v>14.8</v>
      </c>
      <c r="I557" t="n">
        <v>34</v>
      </c>
      <c r="J557" t="n">
        <v>288230</v>
      </c>
      <c r="K557" t="inlineStr">
        <is>
          <t>{'marketValueHistory': [{'date': '06/10/2015', 'age': '18', 'clubName': 'Stade Rennais FC', 'clubID': '273', 'value': '€250k'}, {'date': '04/02/2016', 'age': '18', 'clubName': 'Stade Rennais FC', 'clubID': '273', 'value': '€3.00m'}, {'date': '09/04/2016', 'age': '18', 'clubName': 'Stade Rennais FC', 'clubID': '273', 'value': '€12.00m'}, {'date': '22/07/2016', 'age': '19', 'clubName': 'Borussia Dortmund', 'clubID': '16', 'value': '€14.00m'}, {'date': '13/10/2016', 'age': '19', 'clubName': 'Borussia Dortmund', 'clubID': '16', 'value': '€18.00m'}, {'date': '07/02/2017', 'age': '19', 'clubName': 'Borussia Dortmund', 'clubID': '16', 'value': '€28.00m'}, {'date': '19/06/2017', 'age': '20', 'clubName': 'Borussia Dortmund', 'clubID': '16', 'value': '€33.00m'}, {'date': '01/01/2018', 'age': '20', 'clubName': 'FC Barcelona', 'clubID': '131', 'value': '€80.00m'}, {'date': '30/05/2018', 'age': '21', 'clubName': 'FC Barcelona', 'clubID': '131', 'value': '€80.00m'}, {'date': '21/12/2018', 'age': '21', 'clubName': 'FC Barcelona', 'clubID': '131', 'value': '€80.00m'}, {'date': '28/02/2019', 'age': '21', 'clubName': 'FC Barcelona', 'clubID': '131', 'value': '€120.00m'}, {'date': '11/06/2019', 'age': '22', 'clubName': 'FC Barcelona', 'clubID': '131', 'value': '€100.00m'}, {'date': '20/12/2019', 'age': '22', 'clubName': 'FC Barcelona', 'clubID': '131', 'value': '€75.00m'}, {'date': '05/03/2020', 'age': '22', 'clubName': 'FC Barcelona', 'clubID': '131', 'value': '€70.00m'}, {'date': '08/04/2020', 'age': '22', 'clubName': 'FC Barcelona', 'clubID': '131', 'value': '€56.00m'}, {'date': '08/10/2020', 'age': '23', 'clubName': 'FC Barcelona', 'clubID': '131', 'value': '€50.00m'}, {'date': '05/01/2021', 'age': '23', 'clubName': 'FC Barcelona', 'clubID': '131', 'value': '€50.00m'}, {'date': '01/06/2021', 'age': '24', 'clubName': 'FC Barcelona', 'clubID': '131', 'value': '€50.00m'}, {'date': '30/12/2021', 'age': '24', 'clubName': 'FC Barcelona', 'clubID': '131', 'value': '€30.00m'}, {'date': '03/06/2022', 'age': '25', 'clubName': 'FC Barcelona', 'clubID': '131', 'value': '€30.00m'}, {'date': '23/09/2022', 'age': '25', 'clubName': 'FC Barcelona', 'clubID': '131', 'value': '€50.00m'}, {'date': '07/11/2022', 'age': '25', 'clubName': 'FC Barcelona', 'clubID': '131', 'value': '€60.00m'}, {'date': '13/06/2023', 'age': '26', 'clubName': 'FC Barcelona', 'clubID': '131', 'value': '€60.00m'}, {'date': '18/12/2023', 'age': '26', 'clubName': 'Paris Saint-Germain', 'clubID': '583', 'value': '€60.00m'}, {'date': '03/06/2024', 'age': '27', 'clubName': 'Paris Saint-Germain', 'clubID': '583', 'value': '€60.00m'}, {'date': '10/12/2024', 'age': '27', 'clubName': 'Paris Saint-Germain', 'clubID': '583', 'value': '€55.00m'}, {'date': '24/03/2025', 'age': '27', 'clubName': 'Paris Saint-Germain', 'clubID': '583', 'value': '€75.00m'}, {'date': '03/06/2025', 'age': '28', 'clubName': 'Paris Saint-Germain', 'clubID': '583', 'value': '€90.00m'}, {'date': '10/10/2025', 'age': '28', 'clubName': 'Paris Saint-Germain', 'clubID': '583', 'value': '€100.00m'}, {'date': '15/12/2025', 'age': '28', 'clubName': 'Paris Saint-Germain', 'clubID': '583', 'value': '€100.00m'}]}</t>
        </is>
      </c>
      <c r="L557" t="inlineStr">
        <is>
          <t>France</t>
        </is>
      </c>
      <c r="M557" t="inlineStr">
        <is>
          <t>1997-05-15</t>
        </is>
      </c>
      <c r="N557" t="inlineStr">
        <is>
          <t>58</t>
        </is>
      </c>
      <c r="O557">
        <f>(30+50+60)/3</f>
        <v/>
      </c>
      <c r="P557">
        <f>(50+50+30)/3</f>
        <v/>
      </c>
    </row>
    <row r="558">
      <c r="A558" t="inlineStr">
        <is>
          <t>Lamela</t>
        </is>
      </c>
      <c r="B558" t="inlineStr">
        <is>
          <t>Sevilla</t>
        </is>
      </c>
      <c r="C558" t="inlineStr">
        <is>
          <t>Forward</t>
        </is>
      </c>
      <c r="D558" t="n">
        <v>119</v>
      </c>
      <c r="E558" t="n">
        <v>4</v>
      </c>
      <c r="F558" t="n">
        <v>0</v>
      </c>
      <c r="G558" t="n">
        <v>0</v>
      </c>
      <c r="H558" t="n">
        <v>17.6</v>
      </c>
      <c r="I558" t="n">
        <v>32.9</v>
      </c>
      <c r="J558" t="n">
        <v>111630</v>
      </c>
      <c r="K558" t="inlineStr">
        <is>
          <t>{'marketValueHistory': [{'date': '06/10/2009', 'age': '17', 'clubName': 'CA River Plate II', 'clubID': '15108', 'value': '€100k'}, {'date': '20/04/2010', 'age': '18', 'clubName': 'CA River Plate II', 'clubID': '15108', 'value': '€100k'}, {'date': '01/01/2011', 'age': '18', 'clubName': 'CA River Plate', 'clubID': '15108', 'value': '€4.00m'}, {'date': '28/06/2011', 'age': '19', 'clubName': 'CA River Plate', 'clubID': '15108', 'value': '€5.00m'}, {'date': '21/09/2011', 'age': '19', 'clubName': 'AS Roma', 'clubID': '12', 'value': '€12.50m'}, {'date': '11/01/2012', 'age': '19', 'clubName': 'AS Roma', 'clubID': '12', 'value': '€13.00m'}, {'date': '08/06/2012', 'age': '20', 'clubName': 'AS Roma', 'clubID': '12', 'value': '€14.50m'}, {'date': '07/11/2012', 'age': '20', 'clubName': 'AS Roma', 'clubID': '12', 'value': '€18.00m'}, {'date': '14/01/2013', 'age': '20', 'clubName': 'AS Roma', 'clubID': '12', 'value': '€22.00m'}, {'date': '19/06/2013', 'age': '21', 'clubName': 'AS Roma', 'clubID': '12', 'value': '€23.00m'}, {'date': '18/09/2013', 'age': '21', 'clubName': 'Tottenham Hotspur', 'clubID': '148', 'value': '€30.00m'}, {'date': '15/01/2014', 'age': '21', 'clubName': 'Tottenham Hotspur', 'clubID': '148', 'value': '€24.00m'}, {'date': '12/08/2014', 'age': '22', 'clubName': 'Tottenham Hotspur', 'clubID': '148', 'value': '€24.00m'}, {'date': '12/02/2015', 'age': '22', 'clubName': 'Tottenham Hotspur', 'clubID': '148', 'value': '€22.00m'}, {'date': '01/07/2015', 'age': '23', 'clubName': 'Tottenham Hotspur', 'clubID': '148', 'value': '€22.00m'}, {'date': '09/02/2016', 'age': '23', 'clubName': 'Tottenham Hotspur', 'clubID': '148', 'value': '€24.00m'}, {'date': '01/08/2016', 'age': '24', 'clubName': 'Tottenham Hotspur', 'clubID': '148', 'value': '€26.00m'}, {'date': '20/02/2017', 'age': '24', 'clubName': 'Tottenham Hotspur', 'clubID': '148', 'value': '€26.00m'}, {'date': '28/06/2017', 'age': '25', 'clubName': 'Tottenham Hotspur', 'clubID': '148', 'value': '€25.00m'}, {'date': '02/01/2018', 'age': '25', 'clubName': 'Tottenham Hotspur', 'clubID': '148', 'value': '€25.00m'}, {'date': '28/05/2018', 'age': '26', 'clubName': 'Tottenham Hotspur', 'clubID': '148', 'value': '€20.00m'}, {'date': '19/12/2018', 'age': '26', 'clubName': 'Tottenham Hotspur', 'clubID': '148', 'value': '€20.00m'}, {'date': '13/06/2019', 'age': '27', 'clubName': 'Tottenham Hotspur', 'clubID': '148', 'value': '€18.00m'}, {'date': '12/09/2019', 'age': '27', 'clubName': 'Tottenham Hotspur', 'clubID': '148', 'value': '€22.00m'}, {'date': '10/12/2019', 'age': '27', 'clubName': 'Tottenham Hotspur', 'clubID': '148', 'value': '€22.00m'}, {'date': '09/03/2020', 'age': '28', 'clubName': 'Tottenham Hotspur', 'clubID': '148', 'value': '€20.00m'}, {'date': '08/04/2020', 'age': '28', 'clubName': 'Tottenham Hotspur', 'clubID': '148', 'value': '€16.00m'}, {'date': '13/10/2020', 'age': '28', 'clubName': 'Tottenham Hotspur', 'clubID': '148', 'value': '€16.00m'}, {'date': '18/03/2021', 'age': '29', 'clubName': 'Tottenham Hotspur', 'clubID': '148', 'value': '€16.00m'}, {'date': '08/06/2021', 'age': '29', 'clubName': 'Tottenham Hotspur', 'clubID': '148', 'value': '€16.00m'}, {'date': '13/10/2021', 'age': '29', 'clubName': 'Sevilla FC', 'clubID': '368', 'value': '€20.00m'}, {'date': '30/12/2021', 'age': '29', 'clubName': 'Sevilla FC', 'clubID': '368', 'value': '€20.00m'}, {'date': '03/06/2022', 'age': '30', 'clubName': 'Sevilla FC', 'clubID': '368', 'value': '€16.00m'}, {'date': '07/11/2022', 'age': '30', 'clubName': 'Sevilla FC', 'clubID': '368', 'value': '€14.00m'}, {'date': '23/03/2023', 'age': '31', 'clubName': 'Sevilla FC', 'clubID': '368', 'value': '€10.00m'}, {'date': '13/06/2023', 'age': '31', 'clubName': 'Sevilla FC', 'clubID': '368', 'value': '€9.00m'}, {'date': '13/10/2023', 'age': '31', 'clubName': 'Sevilla FC', 'clubID': '368', 'value': '€7.00m'}, {'date': '22/12/2023', 'age': '31', 'clubName': 'Sevilla FC', 'clubID': '368', 'value': '€5.00m'}, {'date': '21/03/2024', 'age': '32', 'clubName': 'Sevilla FC', 'clubID': '368', 'value': '€3.00m'}, {'date': '07/06/2024', 'age': '32', 'clubName': 'Sevilla FC', 'clubID': '368', 'value': '€2.00m'}, {'date': '26/09/2024', 'age': '32', 'clubName': 'AEK Athens', 'clubID': '2441', 'value': '€1.80m'}, {'date': '18/12/2024', 'age': '32', 'clubName': 'AEK Athens', 'clubID': '2441', 'value': '€1.50m'}, {'date': '23/05/2025', 'age': '33', 'clubName': 'AEK Athens', 'clubID': '2441', 'value': '€1.20m'}, {'date': '14/08/2025', 'age': '33', 'clubName': 'Retired', 'clubID': '123', 'value': '-'}]}</t>
        </is>
      </c>
      <c r="L558" t="inlineStr">
        <is>
          <t>Argentina</t>
        </is>
      </c>
      <c r="M558" t="inlineStr">
        <is>
          <t>1992-03-04</t>
        </is>
      </c>
      <c r="N558" t="inlineStr">
        <is>
          <t>Argentina</t>
        </is>
      </c>
      <c r="O558">
        <f>(16+14)/2</f>
        <v/>
      </c>
      <c r="P558">
        <f>(16+16+20+20)/4</f>
        <v/>
      </c>
    </row>
    <row r="559">
      <c r="A559" t="inlineStr">
        <is>
          <t>Waldschmidt</t>
        </is>
      </c>
      <c r="B559" t="inlineStr">
        <is>
          <t>Wolfsburg</t>
        </is>
      </c>
      <c r="C559" t="inlineStr">
        <is>
          <t>Forward</t>
        </is>
      </c>
      <c r="D559" t="n">
        <v>119</v>
      </c>
      <c r="E559" t="n">
        <v>3</v>
      </c>
      <c r="F559" t="n">
        <v>0</v>
      </c>
      <c r="G559" t="n">
        <v>0</v>
      </c>
      <c r="H559" t="n">
        <v>15.6</v>
      </c>
      <c r="I559" t="n">
        <v>30.9</v>
      </c>
      <c r="J559" t="n">
        <v>196095</v>
      </c>
      <c r="K559" t="inlineStr">
        <is>
          <t>{'marketValueHistory': [{'date': 'May 18, 2014', 'age': '17', 'clubName': 'Eintracht Frankfurt U19', 'clubID': '5372', 'value': '€500k'}, {'date': 'Jul 10, 2014', 'age': '18', 'clubName': 'Eintracht Frankfurt', 'clubID': '24', 'value': '€500k'}, {'date': 'Feb 4, 2015', 'age': '18', 'clubName': 'Eintracht Frankfurt', 'clubID': '24', 'value': '€500k'}, {'date': 'Jul 1, 2015', 'age': '19', 'clubName': 'Eintracht Frankfurt', 'clubID': '24', 'value': '€500k'}, {'date': 'Oct 16, 2015', 'age': '19', 'clubName': 'Eintracht Frankfurt', 'clubID': '24', 'value': '€1.00m'}, {'date': 'Feb 15, 2016', 'age': '19', 'clubName': 'Eintracht Frankfurt', 'clubID': '24', 'value': '€1.00m'}, {'date': 'Jul 22, 2016', 'age': '20', 'clubName': 'Hamburger SV', 'clubID': '41', 'value': '€1.50m'}, {'date': 'Feb 7, 2017', 'age': '20', 'clubName': 'Hamburger SV', 'clubID': '41', 'value': '€1.50m'}, {'date': 'Jun 19, 2017', 'age': '21', 'clubName': 'Hamburger SV', 'clubID': '41', 'value': '€1.50m'}, {'date': 'Dec 28, 2017', 'age': '21', 'clubName': 'Hamburger SV', 'clubID': '41', 'value': '€1.50m'}, {'date': 'Jun 5, 2018', 'age': '22', 'clubName': 'Hamburger SV', 'clubID': '41', 'value': '€2.50m'}, {'date': 'Aug 22, 2018', 'age': '22', 'clubName': 'SC Freiburg', 'clubID': '60', 'value': '€4.00m'}, {'date': 'Dec 18, 2018', 'age': '22', 'clubName': 'SC Freiburg', 'clubID': '60', 'value': '€6.00m'}, {'date': 'Mar 6, 2019', 'age': '22', 'clubName': 'SC Freiburg', 'clubID': '60', 'value': '€10.00m'}, {'date': 'Jun 5, 2019', 'age': '23', 'clubName': 'SC Freiburg', 'clubID': '60', 'value': '€12.00m'}, {'date': 'Oct 2, 2019', 'age': '23', 'clubName': 'SC Freiburg', 'clubID': '60', 'value': '€20.00m'}, {'date': 'Dec 17, 2019', 'age': '23', 'clubName': 'SC Freiburg', 'clubID': '60', 'value': '€20.00m'}, {'date': 'Apr 8, 2020', 'age': '23', 'clubName': 'SC Freiburg', 'clubID': '60', 'value': '€16.00m'}, {'date': 'Oct 22, 2020', 'age': '24', 'clubName': 'SL Benfica', 'clubID': '294', 'value': '€16.00m'}, {'date': 'Jan 28, 2021', 'age': '24', 'clubName': 'SL Benfica', 'clubID': '294', 'value': '€17.00m'}, {'date': 'May 21, 2021', 'age': '25', 'clubName': 'SL Benfica', 'clubID': '294', 'value': '€15.00m'}, {'date': 'Oct 7, 2021', 'age': '25', 'clubName': 'VfL Wolfsburg', 'clubID': '82', 'value': '€12.00m'}, {'date': 'Dec 22, 2021', 'age': '25', 'clubName': 'VfL Wolfsburg', 'clubID': '82', 'value': '€10.00m'}, {'date': 'Mar 24, 2022', 'age': '25', 'clubName': 'VfL Wolfsburg', 'clubID': '82', 'value': '€7.00m'}, {'date': 'Jun 9, 2022', 'age': '26', 'clubName': 'VfL Wolfsburg', 'clubID': '82', 'value': '€7.00m'}, {'date': 'Nov 9, 2022', 'age': '26', 'clubName': 'VfL Wolfsburg', 'clubID': '82', 'value': '€4.50m'}, {'date': 'Mar 29, 2023', 'age': '26', 'clubName': 'VfL Wolfsburg', 'clubID': '82', 'value': '€3.00m'}, {'date': 'Jun 22, 2023', 'age': '27', 'clubName': 'VfL Wolfsburg', 'clubID': '82', 'value': '€3.00m'}, {'date': 'Dec 14, 2023', 'age': '27', 'clubName': '1.FC Köln', 'clubID': '3', 'value': '€3.00m'}, {'date': 'May 29, 2024', 'age': '28', 'clubName': '1.FC Köln', 'clubID': '3', 'value': '€2.50m'}, {'date': 'Sep 25, 2024', 'age': '28', 'clubName': '1.FC Köln', 'clubID': '3', 'value': '€1.50m'}, {'date': 'Dec 19, 2024', 'age': '28', 'clubName': '1.FC Köln', 'clubID': '3', 'value': '€1.50m'}, {'date': 'Jun 19, 2025', 'age': '29', 'clubName': '1.FC Köln', 'clubID': '3', 'value': '€2.00m'}, {'date': 'Dec 19, 2025', 'age': '29', 'clubName': '1.FC Köln', 'clubID': '3', 'value': '€2.00m'}]}</t>
        </is>
      </c>
      <c r="L559" t="inlineStr">
        <is>
          <t>Germany</t>
        </is>
      </c>
      <c r="M559" t="inlineStr">
        <is>
          <t>1996-05-19</t>
        </is>
      </c>
      <c r="N559" t="inlineStr">
        <is>
          <t>Germany</t>
        </is>
      </c>
      <c r="O559">
        <f>(7+7+4.5)/3</f>
        <v/>
      </c>
      <c r="P559">
        <f>(17+15+12+10)/4</f>
        <v/>
      </c>
    </row>
    <row r="560">
      <c r="A560" t="inlineStr">
        <is>
          <t>Rebic</t>
        </is>
      </c>
      <c r="B560" t="inlineStr">
        <is>
          <t>Milan</t>
        </is>
      </c>
      <c r="C560" t="inlineStr">
        <is>
          <t>Forward</t>
        </is>
      </c>
      <c r="D560" t="n">
        <v>117</v>
      </c>
      <c r="E560" t="n">
        <v>2</v>
      </c>
      <c r="F560" t="n">
        <v>1</v>
      </c>
      <c r="G560" t="n">
        <v>0</v>
      </c>
      <c r="H560" t="n">
        <v>13</v>
      </c>
      <c r="I560" t="n">
        <v>33.4</v>
      </c>
      <c r="J560" t="n">
        <v>187587</v>
      </c>
      <c r="K560" t="inlineStr">
        <is>
          <t>{'id': '187587', 'marketValue': '€3.20m', 'marketValueHistory': [{'age': '17', 'date': 'Aug 29, 2011', 'clubName': 'RNK Split', 'value': '€300k', 'clubID': '420'}, {'age': '18', 'date': 'Feb 29, 2012', 'clubName': 'RNK Split', 'value': '€650k', 'clubID': '420'}, {'age': '19', 'date': 'Sep 30, 2012', 'clubName': 'RNK Split', 'value': '€650k', 'clubID': '420'}, {'age': '19', 'date': 'Mar 3, 2013', 'clubName': 'RNK Split', 'value': '€1.00m', 'clubID': '420'}, {'age': '19', 'date': 'Sep 4, 2013', 'clubName': 'ACF Fiorentina', 'value': '€4.50m', 'clubID': '430'}, {'age': '20', 'date': 'Jan 7, 2014', 'clubName': 'ACF Fiorentina', 'value': '€4.50m', 'clubID': '430'}, {'age': '20', 'date': 'Jul 11, 2014', 'clubName': 'ACF Fiorentina', 'value': '€4.00m', 'clubID': '430'}, {'age': '21', 'date': 'Oct 1, 2014', 'clubName': 'RB Leipzig', 'value': '€3.50m', 'clubID': '23826'}, {'age': '21', 'date': 'Jan 13, 2015', 'clubName': 'RB Leipzig', 'value': '€2.50m', 'clubID': '23826'}, {'age': '21', 'date': 'Jul 1, 2015', 'clubName': 'ACF Fiorentina', 'value': '€1.50m', 'clubID': '430'}, {'age': '22', 'date': 'Jan 4, 2016', 'clubName': 'ACF Fiorentina', 'value': '€1.00m', 'clubID': '430'}, {'age': '22', 'date': 'Jul 22, 2016', 'clubName': 'Eintracht Frankfurt', 'value': '€900k', 'clubID': '24'}, {'age': '23', 'date': 'Feb 7, 2017', 'clubName': 'Eintracht Frankfurt', 'value': '€900k', 'clubID': '24'}, {'age': '23', 'date': 'Mar 22, 2017', 'clubName': 'Eintracht Frankfurt', 'value': '€1.50m', 'clubID': '24'}, {'age': '23', 'date': 'Jun 19, 2017', 'clubName': 'Eintracht Frankfurt', 'value': '€2.50m', 'clubID': '24'}, {'age': '24', 'date': 'Dec 28, 2017', 'clubName': 'Eintracht Frankfurt', 'value': '€4.50m', 'clubID': '24'}, {'age': '24', 'date': 'Apr 4, 2018', 'clubName': 'Eintracht Frankfurt', 'value': '€8.50m', 'clubID': '24'}, {'age': '24', 'date': 'Jun 5, 2018', 'clubName': 'Eintracht Frankfurt', 'value': '€10.00m', 'clubID': '24'}, {'age': '24', 'date': 'Jul 16, 2018', 'clubName': 'Eintracht Frankfurt', 'value': '€30.00m', 'clubID': '24'}, {'age': '25', 'date': 'Dec 18, 2018', 'clubName': 'Eintracht Frankfurt', 'value': '€35.00m', 'clubID': '24'}, {'age': '25', 'date': 'Jun 5, 2019', 'clubName': 'Eintracht Frankfurt', 'value': '€40.00m', 'clubID': '24'}, {'age': '26', 'date': 'Dec 12, 2019', 'clubName': 'AC Milan', 'value': '€30.00m', 'clubID': '5'}, {'age': '26', 'date': 'Apr 8, 2020', 'clubName': 'AC Milan', 'value': '€24.00m', 'clubID': '5'}, {'age': '26', 'date': 'Aug 25, 2020', 'clubName': 'AC Milan', 'value': '€32.00m', 'clubID': '5'}, {'age': '27', 'date': 'Dec 29, 2020', 'clubName': 'AC Milan', 'value': '€32.00m', 'clubID': '5'}, {'age': '27', 'date': 'May 28, 2021', 'clubName': 'AC Milan', 'value': '€32.00m', 'clubID': '5'}, {'age': '28', 'date': 'Dec 28, 2021', 'clubName': 'AC Milan', 'value': '€27.00m', 'clubID': '5'}, {'age': '28', 'date': 'Mar 15, 2022', 'clubName': 'AC Milan', 'value': '€22.00m', 'clubID': '5'}, {'age': '28', 'date': 'Jun 7, 2022', 'clubName': 'AC Milan', 'value': '€17.00m', 'clubID': '5'}, {'age': '29', 'date': 'Nov 11, 2022', 'clubName': 'AC Milan', 'value': '€13.00m', 'clubID': '5'}, {'age': '29', 'date': 'Mar 21, 2023', 'clubName': 'AC Milan', 'value': '€10.00m', 'clubID': '5'}, {'age': '29', 'date': 'Jun 15, 2023', 'clubName': 'AC Milan', 'value': '€6.00m', 'clubID': '5'}, {'age': '30', 'date': 'Sep 27, 2023', 'clubName': 'Besiktas JK', 'value': '€5.00m', 'clubID': '114'}, {'age': '30', 'date': 'Dec 21, 2023', 'clubName': 'Besiktas JK', 'value': '€4.20m', 'clubID': '114'}, {'age': '30', 'date': 'Mar 15, 2024', 'clubName': 'Besiktas JK', 'value': '€3.20m', 'clubID': '114'}], 'ranking': {'Worldwide': '2.830', 'Süper Lig': '76', 'Besiktas': '16', 'Croatia': '49', 'Left Winger': '257', 'Year 1993': '129'}, 'updatedAt': datetime.datetime(2024, 5, 23, 22, 27, 34, 61819)}</t>
        </is>
      </c>
      <c r="L560" t="inlineStr">
        <is>
          <t>Croatia</t>
        </is>
      </c>
      <c r="M560" t="inlineStr">
        <is>
          <t>1993-09-21</t>
        </is>
      </c>
      <c r="N560" t="inlineStr">
        <is>
          <t>Croatia</t>
        </is>
      </c>
      <c r="O560">
        <f>(22+17+13)/3</f>
        <v/>
      </c>
      <c r="P560">
        <f>(32+27)/2</f>
        <v/>
      </c>
    </row>
    <row r="561">
      <c r="A561" t="inlineStr">
        <is>
          <t>Lingard</t>
        </is>
      </c>
      <c r="B561" t="inlineStr">
        <is>
          <t>Man United</t>
        </is>
      </c>
      <c r="C561" t="inlineStr">
        <is>
          <t>Midfielder</t>
        </is>
      </c>
      <c r="D561" t="n">
        <v>116</v>
      </c>
      <c r="E561" t="n">
        <v>4</v>
      </c>
      <c r="F561" t="n">
        <v>0</v>
      </c>
      <c r="G561" t="n">
        <v>1</v>
      </c>
      <c r="H561" t="n">
        <v>14</v>
      </c>
      <c r="I561" t="n">
        <v>32.3</v>
      </c>
      <c r="J561" t="n">
        <v>141660</v>
      </c>
      <c r="K561" t="inlineStr">
        <is>
          <t>{'marketValueHistory': [{'date': '08/10/2013', 'age': '20', 'clubName': 'Birmingham City', 'clubID': '337', 'value': '€1.00m'}, {'date': '24/02/2015', 'age': '22', 'clubName': 'Derby County', 'clubID': '22', 'value': '€1.00m'}, {'date': '01/07/2015', 'age': '22', 'clubName': 'Manchester United', 'clubID': '985', 'value': '€1.00m'}, {'date': '09/02/2016', 'age': '23', 'clubName': 'Manchester United', 'clubID': '985', 'value': '€5.00m'}, {'date': '01/08/2016', 'age': '23', 'clubName': 'Manchester United', 'clubID': '985', 'value': '€6.00m'}, {'date': '24/10/2016', 'age': '23', 'clubName': 'Manchester United', 'clubID': '985', 'value': '€9.00m'}, {'date': '20/02/2017', 'age': '24', 'clubName': 'Manchester United', 'clubID': '985', 'value': '€9.00m'}, {'date': '28/06/2017', 'age': '24', 'clubName': 'Manchester United', 'clubID': '985', 'value': '€12.00m'}, {'date': '02/01/2018', 'age': '25', 'clubName': 'Manchester United', 'clubID': '985', 'value': '€25.00m'}, {'date': '28/05/2018', 'age': '25', 'clubName': 'Manchester United', 'clubID': '985', 'value': '€35.00m'}, {'date': '16/07/2018', 'age': '25', 'clubName': 'Manchester United', 'clubID': '985', 'value': '€40.00m'}, {'date': '19/12/2018', 'age': '26', 'clubName': 'Manchester United', 'clubID': '985', 'value': '€40.00m'}, {'date': '13/06/2019', 'age': '26', 'clubName': 'Manchester United', 'clubID': '985', 'value': '€40.00m'}, {'date': '10/12/2019', 'age': '26', 'clubName': 'Manchester United', 'clubID': '985', 'value': '€32.00m'}, {'date': '09/03/2020', 'age': '27', 'clubName': 'Manchester United', 'clubID': '985', 'value': '€22.00m'}, {'date': '08/04/2020', 'age': '27', 'clubName': 'Manchester United', 'clubID': '985', 'value': '€17.50m'}, {'date': '13/10/2020', 'age': '27', 'clubName': 'Manchester United', 'clubID': '985', 'value': '€14.00m'}, {'date': '17/12/2020', 'age': '28', 'clubName': 'Manchester United', 'clubID': '985', 'value': '€10.00m'}, {'date': '18/03/2021', 'age': '28', 'clubName': 'West Ham United', 'clubID': '379', 'value': '€15.00m'}, {'date': '28/05/2021', 'age': '28', 'clubName': 'West Ham United', 'clubID': '379', 'value': '€22.00m'}, {'date': '23/12/2021', 'age': '29', 'clubName': 'Manchester United', 'clubID': '985', 'value': '€20.00m'}, {'date': '15/06/2022', 'age': '29', 'clubName': 'Manchester United', 'clubID': '985', 'value': '€18.00m'}, {'date': '03/11/2022', 'age': '29', 'clubName': 'Nottingham Forest', 'clubID': '703', 'value': '€14.00m'}, {'date': '16/03/2023', 'age': '30', 'clubName': 'Nottingham Forest', 'clubID': '703', 'value': '€12.00m'}, {'date': '20/06/2023', 'age': '30', 'clubName': 'Nottingham Forest', 'clubID': '703', 'value': '€8.00m'}, {'date': '25/10/2023', 'age': '30', 'clubName': 'Without Club', 'clubID': '515', 'value': '€6.00m'}, {'date': '14/06/2024', 'age': '31', 'clubName': 'FC Seoul', 'clubID': '6500', 'value': '€5.00m'}, {'date': '05/12/2024', 'age': '31', 'clubName': 'FC Seoul', 'clubID': '6500', 'value': '€4.00m'}, {'date': '03/06/2025', 'age': '32', 'clubName': 'FC Seoul', 'clubID': '6500', 'value': '€3.00m'}, {'date': '16/12/2025', 'age': '33', 'clubName': 'FC Seoul', 'clubID': '6500', 'value': '€2.20m'}]}</t>
        </is>
      </c>
      <c r="L561" t="inlineStr">
        <is>
          <t>United Kingdom</t>
        </is>
      </c>
      <c r="M561" t="inlineStr">
        <is>
          <t>1992-12-15</t>
        </is>
      </c>
      <c r="N561" t="inlineStr">
        <is>
          <t>England</t>
        </is>
      </c>
      <c r="O561">
        <f>(18+14)/2</f>
        <v/>
      </c>
      <c r="P561">
        <f>(15+22+20)/3</f>
        <v/>
      </c>
    </row>
    <row r="562">
      <c r="A562" t="inlineStr">
        <is>
          <t>Abubakari</t>
        </is>
      </c>
      <c r="B562" t="inlineStr">
        <is>
          <t>Malmo</t>
        </is>
      </c>
      <c r="C562" t="inlineStr">
        <is>
          <t>Forward</t>
        </is>
      </c>
      <c r="D562" t="n">
        <v>116</v>
      </c>
      <c r="E562" t="n">
        <v>4</v>
      </c>
      <c r="F562" t="n">
        <v>0</v>
      </c>
      <c r="G562" t="n">
        <v>0</v>
      </c>
      <c r="H562" t="n">
        <v>15.3</v>
      </c>
      <c r="I562" t="n">
        <v>31.4</v>
      </c>
      <c r="J562" t="n">
        <v>4326</v>
      </c>
      <c r="K562" t="inlineStr">
        <is>
          <t>{'marketValueHistory': [{'date': 'Oct 4, 2004', 'age': '22', 'clubName': 'Vitesse Arnhem', 'clubID': '499', 'value': '€1.50m'}, {'date': 'Oct 10, 2007', 'age': '25', 'clubName': 'Vitesse Arnhem', 'clubID': '499', 'value': '€1.50m'}, {'date': 'Aug 3, 2008', 'age': '26', 'clubName': 'Vitesse Arnhem', 'clubID': '499', 'value': '€1.20m'}, {'date': 'Dec 2, 2008', 'age': '26', 'clubName': 'Vitesse Arnhem', 'clubID': '499', 'value': '€1.00m'}, {'date': 'Jun 8, 2009', 'age': '27', 'clubName': 'Vitesse Arnhem', 'clubID': '499', 'value': '€900k'}, {'date': 'Sep 22, 2012', 'age': '30', 'clubName': 'Without Club', 'clubID': '515', 'value': '-'}]}</t>
        </is>
      </c>
      <c r="L562" t="inlineStr">
        <is>
          <t>Ghana</t>
        </is>
      </c>
      <c r="M562" t="inlineStr">
        <is>
          <t>1981-12-13</t>
        </is>
      </c>
      <c r="N562" t="inlineStr">
        <is>
          <t>13</t>
        </is>
      </c>
    </row>
    <row r="563">
      <c r="A563" t="inlineStr">
        <is>
          <t>Brobbey</t>
        </is>
      </c>
      <c r="B563" t="inlineStr">
        <is>
          <t>Ajax</t>
        </is>
      </c>
      <c r="C563" t="inlineStr">
        <is>
          <t>Forward</t>
        </is>
      </c>
      <c r="D563" t="n">
        <v>115</v>
      </c>
      <c r="E563" t="n">
        <v>5</v>
      </c>
      <c r="F563" t="n">
        <v>0</v>
      </c>
      <c r="G563" t="n">
        <v>0</v>
      </c>
      <c r="H563" t="n">
        <v>14.3</v>
      </c>
      <c r="I563" t="n">
        <v>33.1</v>
      </c>
      <c r="J563" t="n">
        <v>473169</v>
      </c>
      <c r="K563" t="inlineStr">
        <is>
          <t>{'id': '473169', 'marketValue': '€25.00m', 'marketValueHistory': [{'age': '17', 'date': 'Jul 1, 2019', 'clubName': 'Ajax Amsterdam U21', 'value': '€1.00m', 'clubID': '8817'}, {'age': '18', 'date': 'Apr 8, 2020', 'clubName': 'Ajax Amsterdam U21', 'value': '€900k', 'clubID': '8817'}, {'age': '18', 'date': 'Jun 29, 2020', 'clubName': 'Ajax Amsterdam U21', 'value': '€2.00m', 'clubID': '8817'}, {'age': '18', 'date': 'Oct 24, 2020', 'clubName': 'Ajax Amsterdam U21', 'value': '€3.00m', 'clubID': '8817'}, {'age': '18', 'date': 'Dec 31, 2020', 'clubName': 'Ajax Amsterdam U21', 'value': '€4.00m', 'clubID': '8817'}, {'age': '19', 'date': 'Mar 16, 2021', 'clubName': 'Ajax Amsterdam U21', 'value': '€6.00m', 'clubID': '8817'}, {'age': '19', 'date': 'May 19, 2021', 'clubName': 'Ajax Amsterdam U21', 'value': '€7.50m', 'clubID': '8817'}, {'age': '19', 'date': 'Dec 22, 2021', 'clubName': 'RB Leipzig', 'value': '€7.50m', 'clubID': '23826'}, {'age': '20', 'date': 'Jun 8, 2022', 'clubName': 'Ajax Amsterdam', 'value': '€9.00m', 'clubID': '610'}, {'age': '20', 'date': 'Sep 14, 2022', 'clubName': 'Ajax Amsterdam', 'value': '€14.00m', 'clubID': '610'}, {'age': '20', 'date': 'Nov 11, 2022', 'clubName': 'Ajax Amsterdam', 'value': '€14.00m', 'clubID': '610'}, {'age': '21', 'date': 'Mar 17, 2023', 'clubName': 'Ajax Amsterdam', 'value': '€13.00m', 'clubID': '610'}, {'age': '21', 'date': 'Jun 23, 2023', 'clubName': 'Ajax Amsterdam', 'value': '€12.00m', 'clubID': '610'}, {'age': '21', 'date': 'Dec 15, 2023', 'clubName': 'Ajax Amsterdam', 'value': '€15.00m', 'clubID': '610'}, {'age': '22', 'date': 'Mar 18, 2024', 'clubName': 'Ajax Amsterdam', 'value': '€25.00m', 'clubID': '610'}], 'ranking': {'Worldwide': '325', 'Eredivisie': '8', 'Ajax': '1', 'Netherlands': '20', 'Centre-Forward': '46', 'Year 2002': '25'}, 'updatedAt': datetime.datetime(2024, 5, 23, 22, 30, 54, 253903)}</t>
        </is>
      </c>
      <c r="L563" t="inlineStr">
        <is>
          <t>Netherlands</t>
        </is>
      </c>
      <c r="M563" t="inlineStr">
        <is>
          <t>2002-02-01</t>
        </is>
      </c>
      <c r="N563" t="inlineStr">
        <is>
          <t>Netherlands</t>
        </is>
      </c>
      <c r="O563">
        <f>(9+14+14)/3</f>
        <v/>
      </c>
      <c r="P563">
        <f>(6+7.5+7.5)/3</f>
        <v/>
      </c>
    </row>
    <row r="564">
      <c r="A564" t="inlineStr">
        <is>
          <t>Junior Messias</t>
        </is>
      </c>
      <c r="B564" t="inlineStr">
        <is>
          <t>Milan</t>
        </is>
      </c>
      <c r="C564" t="inlineStr">
        <is>
          <t>Forward</t>
        </is>
      </c>
      <c r="D564" t="n">
        <v>115</v>
      </c>
      <c r="E564" t="n">
        <v>2</v>
      </c>
      <c r="F564" t="n">
        <v>1</v>
      </c>
      <c r="G564" t="n">
        <v>0</v>
      </c>
      <c r="H564" t="n">
        <v>15.6</v>
      </c>
      <c r="I564" t="n">
        <v>33.7</v>
      </c>
      <c r="J564" t="n">
        <v>449151</v>
      </c>
      <c r="K564" t="inlineStr">
        <is>
          <t>{'id': '449151', 'marketValue': '€3.00m', 'marketValueHistory': [{'age': '25', 'date': 'Nov 30, 2016', 'clubName': 'ASD Chieri Calcio', 'value': '€25k', 'clubID': '27349'}, {'age': '26', 'date': 'Jun 30, 2017', 'clubName': 'ASD Chieri Calcio', 'value': '€125k', 'clubID': '27349'}, {'age': '26', 'date': 'Feb 1, 2018', 'clubName': 'ASDC Gozzano', 'value': '€100k', 'clubID': '13484'}, {'age': '27', 'date': 'Jun 22, 2018', 'clubName': 'ASDC Gozzano', 'value': '€125k', 'clubID': '13484'}, {'age': '27', 'date': 'Dec 13, 2018', 'clubName': 'AC Gozzano', 'value': '€150k', 'clubID': '13484'}, {'age': '28', 'date': 'Jun 19, 2019', 'clubName': 'AC Gozzano', 'value': '€175k', 'clubID': '13484'}, {'age': '28', 'date': 'Dec 30, 2019', 'clubName': 'FC Crotone', 'value': '€350k', 'clubID': '4083'}, {'age': '28', 'date': 'Apr 8, 2020', 'clubName': 'FC Crotone', 'value': '€300k', 'clubID': '4083'}, {'age': '29', 'date': 'Aug 21, 2020', 'clubName': 'FC Crotone', 'value': '€1.00m', 'clubID': '4083'}, {'age': '29', 'date': 'Oct 29, 2020', 'clubName': 'FC Crotone', 'value': '€2.00m', 'clubID': '4083'}, {'age': '29', 'date': 'Dec 29, 2020', 'clubName': 'FC Crotone', 'value': '€3.00m', 'clubID': '4083'}, {'age': '30', 'date': 'Jun 3, 2021', 'clubName': 'FC Crotone', 'value': '€3.50m', 'clubID': '4083'}, {'age': '30', 'date': 'Oct 14, 2021', 'clubName': 'AC Milan', 'value': '€5.00m', 'clubID': '5'}, {'age': '30', 'date': 'Dec 28, 2021', 'clubName': 'AC Milan', 'value': '€6.50m', 'clubID': '5'}, {'age': '31', 'date': 'Jun 7, 2022', 'clubName': 'AC Milan', 'value': '€6.00m', 'clubID': '5'}, {'age': '31', 'date': 'Nov 11, 2022', 'clubName': 'AC Milan', 'value': '€6.00m', 'clubID': '5'}, {'age': '32', 'date': 'Jun 15, 2023', 'clubName': 'AC Milan', 'value': '€4.50m', 'clubID': '5'}, {'age': '32', 'date': 'Dec 20, 2023', 'clubName': 'Genoa CFC', 'value': '€3.00m', 'clubID': '252'}], 'ranking': {'Worldwide': '2.859', 'Serie A': '317', 'Genoa': '13', 'Brazil': '245', 'Right Winger': '230', 'Year 1991': '53'}, 'updatedAt': datetime.datetime(2024, 5, 23, 22, 25, 18, 176973)}</t>
        </is>
      </c>
      <c r="L564" t="inlineStr">
        <is>
          <t>Brazil</t>
        </is>
      </c>
      <c r="M564" t="inlineStr">
        <is>
          <t>1991-05-13</t>
        </is>
      </c>
      <c r="N564" t="inlineStr">
        <is>
          <t>Brazil</t>
        </is>
      </c>
      <c r="O564">
        <f>(6+6)/2</f>
        <v/>
      </c>
      <c r="P564">
        <f>(3.5+5+6.5)/3</f>
        <v/>
      </c>
    </row>
    <row r="565">
      <c r="A565" t="inlineStr">
        <is>
          <t>Lazaro</t>
        </is>
      </c>
      <c r="B565" t="inlineStr">
        <is>
          <t>Benfica</t>
        </is>
      </c>
      <c r="C565" t="inlineStr">
        <is>
          <t>Midfielder</t>
        </is>
      </c>
      <c r="D565" t="n">
        <v>114</v>
      </c>
      <c r="E565" t="n">
        <v>6</v>
      </c>
      <c r="F565" t="n">
        <v>0</v>
      </c>
      <c r="G565" t="n">
        <v>0</v>
      </c>
      <c r="H565" t="n">
        <v>15.6</v>
      </c>
      <c r="I565" t="n">
        <v>31.9</v>
      </c>
      <c r="J565" t="n">
        <v>129476</v>
      </c>
      <c r="K565" t="inlineStr">
        <is>
          <t>{'marketValueHistory': [{'date': 'Aug 8, 2011', 'age': '17', 'clubName': 'FC Barcelona B', 'clubID': '2464', 'value': '€1.00m'}, {'date': 'Mar 1, 2012', 'age': '17', 'clubName': 'FC Barcelona B', 'clubID': '2464', 'value': '€1.50m'}, {'date': 'Aug 7, 2012', 'age': '18', 'clubName': 'FC Barcelona B', 'clubID': '2464', 'value': '€8.00m'}, {'date': 'Dec 2, 2012', 'age': '18', 'clubName': 'FC Barcelona B', 'clubID': '2464', 'value': '€10.00m'}, {'date': 'Jan 22, 2013', 'age': '18', 'clubName': 'FC Barcelona B', 'clubID': '2464', 'value': '€10.00m'}, {'date': 'May 13, 2013', 'age': '19', 'clubName': 'FC Barcelona B', 'clubID': '2464', 'value': '€15.00m'}, {'date': 'Jan 15, 2014', 'age': '19', 'clubName': 'Everton FC', 'clubID': '29', 'value': '€12.00m'}, {'date': 'Jul 20, 2014', 'age': '20', 'clubName': 'FC Barcelona', 'clubID': '131', 'value': '€12.00m'}, {'date': 'Oct 5, 2014', 'age': '20', 'clubName': 'Sevilla FC', 'clubID': '368', 'value': '€12.00m'}, {'date': 'Jan 23, 2015', 'age': '20', 'clubName': 'Sevilla FC', 'clubID': '368', 'value': '€12.00m'}, {'date': 'Jul 1, 2015', 'age': '21', 'clubName': 'Everton FC', 'clubID': '29', 'value': '€6.00m'}, {'date': 'Feb 9, 2016', 'age': '21', 'clubName': 'Everton FC', 'clubID': '29', 'value': '€9.00m'}, {'date': 'Aug 1, 2016', 'age': '22', 'clubName': 'Everton FC', 'clubID': '29', 'value': '€9.00m'}, {'date': 'Jan 23, 2017', 'age': '22', 'clubName': 'AC Milan', 'clubID': '5', 'value': '€7.50m'}, {'date': 'Mar 28, 2017', 'age': '23', 'clubName': 'AC Milan', 'clubID': '5', 'value': '€9.00m'}, {'date': 'Jun 8, 2017', 'age': '23', 'clubName': 'AC Milan', 'clubID': '5', 'value': '€12.00m'}, {'date': 'Jan 1, 2018', 'age': '23', 'clubName': 'FC Barcelona', 'clubID': '131', 'value': '€14.00m'}, {'date': 'May 28, 2018', 'age': '24', 'clubName': 'Watford FC', 'clubID': '1010', 'value': '€14.00m'}, {'date': 'Dec 19, 2018', 'age': '24', 'clubName': 'Watford FC', 'clubID': '1010', 'value': '€14.00m'}, {'date': 'Mar 5, 2019', 'age': '24', 'clubName': 'Watford FC', 'clubID': '1010', 'value': '€18.00m'}, {'date': 'Jun 13, 2019', 'age': '25', 'clubName': 'Watford FC', 'clubID': '1010', 'value': '€25.00m'}, {'date': 'Dec 10, 2019', 'age': '25', 'clubName': 'Watford FC', 'clubID': '1010', 'value': '€25.00m'}, {'date': 'Apr 8, 2020', 'age': '26', 'clubName': 'Watford FC', 'clubID': '1010', 'value': '€20.00m'}, {'date': 'Oct 13, 2020', 'age': '26', 'clubName': 'Udinese Calcio', 'clubID': '410', 'value': '€15.00m'}, {'date': 'Dec 29, 2020', 'age': '26', 'clubName': 'Udinese Calcio', 'clubID': '410', 'value': '€12.00m'}, {'date': 'Jun 3, 2021', 'age': '27', 'clubName': 'Udinese Calcio', 'clubID': '410', 'value': '€10.00m'}, {'date': 'Dec 28, 2021', 'age': '27', 'clubName': 'Udinese Calcio', 'clubID': '410', 'value': '€10.00m'}, {'date': 'Jun 7, 2022', 'age': '28', 'clubName': 'Udinese Calcio', 'clubID': '410', 'value': '€15.00m'}, {'date': 'Nov 11, 2022', 'age': '28', 'clubName': 'Udinese Calcio', 'clubID': '410', 'value': '€16.00m'}, {'date': 'Mar 21, 2023', 'age': '29', 'clubName': 'Udinese Calcio', 'clubID': '410', 'value': '€13.00m'}, {'date': 'Jun 15, 2023', 'age': '29', 'clubName': 'Udinese Calcio', 'clubID': '410', 'value': '€10.00m'}, {'date': 'Dec 20, 2023', 'age': '29', 'clubName': 'Udinese Calcio', 'clubID': '410', 'value': '€7.00m'}, {'date': 'Mar 12, 2024', 'age': '29', 'clubName': 'Udinese Calcio', 'clubID': '410', 'value': '€2.50m'}, {'date': 'Jun 5, 2024', 'age': '30', 'clubName': 'Udinese Calcio', 'clubID': '410', 'value': '€1.00m'}, {'date': 'Dec 18, 2024', 'age': '30', 'clubName': 'Udinese Calcio', 'clubID': '410', 'value': '€1.00m'}, {'date': 'Apr 4, 2025', 'age': '31', 'clubName': 'Without Club', 'clubID': '515', 'value': '€800k'}, {'date': 'Oct 21, 2025', 'age': '31', 'clubName': 'Without Club', 'clubID': '515', 'value': '€500k'}, {'date': 'Apr 9, 2026', 'age': '32', 'clubName': 'Without Club', 'clubID': '515', 'value': '€200k'}]}</t>
        </is>
      </c>
      <c r="L565" t="inlineStr">
        <is>
          <t>Spain</t>
        </is>
      </c>
      <c r="M565" t="inlineStr">
        <is>
          <t>1994-03-13</t>
        </is>
      </c>
      <c r="N565" t="inlineStr">
        <is>
          <t>Spain</t>
        </is>
      </c>
      <c r="O565">
        <f>(15+16)/2</f>
        <v/>
      </c>
      <c r="P565">
        <f>(10+10)/2</f>
        <v/>
      </c>
    </row>
    <row r="566">
      <c r="A566" t="inlineStr">
        <is>
          <t>Maceiras</t>
        </is>
      </c>
      <c r="B566" t="inlineStr">
        <is>
          <t>Young Boys</t>
        </is>
      </c>
      <c r="C566" t="inlineStr">
        <is>
          <t>Defender</t>
        </is>
      </c>
      <c r="D566" t="n">
        <v>113</v>
      </c>
      <c r="E566" t="n">
        <v>3</v>
      </c>
      <c r="F566" t="n">
        <v>0</v>
      </c>
      <c r="G566" t="n">
        <v>0</v>
      </c>
      <c r="H566" t="n">
        <v>16</v>
      </c>
      <c r="I566" t="n">
        <v>30.5</v>
      </c>
      <c r="J566" t="n">
        <v>274498</v>
      </c>
      <c r="K566" t="inlineStr">
        <is>
          <t>{'marketValueHistory': [{'date': '16/07/2016', 'age': '20', 'clubName': 'FC Sion U21', 'clubID': '8508', 'value': '€50k'}, {'date': '20/12/2016', 'age': '21', 'clubName': 'FC Sion', 'clubID': '321', 'value': '€50k'}, {'date': '12/07/2017', 'age': '21', 'clubName': 'FC Sion', 'clubID': '321', 'value': '€100k'}, {'date': '08/01/2018', 'age': '22', 'clubName': 'FC Sion', 'clubID': '321', 'value': '€300k'}, {'date': '24/04/2018', 'age': '22', 'clubName': 'FC Sion', 'clubID': '321', 'value': '€500k'}, {'date': '12/07/2018', 'age': '22', 'clubName': 'FC Sion', 'clubID': '321', 'value': '€1.00m'}, {'date': '21/01/2019', 'age': '23', 'clubName': 'FC Sion', 'clubID': '321', 'value': '€1.00m'}, {'date': '15/04/2019', 'age': '23', 'clubName': 'FC Sion', 'clubID': '321', 'value': '€1.00m'}, {'date': '04/06/2019', 'age': '23', 'clubName': 'FC Sion', 'clubID': '321', 'value': '€1.00m'}, {'date': '06/01/2020', 'age': '24', 'clubName': 'FC Sion', 'clubID': '321', 'value': '€800k'}, {'date': '08/04/2020', 'age': '24', 'clubName': 'FC Sion', 'clubID': '321', 'value': '€650k'}, {'date': '31/07/2020', 'age': '24', 'clubName': 'FC Sion', 'clubID': '321', 'value': '€650k'}, {'date': '28/12/2020', 'age': '25', 'clubName': 'BSC Young Boys', 'clubID': '452', 'value': '€400k'}, {'date': '15/04/2021', 'age': '25', 'clubName': 'BSC Young Boys', 'clubID': '452', 'value': '€600k'}, {'date': '23/06/2021', 'age': '25', 'clubName': 'BSC Young Boys', 'clubID': '452', 'value': '€800k'}, {'date': '03/01/2022', 'age': '26', 'clubName': 'BSC Young Boys', 'clubID': '452', 'value': '€800k'}, {'date': '28/03/2022', 'age': '26', 'clubName': 'BSC Young Boys', 'clubID': '452', 'value': '€900k'}, {'date': '08/06/2022', 'age': '26', 'clubName': 'BSC Young Boys', 'clubID': '452', 'value': '€500k'}, {'date': '10/11/2022', 'age': '27', 'clubName': 'BSC Young Boys', 'clubID': '452', 'value': '€500k'}, {'date': '07/06/2023', 'age': '27', 'clubName': 'BSC Young Boys', 'clubID': '452', 'value': '€500k'}, {'date': '22/12/2023', 'age': '28', 'clubName': 'Puskás Akadémia FC', 'clubID': '37169', 'value': '€500k'}, {'date': '23/05/2024', 'age': '28', 'clubName': 'Puskás Akadémia FC', 'clubID': '37169', 'value': '€500k'}, {'date': '23/12/2024', 'age': '29', 'clubName': 'Puskás Akadémia FC', 'clubID': '37169', 'value': '€800k'}, {'date': '28/05/2025', 'age': '29', 'clubName': 'Puskás Akadémia FC', 'clubID': '37169', 'value': '€900k'}, {'date': '08/12/2025', 'age': '30', 'clubName': 'Puskás Akadémia FC', 'clubID': '37169', 'value': '€900k'}]}</t>
        </is>
      </c>
      <c r="L566" t="inlineStr">
        <is>
          <t>Switzerland</t>
        </is>
      </c>
      <c r="M566" t="inlineStr">
        <is>
          <t>1995-10-10</t>
        </is>
      </c>
      <c r="N566" t="inlineStr">
        <is>
          <t>Switzerland</t>
        </is>
      </c>
      <c r="O566">
        <f>(0.8+0.9+0.5+0.5)/4</f>
        <v/>
      </c>
      <c r="P566">
        <f>(0.6+0.8)/2</f>
        <v/>
      </c>
    </row>
    <row r="567">
      <c r="A567" t="inlineStr">
        <is>
          <t>Jovic</t>
        </is>
      </c>
      <c r="B567" t="inlineStr">
        <is>
          <t>Real Madrid</t>
        </is>
      </c>
      <c r="C567" t="inlineStr">
        <is>
          <t>Forward</t>
        </is>
      </c>
      <c r="D567" t="n">
        <v>113</v>
      </c>
      <c r="E567" t="n">
        <v>3</v>
      </c>
      <c r="F567" t="n">
        <v>0</v>
      </c>
      <c r="G567" t="n">
        <v>0</v>
      </c>
      <c r="H567" t="n">
        <v>12.9</v>
      </c>
      <c r="I567" t="n">
        <v>31</v>
      </c>
      <c r="J567" t="n">
        <v>257462</v>
      </c>
      <c r="K567" t="inlineStr">
        <is>
          <t>{'marketValueHistory': [{'date': 'Nov 11, 2014', 'age': '16', 'clubName': 'Red Star Belgrade', 'clubID': '159', 'value': '€750k'}, {'date': 'Jun 15, 2015', 'age': '17', 'clubName': 'Red Star Belgrade', 'clubID': '159', 'value': '€1.50m'}, {'date': 'Nov 23, 2015', 'age': '17', 'clubName': 'Red Star Belgrade', 'clubID': '159', 'value': '€1.75m'}, {'date': 'Feb 24, 2016', 'age': '18', 'clubName': 'SL Benfica', 'clubID': '294', 'value': '€2.00m'}, {'date': 'Sep 30, 2016', 'age': '18', 'clubName': 'SL Benfica', 'clubID': '294', 'value': '€3.00m'}, {'date': 'Jun 30, 2017', 'age': '19', 'clubName': 'SL Benfica', 'clubID': '294', 'value': '€2.00m'}, {'date': 'Dec 28, 2017', 'age': '20', 'clubName': 'Eintracht Frankfurt', 'clubID': '24', 'value': '€2.00m'}, {'date': 'Apr 4, 2018', 'age': '20', 'clubName': 'Eintracht Frankfurt', 'clubID': '24', 'value': '€5.00m'}, {'date': 'Jun 5, 2018', 'age': '20', 'clubName': 'Eintracht Frankfurt', 'clubID': '24', 'value': '€8.00m'}, {'date': 'Aug 22, 2018', 'age': '20', 'clubName': 'Eintracht Frankfurt', 'clubID': '24', 'value': '€12.00m'}, {'date': 'Oct 22, 2018', 'age': '20', 'clubName': 'Eintracht Frankfurt', 'clubID': '24', 'value': '€20.00m'}, {'date': 'Dec 18, 2018', 'age': '20', 'clubName': 'Eintracht Frankfurt', 'clubID': '24', 'value': '€40.00m'}, {'date': 'Mar 6, 2019', 'age': '21', 'clubName': 'Eintracht Frankfurt', 'clubID': '24', 'value': '€55.00m'}, {'date': 'Jun 5, 2019', 'age': '21', 'clubName': 'Eintracht Frankfurt', 'clubID': '24', 'value': '€60.00m'}, {'date': 'Dec 20, 2019', 'age': '21', 'clubName': 'Real Madrid', 'clubID': '418', 'value': '€40.00m'}, {'date': 'Apr 8, 2020', 'age': '22', 'clubName': 'Real Madrid', 'clubID': '418', 'value': '€32.00m'}, {'date': 'Oct 8, 2020', 'age': '22', 'clubName': 'Real Madrid', 'clubID': '418', 'value': '€25.00m'}, {'date': 'Nov 23, 2020', 'age': '22', 'clubName': 'Real Madrid', 'clubID': '418', 'value': '€22.00m'}, {'date': 'Jan 5, 2021', 'age': '23', 'clubName': 'Real Madrid', 'clubID': '418', 'value': '€20.00m'}, {'date': 'Jun 9, 2021', 'age': '23', 'clubName': 'Eintracht Frankfurt', 'clubID': '24', 'value': '€20.00m'}, {'date': 'Dec 30, 2021', 'age': '24', 'clubName': 'Real Madrid', 'clubID': '418', 'value': '€20.00m'}, {'date': 'Mar 21, 2022', 'age': '24', 'clubName': 'Real Madrid', 'clubID': '418', 'value': '€18.00m'}, {'date': 'Jun 3, 2022', 'age': '24', 'clubName': 'Real Madrid', 'clubID': '418', 'value': '€16.00m'}, {'date': 'Nov 11, 2022', 'age': '24', 'clubName': 'ACF Fiorentina', 'clubID': '430', 'value': '€14.00m'}, {'date': 'Mar 21, 2023', 'age': '25', 'clubName': 'ACF Fiorentina', 'clubID': '430', 'value': '€10.00m'}, {'date': 'Jun 15, 2023', 'age': '25', 'clubName': 'ACF Fiorentina', 'clubID': '430', 'value': '€8.00m'}, {'date': 'Dec 20, 2023', 'age': '25', 'clubName': 'AC Milan', 'clubID': '5', 'value': '€5.00m'}, {'date': 'Mar 12, 2024', 'age': '26', 'clubName': 'AC Milan', 'clubID': '5', 'value': '€7.00m'}, {'date': 'Jun 5, 2024', 'age': '26', 'clubName': 'AC Milan', 'clubID': '5', 'value': '€7.00m'}, {'date': 'Oct 18, 2024', 'age': '26', 'clubName': 'AC Milan', 'clubID': '5', 'value': '€5.00m'}, {'date': 'Dec 18, 2024', 'age': '26', 'clubName': 'AC Milan', 'clubID': '5', 'value': '€4.00m'}, {'date': 'Mar 25, 2025', 'age': '27', 'clubName': 'AC Milan', 'clubID': '5', 'value': '€2.50m'}, {'date': 'Jun 17, 2025', 'age': '27', 'clubName': 'AC Milan', 'clubID': '5', 'value': '€4.50m'}, {'date': 'Dec 12, 2025', 'age': '27', 'clubName': 'AEK Athens', 'clubID': '2441', 'value': '€6.00m'}, {'date': 'Mar 6, 2026', 'age': '28', 'clubName': 'AEK Athens', 'clubID': '2441', 'value': '€7.00m'}]}</t>
        </is>
      </c>
      <c r="L567" t="inlineStr">
        <is>
          <t>Serbia</t>
        </is>
      </c>
      <c r="M567" t="inlineStr">
        <is>
          <t>1997-12-23</t>
        </is>
      </c>
      <c r="N567" t="inlineStr">
        <is>
          <t>52</t>
        </is>
      </c>
      <c r="O567">
        <f>(18+16+14)/3</f>
        <v/>
      </c>
      <c r="P567">
        <f>(20+20+20)/3</f>
        <v/>
      </c>
    </row>
    <row r="568">
      <c r="A568" t="inlineStr">
        <is>
          <t>Ucan</t>
        </is>
      </c>
      <c r="B568" t="inlineStr">
        <is>
          <t>Besiktas</t>
        </is>
      </c>
      <c r="C568" t="inlineStr">
        <is>
          <t>Midfielder</t>
        </is>
      </c>
      <c r="D568" t="n">
        <v>109</v>
      </c>
      <c r="E568" t="n">
        <v>5</v>
      </c>
      <c r="F568" t="n">
        <v>0</v>
      </c>
      <c r="G568" t="n">
        <v>0</v>
      </c>
      <c r="H568" t="n">
        <v>15.4</v>
      </c>
      <c r="I568" t="n">
        <v>28</v>
      </c>
      <c r="J568" t="n">
        <v>5354</v>
      </c>
      <c r="K568" t="inlineStr">
        <is>
          <t>{'marketValueHistory': [{'date': 'Oct 4, 2004', 'age': '29', 'clubName': 'Olympique Lyon', 'clubID': '1041', 'value': '€11.00m'}, {'date': 'Jan 6, 2005', 'age': '29', 'clubName': 'Olympique Lyon', 'clubID': '1041', 'value': '€11.00m'}, {'date': 'Mar 2, 2005', 'age': '30', 'clubName': 'Olympique Lyon', 'clubID': '1041', 'value': '€15.00m'}, {'date': 'Jan 15, 2006', 'age': '30', 'clubName': 'Olympique Lyon', 'clubID': '1041', 'value': '€18.00m'}, {'date': 'Jun 17, 2007', 'age': '32', 'clubName': 'Olympique Lyon', 'clubID': '1041', 'value': '€16.50m'}, {'date': 'Oct 4, 2007', 'age': '32', 'clubName': 'Olympique Lyon', 'clubID': '1041', 'value': '€14.00m'}, {'date': 'Dec 27, 2007', 'age': '32', 'clubName': 'Olympique Lyon', 'clubID': '1041', 'value': '€14.25m'}, {'date': 'May 5, 2008', 'age': '33', 'clubName': 'Olympique Lyon', 'clubID': '1041', 'value': '€12.00m'}, {'date': 'Dec 30, 2008', 'age': '33', 'clubName': 'Olympique Lyon', 'clubID': '1041', 'value': '€11.00m'}, {'date': 'May 18, 2009', 'age': '34', 'clubName': 'Olympique Lyon', 'clubID': '1041', 'value': '€9.00m'}, {'date': 'Jun 14, 2009', 'age': '34', 'clubName': 'Olympique Lyon', 'clubID': '1041', 'value': '€7.00m'}, {'date': 'Jul 21, 2009', 'age': '34', 'clubName': 'Al-Gharafa SC', 'clubID': '6297', 'value': '€2.00m'}, {'date': 'May 30, 2011', 'age': '36', 'clubName': 'Clube de Regatas Vasco da Gama', 'clubID': '978', 'value': '€250k'}, {'date': 'Dec 8, 2011', 'age': '36', 'clubName': 'Clube de Regatas Vasco da Gama', 'clubID': '978', 'value': '€250k'}, {'date': 'May 24, 2012', 'age': '37', 'clubName': 'Clube de Regatas Vasco da Gama', 'clubID': '978', 'value': '€250k'}, {'date': 'Dec 5, 2012', 'age': '37', 'clubName': 'Clube de Regatas Vasco da Gama', 'clubID': '978', 'value': '€250k'}, {'date': 'Feb 1, 2014', 'age': '39', 'clubName': 'Retired', 'clubID': '123', 'value': '-'}]}</t>
        </is>
      </c>
      <c r="L568" t="inlineStr">
        <is>
          <t>Brazil</t>
        </is>
      </c>
      <c r="M568" t="inlineStr">
        <is>
          <t>1975-01-30</t>
        </is>
      </c>
      <c r="N568" t="inlineStr">
        <is>
          <t>Brazil</t>
        </is>
      </c>
    </row>
    <row r="569">
      <c r="A569" t="inlineStr">
        <is>
          <t>Coutinho</t>
        </is>
      </c>
      <c r="B569" t="inlineStr">
        <is>
          <t>Barcelona</t>
        </is>
      </c>
      <c r="C569" t="inlineStr">
        <is>
          <t>Forward</t>
        </is>
      </c>
      <c r="D569" t="n">
        <v>109</v>
      </c>
      <c r="E569" t="n">
        <v>4</v>
      </c>
      <c r="F569" t="n">
        <v>0</v>
      </c>
      <c r="G569" t="n">
        <v>0</v>
      </c>
      <c r="H569" t="n">
        <v>14.3</v>
      </c>
      <c r="I569" t="n">
        <v>28.9</v>
      </c>
      <c r="J569" t="n">
        <v>80444</v>
      </c>
      <c r="K569" t="inlineStr">
        <is>
          <t>{'marketValueHistory': [{'date': '24/07/2008', 'age': '16', 'clubName': 'Clube de Regatas Vasco da Gama', 'clubID': '978', 'value': '€1.00m'}, {'date': '06/09/2009', 'age': '17', 'clubName': 'Clube de Regatas Vasco da Gama', 'clubID': '978', 'value': '€600k'}, {'date': '08/12/2009', 'age': '17', 'clubName': 'Clube de Regatas Vasco da Gama', 'clubID': '978', 'value': '€1.00m'}, {'date': '15/04/2010', 'age': '17', 'clubName': 'Clube de Regatas Vasco da Gama', 'clubID': '978', 'value': '€2.50m'}, {'date': '02/08/2010', 'age': '18', 'clubName': 'Inter Milan', 'clubID': '46', 'value': '€4.50m'}, {'date': '20/01/2011', 'age': '18', 'clubName': 'Inter Milan', 'clubID': '46', 'value': '€7.00m'}, {'date': '21/06/2011', 'age': '19', 'clubName': 'Inter Milan', 'clubID': '46', 'value': '€7.00m'}, {'date': '11/01/2012', 'age': '19', 'clubName': 'Inter Milan', 'clubID': '46', 'value': '€8.00m'}, {'date': '03/02/2012', 'age': '19', 'clubName': 'RCD Espanyol Barcelona', 'clubID': '714', 'value': '€7.00m'}, {'date': '03/07/2012', 'age': '20', 'clubName': 'Inter Milan', 'clubID': '46', 'value': '€8.50m'}, {'date': '15/01/2013', 'age': '20', 'clubName': 'Inter Milan', 'clubID': '46', 'value': '€9.00m'}, {'date': '03/02/2013', 'age': '20', 'clubName': 'Liverpool FC', 'clubID': '31', 'value': '€10.00m'}, {'date': '02/07/2013', 'age': '21', 'clubName': 'Liverpool FC', 'clubID': '31', 'value': '€14.00m'}, {'date': '15/01/2014', 'age': '21', 'clubName': 'Liverpool FC', 'clubID': '31', 'value': '€16.00m'}, {'date': '12/08/2014', 'age': '22', 'clubName': 'Liverpool FC', 'clubID': '31', 'value': '€20.00m'}, {'date': '12/02/2015', 'age': '22', 'clubName': 'Liverpool FC', 'clubID': '31', 'value': '€25.00m'}, {'date': '01/07/2015', 'age': '23', 'clubName': 'Liverpool FC', 'clubID': '31', 'value': '€30.00m'}, {'date': '09/02/2016', 'age': '23', 'clubName': 'Liverpool FC', 'clubID': '31', 'value': '€32.00m'}, {'date': '01/08/2016', 'age': '24', 'clubName': 'Liverpool FC', 'clubID': '31', 'value': '€35.00m'}, {'date': '20/02/2017', 'age': '24', 'clubName': 'Liverpool FC', 'clubID': '31', 'value': '€40.00m'}, {'date': '28/06/2017', 'age': '25', 'clubName': 'Liverpool FC', 'clubID': '31', 'value': '€45.00m'}, {'date': '23/10/2017', 'age': '25', 'clubName': 'Liverpool FC', 'clubID': '31', 'value': '€65.00m'}, {'date': '02/01/2018', 'age': '25', 'clubName': 'Liverpool FC', 'clubID': '31', 'value': '€90.00m'}, {'date': '22/03/2018', 'age': '25', 'clubName': 'FC Barcelona', 'clubID': '131', 'value': '€100.00m'}, {'date': '30/05/2018', 'age': '25', 'clubName': 'FC Barcelona', 'clubID': '131', 'value': '€100.00m'}, {'date': '16/07/2018', 'age': '26', 'clubName': 'FC Barcelona', 'clubID': '131', 'value': '€120.00m'}, {'date': '31/10/2018', 'age': '26', 'clubName': 'FC Barcelona', 'clubID': '131', 'value': '€150.00m'}, {'date': '21/12/2018', 'age': '26', 'clubName': 'FC Barcelona', 'clubID': '131', 'value': '€140.00m'}, {'date': '28/02/2019', 'age': '26', 'clubName': 'FC Barcelona', 'clubID': '131', 'value': '€100.00m'}, {'date': '11/06/2019', 'age': '26', 'clubName': 'FC Barcelona', 'clubID': '131', 'value': '€90.00m'}, {'date': '17/12/2019', 'age': '27', 'clubName': 'Bayern Munich', 'clubID': '27', 'value': '€70.00m'}, {'date': '08/04/2020', 'age': '27', 'clubName': 'Bayern Munich', 'clubID': '27', 'value': '€56.00m'}, {'date': '08/10/2020', 'age': '28', 'clubName': 'FC Barcelona', 'clubID': '131', 'value': '€60.00m'}, {'date': '05/01/2021', 'age': '28', 'clubName': 'FC Barcelona', 'clubID': '131', 'value': '€50.00m'}, {'date': '19/03/2021', 'age': '28', 'clubName': 'FC Barcelona', 'clubID': '131', 'value': '€40.00m'}, {'date': '10/06/2021', 'age': '28', 'clubName': 'FC Barcelona', 'clubID': '131', 'value': '€30.00m'}, {'date': '13/10/2021', 'age': '29', 'clubName': 'FC Barcelona', 'clubID': '131', 'value': '€20.00m'}, {'date': '30/12/2021', 'age': '29', 'clubName': 'FC Barcelona', 'clubID': '131', 'value': '€18.00m'}, {'date': '29/03/2022', 'age': '29', 'clubName': 'Aston Villa', 'clubID': '405', 'value': '€20.00m'}, {'date': '15/06/2022', 'age': '30', 'clubName': 'Aston Villa', 'clubID': '405', 'value': '€20.00m'}, {'date': '03/11/2022', 'age': '30', 'clubName': 'Aston Villa', 'clubID': '405', 'value': '€18.00m'}, {'date': '16/03/2023', 'age': '30', 'clubName': 'Aston Villa', 'clubID': '405', 'value': '€14.00m'}, {'date': '20/06/2023', 'age': '31', 'clubName': 'Aston Villa', 'clubID': '405', 'value': '€10.00m'}, {'date': '27/11/2023', 'age': '31', 'clubName': 'Al-Duhail SC', 'clubID': '26091', 'value': '€9.00m'}, {'date': '02/05/2024', 'age': '31', 'clubName': 'Al-Duhail SC', 'clubID': '26091', 'value': '€7.50m'}, {'date': '09/12/2024', 'age': '32', 'clubName': 'Clube de Regatas Vasco da Gama', 'clubID': '978', 'value': '€6.00m'}, {'date': '06/06/2025', 'age': '32', 'clubName': 'Clube de Regatas Vasco da Gama', 'clubID': '978', 'value': '€4.50m'}, {'date': '05/09/2025', 'age': '33', 'clubName': 'Clube de Regatas Vasco da Gama', 'clubID': '978', 'value': '€4.00m'}, {'date': '10/12/2025', 'age': '33', 'clubName': 'Clube de Regatas Vasco da Gama', 'clubID': '978', 'value': '€3.50m'}, {'date': '09/04/2026', 'age': '33', 'clubName': 'Without Club', 'clubID': '515', 'value': '€2.50m'}]}</t>
        </is>
      </c>
      <c r="L569" t="inlineStr">
        <is>
          <t>Spain</t>
        </is>
      </c>
      <c r="M569" t="inlineStr">
        <is>
          <t>1992-06-12</t>
        </is>
      </c>
      <c r="N569" t="inlineStr">
        <is>
          <t>Brazil</t>
        </is>
      </c>
      <c r="O569">
        <f>(20+20+18)/3</f>
        <v/>
      </c>
      <c r="P569">
        <f>(50+40+30+20+18)/5</f>
        <v/>
      </c>
    </row>
    <row r="570">
      <c r="A570" t="inlineStr">
        <is>
          <t>Correa</t>
        </is>
      </c>
      <c r="B570" t="inlineStr">
        <is>
          <t>Inter</t>
        </is>
      </c>
      <c r="C570" t="inlineStr">
        <is>
          <t>Forward</t>
        </is>
      </c>
      <c r="D570" t="n">
        <v>106</v>
      </c>
      <c r="E570" t="n">
        <v>5</v>
      </c>
      <c r="F570" t="n">
        <v>0</v>
      </c>
      <c r="G570" t="n">
        <v>0</v>
      </c>
      <c r="H570" t="n">
        <v>14.8</v>
      </c>
      <c r="I570" t="n">
        <v>32.5</v>
      </c>
      <c r="J570" t="n">
        <v>181767</v>
      </c>
      <c r="K570" t="inlineStr">
        <is>
      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      </is>
      </c>
      <c r="L570" t="inlineStr">
        <is>
          <t>Portugal</t>
        </is>
      </c>
      <c r="M570" t="inlineStr">
        <is>
          <t>1994-05-14</t>
        </is>
      </c>
      <c r="N570" t="inlineStr">
        <is>
          <t>104</t>
        </is>
      </c>
      <c r="O570">
        <f>(70+70)/2</f>
        <v/>
      </c>
      <c r="P570">
        <f>(75+75)/2</f>
        <v/>
      </c>
    </row>
    <row r="571">
      <c r="A571" t="inlineStr">
        <is>
          <t>Erokhin</t>
        </is>
      </c>
      <c r="B571" t="inlineStr">
        <is>
          <t>Zenit</t>
        </is>
      </c>
      <c r="C571" t="inlineStr">
        <is>
          <t>Midfielder</t>
        </is>
      </c>
      <c r="D571" t="n">
        <v>104</v>
      </c>
      <c r="E571" t="n">
        <v>6</v>
      </c>
      <c r="F571" t="n">
        <v>0</v>
      </c>
      <c r="G571" t="n">
        <v>0</v>
      </c>
      <c r="H571" t="n">
        <v>15.7</v>
      </c>
      <c r="I571" t="n">
        <v>31.1</v>
      </c>
      <c r="J571" t="n">
        <v>84483</v>
      </c>
      <c r="K571" t="inlineStr">
        <is>
          <t>{'marketValueHistory': [{'date': 'Nov 29, 2009', 'age': '20', 'clubName': 'FC Sheriff Tiraspol', 'clubID': '2481', 'value': '€1.00m'}, {'date': 'Dec 28, 2010', 'age': '21', 'clubName': 'FC Sheriff Tiraspol', 'clubID': '2481', 'value': '€800k'}, {'date': 'Mar 21, 2011', 'age': '21', 'clubName': 'FC Krasnodar', 'clubID': '16704', 'value': '€800k'}, {'date': 'Jul 29, 2011', 'age': '21', 'clubName': 'FC Krasnodar', 'clubID': '16704', 'value': '€800k'}, {'date': 'Dec 23, 2011', 'age': '22', 'clubName': 'FC Krasnodar', 'clubID': '16704', 'value': '€800k'}, {'date': 'Jun 24, 2012', 'age': '22', 'clubName': 'FC Krasnodar', 'clubID': '16704', 'value': '€800k'}, {'date': 'Jan 22, 2013', 'age': '23', 'clubName': 'SKA-Energia Khabarovsk', 'clubID': '3690', 'value': '€500k'}, {'date': 'Jun 8, 2013', 'age': '23', 'clubName': 'SKA-Energia Khabarovsk', 'clubID': '3690', 'value': '€450k'}, {'date': 'Sep 13, 2013', 'age': '23', 'clubName': 'Ural Yekaterinburg', 'clubID': '11127', 'value': '€800k'}, {'date': 'Mar 28, 2014', 'age': '24', 'clubName': 'Ural Yekaterinburg', 'clubID': '11127', 'value': '€800k'}, {'date': 'Jul 31, 2014', 'age': '24', 'clubName': 'Ural Yekaterinburg', 'clubID': '11127', 'value': '€800k'}, {'date': 'Feb 23, 2015', 'age': '25', 'clubName': 'Ural Yekaterinburg', 'clubID': '11127', 'value': '€1.50m'}, {'date': 'Jun 18, 2015', 'age': '25', 'clubName': 'Ural Yekaterinburg', 'clubID': '11127', 'value': '€1.50m'}, {'date': 'Aug 28, 2015', 'age': '25', 'clubName': 'Ural Yekaterinburg', 'clubID': '11127', 'value': '€3.00m'}, {'date': 'Jan 6, 2016', 'age': '26', 'clubName': 'Ural Yekaterinburg', 'clubID': '11127', 'value': '€3.80m'}, {'date': 'May 25, 2016', 'age': '26', 'clubName': 'FC Rostov', 'clubID': '1083', 'value': '€5.00m'}, {'date': 'Dec 27, 2016', 'age': '27', 'clubName': 'FC Rostov', 'clubID': '1083', 'value': '€5.00m'}, {'date': 'Jun 1, 2017', 'age': '27', 'clubName': 'FC Rostov', 'clubID': '1083', 'value': '€5.00m'}, {'date': 'Dec 23, 2017', 'age': '28', 'clubName': 'Zenit St. Petersburg', 'clubID': '964', 'value': '€5.00m'}, {'date': 'Jun 6, 2018', 'age': '28', 'clubName': 'Zenit St. Petersburg', 'clubID': '964', 'value': '€5.00m'}, {'date': 'Oct 15, 2018', 'age': '29', 'clubName': 'Zenit St. Petersburg', 'clubID': '964', 'value': '€7.00m'}, {'date': 'Dec 20, 2018', 'age': '29', 'clubName': 'Zenit St. Petersburg', 'clubID': '964', 'value': '€7.50m'}, {'date': 'Jun 14, 2019', 'age': '29', 'clubName': 'Zenit St. Petersburg', 'clubID': '964', 'value': '€7.50m'}, {'date': 'Dec 23, 2019', 'age': '30', 'clubName': 'Zenit St. Petersburg', 'clubID': '964', 'value': '€6.50m'}, {'date': 'Apr 8, 2020', 'age': '30', 'clubName': 'Zenit St. Petersburg', 'clubID': '964', 'value': '€5.20m'}, {'date': 'Jul 29, 2020', 'age': '30', 'clubName': 'Zenit St. Petersburg', 'clubID': '964', 'value': '€3.20m'}, {'date': 'Dec 29, 2020', 'age': '31', 'clubName': 'Zenit St. Petersburg', 'clubID': '964', 'value': '€3.00m'}, {'date': 'Jun 2, 2021', 'age': '31', 'clubName': 'Zenit St. Petersburg', 'clubID': '964', 'value': '€2.50m'}, {'date': 'Sep 15, 2021', 'age': '31', 'clubName': 'Zenit St. Petersburg', 'clubID': '964', 'value': '€3.00m'}, {'date': 'Dec 29, 2021', 'age': '32', 'clubName': 'Zenit St. Petersburg', 'clubID': '964', 'value': '€2.80m'}, {'date': 'Jun 2, 2022', 'age': '32', 'clubName': 'Zenit St. Petersburg', 'clubID': '964', 'value': '€1.50m'}, {'date': 'Nov 21, 2022', 'age': '33', 'clubName': 'Zenit St. Petersburg', 'clubID': '964', 'value': '€1.00m'}, {'date': 'Jun 14, 2023', 'age': '33', 'clubName': 'Zenit St. Petersburg', 'clubID': '964', 'value': '€700k'}, {'date': 'Dec 13, 2023', 'age': '34', 'clubName': 'Zenit St. Petersburg', 'clubID': '964', 'value': '€500k'}, {'date': 'Jun 4, 2024', 'age': '34', 'clubName': 'Zenit St. Petersburg', 'clubID': '964', 'value': '€400k'}, {'date': 'Dec 12, 2024', 'age': '35', 'clubName': 'Zenit St. Petersburg', 'clubID': '964', 'value': '€300k'}, {'date': 'Jun 4, 2025', 'age': '35', 'clubName': 'Zenit St. Petersburg', 'clubID': '964', 'value': '€250k'}, {'date': 'Dec 16, 2025', 'age': '36', 'clubName': 'Zenit St. Petersburg', 'clubID': '964', 'value': '€200k'}]}</t>
        </is>
      </c>
      <c r="L571" t="inlineStr">
        <is>
          <t>Russia</t>
        </is>
      </c>
      <c r="M571" t="inlineStr">
        <is>
          <t>1989-10-13</t>
        </is>
      </c>
      <c r="N571" t="inlineStr">
        <is>
          <t>Russia</t>
        </is>
      </c>
      <c r="O571">
        <f>(1.5+1)/2</f>
        <v/>
      </c>
      <c r="P571">
        <f>(2.5+3+2.8)/3</f>
        <v/>
      </c>
    </row>
    <row r="572">
      <c r="A572" t="inlineStr">
        <is>
          <t>Shkurin</t>
        </is>
      </c>
      <c r="B572" t="inlineStr">
        <is>
          <t>Dynamo Kyiv</t>
        </is>
      </c>
      <c r="C572" t="inlineStr">
        <is>
          <t>Forward</t>
        </is>
      </c>
      <c r="D572" t="n">
        <v>104</v>
      </c>
      <c r="E572" t="n">
        <v>2</v>
      </c>
      <c r="F572" t="n">
        <v>0</v>
      </c>
      <c r="G572" t="n">
        <v>0</v>
      </c>
      <c r="H572" t="n">
        <v>14</v>
      </c>
      <c r="I572" t="n">
        <v>32.7</v>
      </c>
      <c r="J572" t="n">
        <v>523315</v>
      </c>
      <c r="K572" t="inlineStr">
        <is>
          <t>{'marketValueHistory': [{'date': '04/12/2018', 'age': '19', 'clubName': 'FK Vitebsk', 'clubID': '17959', 'value': '€50k'}, {'date': '01/04/2019', 'age': '19', 'clubName': 'Energetik-BGU Minsk', 'clubID': '27204', 'value': '€50k'}, {'date': '25/07/2019', 'age': '19', 'clubName': 'Energetik-BGU Minsk', 'clubID': '27204', 'value': '€200k'}, {'date': '09/12/2019', 'age': '20', 'clubName': 'Energetik-BGU Minsk', 'clubID': '27204', 'value': '€750k'}, {'date': '08/04/2020', 'age': '20', 'clubName': 'CSKA Moscow', 'clubID': '2410', 'value': '€675k'}, {'date': '29/07/2020', 'age': '20', 'clubName': 'CSKA Moscow', 'clubID': '2410', 'value': '€700k'}, {'date': '29/12/2020', 'age': '21', 'clubName': 'CSKA Moscow', 'clubID': '2410', 'value': '€1.00m'}, {'date': '02/06/2021', 'age': '21', 'clubName': 'CSKA Moscow', 'clubID': '2410', 'value': '€1.00m'}, {'date': '20/12/2021', 'age': '22', 'clubName': 'Dynamo Kyiv', 'clubID': '338', 'value': '€1.20m'}, {'date': '14/06/2022', 'age': '22', 'clubName': 'Raków Częstochowa', 'clubID': '9644', 'value': '€900k'}, {'date': '12/09/2022', 'age': '23', 'clubName': 'Maccabi Petah Tikva', 'clubID': '3785', 'value': '€500k'}, {'date': '20/12/2022', 'age': '23', 'clubName': 'Maccabi Petah Tikva', 'clubID': '3785', 'value': '€450k'}, {'date': '29/05/2023', 'age': '23', 'clubName': 'Maccabi Petah Tikva', 'clubID': '3785', 'value': '€600k'}, {'date': '06/10/2023', 'age': '24', 'clubName': 'Stal Mielec', 'clubID': '22431', 'value': '€800k'}, {'date': '29/12/2023', 'age': '24', 'clubName': 'Stal Mielec', 'clubID': '22431', 'value': '€1.20m'}, {'date': '28/03/2024', 'age': '24', 'clubName': 'Stal Mielec', 'clubID': '22431', 'value': '€2.00m'}, {'date': '07/06/2024', 'age': '24', 'clubName': 'Stal Mielec', 'clubID': '22431', 'value': '€2.50m'}, {'date': '09/12/2024', 'age': '25', 'clubName': 'Stal Mielec', 'clubID': '22431', 'value': '€2.00m'}, {'date': '03/04/2025', 'age': '25', 'clubName': 'Legia Warszawa', 'clubID': '255', 'value': '€1.50m'}, {'date': '06/06/2025', 'age': '25', 'clubName': 'Legia Warszawa', 'clubID': '255', 'value': '€1.50m'}, {'date': '26/09/2025', 'age': '26', 'clubName': 'GKS Katowice', 'clubID': '6456', 'value': '€1.00m'}, {'date': '08/12/2025', 'age': '26', 'clubName': 'GKS Katowice', 'clubID': '6456', 'value': '€750k'}]}</t>
        </is>
      </c>
      <c r="L572" t="inlineStr">
        <is>
          <t>Belarus</t>
        </is>
      </c>
      <c r="M572" t="inlineStr">
        <is>
          <t>1999-08-17</t>
        </is>
      </c>
      <c r="N572" t="inlineStr">
        <is>
          <t>Belarus</t>
        </is>
      </c>
      <c r="O572">
        <f>(0.9+0.5+0.45)/3</f>
        <v/>
      </c>
      <c r="P572">
        <f>(1+1.2)/2</f>
        <v/>
      </c>
    </row>
    <row r="573">
      <c r="A573" t="inlineStr">
        <is>
          <t>Slimani</t>
        </is>
      </c>
      <c r="B573" t="inlineStr">
        <is>
          <t>Sporting CP</t>
        </is>
      </c>
      <c r="C573" t="inlineStr">
        <is>
          <t>Forward</t>
        </is>
      </c>
      <c r="D573" t="n">
        <v>104</v>
      </c>
      <c r="E573" t="n">
        <v>2</v>
      </c>
      <c r="F573" t="n">
        <v>0</v>
      </c>
      <c r="G573" t="n">
        <v>0</v>
      </c>
      <c r="H573" t="n">
        <v>12.4</v>
      </c>
      <c r="I573" t="n">
        <v>30</v>
      </c>
      <c r="J573" t="n">
        <v>174915</v>
      </c>
      <c r="K573" t="inlineStr">
        <is>
          <t>{'marketValueHistory': [{'date': 'Jul 31, 2012', 'age': '24', 'clubName': 'CR Belouizdad', 'clubID': '13365', 'value': '€800k'}, {'date': 'Dec 8, 2012', 'age': '24', 'clubName': 'CR Belouizdad', 'clubID': '13365', 'value': '€750k'}, {'date': 'Feb 20, 2014', 'age': '25', 'clubName': 'Sporting CP', 'clubID': '336', 'value': '€2.00m'}, {'date': 'Jul 25, 2014', 'age': '26', 'clubName': 'Sporting CP', 'clubID': '336', 'value': '€6.00m'}, {'date': 'Feb 17, 2015', 'age': '26', 'clubName': 'Sporting CP', 'clubID': '336', 'value': '€10.00m'}, {'date': 'Jul 1, 2015', 'age': '27', 'clubName': 'Sporting CP', 'clubID': '336', 'value': '€13.00m'}, {'date': 'Feb 24, 2016', 'age': '27', 'clubName': 'Sporting CP', 'clubID': '336', 'value': '€15.00m'}, {'date': 'Jul 29, 2016', 'age': '28', 'clubName': 'Sporting CP', 'clubID': '336', 'value': '€22.00m'}, {'date': 'Oct 24, 2016', 'age': '28', 'clubName': 'Leicester City', 'clubID': '1003', 'value': '€25.00m'}, {'date': 'Feb 20, 2017', 'age': '28', 'clubName': 'Leicester City', 'clubID': '1003', 'value': '€25.00m'}, {'date': 'Jun 28, 2017', 'age': '29', 'clubName': 'Leicester City', 'clubID': '1003', 'value': '€25.00m'}, {'date': 'Jan 2, 2018', 'age': '29', 'clubName': 'Leicester City', 'clubID': '1003', 'value': '€22.00m'}, {'date': 'May 28, 2018', 'age': '29', 'clubName': 'Newcastle United', 'clubID': '762', 'value': '€18.00m'}, {'date': 'Oct 11, 2018', 'age': '30', 'clubName': 'Fenerbahce', 'clubID': '36', 'value': '€16.00m'}, {'date': 'Jan 4, 2019', 'age': '30', 'clubName': 'Fenerbahce', 'clubID': '36', 'value': '€10.00m'}, {'date': 'Jun 4, 2019', 'age': '30', 'clubName': 'Fenerbahce', 'clubID': '36', 'value': '€5.00m'}, {'date': 'Dec 19, 2019', 'age': '31', 'clubName': 'AS Monaco', 'clubID': '162', 'value': '€8.00m'}, {'date': 'Apr 8, 2020', 'age': '31', 'clubName': 'AS Monaco', 'clubID': '162', 'value': '€6.50m'}, {'date': 'Oct 13, 2020', 'age': '32', 'clubName': 'Leicester City', 'clubID': '1003', 'value': '€6.50m'}, {'date': 'Dec 17, 2020', 'age': '32', 'clubName': 'Leicester City', 'clubID': '1003', 'value': '€5.00m'}, {'date': 'Apr 9, 2021', 'age': '32', 'clubName': 'Olympique Lyon', 'clubID': '1041', 'value': '€4.00m'}, {'date': 'Jun 4, 2021', 'age': '32', 'clubName': 'Olympique Lyon', 'clubID': '1041', 'value': '€3.00m'}, {'date': 'Dec 16, 2021', 'age': '33', 'clubName': 'Olympique Lyon', 'clubID': '1041', 'value': '€2.50m'}, {'date': 'May 31, 2022', 'age': '33', 'clubName': 'Sporting CP', 'clubID': '336', 'value': '€1.50m'}, {'date': 'Nov 2, 2022', 'age': '34', 'clubName': 'Stade Brestois 29', 'clubID': '3911', 'value': '€1.50m'}, {'date': 'Jun 9, 2023', 'age': '34', 'clubName': 'RSC Anderlecht', 'clubID': '58', 'value': '€1.50m'}, {'date': 'Dec 11, 2023', 'age': '35', 'clubName': 'Coritiba Foot Ball Club', 'clubID': '776', 'value': '€1.30m'}, {'date': 'Jun 4, 2024', 'age': '35', 'clubName': 'KV Mechelen', 'clubID': '354', 'value': '€1.20m'}, {'date': 'Jan 3, 2025', 'age': '36', 'clubName': 'CR Belouizdad', 'clubID': '13365', 'value': '€900k'}, {'date': 'Mar 26, 2025', 'age': '36', 'clubName': 'KVC Westerlo', 'clubID': '968', 'value': '€700k'}, {'date': 'Jun 12, 2025', 'age': '36', 'clubName': 'KVC Westerlo', 'clubID': '968', 'value': '€500k'}, {'date': 'Dec 19, 2025', 'age': '37', 'clubName': 'CFR Cluj', 'clubID': '7769', 'value': '€400k'}]}</t>
        </is>
      </c>
      <c r="L573" t="inlineStr">
        <is>
          <t>Algeria</t>
        </is>
      </c>
      <c r="M573" t="inlineStr">
        <is>
          <t>1988-06-18</t>
        </is>
      </c>
      <c r="N573" t="inlineStr">
        <is>
          <t>Algeria</t>
        </is>
      </c>
      <c r="O573">
        <f>(1.5+1.5)/2</f>
        <v/>
      </c>
      <c r="P573">
        <f>(4+3+2.5)/3</f>
        <v/>
      </c>
    </row>
    <row r="574">
      <c r="A574" t="inlineStr">
        <is>
          <t>Demir</t>
        </is>
      </c>
      <c r="B574" t="inlineStr">
        <is>
          <t>Barcelona</t>
        </is>
      </c>
      <c r="C574" t="inlineStr">
        <is>
          <t>Forward</t>
        </is>
      </c>
      <c r="D574" t="n">
        <v>101</v>
      </c>
      <c r="E574" t="n">
        <v>3</v>
      </c>
      <c r="F574" t="n">
        <v>0</v>
      </c>
      <c r="G574" t="n">
        <v>0</v>
      </c>
      <c r="H574" t="n">
        <v>12.8</v>
      </c>
      <c r="I574" t="n">
        <v>28.2</v>
      </c>
      <c r="J574" t="n">
        <v>125858</v>
      </c>
      <c r="K574" t="inlineStr">
        <is>
          <t>{'marketValueHistory': [{'date': 'Jul 5, 2012', 'age': '19', 'clubName': 'Borussia Dortmund II', 'clubID': '17', 'value': '€100k'}, {'date': 'Dec 28, 2012', 'age': '19', 'clubName': 'Borussia Dortmund II', 'clubID': '17', 'value': '€200k'}, {'date': 'Jun 28, 2013', 'age': '19', 'clubName': 'Borussia Dortmund II', 'clubID': '17', 'value': '€350k'}, {'date': 'Jul 10, 2014', 'age': '21', 'clubName': 'Hamburger SV', 'clubID': '41', 'value': '€350k'}, {'date': 'Oct 1, 2014', 'age': '21', 'clubName': '1.FC Kaiserslautern', 'clubID': '2', 'value': '€700k'}, {'date': 'Jan 13, 2015', 'age': '21', 'clubName': '1.FC Kaiserslautern', 'clubID': '2', 'value': '€1.00m'}, {'date': 'Jul 1, 2015', 'age': '21', 'clubName': 'Hamburger SV', 'clubID': '41', 'value': '€1.30m'}, {'date': 'Feb 11, 2016', 'age': '22', 'clubName': 'Fortuna Düsseldorf', 'clubID': '38', 'value': '€1.30m'}, {'date': 'Jul 22, 2016', 'age': '23', 'clubName': 'TSG 1899 Hoffenheim', 'clubID': '533', 'value': '€1.75m'}, {'date': 'Feb 7, 2017', 'age': '23', 'clubName': 'TSG 1899 Hoffenheim', 'clubID': '533', 'value': '€4.50m'}, {'date': 'Jun 19, 2017', 'age': '23', 'clubName': 'TSG 1899 Hoffenheim', 'clubID': '533', 'value': '€10.00m'}, {'date': 'Dec 28, 2017', 'age': '24', 'clubName': 'TSG 1899 Hoffenheim', 'clubID': '533', 'value': '€12.00m'}, {'date': 'Jun 5, 2018', 'age': '24', 'clubName': 'TSG 1899 Hoffenheim', 'clubID': '533', 'value': '€12.00m'}, {'date': 'Dec 18, 2018', 'age': '25', 'clubName': 'TSG 1899 Hoffenheim', 'clubID': '533', 'value': '€20.00m'}, {'date': 'Mar 6, 2019', 'age': '25', 'clubName': 'TSG 1899 Hoffenheim', 'clubID': '533', 'value': '€25.00m'}, {'date': 'Jun 5, 2019', 'age': '25', 'clubName': 'TSG 1899 Hoffenheim', 'clubID': '533', 'value': '€32.00m'}, {'date': 'Dec 17, 2019', 'age': '26', 'clubName': 'Bayer 04 Leverkusen', 'clubID': '15', 'value': '€30.00m'}, {'date': 'Apr 8, 2020', 'age': '26', 'clubName': 'Bayer 04 Leverkusen', 'clubID': '15', 'value': '€24.00m'}, {'date': 'Nov 26, 2020', 'age': '27', 'clubName': 'Bayer 04 Leverkusen', 'clubID': '15', 'value': '€18.00m'}, {'date': 'Feb 10, 2021', 'age': '27', 'clubName': 'Bayer 04 Leverkusen', 'clubID': '15', 'value': '€18.00m'}, {'date': 'Jun 9, 2021', 'age': '27', 'clubName': 'Bayer 04 Leverkusen', 'clubID': '15', 'value': '€18.00m'}, {'date': 'Dec 22, 2021', 'age': '28', 'clubName': 'Bayer 04 Leverkusen', 'clubID': '15', 'value': '€15.00m'}, {'date': 'Jun 9, 2022', 'age': '28', 'clubName': 'Bayer 04 Leverkusen', 'clubID': '15', 'value': '€15.00m'}, {'date': 'Nov 9, 2022', 'age': '29', 'clubName': 'Bayer 04 Leverkusen', 'clubID': '15', 'value': '€12.00m'}, {'date': 'Mar 29, 2023', 'age': '29', 'clubName': 'Bayer 04 Leverkusen', 'clubID': '15', 'value': '€9.00m'}, {'date': 'Jun 22, 2023', 'age': '29', 'clubName': 'Bayer 04 Leverkusen', 'clubID': '15', 'value': '€6.00m'}, {'date': 'Sep 27, 2023', 'age': '30', 'clubName': 'Galatasaray', 'clubID': '141', 'value': '€6.00m'}, {'date': 'Dec 21, 2023', 'age': '30', 'clubName': 'Galatasaray', 'clubID': '141', 'value': '€4.70m'}, {'date': 'Mar 15, 2024', 'age': '30', 'clubName': 'Galatasaray', 'clubID': '141', 'value': '€4.70m'}, {'date': 'May 31, 2024', 'age': '30', 'clubName': 'Galatasaray', 'clubID': '141', 'value': '€4.80m'}, {'date': 'Oct 4, 2024', 'age': '31', 'clubName': 'Galatasaray', 'clubID': '141', 'value': '€4.40m'}, {'date': 'Dec 23, 2024', 'age': '31', 'clubName': 'Galatasaray', 'clubID': '141', 'value': '€3.80m'}, {'date': 'Mar 20, 2025', 'age': '31', 'clubName': 'Galatasaray', 'clubID': '141', 'value': '€3.00m'}, {'date': 'Jun 18, 2025', 'age': '31', 'clubName': 'Galatasaray', 'clubID': '141', 'value': '€2.30m'}, {'date': 'Oct 1, 2025', 'age': '32', 'clubName': 'Eyüpspor', 'clubID': '7160', 'value': '€2.00m'}, {'date': 'Dec 17, 2025', 'age': '32', 'clubName': 'Eyüpspor', 'clubID': '7160', 'value': '€1.50m'}, {'date': 'Mar 5, 2026', 'age': '32', 'clubName': 'Kasimpasa', 'clubID': '10484', 'value': '€1.20m'}]}</t>
        </is>
      </c>
      <c r="L574" t="inlineStr">
        <is>
          <t>Turkey</t>
        </is>
      </c>
      <c r="M574" t="inlineStr">
        <is>
          <t>1993-07-03</t>
        </is>
      </c>
      <c r="N574" t="inlineStr">
        <is>
          <t>Turkey</t>
        </is>
      </c>
      <c r="O574">
        <f>(15+12)/2</f>
        <v/>
      </c>
      <c r="P574">
        <f>(18+18+15)/3</f>
        <v/>
      </c>
    </row>
    <row r="575">
      <c r="A575" t="inlineStr">
        <is>
          <t>Gosens</t>
        </is>
      </c>
      <c r="B575" t="inlineStr">
        <is>
          <t>Atalanta</t>
        </is>
      </c>
      <c r="C575" t="inlineStr">
        <is>
          <t>Defender</t>
        </is>
      </c>
      <c r="D575" t="n">
        <v>101</v>
      </c>
      <c r="E575" t="n">
        <v>2</v>
      </c>
      <c r="F575" t="n">
        <v>1</v>
      </c>
      <c r="G575" t="n">
        <v>0</v>
      </c>
      <c r="H575" t="n">
        <v>12.1</v>
      </c>
      <c r="I575" t="n">
        <v>31.2</v>
      </c>
      <c r="J575" t="n">
        <v>273132</v>
      </c>
      <c r="K575" t="inlineStr">
        <is>
          <t>{'marketValueHistory': [{'date': '10/02/2014', 'age': '19', 'clubName': 'FC Dordrecht', 'clubID': '1455', 'value': '€100k'}, {'date': '11/08/2014', 'age': '20', 'clubName': 'FC Dordrecht', 'clubID': '1455', 'value': '€250k'}, {'date': '11/02/2015', 'age': '20', 'clubName': 'FC Dordrecht', 'clubID': '1455', 'value': '€400k'}, {'date': '01/07/2015', 'age': '20', 'clubName': 'Heracles Almelo', 'clubID': '1304', 'value': '€450k'}, {'date': '05/02/2016', 'age': '21', 'clubName': 'Heracles Almelo', 'clubID': '1304', 'value': '€600k'}, {'date': '15/07/2016', 'age': '22', 'clubName': 'Heracles Almelo', 'clubID': '1304', 'value': '€750k'}, {'date': '18/01/2017', 'age': '22', 'clubName': 'Heracles Almelo', 'clubID': '1304', 'value': '€800k'}, {'date': '07/06/2017', 'age': '22', 'clubName': 'Heracles Almelo', 'clubID': '1304', 'value': '€1.00m'}, {'date': '29/12/2017', 'age': '23', 'clubName': 'Atalanta BC', 'clubID': '800', 'value': '€1.00m'}, {'date': '07/06/2018', 'age': '23', 'clubName': 'Atalanta BC', 'clubID': '800', 'value': '€2.50m'}, {'date': '20/12/2018', 'age': '24', 'clubName': 'Atalanta BC', 'clubID': '800', 'value': '€6.00m'}, {'date': '06/06/2019', 'age': '24', 'clubName': 'Atalanta BC', 'clubID': '800', 'value': '€8.00m'}, {'date': '08/10/2019', 'age': '25', 'clubName': 'Atalanta BC', 'clubID': '800', 'value': '€12.00m'}, {'date': '12/12/2019', 'age': '25', 'clubName': 'Atalanta BC', 'clubID': '800', 'value': '€18.00m'}, {'date': '03/03/2020', 'age': '25', 'clubName': 'Atalanta BC', 'clubID': '800', 'value': '€25.00m'}, {'date': '08/04/2020', 'age': '25', 'clubName': 'Atalanta BC', 'clubID': '800', 'value': '€20.00m'}, {'date': '25/08/2020', 'age': '26', 'clubName': 'Atalanta BC', 'clubID': '800', 'value': '€27.00m'}, {'date': '29/12/2020', 'age': '26', 'clubName': 'Atalanta BC', 'clubID': '800', 'value': '€28.00m'}, {'date': '23/03/2021', 'age': '26', 'clubName': 'Atalanta BC', 'clubID': '800', 'value': '€35.00m'}, {'date': '01/06/2021', 'age': '26', 'clubName': 'Atalanta BC', 'clubID': '800', 'value': '€35.00m'}, {'date': '28/12/2021', 'age': '27', 'clubName': 'Atalanta BC', 'clubID': '800', 'value': '€35.00m'}, {'date': '07/06/2022', 'age': '27', 'clubName': 'Inter Milan', 'clubID': '46', 'value': '€28.00m'}, {'date': '27/09/2022', 'age': '28', 'clubName': 'Inter Milan', 'clubID': '46', 'value': '€22.00m'}, {'date': '11/11/2022', 'age': '28', 'clubName': 'Inter Milan', 'clubID': '46', 'value': '€18.00m'}, {'date': '15/06/2023', 'age': '28', 'clubName': 'Inter Milan', 'clubID': '46', 'value': '€15.00m'}, {'date': '14/12/2023', 'age': '29', 'clubName': '1.FC Union Berlin', 'clubID': '89', 'value': '€15.00m'}, {'date': '27/03/2024', 'age': '29', 'clubName': '1.FC Union Berlin', 'clubID': '89', 'value': '€12.00m'}, {'date': '29/05/2024', 'age': '29', 'clubName': '1.FC Union Berlin', 'clubID': '89', 'value': '€12.00m'}, {'date': '18/10/2024', 'age': '30', 'clubName': 'ACF Fiorentina', 'clubID': '430', 'value': '€8.00m'}, {'date': '18/12/2024', 'age': '30', 'clubName': 'ACF Fiorentina', 'clubID': '430', 'value': '€8.00m'}, {'date': '17/06/2025', 'age': '30', 'clubName': 'ACF Fiorentina', 'clubID': '430', 'value': '€8.00m'}, {'date': '23/12/2025', 'age': '31', 'clubName': 'ACF Fiorentina', 'clubID': '430', 'value': '€6.00m'}, {'date': '24/03/2026', 'age': '31', 'clubName': 'ACF Fiorentina', 'clubID': '430', 'value': '€4.50m'}]}</t>
        </is>
      </c>
      <c r="L575" t="inlineStr">
        <is>
          <t>Germany</t>
        </is>
      </c>
      <c r="M575" t="inlineStr">
        <is>
          <t>1994-07-05</t>
        </is>
      </c>
      <c r="N575" t="inlineStr">
        <is>
          <t>24</t>
        </is>
      </c>
      <c r="O575">
        <f>(28+22+18)/3</f>
        <v/>
      </c>
      <c r="P575">
        <f>(35+35+35)/3</f>
        <v/>
      </c>
    </row>
    <row r="576">
      <c r="A576" t="inlineStr">
        <is>
          <t>Traore</t>
        </is>
      </c>
      <c r="B576" t="inlineStr">
        <is>
          <t>Shakhtar Donetsk</t>
        </is>
      </c>
      <c r="C576" t="inlineStr">
        <is>
          <t>Forward</t>
        </is>
      </c>
      <c r="D576" t="n">
        <v>101</v>
      </c>
      <c r="E576" t="n">
        <v>2</v>
      </c>
      <c r="F576" t="n">
        <v>0</v>
      </c>
      <c r="G576" t="n">
        <v>0</v>
      </c>
      <c r="H576" t="n">
        <v>10.5</v>
      </c>
      <c r="I576" t="n">
        <v>30.6</v>
      </c>
      <c r="J576" t="n">
        <v>204103</v>
      </c>
      <c r="K576" t="inlineStr">
        <is>
          <t>{'marketValueHistory': [{'date': 'Jun 22, 2013', 'age': '17', 'clubName': 'FC Barcelona U19', 'clubID': '2470', 'value': '€200k'}, {'date': 'Oct 8, 2013', 'age': '17', 'clubName': 'FC Barcelona B', 'clubID': '2464', 'value': '€200k'}, {'date': 'Feb 6, 2014', 'age': '18', 'clubName': 'FC Barcelona B', 'clubID': '2464', 'value': '€1.00m'}, {'date': 'Aug 5, 2014', 'age': '18', 'clubName': 'FC Barcelona B', 'clubID': '2464', 'value': '€5.00m'}, {'date': 'Jan 8, 2015', 'age': '18', 'clubName': 'FC Barcelona B', 'clubID': '2464', 'value': '€5.00m'}, {'date': 'Aug 14, 2015', 'age': '19', 'clubName': 'Aston Villa', 'clubID': '405', 'value': '€5.00m'}, {'date': 'Oct 14, 2015', 'age': '19', 'clubName': 'Aston Villa', 'clubID': '405', 'value': '€8.00m'}, {'date': 'Feb 9, 2016', 'age': '20', 'clubName': 'Aston Villa', 'clubID': '405', 'value': '€8.00m'}, {'date': 'Sep 1, 2016', 'age': '20', 'clubName': 'Middlesbrough FC', 'clubID': '641', 'value': '€7.00m'}, {'date': 'Feb 20, 2017', 'age': '21', 'clubName': 'Middlesbrough FC', 'clubID': '641', 'value': '€8.00m'}, {'date': 'Jun 28, 2017', 'age': '21', 'clubName': 'Middlesbrough FC', 'clubID': '641', 'value': '€8.00m'}, {'date': 'Aug 13, 2018', 'age': '22', 'clubName': 'Wolverhampton Wanderers', 'clubID': '543', 'value': '€18.00m'}, {'date': 'Dec 19, 2018', 'age': '22', 'clubName': 'Wolverhampton Wanderers', 'clubID': '543', 'value': '€18.00m'}, {'date': 'Jun 13, 2019', 'age': '23', 'clubName': 'Wolverhampton Wanderers', 'clubID': '543', 'value': '€15.00m'}, {'date': 'Dec 10, 2019', 'age': '23', 'clubName': 'Wolverhampton Wanderers', 'clubID': '543', 'value': '€28.00m'}, {'date': 'Mar 9, 2020', 'age': '24', 'clubName': 'Wolverhampton Wanderers', 'clubID': '543', 'value': '€32.00m'}, {'date': 'Apr 8, 2020', 'age': '24', 'clubName': 'Wolverhampton Wanderers', 'clubID': '543', 'value': '€25.50m'}, {'date': 'Jul 30, 2020', 'age': '24', 'clubName': 'Wolverhampton Wanderers', 'clubID': '543', 'value': '€35.00m'}, {'date': 'Oct 13, 2020', 'age': '24', 'clubName': 'Wolverhampton Wanderers', 'clubID': '543', 'value': '€40.00m'}, {'date': 'Mar 18, 2021', 'age': '25', 'clubName': 'Wolverhampton Wanderers', 'clubID': '543', 'value': '€35.00m'}, {'date': 'May 31, 2021', 'age': '25', 'clubName': 'Wolverhampton Wanderers', 'clubID': '543', 'value': '€30.00m'}, {'date': 'Dec 23, 2021', 'age': '25', 'clubName': 'Wolverhampton Wanderers', 'clubID': '543', 'value': '€28.00m'}, {'date': 'Jun 3, 2022', 'age': '26', 'clubName': 'FC Barcelona', 'clubID': '131', 'value': '€20.00m'}, {'date': 'Sep 15, 2022', 'age': '26', 'clubName': 'Wolverhampton Wanderers', 'clubID': '543', 'value': '€15.00m'}, {'date': 'Nov 3, 2022', 'age': '26', 'clubName': 'Wolverhampton Wanderers', 'clubID': '543', 'value': '€15.00m'}, {'date': 'Mar 16, 2023', 'age': '27', 'clubName': 'Wolverhampton Wanderers', 'clubID': '543', 'value': '€12.00m'}, {'date': 'Jun 20, 2023', 'age': '27', 'clubName': 'Wolverhampton Wanderers', 'clubID': '543', 'value': '€10.00m'}, {'date': 'Dec 19, 2023', 'age': '27', 'clubName': 'Fulham FC', 'clubID': '931', 'value': '€9.00m'}, {'date': 'May 27, 2024', 'age': '28', 'clubName': 'Fulham FC', 'clubID': '931', 'value': '€9.00m'}, {'date': 'Dec 16, 2024', 'age': '28', 'clubName': 'Fulham FC', 'clubID': '931', 'value': '€10.00m'}, {'date': 'May 30, 2025', 'age': '29', 'clubName': 'Fulham FC', 'clubID': '931', 'value': '€9.00m'}, {'date': 'Dec 9, 2025', 'age': '29', 'clubName': 'Fulham FC', 'clubID': '931', 'value': '€8.00m'}]}</t>
        </is>
      </c>
      <c r="L576" t="inlineStr">
        <is>
          <t>Spain</t>
        </is>
      </c>
      <c r="M576" t="inlineStr">
        <is>
          <t>1996-01-25</t>
        </is>
      </c>
      <c r="N576" t="inlineStr">
        <is>
          <t>Spain</t>
        </is>
      </c>
      <c r="O576">
        <f>(20+15+15)/3</f>
        <v/>
      </c>
      <c r="P576">
        <f>(35+30+28)/3</f>
        <v/>
      </c>
    </row>
    <row r="577">
      <c r="A577" t="inlineStr">
        <is>
          <t>Tigges</t>
        </is>
      </c>
      <c r="B577" t="inlineStr">
        <is>
          <t>Dortmund</t>
        </is>
      </c>
      <c r="C577" t="inlineStr">
        <is>
          <t>Forward</t>
        </is>
      </c>
      <c r="D577" t="n">
        <v>100</v>
      </c>
      <c r="E577" t="n">
        <v>2</v>
      </c>
      <c r="F577" t="n">
        <v>0</v>
      </c>
      <c r="G577" t="n">
        <v>0</v>
      </c>
      <c r="H577" t="n">
        <v>13.4</v>
      </c>
      <c r="I577" t="n">
        <v>29.8</v>
      </c>
      <c r="J577" t="n">
        <v>296879</v>
      </c>
      <c r="K577" t="inlineStr">
        <is>
          <t>{'marketValueHistory': [{'date': '08/02/2016', 'age': '17', 'clubName': 'VfL Osnabrück U19', 'clubID': '81', 'value': '€50k'}, {'date': '14/07/2016', 'age': '17', 'clubName': 'VfL Osnabrück', 'clubID': '81', 'value': '€100k'}, {'date': '10/02/2017', 'age': '18', 'clubName': 'VfL Osnabrück', 'clubID': '81', 'value': '€125k'}, {'date': '14/06/2017', 'age': '18', 'clubName': 'VfL Osnabrück', 'clubID': '81', 'value': '€125k'}, {'date': '19/01/2018', 'age': '19', 'clubName': 'VfL Osnabrück', 'clubID': '81', 'value': '€150k'}, {'date': '08/06/2018', 'age': '19', 'clubName': 'VfL Osnabrück', 'clubID': '81', 'value': '€150k'}, {'date': '15/01/2019', 'age': '20', 'clubName': 'VfL Osnabrück', 'clubID': '81', 'value': '€150k'}, {'date': '14/06/2019', 'age': '20', 'clubName': 'VfL Osnabrück', 'clubID': '81', 'value': '€150k'}, {'date': '21/01/2020', 'age': '21', 'clubName': 'Borussia Dortmund II', 'clubID': '17', 'value': '€175k'}, {'date': '22/06/2020', 'age': '21', 'clubName': 'Borussia Dortmund II', 'clubID': '17', 'value': '€175k'}, {'date': '05/01/2021', 'age': '22', 'clubName': 'Borussia Dortmund', 'clubID': '16', 'value': '€250k'}, {'date': '10/02/2021', 'age': '22', 'clubName': 'Borussia Dortmund', 'clubID': '16', 'value': '€700k'}, {'date': '09/06/2021', 'age': '22', 'clubName': 'Borussia Dortmund', 'clubID': '16', 'value': '€1.20m'}, {'date': '22/12/2021', 'age': '23', 'clubName': 'Borussia Dortmund', 'clubID': '16', 'value': '€1.50m'}, {'date': '09/06/2022', 'age': '23', 'clubName': 'Borussia Dortmund', 'clubID': '16', 'value': '€1.50m'}, {'date': '21/09/2022', 'age': '24', 'clubName': '1.FC Köln', 'clubID': '3', 'value': '€2.50m'}, {'date': '09/11/2022', 'age': '24', 'clubName': '1.FC Köln', 'clubID': '3', 'value': '€3.50m'}, {'date': '22/06/2023', 'age': '24', 'clubName': '1.FC Köln', 'clubID': '3', 'value': '€3.50m'}, {'date': '18/10/2023', 'age': '25', 'clubName': '1.FC Köln', 'clubID': '3', 'value': '€2.50m'}, {'date': '14/12/2023', 'age': '25', 'clubName': '1.FC Köln', 'clubID': '3', 'value': '€2.00m'}, {'date': '27/03/2024', 'age': '25', 'clubName': '1.FC Köln', 'clubID': '3', 'value': '€1.50m'}, {'date': '29/05/2024', 'age': '25', 'clubName': '1.FC Köln', 'clubID': '3', 'value': '€1.50m'}, {'date': '25/09/2024', 'age': '26', 'clubName': '1.FC Köln', 'clubID': '3', 'value': '€900k'}, {'date': '19/12/2024', 'age': '26', 'clubName': '1.FC Köln', 'clubID': '3', 'value': '€700k'}, {'date': '19/06/2025', 'age': '26', 'clubName': '1.FC Köln', 'clubID': '3', 'value': '€700k'}, {'date': '16/12/2025', 'age': '27', 'clubName': 'SC Paderborn 07', 'clubID': '127', 'value': '€700k'}]}</t>
        </is>
      </c>
      <c r="L577" t="inlineStr">
        <is>
          <t>Germany</t>
        </is>
      </c>
      <c r="M577" t="inlineStr">
        <is>
          <t>1998-07-31</t>
        </is>
      </c>
      <c r="N577" t="inlineStr">
        <is>
          <t>Germany</t>
        </is>
      </c>
      <c r="O577">
        <f>(1.5+2.5+3.5)/3</f>
        <v/>
      </c>
      <c r="P577">
        <f>(0.25+0.7+1.2+1.5)/4</f>
        <v/>
      </c>
    </row>
    <row r="578">
      <c r="A578" t="inlineStr">
        <is>
          <t>Sarr</t>
        </is>
      </c>
      <c r="B578" t="inlineStr">
        <is>
          <t>Chelsea</t>
        </is>
      </c>
      <c r="C578" t="inlineStr">
        <is>
          <t>Defender</t>
        </is>
      </c>
      <c r="D578" t="n">
        <v>100</v>
      </c>
      <c r="E578" t="n">
        <v>2</v>
      </c>
      <c r="F578" t="n">
        <v>0</v>
      </c>
      <c r="G578" t="n">
        <v>0</v>
      </c>
      <c r="H578" t="n">
        <v>11.9</v>
      </c>
      <c r="I578" t="n">
        <v>31.6</v>
      </c>
      <c r="J578" t="n">
        <v>568693</v>
      </c>
      <c r="K578" t="inlineStr">
        <is>
          <t>{'marketValueHistory': [{'date': '09/03/2021', 'age': '18', 'clubName': 'FC Metz', 'clubID': '347', 'value': '€3.00m'}, {'date': '04/06/2021', 'age': '18', 'clubName': 'FC Metz', 'clubID': '347', 'value': '€10.00m'}, {'date': '08/10/2021', 'age': '19', 'clubName': 'FC Metz', 'clubID': '347', 'value': '€20.00m'}, {'date': '16/12/2021', 'age': '19', 'clubName': 'FC Metz', 'clubID': '347', 'value': '€20.00m'}, {'date': '30/05/2022', 'age': '19', 'clubName': 'FC Metz', 'clubID': '347', 'value': '€15.00m'}, {'date': '03/11/2022', 'age': '20', 'clubName': 'Tottenham Hotspur', 'clubID': '148', 'value': '€15.00m'}, {'date': '20/06/2023', 'age': '20', 'clubName': 'Tottenham Hotspur', 'clubID': '148', 'value': '€15.00m'}, {'date': '09/10/2023', 'age': '21', 'clubName': 'Tottenham Hotspur', 'clubID': '148', 'value': '€35.00m'}, {'date': '19/12/2023', 'age': '21', 'clubName': 'Tottenham Hotspur', 'clubID': '148', 'value': '€35.00m'}, {'date': '14/03/2024', 'age': '21', 'clubName': 'Tottenham Hotspur', 'clubID': '148', 'value': '€40.00m'}, {'date': '27/05/2024', 'age': '21', 'clubName': 'Tottenham Hotspur', 'clubID': '148', 'value': '€45.00m'}, {'date': '16/12/2024', 'age': '22', 'clubName': 'Tottenham Hotspur', 'clubID': '148', 'value': '€45.00m'}, {'date': '18/03/2025', 'age': '22', 'clubName': 'Tottenham Hotspur', 'clubID': '148', 'value': '€40.00m'}, {'date': '30/05/2025', 'age': '22', 'clubName': 'Tottenham Hotspur', 'clubID': '148', 'value': '€32.00m'}, {'date': '17/10/2025', 'age': '23', 'clubName': 'Tottenham Hotspur', 'clubID': '148', 'value': '€35.00m'}, {'date': '09/12/2025', 'age': '23', 'clubName': 'Tottenham Hotspur', 'clubID': '148', 'value': '€35.00m'}, {'date': '09/03/2026', 'age': '23', 'clubName': 'Tottenham Hotspur', 'clubID': '148', 'value': '€32.00m'}]}</t>
        </is>
      </c>
      <c r="L578" t="inlineStr">
        <is>
          <t>Senegal</t>
        </is>
      </c>
      <c r="M578" t="inlineStr">
        <is>
          <t>2002-09-14</t>
        </is>
      </c>
      <c r="N578" t="inlineStr">
        <is>
          <t>Senegal</t>
        </is>
      </c>
      <c r="O578">
        <f>(15+15)/2</f>
        <v/>
      </c>
      <c r="P578">
        <f>(3+10+20+20)/4</f>
        <v/>
      </c>
    </row>
    <row r="579">
      <c r="A579" t="inlineStr">
        <is>
          <t>Ranocchia</t>
        </is>
      </c>
      <c r="B579" t="inlineStr">
        <is>
          <t>Inter</t>
        </is>
      </c>
      <c r="C579" t="inlineStr">
        <is>
          <t>Defender</t>
        </is>
      </c>
      <c r="D579" t="n">
        <v>98</v>
      </c>
      <c r="E579" t="n">
        <v>3</v>
      </c>
      <c r="F579" t="n">
        <v>0</v>
      </c>
      <c r="G579" t="n">
        <v>0</v>
      </c>
      <c r="H579" t="n">
        <v>10.9</v>
      </c>
      <c r="I579" t="n">
        <v>31.9</v>
      </c>
      <c r="J579" t="n">
        <v>44327</v>
      </c>
      <c r="K579" t="inlineStr">
        <is>
          <t>{'marketValueHistory': [{'date': 'Sep 28, 2006', 'age': '18', 'clubName': 'AC Arezzo', 'clubID': '4255', 'value': '€50k'}, {'date': 'Sep 1, 2007', 'age': '19', 'clubName': 'AC Arezzo', 'clubID': '4255', 'value': '€800k'}, {'date': 'Jun 22, 2009', 'age': '21', 'clubName': 'AS Bari', 'clubID': '332', 'value': '€1.00m'}, {'date': 'Sep 23, 2009', 'age': '21', 'clubName': 'AS Bari', 'clubID': '332', 'value': '€2.50m'}, {'date': 'Jan 27, 2010', 'age': '21', 'clubName': 'AS Bari', 'clubID': '332', 'value': '€7.50m'}, {'date': 'Jun 30, 2010', 'age': '22', 'clubName': 'Genoa CFC', 'clubID': '252', 'value': '€10.00m'}, {'date': 'Jan 20, 2011', 'age': '22', 'clubName': 'Inter Milan', 'clubID': '46', 'value': '€17.00m'}, {'date': 'Jun 21, 2011', 'age': '23', 'clubName': 'Inter Milan', 'clubID': '46', 'value': '€17.50m'}, {'date': 'Jan 11, 2012', 'age': '23', 'clubName': 'Inter Milan', 'clubID': '46', 'value': '€15.00m'}, {'date': 'Jun 8, 2012', 'age': '24', 'clubName': 'Inter Milan', 'clubID': '46', 'value': '€13.50m'}, {'date': 'Jan 15, 2013', 'age': '24', 'clubName': 'Inter Milan', 'clubID': '46', 'value': '€18.00m'}, {'date': 'Jun 19, 2013', 'age': '25', 'clubName': 'Inter Milan', 'clubID': '46', 'value': '€17.00m'}, {'date': 'Jan 7, 2014', 'age': '25', 'clubName': 'Inter Milan', 'clubID': '46', 'value': '€16.50m'}, {'date': 'Mar 10, 2014', 'age': '26', 'clubName': 'Inter Milan', 'clubID': '46', 'value': '€13.00m'}, {'date': 'Jul 1, 2014', 'age': '26', 'clubName': 'Inter Milan', 'clubID': '46', 'value': '€13.50m'}, {'date': 'Jan 7, 2015', 'age': '26', 'clubName': 'Inter Milan', 'clubID': '46', 'value': '€12.50m'}, {'date': 'Jul 1, 2015', 'age': '27', 'clubName': 'Inter Milan', 'clubID': '46', 'value': '€10.00m'}, {'date': 'Nov 5, 2015', 'age': '27', 'clubName': 'Inter Milan', 'clubID': '46', 'value': '€8.00m'}, {'date': 'Jan 4, 2016', 'age': '27', 'clubName': 'Inter Milan', 'clubID': '46', 'value': '€7.50m'}, {'date': 'Jul 15, 2016', 'age': '28', 'clubName': 'Inter Milan', 'clubID': '46', 'value': '€6.00m'}, {'date': 'Jan 2, 2017', 'age': '28', 'clubName': 'Inter Milan', 'clubID': '46', 'value': '€5.00m'}, {'date': 'Jun 28, 2017', 'age': '29', 'clubName': 'Hull City', 'clubID': '3008', 'value': '€5.00m'}, {'date': 'Dec 29, 2017', 'age': '29', 'clubName': 'Inter Milan', 'clubID': '46', 'value': '€5.00m'}, {'date': 'Jun 7, 2018', 'age': '30', 'clubName': 'Inter Milan', 'clubID': '46', 'value': '€5.00m'}, {'date': 'Dec 20, 2018', 'age': '30', 'clubName': 'Inter Milan', 'clubID': '46', 'value': '€3.50m'}, {'date': 'Jun 6, 2019', 'age': '31', 'clubName': 'Inter Milan', 'clubID': '46', 'value': '€3.00m'}, {'date': 'Dec 12, 2019', 'age': '31', 'clubName': 'Inter Milan', 'clubID': '46', 'value': '€3.00m'}, {'date': 'Apr 8, 2020', 'age': '32', 'clubName': 'Inter Milan', 'clubID': '46', 'value': '€2.40m'}, {'date': 'Aug 25, 2020', 'age': '32', 'clubName': 'Inter Milan', 'clubID': '46', 'value': '€2.00m'}, {'date': 'Dec 29, 2020', 'age': '32', 'clubName': 'Inter Milan', 'clubID': '46', 'value': '€1.50m'}, {'date': 'Jun 3, 2021', 'age': '33', 'clubName': 'Inter Milan', 'clubID': '46', 'value': '€1.00m'}, {'date': 'Dec 28, 2021', 'age': '33', 'clubName': 'Inter Milan', 'clubID': '46', 'value': '€1.00m'}, {'date': 'Jun 7, 2022', 'age': '34', 'clubName': 'Inter Milan', 'clubID': '46', 'value': '€800k'}, {'date': 'Sep 22, 2022', 'age': '34', 'clubName': 'Retired', 'clubID': '123', 'value': '-'}]}</t>
        </is>
      </c>
      <c r="L579" t="inlineStr">
        <is>
          <t>Italy</t>
        </is>
      </c>
      <c r="M579" t="inlineStr">
        <is>
          <t>1988-02-16</t>
        </is>
      </c>
      <c r="N579" t="inlineStr">
        <is>
          <t>Italy</t>
        </is>
      </c>
      <c r="O579">
        <f>0.8</f>
        <v/>
      </c>
      <c r="P579">
        <f>(1+1)/2</f>
        <v/>
      </c>
    </row>
    <row r="580">
      <c r="A580" t="inlineStr">
        <is>
          <t>Nikolov</t>
        </is>
      </c>
      <c r="B580" t="inlineStr">
        <is>
          <t>Sheriff</t>
        </is>
      </c>
      <c r="C580" t="inlineStr">
        <is>
          <t>Midfielder</t>
        </is>
      </c>
      <c r="D580" t="n">
        <v>97</v>
      </c>
      <c r="E580" t="n">
        <v>5</v>
      </c>
      <c r="F580" t="n">
        <v>1</v>
      </c>
      <c r="G580" t="n">
        <v>0</v>
      </c>
      <c r="H580" t="n">
        <v>14.6</v>
      </c>
      <c r="I580" t="n">
        <v>30.8</v>
      </c>
      <c r="J580" t="n">
        <v>447</v>
      </c>
      <c r="K580" t="inlineStr">
        <is>
          <t>{'marketValueHistory': [{'date': '04/10/2004', 'age': '30', 'clubName': 'Eintracht Frankfurt', 'clubID': '24', 'value': '€700k'}, {'date': '04/07/2005', 'age': '31', 'clubName': 'Eintracht Frankfurt', 'clubID': '24', 'value': '€550k'}, {'date': '30/09/2005', 'age': '31', 'clubName': 'Eintracht Frankfurt', 'clubID': '24', 'value': '€750k'}, {'date': '13/12/2005', 'age': '31', 'clubName': 'Eintracht Frankfurt', 'clubID': '24', 'value': '€1.00m'}, {'date': '14/12/2005', 'age': '31', 'clubName': 'Eintracht Frankfurt', 'clubID': '24', 'value': '€750k'}, {'date': '09/01/2006', 'age': '31', 'clubName': 'Eintracht Frankfurt', 'clubID': '24', 'value': '€1.50m'}, {'date': '02/06/2006', 'age': '32', 'clubName': 'Eintracht Frankfurt', 'clubID': '24', 'value': '€2.00m'}, {'date': '07/09/2006', 'age': '32', 'clubName': 'Eintracht Frankfurt', 'clubID': '24', 'value': '€1.20m'}, {'date': '15/01/2007', 'age': '32', 'clubName': 'Eintracht Frankfurt', 'clubID': '24', 'value': '€1.00m'}, {'date': '27/08/2010', 'age': '36', 'clubName': 'Eintracht Frankfurt', 'clubID': '24', 'value': '€1.00m'}, {'date': '12/01/2011', 'age': '36', 'clubName': 'Eintracht Frankfurt', 'clubID': '24', 'value': '€1.00m'}, {'date': '29/06/2011', 'age': '37', 'clubName': 'Eintracht Frankfurt', 'clubID': '24', 'value': '€750k'}, {'date': '16/01/2012', 'age': '37', 'clubName': 'Eintracht Frankfurt', 'clubID': '24', 'value': '€600k'}, {'date': '24/06/2012', 'age': '38', 'clubName': 'Eintracht Frankfurt', 'clubID': '24', 'value': '€500k'}, {'date': '13/01/2013', 'age': '38', 'clubName': 'Eintracht Frankfurt', 'clubID': '24', 'value': '€500k'}, {'date': '30/06/2013', 'age': '39', 'clubName': 'Eintracht Frankfurt', 'clubID': '24', 'value': '€350k'}, {'date': '16/12/2014', 'age': '40', 'clubName': 'Retired', 'clubID': '123', 'value': '-'}]}</t>
        </is>
      </c>
      <c r="L580" t="inlineStr">
        <is>
          <t>Germany</t>
        </is>
      </c>
      <c r="M580" t="inlineStr">
        <is>
          <t>1974-05-25</t>
        </is>
      </c>
      <c r="N580" t="inlineStr">
        <is>
          <t>Germany</t>
        </is>
      </c>
    </row>
    <row r="581">
      <c r="A581" t="inlineStr">
        <is>
          <t>Zagadou</t>
        </is>
      </c>
      <c r="B581" t="inlineStr">
        <is>
          <t>Dortmund</t>
        </is>
      </c>
      <c r="C581" t="inlineStr">
        <is>
          <t>Defender</t>
        </is>
      </c>
      <c r="D581" t="n">
        <v>97</v>
      </c>
      <c r="E581" t="n">
        <v>2</v>
      </c>
      <c r="F581" t="n">
        <v>0</v>
      </c>
      <c r="G581" t="n">
        <v>0</v>
      </c>
      <c r="H581" t="n">
        <v>12.3</v>
      </c>
      <c r="I581" t="n">
        <v>31.2</v>
      </c>
      <c r="J581" t="n">
        <v>344598</v>
      </c>
      <c r="K581" t="inlineStr">
        <is>
          <t>{'marketValueHistory': [{'date': '04/05/2017', 'age': '17', 'clubName': 'Paris Saint-Germain B', 'clubID': '8512', 'value': '€125k'}, {'date': '18/10/2017', 'age': '18', 'clubName': 'Borussia Dortmund', 'clubID': '16', 'value': '€2.50m'}, {'date': '28/12/2017', 'age': '18', 'clubName': 'Borussia Dortmund', 'clubID': '16', 'value': '€5.00m'}, {'date': '05/06/2018', 'age': '19', 'clubName': 'Borussia Dortmund', 'clubID': '16', 'value': '€5.00m'}, {'date': '22/10/2018', 'age': '19', 'clubName': 'Borussia Dortmund', 'clubID': '16', 'value': '€8.00m'}, {'date': '18/12/2018', 'age': '19', 'clubName': 'Borussia Dortmund', 'clubID': '16', 'value': '€20.00m'}, {'date': '06/03/2019', 'age': '19', 'clubName': 'Borussia Dortmund', 'clubID': '16', 'value': '€30.00m'}, {'date': '05/06/2019', 'age': '20', 'clubName': 'Borussia Dortmund', 'clubID': '16', 'value': '€28.00m'}, {'date': '17/12/2019', 'age': '20', 'clubName': 'Borussia Dortmund', 'clubID': '16', 'value': '€28.00m'}, {'date': '11/03/2020', 'age': '20', 'clubName': 'Borussia Dortmund', 'clubID': '16', 'value': '€35.00m'}, {'date': '08/04/2020', 'age': '20', 'clubName': 'Borussia Dortmund', 'clubID': '16', 'value': '€31.50m'}, {'date': '10/02/2021', 'age': '21', 'clubName': 'Borussia Dortmund', 'clubID': '16', 'value': '€22.00m'}, {'date': '31/03/2021', 'age': '21', 'clubName': 'Borussia Dortmund', 'clubID': '16', 'value': '€18.00m'}, {'date': '09/06/2021', 'age': '22', 'clubName': 'Borussia Dortmund', 'clubID': '16', 'value': '€18.00m'}, {'date': '07/10/2021', 'age': '22', 'clubName': 'Borussia Dortmund', 'clubID': '16', 'value': '€14.00m'}, {'date': '22/12/2021', 'age': '22', 'clubName': 'Borussia Dortmund', 'clubID': '16', 'value': '€14.00m'}, {'date': '24/03/2022', 'age': '22', 'clubName': 'Borussia Dortmund', 'clubID': '16', 'value': '€9.00m'}, {'date': '09/06/2022', 'age': '23', 'clubName': 'Borussia Dortmund', 'clubID': '16', 'value': '€9.00m'}, {'date': '21/09/2022', 'age': '23', 'clubName': 'VfB Stuttgart', 'clubID': '79', 'value': '€5.00m'}, {'date': '09/11/2022', 'age': '23', 'clubName': 'VfB Stuttgart', 'clubID': '79', 'value': '€5.00m'}, {'date': '29/03/2023', 'age': '23', 'clubName': 'VfB Stuttgart', 'clubID': '79', 'value': '€3.50m'}, {'date': '22/06/2023', 'age': '24', 'clubName': 'VfB Stuttgart', 'clubID': '79', 'value': '€2.50m'}, {'date': '18/10/2023', 'age': '24', 'clubName': 'VfB Stuttgart', 'clubID': '79', 'value': '€5.50m'}, {'date': '14/12/2023', 'age': '24', 'clubName': 'VfB Stuttgart', 'clubID': '79', 'value': '€10.00m'}, {'date': '29/05/2024', 'age': '24', 'clubName': 'VfB Stuttgart', 'clubID': '79', 'value': '€10.00m'}, {'date': '20/12/2024', 'age': '25', 'clubName': 'VfB Stuttgart', 'clubID': '79', 'value': '€6.00m'}, {'date': '05/06/2025', 'age': '26', 'clubName': 'VfB Stuttgart', 'clubID': '79', 'value': '€2.00m'}, {'date': '19/12/2025', 'age': '26', 'clubName': 'VfB Stuttgart', 'clubID': '79', 'value': '€2.00m'}]}</t>
        </is>
      </c>
      <c r="L581" t="inlineStr">
        <is>
          <t>France</t>
        </is>
      </c>
      <c r="M581" t="inlineStr">
        <is>
          <t>1999-06-03</t>
        </is>
      </c>
      <c r="N581" t="inlineStr">
        <is>
          <t>France</t>
        </is>
      </c>
      <c r="O581">
        <f>(9+9+5+5)/4</f>
        <v/>
      </c>
      <c r="P581">
        <f>(22+18+18+14+14)/5</f>
        <v/>
      </c>
    </row>
    <row r="582">
      <c r="A582" t="inlineStr">
        <is>
          <t>Mata</t>
        </is>
      </c>
      <c r="B582" t="inlineStr">
        <is>
          <t>Man United</t>
        </is>
      </c>
      <c r="C582" t="inlineStr">
        <is>
          <t>Midfielder</t>
        </is>
      </c>
      <c r="D582" t="n">
        <v>96</v>
      </c>
      <c r="E582" t="n">
        <v>3</v>
      </c>
      <c r="F582" t="n">
        <v>0</v>
      </c>
      <c r="G582" t="n">
        <v>0</v>
      </c>
      <c r="H582" t="n">
        <v>13.2</v>
      </c>
      <c r="I582" t="n">
        <v>27.1</v>
      </c>
      <c r="J582" t="n">
        <v>44068</v>
      </c>
      <c r="K582" t="inlineStr">
        <is>
          <t>{'marketValueHistory': [{'date': 'Oct 26, 2006', 'age': '18', 'clubName': 'Real Madrid Castilla', 'clubID': '6767', 'value': '€50k'}, {'date': 'Jun 24, 2007', 'age': '19', 'clubName': 'Real Madrid Castilla', 'clubID': '6767', 'value': '€1.10m'}, {'date': 'Aug 24, 2007', 'age': '19', 'clubName': 'Valencia CF', 'clubID': '1049', 'value': '€1.00m'}, {'date': 'Feb 4, 2008', 'age': '19', 'clubName': 'Valencia CF', 'clubID': '1049', 'value': '€1.20m'}, {'date': 'Mar 19, 2008', 'age': '19', 'clubName': 'Valencia CF', 'clubID': '1049', 'value': '€2.00m'}, {'date': 'Apr 4, 2008', 'age': '19', 'clubName': 'Valencia CF', 'clubID': '1049', 'value': '€3.00m'}, {'date': 'Apr 20, 2008', 'age': '19', 'clubName': 'Valencia CF', 'clubID': '1049', 'value': '€4.60m'}, {'date': 'Jul 17, 2008', 'age': '20', 'clubName': 'Valencia CF', 'clubID': '1049', 'value': '€6.00m'}, {'date': 'Oct 15, 2008', 'age': '20', 'clubName': 'Valencia CF', 'clubID': '1049', 'value': '€9.00m'}, {'date': 'Jan 26, 2009', 'age': '20', 'clubName': 'Valencia CF', 'clubID': '1049', 'value': '€15.00m'}, {'date': 'Jul 22, 2009', 'age': '21', 'clubName': 'Valencia CF', 'clubID': '1049', 'value': '€20.00m'}, {'date': 'Dec 3, 2009', 'age': '21', 'clubName': 'Valencia CF', 'clubID': '1049', 'value': '€23.00m'}, {'date': 'Apr 12, 2010', 'age': '21', 'clubName': 'Valencia CF', 'clubID': '1049', 'value': '€23.00m'}, {'date': 'Aug 27, 2010', 'age': '22', 'clubName': 'Valencia CF', 'clubID': '1049', 'value': '€23.00m'}, {'date': 'Feb 4, 2011', 'age': '22', 'clubName': 'Valencia CF', 'clubID': '1049', 'value': '€25.00m'}, {'date': 'Jul 29, 2011', 'age': '23', 'clubName': 'Valencia CF', 'clubID': '1049', 'value': '€26.00m'}, {'date': 'Feb 6, 2012', 'age': '23', 'clubName': 'Chelsea FC', 'clubID': '631', 'value': '€34.00m'}, {'date': 'Jun 24, 2012', 'age': '24', 'clubName': 'Chelsea FC', 'clubID': '631', 'value': '€38.00m'}, {'date': 'Jan 28, 2013', 'age': '24', 'clubName': 'Chelsea FC', 'clubID': '631', 'value': '€42.00m'}, {'date': 'Jul 2, 2013', 'age': '25', 'clubName': 'Chelsea FC', 'clubID': '631', 'value': '€45.00m'}, {'date': 'Jan 15, 2014', 'age': '25', 'clubName': 'Chelsea FC', 'clubID': '631', 'value': '€38.00m'}, {'date': 'Feb 5, 2014', 'age': '25', 'clubName': 'Manchester United', 'clubID': '985', 'value': '€40.00m'}, {'date': 'Aug 12, 2014', 'age': '26', 'clubName': 'Manchester United', 'clubID': '985', 'value': '€40.00m'}, {'date': 'Feb 12, 2015', 'age': '26', 'clubName': 'Manchester United', 'clubID': '985', 'value': '€34.00m'}, {'date': 'Jul 1, 2015', 'age': '27', 'clubName': 'Manchester United', 'clubID': '985', 'value': '€34.00m'}, {'date': 'Feb 9, 2016', 'age': '27', 'clubName': 'Manchester United', 'clubID': '985', 'value': '€34.00m'}, {'date': 'Aug 1, 2016', 'age': '28', 'clubName': 'Manchester United', 'clubID': '985', 'value': '€31.00m'}, {'date': 'Feb 20, 2017', 'age': '28', 'clubName': 'Manchester United', 'clubID': '985', 'value': '€31.00m'}, {'date': 'Jun 28, 2017', 'age': '29', 'clubName': 'Manchester United', 'clubID': '985', 'value': '€30.00m'}, {'date': 'Jan 2, 2018', 'age': '29', 'clubName': 'Manchester United', 'clubID': '985', 'value': '€30.00m'}, {'date': 'May 28, 2018', 'age': '30', 'clubName': 'Manchester United', 'clubID': '985', 'value': '€30.00m'}, {'date': 'Dec 19, 2018', 'age': '30', 'clubName': 'Manchester United', 'clubID': '985', 'value': '€25.00m'}, {'date': 'Jun 13, 2019', 'age': '31', 'clubName': 'Manchester United', 'clubID': '985', 'value': '€20.00m'}, {'date': 'Dec 10, 2019', 'age': '31', 'clubName': 'Manchester United', 'clubID': '985', 'value': '€15.00m'}, {'date': 'Mar 9, 2020', 'age': '31', 'clubName': 'Manchester United', 'clubID': '985', 'value': '€12.00m'}, {'date': 'Apr 8, 2020', 'age': '31', 'clubName': 'Manchester United', 'clubID': '985', 'value': '€9.50m'}, {'date': 'Oct 13, 2020', 'age': '32', 'clubName': 'Manchester United', 'clubID': '985', 'value': '€7.50m'}, {'date': 'Mar 18, 2021', 'age': '32', 'clubName': 'Manchester United', 'clubID': '985', 'value': '€6.00m'}, {'date': 'Jun 8, 2021', 'age': '33', 'clubName': 'Manchester United', 'clubID': '985', 'value': '€4.00m'}, {'date': 'Dec 23, 2021', 'age': '33', 'clubName': 'Manchester United', 'clubID': '985', 'value': '€3.00m'}, {'date': 'Jun 15, 2022', 'age': '34', 'clubName': 'Manchester United', 'clubID': '985', 'value': '€2.50m'}, {'date': 'Oct 27, 2022', 'age': '34', 'clubName': 'Galatasaray', 'clubID': '141', 'value': '€1.80m'}, {'date': 'Mar 14, 2023', 'age': '34', 'clubName': 'Galatasaray', 'clubID': '141', 'value': '€1.50m'}, {'date': 'Jun 8, 2023', 'age': '35', 'clubName': 'Galatasaray', 'clubID': '141', 'value': '€1.00m'}, {'date': 'Feb 28, 2024', 'age': '35', 'clubName': 'Without Club', 'clubID': '515', 'value': '€800k'}, {'date': 'Sep 9, 2024', 'age': '36', 'clubName': 'Western Sydney Wanderers', 'clubID': '36100', 'value': '€700k'}, {'date': 'Jan 9, 2025', 'age': '36', 'clubName': 'Western Sydney Wanderers', 'clubID': '36100', 'value': '€500k'}, {'date': 'Jun 3, 2025', 'age': '37', 'clubName': 'Western Sydney Wanderers', 'clubID': '36100', 'value': '€400k'}, {'date': 'Jan 13, 2026', 'age': '37', 'clubName': 'Melbourne Victory', 'clubID': '7006', 'value': '€375k'}]}</t>
        </is>
      </c>
      <c r="L582" t="inlineStr">
        <is>
          <t>Spain</t>
        </is>
      </c>
      <c r="M582" t="inlineStr">
        <is>
          <t>1988-04-28</t>
        </is>
      </c>
      <c r="N582" t="inlineStr">
        <is>
          <t>Spain</t>
        </is>
      </c>
      <c r="O582">
        <f>(2.5+1.8)/2</f>
        <v/>
      </c>
      <c r="P582">
        <f>(6+4+3)/3</f>
        <v/>
      </c>
    </row>
    <row r="583">
      <c r="A583" t="inlineStr">
        <is>
          <t>Barkley</t>
        </is>
      </c>
      <c r="B583" t="inlineStr">
        <is>
          <t>Chelsea</t>
        </is>
      </c>
      <c r="C583" t="inlineStr">
        <is>
          <t>Midfielder</t>
        </is>
      </c>
      <c r="D583" t="n">
        <v>96</v>
      </c>
      <c r="E583" t="n">
        <v>3</v>
      </c>
      <c r="F583" t="n">
        <v>0</v>
      </c>
      <c r="G583" t="n">
        <v>0</v>
      </c>
      <c r="H583" t="n">
        <v>12.7</v>
      </c>
      <c r="I583" t="n">
        <v>32.1</v>
      </c>
      <c r="J583" t="n">
        <v>131978</v>
      </c>
      <c r="K583" t="inlineStr">
        <is>
          <t>{'marketValueHistory': [{'date': '12/08/2011', 'age': '17', 'clubName': 'Everton FC', 'clubID': '29', 'value': '€300k'}, {'date': '07/09/2011', 'age': '17', 'clubName': 'Everton FC', 'clubID': '29', 'value': '€750k'}, {'date': '09/02/2012', 'age': '18', 'clubName': 'Everton FC', 'clubID': '29', 'value': '€4.50m'}, {'date': '24/06/2012', 'age': '18', 'clubName': 'Everton FC', 'clubID': '29', 'value': '€4.50m'}, {'date': '02/07/2013', 'age': '19', 'clubName': 'Everton FC', 'clubID': '29', 'value': '€4.50m'}, {'date': '18/09/2013', 'age': '19', 'clubName': 'Everton FC', 'clubID': '29', 'value': '€6.00m'}, {'date': '15/01/2014', 'age': '20', 'clubName': 'Everton FC', 'clubID': '29', 'value': '€11.00m'}, {'date': '12/08/2014', 'age': '20', 'clubName': 'Everton FC', 'clubID': '29', 'value': '€15.00m'}, {'date': '12/02/2015', 'age': '21', 'clubName': 'Everton FC', 'clubID': '29', 'value': '€16.00m'}, {'date': '01/07/2015', 'age': '21', 'clubName': 'Everton FC', 'clubID': '29', 'value': '€16.00m'}, {'date': '09/02/2016', 'age': '22', 'clubName': 'Everton FC', 'clubID': '29', 'value': '€21.00m'}, {'date': '01/06/2016', 'age': '22', 'clubName': 'Everton FC', 'clubID': '29', 'value': '€22.00m'}, {'date': '01/08/2016', 'age': '22', 'clubName': 'Everton FC', 'clubID': '29', 'value': '€22.00m'}, {'date': '20/02/2017', 'age': '23', 'clubName': 'Everton FC', 'clubID': '29', 'value': '€22.00m'}, {'date': '28/06/2017', 'age': '23', 'clubName': 'Everton FC', 'clubID': '29', 'value': '€25.00m'}, {'date': '02/01/2018', 'age': '24', 'clubName': 'Everton FC', 'clubID': '29', 'value': '€25.00m'}, {'date': '28/05/2018', 'age': '24', 'clubName': 'Chelsea FC', 'clubID': '631', 'value': '€25.00m'}, {'date': '19/12/2018', 'age': '25', 'clubName': 'Chelsea FC', 'clubID': '631', 'value': '€25.00m'}, {'date': '05/03/2019', 'age': '25', 'clubName': 'Chelsea FC', 'clubID': '631', 'value': '€28.00m'}, {'date': '13/06/2019', 'age': '25', 'clubName': 'Chelsea FC', 'clubID': '631', 'value': '€30.00m'}, {'date': '10/12/2019', 'age': '26', 'clubName': 'Chelsea FC', 'clubID': '631', 'value': '€27.00m'}, {'date': '08/04/2020', 'age': '26', 'clubName': 'Chelsea FC', 'clubID': '631', 'value': '€21.50m'}, {'date': '13/10/2020', 'age': '26', 'clubName': 'Aston Villa', 'clubID': '405', 'value': '€21.50m'}, {'date': '18/03/2021', 'age': '27', 'clubName': 'Aston Villa', 'clubID': '405', 'value': '€20.00m'}, {'date': '08/06/2021', 'age': '27', 'clubName': 'Chelsea FC', 'clubID': '631', 'value': '€20.00m'}, {'date': '05/10/2021', 'age': '27', 'clubName': 'Chelsea FC', 'clubID': '631', 'value': '€17.00m'}, {'date': '23/12/2021', 'age': '28', 'clubName': 'Chelsea FC', 'clubID': '631', 'value': '€13.00m'}, {'date': '15/06/2022', 'age': '28', 'clubName': 'Chelsea FC', 'clubID': '631', 'value': '€12.00m'}, {'date': '02/11/2022', 'age': '28', 'clubName': 'OGC Nice', 'clubID': '417', 'value': '€10.00m'}, {'date': '27/03/2023', 'age': '29', 'clubName': 'OGC Nice', 'clubID': '417', 'value': '€9.00m'}, {'date': '27/06/2023', 'age': '29', 'clubName': 'OGC Nice', 'clubID': '417', 'value': '€6.00m'}, {'date': '09/10/2023', 'age': '29', 'clubName': 'Luton Town', 'clubID': '1031', 'value': '€4.50m'}, {'date': '19/12/2023', 'age': '30', 'clubName': 'Luton Town', 'clubID': '1031', 'value': '€7.00m'}, {'date': '14/03/2024', 'age': '30', 'clubName': 'Luton Town', 'clubID': '1031', 'value': '€8.00m'}, {'date': '27/05/2024', 'age': '30', 'clubName': 'Luton Town', 'clubID': '1031', 'value': '€8.00m'}, {'date': '16/12/2024', 'age': '31', 'clubName': 'Aston Villa', 'clubID': '405', 'value': '€8.00m'}, {'date': '30/05/2025', 'age': '31', 'clubName': 'Aston Villa', 'clubID': '405', 'value': '€6.00m'}, {'date': '09/12/2025', 'age': '32', 'clubName': 'Aston Villa', 'clubID': '405', 'value': '€5.00m'}]}</t>
        </is>
      </c>
      <c r="L583" t="inlineStr">
        <is>
          <t>United Kingdom</t>
        </is>
      </c>
      <c r="M583" t="inlineStr">
        <is>
          <t>1993-12-05</t>
        </is>
      </c>
      <c r="N583" t="inlineStr">
        <is>
          <t>England</t>
        </is>
      </c>
      <c r="O583">
        <f>(12+10)/2</f>
        <v/>
      </c>
      <c r="P583">
        <f>(20+20+17+13)/4</f>
        <v/>
      </c>
    </row>
    <row r="584">
      <c r="A584" t="inlineStr">
        <is>
          <t>Andriyevskiy</t>
        </is>
      </c>
      <c r="B584" t="inlineStr">
        <is>
          <t>Dynamo Kyiv</t>
        </is>
      </c>
      <c r="C584" t="inlineStr">
        <is>
          <t>Midfielder</t>
        </is>
      </c>
      <c r="D584" t="n">
        <v>94</v>
      </c>
      <c r="E584" t="n">
        <v>2</v>
      </c>
      <c r="F584" t="n">
        <v>0</v>
      </c>
      <c r="G584" t="n">
        <v>0</v>
      </c>
      <c r="H584" t="n">
        <v>12.9</v>
      </c>
      <c r="I584" t="n">
        <v>27</v>
      </c>
      <c r="J584" t="n">
        <v>207074</v>
      </c>
      <c r="K584" t="inlineStr">
        <is>
          <t>{'marketValueHistory': [{'date': '18/10/2014', 'age': '20', 'clubName': 'Girnyk-Sport Komsomolsk', 'clubID': '29109', 'value': '€200k'}, {'date': '21/07/2016', 'age': '22', 'clubName': 'Chornomorets Odesa', 'clubID': '6992', 'value': '€200k'}, {'date': '30/09/2016', 'age': '22', 'clubName': 'Chornomorets Odesa', 'clubID': '6992', 'value': '€300k'}, {'date': '03/01/2017', 'age': '22', 'clubName': 'Chornomorets Odesa', 'clubID': '6992', 'value': '€400k'}, {'date': '26/06/2017', 'age': '23', 'clubName': 'Chornomorets Odesa', 'clubID': '6992', 'value': '€500k'}, {'date': '12/01/2018', 'age': '23', 'clubName': 'Zorya Lugansk', 'clubID': '10690', 'value': '€900k'}, {'date': '06/08/2018', 'age': '24', 'clubName': 'Dynamo Kyiv', 'clubID': '338', 'value': '€1.00m'}, {'date': '10/12/2018', 'age': '24', 'clubName': 'Dynamo Kyiv', 'clubID': '338', 'value': '€1.00m'}, {'date': '20/06/2019', 'age': '24', 'clubName': 'Dynamo Kyiv', 'clubID': '338', 'value': '€800k'}, {'date': '08/01/2020', 'age': '25', 'clubName': 'Dynamo Kyiv', 'clubID': '338', 'value': '€800k'}, {'date': '08/04/2020', 'age': '25', 'clubName': 'Dynamo Kyiv', 'clubID': '338', 'value': '€650k'}, {'date': '04/09/2020', 'age': '26', 'clubName': 'Dynamo Kyiv', 'clubID': '338', 'value': '€800k'}, {'date': '14/01/2021', 'age': '26', 'clubName': 'Dynamo Kyiv', 'clubID': '338', 'value': '€1.20m'}, {'date': '07/06/2021', 'age': '26', 'clubName': 'Dynamo Kyiv', 'clubID': '338', 'value': '€1.20m'}, {'date': '20/12/2021', 'age': '27', 'clubName': 'Dynamo Kyiv', 'clubID': '338', 'value': '€1.20m'}, {'date': '18/05/2022', 'age': '27', 'clubName': 'Dynamo Kyiv', 'clubID': '338', 'value': '€1.20m'}, {'date': '06/12/2022', 'age': '28', 'clubName': 'Dynamo Kyiv', 'clubID': '338', 'value': '€1.00m'}, {'date': '21/06/2023', 'age': '28', 'clubName': 'Dynamo Kyiv', 'clubID': '338', 'value': '€1.50m'}, {'date': '11/12/2023', 'age': '29', 'clubName': 'Dynamo Kyiv', 'clubID': '338', 'value': '€1.50m'}, {'date': '06/06/2024', 'age': '29', 'clubName': 'Dynamo Kyiv', 'clubID': '338', 'value': '€1.50m'}, {'date': '17/12/2024', 'age': '30', 'clubName': 'Dynamo Kyiv', 'clubID': '338', 'value': '€1.20m'}, {'date': '10/06/2025', 'age': '30', 'clubName': 'Polissya Zhytomyr', 'clubID': '53646', 'value': '€1.00m'}, {'date': '18/12/2025', 'age': '31', 'clubName': 'Polissya Zhytomyr', 'clubID': '53646', 'value': '€1.00m'}]}</t>
        </is>
      </c>
      <c r="L584" t="inlineStr">
        <is>
          <t>Ukraine</t>
        </is>
      </c>
      <c r="M584" t="inlineStr">
        <is>
          <t>1994-06-25</t>
        </is>
      </c>
      <c r="N584" t="inlineStr">
        <is>
          <t>Ukraine</t>
        </is>
      </c>
      <c r="O584">
        <f>(1.2+1)/2</f>
        <v/>
      </c>
      <c r="P584">
        <f>(1.2+1.2+1.2)/3</f>
        <v/>
      </c>
    </row>
    <row r="585">
      <c r="A585" t="inlineStr">
        <is>
          <t>Vitinho</t>
        </is>
      </c>
      <c r="B585" t="inlineStr">
        <is>
          <t>Dynamo Kyiv</t>
        </is>
      </c>
      <c r="C585" t="inlineStr">
        <is>
          <t>Midfielder</t>
        </is>
      </c>
      <c r="D585" t="n">
        <v>93</v>
      </c>
      <c r="E585" t="n">
        <v>3</v>
      </c>
      <c r="F585" t="n">
        <v>0</v>
      </c>
      <c r="G585" t="n">
        <v>0</v>
      </c>
      <c r="H585" t="n">
        <v>13.5</v>
      </c>
      <c r="I585" t="n">
        <v>30.8</v>
      </c>
      <c r="J585" t="n">
        <v>213605</v>
      </c>
      <c r="K585" t="inlineStr">
        <is>
          <t>{'marketValueHistory': [{'date': 'Feb 2, 2012', 'age': '18', 'clubName': 'Unknown', 'clubID': '75', 'value': '€150k'}, {'date': 'May 24, 2012', 'age': '18', 'clubName': 'Unknown', 'clubID': '75', 'value': '€150k'}, {'date': 'Dec 6, 2012', 'age': '19', 'clubName': 'Unknown', 'clubID': '75', 'value': '€150k'}, {'date': 'Aug 26, 2013', 'age': '19', 'clubName': 'Botafogo de Futebol e Regatas', 'clubID': '537', 'value': '€3.00m'}, {'date': 'Sep 13, 2013', 'age': '19', 'clubName': 'CSKA Moscow', 'clubID': '2410', 'value': '€8.00m'}, {'date': 'Mar 3, 2014', 'age': '20', 'clubName': 'CSKA Moscow', 'clubID': '2410', 'value': '€7.00m'}, {'date': 'Jul 31, 2014', 'age': '20', 'clubName': 'CSKA Moscow', 'clubID': '2410', 'value': '€3.00m'}, {'date': 'Feb 1, 2015', 'age': '21', 'clubName': 'Sport Club Internacional', 'clubID': '6600', 'value': '€3.00m'}, {'date': 'May 31, 2015', 'age': '21', 'clubName': 'Sport Club Internacional', 'clubID': '6600', 'value': '€3.00m'}, {'date': 'Dec 15, 2015', 'age': '22', 'clubName': 'Sport Club Internacional', 'clubID': '6600', 'value': '€4.25m'}, {'date': 'May 27, 2016', 'age': '22', 'clubName': 'Sport Club Internacional', 'clubID': '6600', 'value': '€4.00m'}, {'date': 'Jan 30, 2017', 'age': '23', 'clubName': 'CSKA Moscow', 'clubID': '2410', 'value': '€4.00m'}, {'date': 'Jun 1, 2017', 'age': '23', 'clubName': 'CSKA Moscow', 'clubID': '2410', 'value': '€5.00m'}, {'date': 'Oct 2, 2017', 'age': '23', 'clubName': 'CSKA Moscow', 'clubID': '2410', 'value': '€6.50m'}, {'date': 'Dec 23, 2017', 'age': '24', 'clubName': 'CSKA Moscow', 'clubID': '2410', 'value': '€7.50m'}, {'date': 'Jun 6, 2018', 'age': '24', 'clubName': 'CSKA Moscow', 'clubID': '2410', 'value': '€8.00m'}, {'date': 'Feb 18, 2019', 'age': '25', 'clubName': 'CR Flamengo', 'clubID': '614', 'value': '€8.00m'}, {'date': 'Nov 27, 2019', 'age': '26', 'clubName': 'CR Flamengo', 'clubID': '614', 'value': '€6.00m'}, {'date': 'Apr 8, 2020', 'age': '26', 'clubName': 'CR Flamengo', 'clubID': '614', 'value': '€4.80m'}, {'date': 'Sep 9, 2020', 'age': '26', 'clubName': 'CR Flamengo', 'clubID': '614', 'value': '€4.50m'}, {'date': 'Feb 9, 2021', 'age': '27', 'clubName': 'CR Flamengo', 'clubID': '614', 'value': '€4.50m'}, {'date': 'May 28, 2021', 'age': '27', 'clubName': 'CR Flamengo', 'clubID': '614', 'value': '€4.00m'}, {'date': 'Dec 17, 2021', 'age': '28', 'clubName': 'CR Flamengo', 'clubID': '614', 'value': '€5.00m'}, {'date': 'Apr 6, 2022', 'age': '28', 'clubName': 'CR Flamengo', 'clubID': '614', 'value': '€5.00m'}, {'date': 'Aug 19, 2022', 'age': '28', 'clubName': 'CR Flamengo', 'clubID': '614', 'value': '€3.50m'}, {'date': 'Dec 2, 2022', 'age': '29', 'clubName': 'Al-Ettifaq FC', 'clubID': '7732', 'value': '€3.50m'}, {'date': 'Jun 12, 2023', 'age': '29', 'clubName': 'Al-Ettifaq FC', 'clubID': '7732', 'value': '€3.00m'}, {'date': 'Dec 15, 2023', 'age': '30', 'clubName': 'Al-Ettifaq FC', 'clubID': '7732', 'value': '€2.80m'}, {'date': 'Jun 4, 2024', 'age': '30', 'clubName': 'Al-Shabab FC', 'clubID': '9840', 'value': '€2.00m'}, {'date': 'Dec 13, 2024', 'age': '31', 'clubName': 'Al-Ettifaq FC', 'clubID': '7732', 'value': '€1.80m'}, {'date': 'May 27, 2025', 'age': '31', 'clubName': 'Al-Ettifaq FC', 'clubID': '7732', 'value': '€1.50m'}, {'date': 'Dec 10, 2025', 'age': '32', 'clubName': 'Sport Club Corinthians Paulista', 'clubID': '199', 'value': '€1.00m'}]}</t>
        </is>
      </c>
      <c r="L585" t="inlineStr">
        <is>
          <t>Brazil</t>
        </is>
      </c>
      <c r="M585" t="inlineStr">
        <is>
          <t>1993-10-09</t>
        </is>
      </c>
      <c r="N585" t="inlineStr">
        <is>
          <t>Brazil</t>
        </is>
      </c>
      <c r="O585">
        <f>(5+3.5+3.5)/3</f>
        <v/>
      </c>
      <c r="P585">
        <f>(4.5+4+5)/3</f>
        <v/>
      </c>
    </row>
    <row r="586">
      <c r="A586" t="inlineStr">
        <is>
          <t>Marcelo</t>
        </is>
      </c>
      <c r="B586" t="inlineStr">
        <is>
          <t>Real Madrid</t>
        </is>
      </c>
      <c r="C586" t="inlineStr">
        <is>
          <t>Defender</t>
        </is>
      </c>
      <c r="D586" t="n">
        <v>93</v>
      </c>
      <c r="E586" t="n">
        <v>3</v>
      </c>
      <c r="F586" t="n">
        <v>0</v>
      </c>
      <c r="G586" t="n">
        <v>0</v>
      </c>
      <c r="H586" t="n">
        <v>10.7</v>
      </c>
      <c r="I586" t="n">
        <v>26.7</v>
      </c>
      <c r="J586" t="n">
        <v>44501</v>
      </c>
      <c r="K586" t="inlineStr">
        <is>
          <t>{'marketValueHistory': [{'date': '22/10/2006', 'age': '18', 'clubName': 'Fluminense Football Club', 'clubID': '2462', 'value': '€500k'}, {'date': '23/10/2006', 'age': '18', 'clubName': 'Fluminense Football Club', 'clubID': '2462', 'value': '€6.50m'}, {'date': '24/06/2007', 'age': '19', 'clubName': 'Real Madrid', 'clubID': '418', 'value': '€5.50m'}, {'date': '04/02/2008', 'age': '19', 'clubName': 'Real Madrid', 'clubID': '418', 'value': '€6.00m'}, {'date': '08/07/2008', 'age': '20', 'clubName': 'Real Madrid', 'clubID': '418', 'value': '€7.00m'}, {'date': '26/01/2009', 'age': '20', 'clubName': 'Real Madrid', 'clubID': '418', 'value': '€7.00m'}, {'date': '15/03/2009', 'age': '20', 'clubName': 'Real Madrid', 'clubID': '418', 'value': '€8.00m'}, {'date': '22/07/2009', 'age': '21', 'clubName': 'Real Madrid', 'clubID': '418', 'value': '€10.00m'}, {'date': '03/12/2009', 'age': '21', 'clubName': 'Real Madrid', 'clubID': '418', 'value': '€10.00m'}, {'date': '12/04/2010', 'age': '21', 'clubName': 'Real Madrid', 'clubID': '418', 'value': '€13.00m'}, {'date': '27/08/2010', 'age': '22', 'clubName': 'Real Madrid', 'clubID': '418', 'value': '€15.00m'}, {'date': '10/12/2010', 'age': '22', 'clubName': 'Real Madrid', 'clubID': '418', 'value': '€18.00m'}, {'date': '04/02/2011', 'age': '22', 'clubName': 'Real Madrid', 'clubID': '418', 'value': '€18.00m'}, {'date': '01/04/2011', 'age': '22', 'clubName': 'Real Madrid', 'clubID': '418', 'value': '€20.00m'}, {'date': '29/07/2011', 'age': '23', 'clubName': 'Real Madrid', 'clubID': '418', 'value': '€25.00m'}, {'date': '03/02/2012', 'age': '23', 'clubName': 'Real Madrid', 'clubID': '418', 'value': '€25.00m'}, {'date': '07/08/2012', 'age': '24', 'clubName': 'Real Madrid', 'clubID': '418', 'value': '€30.00m'}, {'date': '10/01/2013', 'age': '24', 'clubName': 'Real Madrid', 'clubID': '418', 'value': '€30.00m'}, {'date': '12/06/2013', 'age': '25', 'clubName': 'Real Madrid', 'clubID': '418', 'value': '€25.00m'}, {'date': '23/01/2014', 'age': '25', 'clubName': 'Real Madrid', 'clubID': '418', 'value': '€25.00m'}, {'date': '20/07/2014', 'age': '26', 'clubName': 'Real Madrid', 'clubID': '418', 'value': '€25.00m'}, {'date': '23/01/2015', 'age': '26', 'clubName': 'Real Madrid', 'clubID': '418', 'value': '€25.00m'}, {'date': '01/07/2015', 'age': '27', 'clubName': 'Real Madrid', 'clubID': '418', 'value': '€25.00m'}, {'date': '22/11/2015', 'age': '27', 'clubName': 'Real Madrid', 'clubID': '418', 'value': '€30.00m'}, {'date': '22/02/2016', 'age': '27', 'clubName': 'Real Madrid', 'clubID': '418', 'value': '€30.00m'}, {'date': '15/07/2016', 'age': '28', 'clubName': 'Real Madrid', 'clubID': '418', 'value': '€30.00m'}, {'date': '24/01/2017', 'age': '28', 'clubName': 'Real Madrid', 'clubID': '418', 'value': '€32.00m'}, {'date': '05/06/2017', 'age': '29', 'clubName': 'Real Madrid', 'clubID': '418', 'value': '€38.00m'}, {'date': '01/01/2018', 'age': '29', 'clubName': 'Real Madrid', 'clubID': '418', 'value': '€40.00m'}, {'date': '22/03/2018', 'age': '29', 'clubName': 'Real Madrid', 'clubID': '418', 'value': '€60.00m'}, {'date': '30/05/2018', 'age': '30', 'clubName': 'Real Madrid', 'clubID': '418', 'value': '€60.00m'}, {'date': '31/10/2018', 'age': '30', 'clubName': 'Real Madrid', 'clubID': '418', 'value': '€70.00m'}, {'date': '21/12/2018', 'age': '30', 'clubName': 'Real Madrid', 'clubID': '418', 'value': '€70.00m'}, {'date': '28/02/2019', 'age': '30', 'clubName': 'Real Madrid', 'clubID': '418', 'value': '€35.00m'}, {'date': '11/06/2019', 'age': '31', 'clubName': 'Real Madrid', 'clubID': '418', 'value': '€25.00m'}, {'date': '20/12/2019', 'age': '31', 'clubName': 'Real Madrid', 'clubID': '418', 'value': '€20.00m'}, {'date': '08/04/2020', 'age': '31', 'clubName': 'Real Madrid', 'clubID': '418', 'value': '€16.00m'}, {'date': '08/10/2020', 'age': '32', 'clubName': 'Real Madrid', 'clubID': '418', 'value': '€12.00m'}, {'date': '05/01/2021', 'age': '32', 'clubName': 'Real Madrid', 'clubID': '418', 'value': '€10.00m'}, {'date': '10/06/2021', 'age': '33', 'clubName': 'Real Madrid', 'clubID': '418', 'value': '€7.50m'}, {'date': '13/10/2021', 'age': '33', 'clubName': 'Real Madrid', 'clubID': '418', 'value': '€5.00m'}, {'date': '30/12/2021', 'age': '33', 'clubName': 'Real Madrid', 'clubID': '418', 'value': '€3.00m'}, {'date': '03/06/2022', 'age': '34', 'clubName': 'Real Madrid', 'clubID': '418', 'value': '€3.00m'}, {'date': '07/11/2022', 'age': '34', 'clubName': 'Olympiacos Piraeus', 'clubID': '683', 'value': '€2.50m'}, {'date': '27/02/2023', 'age': '34', 'clubName': 'Fluminense Football Club', 'clubID': '2462', 'value': '€2.00m'}, {'date': '07/04/2023', 'age': '34', 'clubName': 'Fluminense Football Club', 'clubID': '2462', 'value': '€2.00m'}, {'date': '25/07/2023', 'age': '35', 'clubName': 'Fluminense Football Club', 'clubID': '2462', 'value': '€1.80m'}, {'date': '11/12/2023', 'age': '35', 'clubName': 'Fluminense Football Club', 'clubID': '2462', 'value': '€1.50m'}, {'date': '28/03/2024', 'age': '35', 'clubName': 'Fluminense Football Club', 'clubID': '2462', 'value': '€1.50m'}, {'date': '17/06/2024', 'age': '36', 'clubName': 'Fluminense Football Club', 'clubID': '2462', 'value': '€1.30m'}, {'date': '09/12/2024', 'age': '36', 'clubName': 'Without Club', 'clubID': '515', 'value': '€1.00m'}, {'date': '06/02/2025', 'age': '36', 'clubName': 'Retired', 'clubID': '123', 'value': '-'}]}</t>
        </is>
      </c>
      <c r="L586" t="inlineStr">
        <is>
          <t>Spain</t>
        </is>
      </c>
      <c r="M586" t="inlineStr">
        <is>
          <t>1988-05-12</t>
        </is>
      </c>
      <c r="N586" t="inlineStr">
        <is>
          <t>Spain</t>
        </is>
      </c>
      <c r="O586">
        <f>(3+2.5)/2</f>
        <v/>
      </c>
      <c r="P586">
        <f>(10+7.5+5+3)/4</f>
        <v/>
      </c>
    </row>
    <row r="587">
      <c r="A587" t="inlineStr">
        <is>
          <t>Mario Gaspar</t>
        </is>
      </c>
      <c r="B587" t="inlineStr">
        <is>
          <t>Villarreal</t>
        </is>
      </c>
      <c r="C587" t="inlineStr">
        <is>
          <t>Defender</t>
        </is>
      </c>
      <c r="D587" t="n">
        <v>93</v>
      </c>
      <c r="E587" t="n">
        <v>2</v>
      </c>
      <c r="F587" t="n">
        <v>0</v>
      </c>
      <c r="G587" t="n">
        <v>0</v>
      </c>
      <c r="H587" t="n">
        <v>10.8</v>
      </c>
      <c r="I587" t="n">
        <v>28.7</v>
      </c>
      <c r="J587" t="n">
        <v>73250</v>
      </c>
      <c r="K587" t="inlineStr">
        <is>
          <t>{'marketValueHistory': [{'date': 'Apr 20, 2009', 'age': '18', 'clubName': 'Villarreal CF B', 'clubID': '11972', 'value': '€200k'}, {'date': 'Aug 6, 2009', 'age': '18', 'clubName': 'Villarreal CF B', 'clubID': '11972', 'value': '€300k'}, {'date': 'Nov 29, 2009', 'age': '19', 'clubName': 'Villarreal CF B', 'clubID': '11972', 'value': '€600k'}, {'date': 'Apr 4, 2010', 'age': '19', 'clubName': 'Villarreal CF B', 'clubID': '11972', 'value': '€800k'}, {'date': 'Aug 27, 2010', 'age': '19', 'clubName': 'Villarreal CF B', 'clubID': '11972', 'value': '€1.00m'}, {'date': 'Feb 4, 2011', 'age': '20', 'clubName': 'Villarreal CF', 'clubID': '1050', 'value': '€1.00m'}, {'date': 'Feb 21, 2011', 'age': '20', 'clubName': 'Villarreal CF', 'clubID': '1050', 'value': '€2.00m'}, {'date': 'Apr 1, 2011', 'age': '20', 'clubName': 'Villarreal CF', 'clubID': '1050', 'value': '€2.50m'}, {'date': 'Jul 29, 2011', 'age': '20', 'clubName': 'Villarreal CF', 'clubID': '1050', 'value': '€4.00m'}, {'date': 'Feb 3, 2012', 'age': '21', 'clubName': 'Villarreal CF', 'clubID': '1050', 'value': '€3.00m'}, {'date': 'Aug 8, 2012', 'age': '21', 'clubName': 'Villarreal CF', 'clubID': '1050', 'value': '€2.00m'}, {'date': 'Jan 22, 2013', 'age': '22', 'clubName': 'Villarreal CF', 'clubID': '1050', 'value': '€1.00m'}, {'date': 'May 10, 2013', 'age': '22', 'clubName': 'Villarreal CF', 'clubID': '1050', 'value': '€1.00m'}, {'date': 'Jan 23, 2014', 'age': '23', 'clubName': 'Villarreal CF', 'clubID': '1050', 'value': '€3.00m'}, {'date': 'Jul 20, 2014', 'age': '23', 'clubName': 'Villarreal CF', 'clubID': '1050', 'value': '€5.00m'}, {'date': 'Jan 23, 2015', 'age': '24', 'clubName': 'Villarreal CF', 'clubID': '1050', 'value': '€5.00m'}, {'date': 'Jul 1, 2015', 'age': '24', 'clubName': 'Villarreal CF', 'clubID': '1050', 'value': '€6.00m'}, {'date': 'Nov 23, 2015', 'age': '24', 'clubName': 'Villarreal CF', 'clubID': '1050', 'value': '€10.00m'}, {'date': 'Feb 22, 2016', 'age': '25', 'clubName': 'Villarreal CF', 'clubID': '1050', 'value': '€10.00m'}, {'date': 'Jul 15, 2016', 'age': '25', 'clubName': 'Villarreal CF', 'clubID': '1050', 'value': '€12.00m'}, {'date': 'Jan 24, 2017', 'age': '26', 'clubName': 'Villarreal CF', 'clubID': '1050', 'value': '€15.00m'}, {'date': 'Jun 5, 2017', 'age': '26', 'clubName': 'Villarreal CF', 'clubID': '1050', 'value': '€16.00m'}, {'date': 'Jan 1, 2018', 'age': '27', 'clubName': 'Villarreal CF', 'clubID': '1050', 'value': '€16.00m'}, {'date': 'Mar 22, 2018', 'age': '27', 'clubName': 'Villarreal CF', 'clubID': '1050', 'value': '€20.00m'}, {'date': 'May 30, 2018', 'age': '27', 'clubName': 'Villarreal CF', 'clubID': '1050', 'value': '€18.00m'}, {'date': 'Dec 21, 2018', 'age': '28', 'clubName': 'Villarreal CF', 'clubID': '1050', 'value': '€10.00m'}, {'date': 'Jun 11, 2019', 'age': '28', 'clubName': 'Villarreal CF', 'clubID': '1050', 'value': '€10.00m'}, {'date': 'Dec 20, 2019', 'age': '29', 'clubName': 'Villarreal CF', 'clubID': '1050', 'value': '€7.50m'}, {'date': 'Apr 8, 2020', 'age': '29', 'clubName': 'Villarreal CF', 'clubID': '1050', 'value': '€6.00m'}, {'date': 'Oct 8, 2020', 'age': '29', 'clubName': 'Villarreal CF', 'clubID': '1050', 'value': '€6.00m'}, {'date': 'Jan 5, 2021', 'age': '30', 'clubName': 'Villarreal CF', 'clubID': '1050', 'value': '€6.00m'}, {'date': 'Jun 10, 2021', 'age': '30', 'clubName': 'Villarreal CF', 'clubID': '1050', 'value': '€5.00m'}, {'date': 'Dec 30, 2021', 'age': '31', 'clubName': 'Villarreal CF', 'clubID': '1050', 'value': '€3.00m'}, {'date': 'Jun 3, 2022', 'age': '31', 'clubName': 'Villarreal CF', 'clubID': '1050', 'value': '€3.00m'}, {'date': 'Sep 14, 2022', 'age': '31', 'clubName': 'Watford FC', 'clubID': '1010', 'value': '€2.00m'}, {'date': 'Oct 27, 2022', 'age': '31', 'clubName': 'Watford FC', 'clubID': '1010', 'value': '€1.20m'}, {'date': 'Jun 1, 2023', 'age': '32', 'clubName': 'Watford FC', 'clubID': '1010', 'value': '€1.00m'}, {'date': 'Dec 20, 2023', 'age': '33', 'clubName': 'Elche CF', 'clubID': '1531', 'value': '€1.00m'}, {'date': 'Jun 24, 2024', 'age': '33', 'clubName': 'Elche CF', 'clubID': '1531', 'value': '€800k'}, {'date': 'Oct 14, 2024', 'age': '33', 'clubName': 'Elche CF', 'clubID': '1531', 'value': '€600k'}, {'date': 'Dec 13, 2024', 'age': '34', 'clubName': 'Elche CF', 'clubID': '1531', 'value': '€500k'}, {'date': 'Jun 24, 2025', 'age': '34', 'clubName': 'Elche CF', 'clubID': '1531', 'value': '€300k'}, {'date': 'Jul 1, 2025', 'age': '34', 'clubName': 'Retired', 'clubID': '123', 'value': '-'}]}</t>
        </is>
      </c>
      <c r="L587" t="inlineStr">
        <is>
          <t>Spain</t>
        </is>
      </c>
      <c r="M587" t="inlineStr">
        <is>
          <t>1990-11-24</t>
        </is>
      </c>
      <c r="N587" t="inlineStr">
        <is>
          <t>Spain</t>
        </is>
      </c>
      <c r="O587">
        <f>(3+2+1.2)/3</f>
        <v/>
      </c>
      <c r="P587">
        <f>(6+5+3)/3</f>
        <v/>
      </c>
    </row>
    <row r="588">
      <c r="A588" t="inlineStr">
        <is>
          <t>Verbic</t>
        </is>
      </c>
      <c r="B588" t="inlineStr">
        <is>
          <t>Dynamo Kyiv</t>
        </is>
      </c>
      <c r="C588" t="inlineStr">
        <is>
          <t>Midfielder</t>
        </is>
      </c>
      <c r="D588" t="n">
        <v>91</v>
      </c>
      <c r="E588" t="n">
        <v>3</v>
      </c>
      <c r="F588" t="n">
        <v>0</v>
      </c>
      <c r="G588" t="n">
        <v>0</v>
      </c>
      <c r="H588" t="n">
        <v>13.1</v>
      </c>
      <c r="I588" t="n">
        <v>30.3</v>
      </c>
      <c r="J588" t="n">
        <v>188180</v>
      </c>
      <c r="K588" t="inlineStr">
        <is>
          <t>{'marketValueHistory': [{'date': '11/03/2012', 'age': '18', 'clubName': 'NK Celje', 'clubID': '710', 'value': '€75k'}, {'date': '07/06/2012', 'age': '18', 'clubName': 'NK Celje', 'clubID': '710', 'value': '€150k'}, {'date': '10/03/2013', 'age': '19', 'clubName': 'NK Celje', 'clubID': '710', 'value': '€200k'}, {'date': '22/07/2013', 'age': '19', 'clubName': 'NK Celje', 'clubID': '710', 'value': '€200k'}, {'date': '27/12/2013', 'age': '20', 'clubName': 'NK Celje', 'clubID': '710', 'value': '€400k'}, {'date': '27/09/2014', 'age': '20', 'clubName': 'NK Celje', 'clubID': '710', 'value': '€500k'}, {'date': '01/02/2015', 'age': '21', 'clubName': 'NK Celje', 'clubID': '710', 'value': '€900k'}, {'date': '02/09/2015', 'age': '21', 'clubName': 'FC Copenhagen', 'clubID': '190', 'value': '€1.25m'}, {'date': '21/01/2016', 'age': '22', 'clubName': 'FC Copenhagen', 'clubID': '190', 'value': '€1.25m'}, {'date': '12/08/2016', 'age': '22', 'clubName': 'FC Copenhagen', 'clubID': '190', 'value': '€1.50m'}, {'date': '12/12/2016', 'age': '23', 'clubName': 'FC Copenhagen', 'clubID': '190', 'value': '€1.75m'}, {'date': '21/06/2017', 'age': '23', 'clubName': 'FC Copenhagen', 'clubID': '190', 'value': '€1.50m'}, {'date': '18/12/2017', 'age': '24', 'clubName': 'FC Copenhagen', 'clubID': '190', 'value': '€2.00m'}, {'date': '12/01/2018', 'age': '24', 'clubName': 'Dynamo Kyiv', 'clubID': '338', 'value': '€4.00m'}, {'date': '06/08/2018', 'age': '24', 'clubName': 'Dynamo Kyiv', 'clubID': '338', 'value': '€4.50m'}, {'date': '10/12/2018', 'age': '25', 'clubName': 'Dynamo Kyiv', 'clubID': '338', 'value': '€5.50m'}, {'date': '20/06/2019', 'age': '25', 'clubName': 'Dynamo Kyiv', 'clubID': '338', 'value': '€6.00m'}, {'date': '08/01/2020', 'age': '26', 'clubName': 'Dynamo Kyiv', 'clubID': '338', 'value': '€6.00m'}, {'date': '08/04/2020', 'age': '26', 'clubName': 'Dynamo Kyiv', 'clubID': '338', 'value': '€4.80m'}, {'date': '04/09/2020', 'age': '26', 'clubName': 'Dynamo Kyiv', 'clubID': '338', 'value': '€7.00m'}, {'date': '14/01/2021', 'age': '27', 'clubName': 'Dynamo Kyiv', 'clubID': '338', 'value': '€7.00m'}, {'date': '07/06/2021', 'age': '27', 'clubName': 'Dynamo Kyiv', 'clubID': '338', 'value': '€5.50m'}, {'date': '20/12/2021', 'age': '28', 'clubName': 'Dynamo Kyiv', 'clubID': '338', 'value': '€4.50m'}, {'date': '14/06/2022', 'age': '28', 'clubName': 'Legia Warszawa', 'clubID': '255', 'value': '€4.50m'}, {'date': '07/11/2022', 'age': '28', 'clubName': 'Panathinaikos', 'clubID': '265', 'value': '€3.50m'}, {'date': '22/05/2023', 'age': '29', 'clubName': 'Panathinaikos', 'clubID': '265', 'value': '€3.00m'}, {'date': '21/09/2023', 'age': '29', 'clubName': 'Panathinaikos', 'clubID': '265', 'value': '€2.50m'}, {'date': '20/12/2023', 'age': '30', 'clubName': 'Panathinaikos', 'clubID': '265', 'value': '€2.50m'}, {'date': '30/05/2024', 'age': '30', 'clubName': 'Panathinaikos', 'clubID': '265', 'value': '€2.00m'}, {'date': '26/09/2024', 'age': '30', 'clubName': 'Panathinaikos', 'clubID': '265', 'value': '€1.80m'}, {'date': '18/12/2024', 'age': '31', 'clubName': 'Panathinaikos', 'clubID': '265', 'value': '€1.20m'}, {'date': '14/03/2025', 'age': '31', 'clubName': 'Levadiakos', 'clubID': '2672', 'value': '€1.00m'}, {'date': '23/05/2025', 'age': '31', 'clubName': 'Levadiakos', 'clubID': '2672', 'value': '€900k'}, {'date': '12/12/2025', 'age': '32', 'clubName': 'Levadiakos', 'clubID': '2672', 'value': '€800k'}, {'date': '06/03/2026', 'age': '32', 'clubName': 'Levadiakos', 'clubID': '2672', 'value': '€600k'}]}</t>
        </is>
      </c>
      <c r="L588" t="inlineStr">
        <is>
          <t>Slovenia</t>
        </is>
      </c>
      <c r="M588" t="inlineStr">
        <is>
          <t>1993-11-27</t>
        </is>
      </c>
      <c r="N588" t="inlineStr">
        <is>
          <t>Slovenia</t>
        </is>
      </c>
      <c r="O588">
        <f>(4.5+3.5)/2</f>
        <v/>
      </c>
      <c r="P588">
        <f>(7+5.5+4.5)/3</f>
        <v/>
      </c>
    </row>
    <row r="589">
      <c r="A589" t="inlineStr">
        <is>
          <t>Ballo</t>
        </is>
      </c>
      <c r="B589" t="inlineStr">
        <is>
          <t>Milan</t>
        </is>
      </c>
      <c r="C589" t="inlineStr">
        <is>
          <t>Defender</t>
        </is>
      </c>
      <c r="D589" t="n">
        <v>91</v>
      </c>
      <c r="E589" t="n">
        <v>2</v>
      </c>
      <c r="F589" t="n">
        <v>0</v>
      </c>
      <c r="G589" t="n">
        <v>0</v>
      </c>
      <c r="H589" t="n">
        <v>11.6</v>
      </c>
      <c r="I589" t="n">
        <v>32.8</v>
      </c>
      <c r="J589" t="n">
        <v>319745</v>
      </c>
      <c r="K589" t="inlineStr">
        <is>
          <t>{'marketValueHistory': [{'date': 'Jan 8, 2015', 'age': '18', 'clubName': 'Real Betis B', 'clubID': '150', 'value': '€2.00m'}, {'date': 'Jul 1, 2015', 'age': '18', 'clubName': 'Real Betis Balompié', 'clubID': '150', 'value': '€2.50m'}, {'date': 'Sep 20, 2015', 'age': '19', 'clubName': 'Real Betis Balompié', 'clubID': '150', 'value': '€5.00m'}, {'date': 'Feb 22, 2016', 'age': '19', 'clubName': 'Real Betis Balompié', 'clubID': '150', 'value': '€5.00m'}, {'date': 'Jul 15, 2016', 'age': '19', 'clubName': 'Real Betis Balompié', 'clubID': '150', 'value': '€6.00m'}, {'date': 'Jan 24, 2017', 'age': '20', 'clubName': 'Real Betis Balompié', 'clubID': '150', 'value': '€6.00m'}, {'date': 'Jun 5, 2017', 'age': '20', 'clubName': 'Real Betis Balompié', 'clubID': '150', 'value': '€10.00m'}, {'date': 'Aug 17, 2017', 'age': '21', 'clubName': 'Real Madrid', 'clubID': '418', 'value': '€17.00m'}, {'date': 'Jan 1, 2018', 'age': '21', 'clubName': 'Real Madrid', 'clubID': '418', 'value': '€17.00m'}, {'date': 'Mar 22, 2018', 'age': '21', 'clubName': 'Real Madrid', 'clubID': '418', 'value': '€12.00m'}, {'date': 'May 30, 2018', 'age': '21', 'clubName': 'Real Madrid', 'clubID': '418', 'value': '€12.00m'}, {'date': 'Oct 31, 2018', 'age': '22', 'clubName': 'Real Madrid', 'clubID': '418', 'value': '€20.00m'}, {'date': 'Dec 21, 2018', 'age': '22', 'clubName': 'Real Madrid', 'clubID': '418', 'value': '€20.00m'}, {'date': 'Jun 11, 2019', 'age': '22', 'clubName': 'Real Madrid', 'clubID': '418', 'value': '€30.00m'}, {'date': 'Sep 12, 2019', 'age': '23', 'clubName': 'Arsenal FC', 'clubID': '11', 'value': '€45.00m'}, {'date': 'Dec 10, 2019', 'age': '23', 'clubName': 'Arsenal FC', 'clubID': '11', 'value': '€40.00m'}, {'date': 'Apr 8, 2020', 'age': '23', 'clubName': 'Arsenal FC', 'clubID': '11', 'value': '€32.00m'}, {'date': 'Oct 13, 2020', 'age': '24', 'clubName': 'Arsenal FC', 'clubID': '11', 'value': '€32.00m'}, {'date': 'Mar 18, 2021', 'age': '24', 'clubName': 'Arsenal FC', 'clubID': '11', 'value': '€30.00m'}, {'date': 'Jun 8, 2021', 'age': '24', 'clubName': 'Arsenal FC', 'clubID': '11', 'value': '€27.00m'}, {'date': 'Oct 13, 2021', 'age': '25', 'clubName': 'Real Madrid', 'clubID': '418', 'value': '€20.00m'}, {'date': 'Dec 30, 2021', 'age': '25', 'clubName': 'Real Madrid', 'clubID': '418', 'value': '€18.00m'}, {'date': 'Mar 21, 2022', 'age': '25', 'clubName': 'Real Madrid', 'clubID': '418', 'value': '€15.00m'}, {'date': 'Jun 3, 2022', 'age': '25', 'clubName': 'Real Madrid', 'clubID': '418', 'value': '€14.00m'}, {'date': 'Nov 7, 2022', 'age': '26', 'clubName': 'Real Madrid', 'clubID': '418', 'value': '€9.00m'}, {'date': 'Mar 23, 2023', 'age': '26', 'clubName': 'Real Madrid', 'clubID': '418', 'value': '€12.00m'}, {'date': 'Jun 13, 2023', 'age': '26', 'clubName': 'Real Madrid', 'clubID': '418', 'value': '€12.00m'}, {'date': 'Dec 22, 2023', 'age': '27', 'clubName': 'Real Madrid', 'clubID': '418', 'value': '€9.00m'}, {'date': 'Mar 21, 2024', 'age': '27', 'clubName': 'Real Madrid', 'clubID': '418', 'value': '€8.00m'}, {'date': 'Jun 7, 2024', 'age': '27', 'clubName': 'Real Madrid', 'clubID': '418', 'value': '€6.00m'}, {'date': 'Oct 11, 2024', 'age': '28', 'clubName': 'Real Madrid', 'clubID': '418', 'value': '€4.00m'}, {'date': 'Dec 27, 2024', 'age': '28', 'clubName': 'Real Madrid', 'clubID': '418', 'value': '€4.00m'}, {'date': 'Mar 21, 2025', 'age': '28', 'clubName': 'Real Madrid', 'clubID': '418', 'value': '€10.00m'}, {'date': 'Jun 9, 2025', 'age': '28', 'clubName': 'Real Madrid', 'clubID': '418', 'value': '€10.00m'}, {'date': 'Oct 2, 2025', 'age': '29', 'clubName': 'Real Madrid', 'clubID': '418', 'value': '€8.00m'}, {'date': 'Dec 12, 2025', 'age': '29', 'clubName': 'Real Madrid', 'clubID': '418', 'value': '€8.00m'}]}</t>
        </is>
      </c>
      <c r="L589" t="inlineStr">
        <is>
          <t>Spain</t>
        </is>
      </c>
      <c r="M589" t="inlineStr">
        <is>
          <t>1996-08-07</t>
        </is>
      </c>
      <c r="N589" t="inlineStr">
        <is>
          <t>13</t>
        </is>
      </c>
      <c r="O589">
        <f>(15+14+9)/3</f>
        <v/>
      </c>
      <c r="P589">
        <f>(30+27+20+18)/4</f>
        <v/>
      </c>
    </row>
    <row r="590">
      <c r="A590" t="inlineStr">
        <is>
          <t>Phillips</t>
        </is>
      </c>
      <c r="B590" t="inlineStr">
        <is>
          <t>Liverpool</t>
        </is>
      </c>
      <c r="C590" t="inlineStr">
        <is>
          <t>Defender</t>
        </is>
      </c>
      <c r="D590" t="n">
        <v>91</v>
      </c>
      <c r="E590" t="n">
        <v>2</v>
      </c>
      <c r="F590" t="n">
        <v>0</v>
      </c>
      <c r="G590" t="n">
        <v>0</v>
      </c>
      <c r="H590" t="n">
        <v>11.2</v>
      </c>
      <c r="I590" t="n">
        <v>32.3</v>
      </c>
      <c r="J590" t="n">
        <v>351749</v>
      </c>
      <c r="K590" t="inlineStr">
        <is>
          <t>{'marketValueHistory': [{'date': 'Sep 1, 2016', 'age': '20', 'clubName': 'Leeds United', 'clubID': '399', 'value': '€250k'}, {'date': 'Feb 27, 2017', 'age': '21', 'clubName': 'Leeds United', 'clubID': '399', 'value': '€500k'}, {'date': 'Sep 18, 2017', 'age': '21', 'clubName': 'Leeds United', 'clubID': '399', 'value': '€1.50m'}, {'date': 'Feb 27, 2018', 'age': '22', 'clubName': 'Leeds United', 'clubID': '399', 'value': '€5.00m'}, {'date': 'Sep 24, 2018', 'age': '22', 'clubName': 'Leeds United', 'clubID': '399', 'value': '€5.00m'}, {'date': 'Feb 27, 2019', 'age': '23', 'clubName': 'Leeds United', 'clubID': '399', 'value': '€7.00m'}, {'date': 'Jun 28, 2019', 'age': '23', 'clubName': 'Leeds United', 'clubID': '399', 'value': '€8.00m'}, {'date': 'Oct 17, 2019', 'age': '23', 'clubName': 'Leeds United', 'clubID': '399', 'value': '€11.00m'}, {'date': 'Feb 27, 2020', 'age': '24', 'clubName': 'Leeds United', 'clubID': '399', 'value': '€15.00m'}, {'date': 'Apr 8, 2020', 'age': '24', 'clubName': 'Leeds United', 'clubID': '399', 'value': '€12.00m'}, {'date': 'Oct 13, 2020', 'age': '24', 'clubName': 'Leeds United', 'clubID': '399', 'value': '€22.00m'}, {'date': 'Dec 17, 2020', 'age': '25', 'clubName': 'Leeds United', 'clubID': '399', 'value': '€27.00m'}, {'date': 'Mar 18, 2021', 'age': '25', 'clubName': 'Leeds United', 'clubID': '399', 'value': '€27.00m'}, {'date': 'May 28, 2021', 'age': '25', 'clubName': 'Leeds United', 'clubID': '399', 'value': '€30.00m'}, {'date': 'Jul 15, 2021', 'age': '25', 'clubName': 'Leeds United', 'clubID': '399', 'value': '€40.00m'}, {'date': 'Dec 23, 2021', 'age': '26', 'clubName': 'Leeds United', 'clubID': '399', 'value': '€40.00m'}, {'date': 'Mar 29, 2022', 'age': '26', 'clubName': 'Leeds United', 'clubID': '399', 'value': '€50.00m'}, {'date': 'Jun 15, 2022', 'age': '26', 'clubName': 'Leeds United', 'clubID': '399', 'value': '€50.00m'}, {'date': 'Nov 3, 2022', 'age': '26', 'clubName': 'Manchester City', 'clubID': '281', 'value': '€45.00m'}, {'date': 'Mar 16, 2023', 'age': '27', 'clubName': 'Manchester City', 'clubID': '281', 'value': '€35.00m'}, {'date': 'Jun 20, 2023', 'age': '27', 'clubName': 'Manchester City', 'clubID': '281', 'value': '€32.00m'}, {'date': 'Oct 9, 2023', 'age': '27', 'clubName': 'Manchester City', 'clubID': '281', 'value': '€28.00m'}, {'date': 'Dec 19, 2023', 'age': '28', 'clubName': 'Manchester City', 'clubID': '281', 'value': '€28.00m'}, {'date': 'May 27, 2024', 'age': '28', 'clubName': 'West Ham United', 'clubID': '379', 'value': '€25.00m'}, {'date': 'Oct 1, 2024', 'age': '28', 'clubName': 'Ipswich Town', 'clubID': '677', 'value': '€22.00m'}, {'date': 'Dec 16, 2024', 'age': '29', 'clubName': 'Ipswich Town', 'clubID': '677', 'value': '€20.00m'}, {'date': 'Mar 18, 2025', 'age': '29', 'clubName': 'Ipswich Town', 'clubID': '677', 'value': '€15.00m'}, {'date': 'May 30, 2025', 'age': '29', 'clubName': 'Ipswich Town', 'clubID': '677', 'value': '€12.00m'}, {'date': 'Oct 17, 2025', 'age': '29', 'clubName': 'Manchester City', 'clubID': '281', 'value': '€10.00m'}, {'date': 'Dec 9, 2025', 'age': '30', 'clubName': 'Manchester City', 'clubID': '281', 'value': '€6.00m'}, {'date': 'Mar 3, 2026', 'age': '30', 'clubName': 'Sheffield United', 'clubID': '350', 'value': '€5.00m'}]}</t>
        </is>
      </c>
      <c r="L590" t="inlineStr">
        <is>
          <t>United Kingdom</t>
        </is>
      </c>
      <c r="M590" t="inlineStr">
        <is>
          <t>1995-12-02</t>
        </is>
      </c>
      <c r="N590" t="inlineStr">
        <is>
          <t>31</t>
        </is>
      </c>
      <c r="O590">
        <f>(50+50+45)/3</f>
        <v/>
      </c>
      <c r="P590">
        <f>(27+30+40+40)/4</f>
        <v/>
      </c>
    </row>
    <row r="591">
      <c r="A591" t="inlineStr">
        <is>
          <t>Philipp</t>
        </is>
      </c>
      <c r="B591" t="inlineStr">
        <is>
          <t>Wolfsburg</t>
        </is>
      </c>
      <c r="C591" t="inlineStr">
        <is>
          <t>Forward</t>
        </is>
      </c>
      <c r="D591" t="n">
        <v>90</v>
      </c>
      <c r="E591" t="n">
        <v>2</v>
      </c>
      <c r="F591" t="n">
        <v>0</v>
      </c>
      <c r="G591" t="n">
        <v>0</v>
      </c>
      <c r="H591" t="n">
        <v>11.1</v>
      </c>
      <c r="I591" t="n">
        <v>31</v>
      </c>
      <c r="J591" t="n">
        <v>80444</v>
      </c>
      <c r="K591" t="inlineStr">
        <is>
          <t>{'marketValueHistory': [{'date': 'Jul 24, 2008', 'age': '16', 'clubName': 'Clube de Regatas Vasco da Gama', 'clubID': '978', 'value': '€1.00m'}, {'date': 'Sep 6, 2009', 'age': '17', 'clubName': 'Clube de Regatas Vasco da Gama', 'clubID': '978', 'value': '€600k'}, {'date': 'Dec 8, 2009', 'age': '17', 'clubName': 'Clube de Regatas Vasco da Gama', 'clubID': '978', 'value': '€1.00m'}, {'date': 'Apr 15, 2010', 'age': '17', 'clubName': 'Clube de Regatas Vasco da Gama', 'clubID': '978', 'value': '€2.50m'}, {'date': 'Aug 2, 2010', 'age': '18', 'clubName': 'Inter Milan', 'clubID': '46', 'value': '€4.50m'}, {'date': 'Jan 20, 2011', 'age': '18', 'clubName': 'Inter Milan', 'clubID': '46', 'value': '€7.00m'}, {'date': 'Jun 21, 2011', 'age': '19', 'clubName': 'Inter Milan', 'clubID': '46', 'value': '€7.00m'}, {'date': 'Jan 11, 2012', 'age': '19', 'clubName': 'Inter Milan', 'clubID': '46', 'value': '€8.00m'}, {'date': 'Feb 3, 2012', 'age': '19', 'clubName': 'RCD Espanyol Barcelona', 'clubID': '714', 'value': '€7.00m'}, {'date': 'Jul 3, 2012', 'age': '20', 'clubName': 'Inter Milan', 'clubID': '46', 'value': '€8.50m'}, {'date': 'Jan 15, 2013', 'age': '20', 'clubName': 'Inter Milan', 'clubID': '46', 'value': '€9.00m'}, {'date': 'Feb 3, 2013', 'age': '20', 'clubName': 'Liverpool FC', 'clubID': '31', 'value': '€10.00m'}, {'date': 'Jul 2, 2013', 'age': '21', 'clubName': 'Liverpool FC', 'clubID': '31', 'value': '€14.00m'}, {'date': 'Jan 15, 2014', 'age': '21', 'clubName': 'Liverpool FC', 'clubID': '31', 'value': '€16.00m'}, {'date': 'Aug 12, 2014', 'age': '22', 'clubName': 'Liverpool FC', 'clubID': '31', 'value': '€20.00m'}, {'date': 'Feb 12, 2015', 'age': '22', 'clubName': 'Liverpool FC', 'clubID': '31', 'value': '€25.00m'}, {'date': 'Jul 1, 2015', 'age': '23', 'clubName': 'Liverpool FC', 'clubID': '31', 'value': '€30.00m'}, {'date': 'Feb 9, 2016', 'age': '23', 'clubName': 'Liverpool FC', 'clubID': '31', 'value': '€32.00m'}, {'date': 'Aug 1, 2016', 'age': '24', 'clubName': 'Liverpool FC', 'clubID': '31', 'value': '€35.00m'}, {'date': 'Feb 20, 2017', 'age': '24', 'clubName': 'Liverpool FC', 'clubID': '31', 'value': '€40.00m'}, {'date': 'Jun 28, 2017', 'age': '25', 'clubName': 'Liverpool FC', 'clubID': '31', 'value': '€45.00m'}, {'date': 'Oct 23, 2017', 'age': '25', 'clubName': 'Liverpool FC', 'clubID': '31', 'value': '€65.00m'}, {'date': 'Jan 2, 2018', 'age': '25', 'clubName': 'Liverpool FC', 'clubID': '31', 'value': '€90.00m'}, {'date': 'Mar 22, 2018', 'age': '25', 'clubName': 'FC Barcelona', 'clubID': '131', 'value': '€100.00m'}, {'date': 'May 30, 2018', 'age': '25', 'clubName': 'FC Barcelona', 'clubID': '131', 'value': '€100.00m'}, {'date': 'Jul 16, 2018', 'age': '26', 'clubName': 'FC Barcelona', 'clubID': '131', 'value': '€120.00m'}, {'date': 'Oct 31, 2018', 'age': '26', 'clubName': 'FC Barcelona', 'clubID': '131', 'value': '€150.00m'}, {'date': 'Dec 21, 2018', 'age': '26', 'clubName': 'FC Barcelona', 'clubID': '131', 'value': '€140.00m'}, {'date': 'Feb 28, 2019', 'age': '26', 'clubName': 'FC Barcelona', 'clubID': '131', 'value': '€100.00m'}, {'date': 'Jun 11, 2019', 'age': '26', 'clubName': 'FC Barcelona', 'clubID': '131', 'value': '€90.00m'}, {'date': 'Dec 17, 2019', 'age': '27', 'clubName': 'Bayern Munich', 'clubID': '27', 'value': '€70.00m'}, {'date': 'Apr 8, 2020', 'age': '27', 'clubName': 'Bayern Munich', 'clubID': '27', 'value': '€56.00m'}, {'date': 'Oct 8, 2020', 'age': '28', 'clubName': 'FC Barcelona', 'clubID': '131', 'value': '€60.00m'}, {'date': 'Jan 5, 2021', 'age': '28', 'clubName': 'FC Barcelona', 'clubID': '131', 'value': '€50.00m'}, {'date': 'Mar 19, 2021', 'age': '28', 'clubName': 'FC Barcelona', 'clubID': '131', 'value': '€40.00m'}, {'date': 'Jun 10, 2021', 'age': '28', 'clubName': 'FC Barcelona', 'clubID': '131', 'value': '€30.00m'}, {'date': 'Oct 13, 2021', 'age': '29', 'clubName': 'FC Barcelona', 'clubID': '131', 'value': '€20.00m'}, {'date': 'Dec 30, 2021', 'age': '29', 'clubName': 'FC Barcelona', 'clubID': '131', 'value': '€18.00m'}, {'date': 'Mar 29, 2022', 'age': '29', 'clubName': 'Aston Villa', 'clubID': '405', 'value': '€20.00m'}, {'date': 'Jun 15, 2022', 'age': '30', 'clubName': 'Aston Villa', 'clubID': '405', 'value': '€20.00m'}, {'date': 'Nov 3, 2022', 'age': '30', 'clubName': 'Aston Villa', 'clubID': '405', 'value': '€18.00m'}, {'date': 'Mar 16, 2023', 'age': '30', 'clubName': 'Aston Villa', 'clubID': '405', 'value': '€14.00m'}, {'date': 'Jun 20, 2023', 'age': '31', 'clubName': 'Aston Villa', 'clubID': '405', 'value': '€10.00m'}, {'date': 'Nov 27, 2023', 'age': '31', 'clubName': 'Al-Duhail SC', 'clubID': '26091', 'value': '€9.00m'}, {'date': 'May 2, 2024', 'age': '31', 'clubName': 'Al-Duhail SC', 'clubID': '26091', 'value': '€7.50m'}, {'date': 'Dec 9, 2024', 'age': '32', 'clubName': 'Clube de Regatas Vasco da Gama', 'clubID': '978', 'value': '€6.00m'}, {'date': 'Jun 6, 2025', 'age': '32', 'clubName': 'Clube de Regatas Vasco da Gama', 'clubID': '978', 'value': '€4.50m'}, {'date': 'Sep 5, 2025', 'age': '33', 'clubName': 'Clube de Regatas Vasco da Gama', 'clubID': '978', 'value': '€4.00m'}, {'date': 'Dec 10, 2025', 'age': '33', 'clubName': 'Clube de Regatas Vasco da Gama', 'clubID': '978', 'value': '€3.50m'}, {'date': 'Apr 9, 2026', 'age': '33', 'clubName': 'Without Club', 'clubID': '515', 'value': '€2.50m'}]}</t>
        </is>
      </c>
      <c r="L591" t="inlineStr">
        <is>
          <t>Spain</t>
        </is>
      </c>
      <c r="M591" t="inlineStr">
        <is>
          <t>1992-06-12</t>
        </is>
      </c>
      <c r="N591" t="inlineStr">
        <is>
          <t>Brazil</t>
        </is>
      </c>
      <c r="O591">
        <f>(20+20+18)/3</f>
        <v/>
      </c>
      <c r="P591">
        <f>(50+40+30+20+18)/5</f>
        <v/>
      </c>
    </row>
    <row r="592">
      <c r="A592" t="inlineStr">
        <is>
          <t>Hateboer</t>
        </is>
      </c>
      <c r="B592" t="inlineStr">
        <is>
          <t>Atalanta</t>
        </is>
      </c>
      <c r="C592" t="inlineStr">
        <is>
          <t>Defender</t>
        </is>
      </c>
      <c r="D592" t="n">
        <v>90</v>
      </c>
      <c r="E592" t="n">
        <v>1</v>
      </c>
      <c r="F592" t="n">
        <v>0</v>
      </c>
      <c r="G592" t="n">
        <v>0</v>
      </c>
      <c r="H592" t="n">
        <v>11.8</v>
      </c>
      <c r="I592" t="n">
        <v>31.3</v>
      </c>
      <c r="J592" t="n">
        <v>275303</v>
      </c>
      <c r="K592" t="inlineStr">
        <is>
          <t>{'marketValueHistory': [{'date': '13/09/2013', 'age': '19', 'clubName': 'FC Groningen/Cambuur U21', 'clubID': '14725', 'value': '€50k'}, {'date': '10/02/2014', 'age': '20', 'clubName': 'FC Groningen', 'clubID': '202', 'value': '€100k'}, {'date': '11/08/2014', 'age': '20', 'clubName': 'FC Groningen', 'clubID': '202', 'value': '€500k'}, {'date': '16/02/2015', 'age': '21', 'clubName': 'FC Groningen', 'clubID': '202', 'value': '€650k'}, {'date': '01/07/2015', 'age': '21', 'clubName': 'FC Groningen', 'clubID': '202', 'value': '€650k'}, {'date': '05/02/2016', 'age': '22', 'clubName': 'FC Groningen', 'clubID': '202', 'value': '€650k'}, {'date': '15/07/2016', 'age': '22', 'clubName': 'FC Groningen', 'clubID': '202', 'value': '€850k'}, {'date': '18/01/2017', 'age': '23', 'clubName': 'FC Groningen', 'clubID': '202', 'value': '€1.00m'}, {'date': '08/06/2017', 'age': '23', 'clubName': 'Atalanta BC', 'clubID': '800', 'value': '€1.00m'}, {'date': '29/12/2017', 'age': '23', 'clubName': 'Atalanta BC', 'clubID': '800', 'value': '€3.00m'}, {'date': '07/06/2018', 'age': '24', 'clubName': 'Atalanta BC', 'clubID': '800', 'value': '€7.00m'}, {'date': '20/12/2018', 'age': '24', 'clubName': 'Atalanta BC', 'clubID': '800', 'value': '€10.00m'}, {'date': '06/06/2019', 'age': '25', 'clubName': 'Atalanta BC', 'clubID': '800', 'value': '€15.00m'}, {'date': '12/12/2019', 'age': '25', 'clubName': 'Atalanta BC', 'clubID': '800', 'value': '€15.00m'}, {'date': '08/04/2020', 'age': '26', 'clubName': 'Atalanta BC', 'clubID': '800', 'value': '€12.00m'}, {'date': '25/08/2020', 'age': '26', 'clubName': 'Atalanta BC', 'clubID': '800', 'value': '€18.00m'}, {'date': '29/12/2020', 'age': '26', 'clubName': 'Atalanta BC', 'clubID': '800', 'value': '€18.00m'}, {'date': '03/06/2021', 'age': '27', 'clubName': 'Atalanta BC', 'clubID': '800', 'value': '€18.00m'}, {'date': '14/10/2021', 'age': '27', 'clubName': 'Atalanta BC', 'clubID': '800', 'value': '€16.00m'}, {'date': '28/12/2021', 'age': '27', 'clubName': 'Atalanta BC', 'clubID': '800', 'value': '€16.00m'}, {'date': '07/06/2022', 'age': '28', 'clubName': 'Atalanta BC', 'clubID': '800', 'value': '€13.00m'}, {'date': '11/11/2022', 'age': '28', 'clubName': 'Atalanta BC', 'clubID': '800', 'value': '€10.00m'}, {'date': '21/03/2023', 'age': '29', 'clubName': 'Atalanta BC', 'clubID': '800', 'value': '€6.00m'}, {'date': '15/06/2023', 'age': '29', 'clubName': 'Atalanta BC', 'clubID': '800', 'value': '€6.00m'}, {'date': '20/12/2023', 'age': '29', 'clubName': 'Atalanta BC', 'clubID': '800', 'value': '€4.00m'}, {'date': '05/06/2024', 'age': '30', 'clubName': 'Atalanta BC', 'clubID': '800', 'value': '€3.50m'}, {'date': '10/12/2024', 'age': '30', 'clubName': 'Stade Rennais FC', 'clubID': '273', 'value': '€3.00m'}, {'date': '03/06/2025', 'age': '31', 'clubName': 'Stade Rennais FC', 'clubID': '273', 'value': '€2.50m'}, {'date': '15/12/2025', 'age': '31', 'clubName': 'Olympique Lyon', 'clubID': '1041', 'value': '€2.00m'}]}</t>
        </is>
      </c>
      <c r="L592" t="inlineStr">
        <is>
          <t>Netherlands</t>
        </is>
      </c>
      <c r="M592" t="inlineStr">
        <is>
          <t>1994-01-09</t>
        </is>
      </c>
      <c r="N592" t="inlineStr">
        <is>
          <t>Netherlands</t>
        </is>
      </c>
      <c r="O592">
        <f>(13+10)/2</f>
        <v/>
      </c>
      <c r="P592">
        <f>(18+16+16)/3</f>
        <v/>
      </c>
    </row>
    <row r="593">
      <c r="A593" t="inlineStr">
        <is>
          <t>N'Koudou</t>
        </is>
      </c>
      <c r="B593" t="inlineStr">
        <is>
          <t>Besiktas</t>
        </is>
      </c>
      <c r="C593" t="inlineStr">
        <is>
          <t>Midfielder</t>
        </is>
      </c>
      <c r="D593" t="n">
        <v>90</v>
      </c>
      <c r="E593" t="n">
        <v>1</v>
      </c>
      <c r="F593" t="n">
        <v>0</v>
      </c>
      <c r="G593" t="n">
        <v>0</v>
      </c>
      <c r="H593" t="n">
        <v>10.9</v>
      </c>
      <c r="I593" t="n">
        <v>31.5</v>
      </c>
      <c r="J593" t="n">
        <v>215679</v>
      </c>
      <c r="K593" t="inlineStr">
        <is>
          <t>{'marketValueHistory': [{'date': 'Sep 13, 2013', 'age': '18', 'clubName': 'FC Nantes', 'clubID': '995', 'value': '€300k'}, {'date': 'Jan 14, 2014', 'age': '18', 'clubName': 'FC Nantes', 'clubID': '995', 'value': '€500k'}, {'date': 'Aug 7, 2014', 'age': '19', 'clubName': 'FC Nantes', 'clubID': '995', 'value': '€500k'}, {'date': 'Jan 14, 2015', 'age': '19', 'clubName': 'FC Nantes', 'clubID': '995', 'value': '€1.50m'}, {'date': 'Jun 6, 2015', 'age': '20', 'clubName': 'FC Nantes', 'clubID': '995', 'value': '€2.00m'}, {'date': 'Sep 6, 2015', 'age': '20', 'clubName': 'Olympique Marseille', 'clubID': '244', 'value': '€1.50m'}, {'date': 'Feb 4, 2016', 'age': '20', 'clubName': 'Olympique Marseille', 'clubID': '244', 'value': '€5.00m'}, {'date': 'Jul 13, 2016', 'age': '21', 'clubName': 'Olympique Marseille', 'clubID': '244', 'value': '€7.00m'}, {'date': 'Oct 24, 2016', 'age': '21', 'clubName': 'Tottenham Hotspur', 'clubID': '148', 'value': '€8.00m'}, {'date': 'Feb 20, 2017', 'age': '22', 'clubName': 'Tottenham Hotspur', 'clubID': '148', 'value': '€8.00m'}, {'date': 'Jun 28, 2017', 'age': '22', 'clubName': 'Tottenham Hotspur', 'clubID': '148', 'value': '€7.00m'}, {'date': 'Jan 2, 2018', 'age': '22', 'clubName': 'Tottenham Hotspur', 'clubID': '148', 'value': '€7.00m'}, {'date': 'May 28, 2018', 'age': '23', 'clubName': 'Burnley FC', 'clubID': '1132', 'value': '€7.00m'}, {'date': 'Dec 19, 2018', 'age': '23', 'clubName': 'Tottenham Hotspur', 'clubID': '148', 'value': '€7.00m'}, {'date': 'Jun 3, 2019', 'age': '24', 'clubName': 'AS Monaco', 'clubID': '162', 'value': '€5.00m'}, {'date': 'Oct 4, 2019', 'age': '24', 'clubName': 'Besiktas JK', 'clubID': '114', 'value': '€4.50m'}, {'date': 'Jan 3, 2020', 'age': '24', 'clubName': 'Besiktas JK', 'clubID': '114', 'value': '€4.50m'}, {'date': 'Apr 8, 2020', 'age': '25', 'clubName': 'Besiktas JK', 'clubID': '114', 'value': '€3.50m'}, {'date': 'Aug 4, 2020', 'age': '25', 'clubName': 'Besiktas JK', 'clubID': '114', 'value': '€3.50m'}, {'date': 'Dec 23, 2020', 'age': '25', 'clubName': 'Besiktas JK', 'clubID': '114', 'value': '€3.50m'}, {'date': 'Mar 16, 2021', 'age': '26', 'clubName': 'Besiktas JK', 'clubID': '114', 'value': '€4.20m'}, {'date': 'May 21, 2021', 'age': '26', 'clubName': 'Besiktas JK', 'clubID': '114', 'value': '€5.00m'}, {'date': 'Oct 12, 2021', 'age': '26', 'clubName': 'Besiktas JK', 'clubID': '114', 'value': '€5.50m'}, {'date': 'Jan 4, 2022', 'age': '26', 'clubName': 'Besiktas JK', 'clubID': '114', 'value': '€4.70m'}, {'date': 'Mar 31, 2022', 'age': '27', 'clubName': 'Besiktas JK', 'clubID': '114', 'value': '€4.20m'}, {'date': 'Jun 1, 2022', 'age': '27', 'clubName': 'Besiktas JK', 'clubID': '114', 'value': '€4.20m'}, {'date': 'Oct 27, 2022', 'age': '27', 'clubName': 'Besiktas JK', 'clubID': '114', 'value': '€5.50m'}, {'date': 'Mar 14, 2023', 'age': '28', 'clubName': 'Besiktas JK', 'clubID': '114', 'value': '€4.20m'}, {'date': 'Jun 8, 2023', 'age': '28', 'clubName': 'Besiktas JK', 'clubID': '114', 'value': '€3.30m'}, {'date': 'Dec 15, 2023', 'age': '28', 'clubName': 'Damac FC', 'clubID': '50532', 'value': '€3.80m'}, {'date': 'Jun 4, 2024', 'age': '29', 'clubName': 'Damac FC', 'clubID': '50532', 'value': '€5.00m'}, {'date': 'Dec 13, 2024', 'age': '29', 'clubName': 'Damac FC', 'clubID': '50532', 'value': '€5.00m'}, {'date': 'May 27, 2025', 'age': '30', 'clubName': 'Damac FC', 'clubID': '50532', 'value': '€5.00m'}, {'date': 'Dec 18, 2025', 'age': '30', 'clubName': 'Al-Diraiyah FC', 'clubID': '52358', 'value': '€3.00m'}]}</t>
        </is>
      </c>
      <c r="L593" t="inlineStr">
        <is>
          <t>France</t>
        </is>
      </c>
      <c r="M593" t="inlineStr">
        <is>
          <t>1995-02-13</t>
        </is>
      </c>
      <c r="N593" t="inlineStr">
        <is>
          <t>France</t>
        </is>
      </c>
      <c r="O593">
        <f>(4.7+4.2+4.2+5.5)/4</f>
        <v/>
      </c>
      <c r="P593">
        <f>(4.2+5+5.5)/3</f>
        <v/>
      </c>
    </row>
    <row r="594">
      <c r="A594" t="inlineStr">
        <is>
          <t>Egan-Riley</t>
        </is>
      </c>
      <c r="B594" t="inlineStr">
        <is>
          <t>Man City</t>
        </is>
      </c>
      <c r="C594" t="inlineStr">
        <is>
          <t>Defender</t>
        </is>
      </c>
      <c r="D594" t="n">
        <v>90</v>
      </c>
      <c r="E594" t="n">
        <v>1</v>
      </c>
      <c r="F594" t="n">
        <v>0</v>
      </c>
      <c r="G594" t="n">
        <v>0</v>
      </c>
      <c r="H594" t="n">
        <v>10.8</v>
      </c>
      <c r="I594" t="n">
        <v>30.9</v>
      </c>
      <c r="J594" t="n">
        <v>581669</v>
      </c>
      <c r="K594" t="inlineStr">
        <is>
          <t>{'marketValueHistory': [{'date': '05/10/2021', 'age': '18', 'clubName': 'Manchester City U23', 'clubID': '9265', 'value': '€500k'}, {'date': '15/06/2022', 'age': '19', 'clubName': 'Manchester City U23', 'clubID': '9265', 'value': '€800k'}, {'date': '14/09/2022', 'age': '19', 'clubName': 'Burnley FC', 'clubID': '1132', 'value': '€2.50m'}, {'date': '27/10/2022', 'age': '19', 'clubName': 'Burnley FC', 'clubID': '1132', 'value': '€2.50m'}, {'date': '26/06/2023', 'age': '20', 'clubName': 'Hibernian FC', 'clubID': '903', 'value': '€2.50m'}, {'date': '19/12/2023', 'age': '20', 'clubName': 'Burnley FC', 'clubID': '1132', 'value': '€2.00m'}, {'date': '10/06/2024', 'age': '21', 'clubName': 'PSV Eindhoven U21', 'clubID': '9715', 'value': '€1.50m'}, {'date': '30/12/2024', 'age': '21', 'clubName': 'Burnley FC', 'clubID': '1132', 'value': '€1.50m'}, {'date': '28/03/2025', 'age': '22', 'clubName': 'Burnley FC', 'clubID': '1132', 'value': '€14.00m'}, {'date': '27/05/2025', 'age': '22', 'clubName': 'Burnley FC', 'clubID': '1132', 'value': '€16.00m'}, {'date': '10/10/2025', 'age': '22', 'clubName': 'Olympique Marseille', 'clubID': '244', 'value': '€15.00m'}, {'date': '15/12/2025', 'age': '22', 'clubName': 'Olympique Marseille', 'clubID': '244', 'value': '€12.00m'}, {'date': '27/03/2026', 'age': '23', 'clubName': 'Olympique Marseille', 'clubID': '244', 'value': '€10.00m'}]}</t>
        </is>
      </c>
      <c r="L594" t="inlineStr">
        <is>
          <t>United Kingdom</t>
        </is>
      </c>
      <c r="M594" t="inlineStr">
        <is>
          <t>2003-01-02</t>
        </is>
      </c>
      <c r="N594" t="inlineStr">
        <is>
          <t>England</t>
        </is>
      </c>
      <c r="O594">
        <f>(0.8+2.5+2.5)/3</f>
        <v/>
      </c>
      <c r="P594">
        <f>0.5</f>
        <v/>
      </c>
    </row>
    <row r="595">
      <c r="A595" t="inlineStr">
        <is>
          <t>Shabanov</t>
        </is>
      </c>
      <c r="B595" t="inlineStr">
        <is>
          <t>Dynamo Kyiv</t>
        </is>
      </c>
      <c r="C595" t="inlineStr">
        <is>
          <t>Defender</t>
        </is>
      </c>
      <c r="D595" t="n">
        <v>90</v>
      </c>
      <c r="E595" t="n">
        <v>1</v>
      </c>
      <c r="F595" t="n">
        <v>0</v>
      </c>
      <c r="G595" t="n">
        <v>0</v>
      </c>
      <c r="H595" t="n">
        <v>10.7</v>
      </c>
      <c r="I595" t="n">
        <v>31.9</v>
      </c>
      <c r="J595" t="n">
        <v>236468</v>
      </c>
      <c r="K595" t="inlineStr">
        <is>
          <t>{'marketValueHistory': [{'date': 'Mar 28, 2014', 'age': '22', 'clubName': 'Volyn Lutsk', 'clubID': '4482', 'value': '€200k'}, {'date': 'Jun 30, 2014', 'age': '22', 'clubName': 'Volyn Lutsk', 'clubID': '4482', 'value': '€200k'}, {'date': 'Dec 25, 2014', 'age': '22', 'clubName': 'Volyn Lutsk', 'clubID': '4482', 'value': '€500k'}, {'date': 'Jun 7, 2015', 'age': '23', 'clubName': 'Volyn Lutsk', 'clubID': '4482', 'value': '€700k'}, {'date': 'Dec 17, 2015', 'age': '23', 'clubName': 'Volyn Lutsk', 'clubID': '4482', 'value': '€700k'}, {'date': 'Jul 21, 2016', 'age': '24', 'clubName': 'Volyn Lutsk', 'clubID': '4482', 'value': '€700k'}, {'date': 'Sep 30, 2016', 'age': '24', 'clubName': 'Volyn Lutsk', 'clubID': '4482', 'value': '€600k'}, {'date': 'Jan 3, 2017', 'age': '24', 'clubName': 'Volyn Lutsk', 'clubID': '4482', 'value': '€500k'}, {'date': 'Jun 26, 2017', 'age': '25', 'clubName': 'PFC Stal Kamyanske (-2018)', 'clubID': '16247', 'value': '€500k'}, {'date': 'Jan 12, 2018', 'age': '25', 'clubName': 'Dynamo Kyiv', 'clubID': '338', 'value': '€1.00m'}, {'date': 'May 14, 2018', 'age': '26', 'clubName': 'Dynamo Kyiv', 'clubID': '338', 'value': '€1.20m'}, {'date': 'Aug 6, 2018', 'age': '26', 'clubName': 'Dynamo Kyiv', 'clubID': '338', 'value': '€1.20m'}, {'date': 'Dec 10, 2018', 'age': '26', 'clubName': 'Dynamo Kyiv', 'clubID': '338', 'value': '€1.20m'}, {'date': 'Mar 22, 2019', 'age': '27', 'clubName': 'Dynamo Kyiv', 'clubID': '338', 'value': '€1.50m'}, {'date': 'Jun 20, 2019', 'age': '27', 'clubName': 'Dynamo Kyiv', 'clubID': '338', 'value': '€1.50m'}, {'date': 'Jan 8, 2020', 'age': '27', 'clubName': 'Dynamo Kyiv', 'clubID': '338', 'value': '€2.00m'}, {'date': 'Apr 8, 2020', 'age': '28', 'clubName': 'Dynamo Kyiv', 'clubID': '338', 'value': '€1.60m'}, {'date': 'Sep 4, 2020', 'age': '28', 'clubName': 'Dynamo Kyiv', 'clubID': '338', 'value': '€2.00m'}, {'date': 'Jan 14, 2021', 'age': '28', 'clubName': 'Dynamo Kyiv', 'clubID': '338', 'value': '€1.50m'}, {'date': 'May 21, 2021', 'age': '29', 'clubName': 'Legia Warszawa', 'clubID': '255', 'value': '€1.50m'}, {'date': 'Dec 20, 2021', 'age': '29', 'clubName': 'Dynamo Kyiv', 'clubID': '338', 'value': '€1.20m'}, {'date': 'Jun 7, 2022', 'age': '30', 'clubName': 'Videoton FC Fehérvár', 'clubID': '11107', 'value': '€1.00m'}, {'date': 'Oct 11, 2022', 'age': '30', 'clubName': 'Fehérvár FC', 'clubID': '11107', 'value': '€750k'}, {'date': 'Feb 22, 2023', 'age': '30', 'clubName': 'Fehérvár FC', 'clubID': '11107', 'value': '€500k'}, {'date': 'Jun 7, 2023', 'age': '31', 'clubName': 'Fehérvár FC', 'clubID': '11107', 'value': '€300k'}, {'date': 'Dec 11, 2023', 'age': '31', 'clubName': 'Polissya Zhytomyr', 'clubID': '53646', 'value': '€300k'}, {'date': 'Jun 6, 2024', 'age': '32', 'clubName': 'Polissya Zhytomyr', 'clubID': '53646', 'value': '€300k'}, {'date': 'Dec 17, 2024', 'age': '32', 'clubName': 'FC Oleksandriya', 'clubID': '18303', 'value': '€250k'}, {'date': 'Jun 10, 2025', 'age': '33', 'clubName': 'FC Oleksandriya', 'clubID': '18303', 'value': '€250k'}, {'date': 'Dec 18, 2025', 'age': '33', 'clubName': 'Metalist 1925 Kharkiv', 'clubID': '55686', 'value': '€250k'}]}</t>
        </is>
      </c>
      <c r="L595" t="inlineStr">
        <is>
          <t>Ukraine</t>
        </is>
      </c>
      <c r="M595" t="inlineStr">
        <is>
          <t>1992-03-07</t>
        </is>
      </c>
      <c r="N595" t="inlineStr">
        <is>
          <t>Ukraine</t>
        </is>
      </c>
      <c r="O595">
        <f>(1+0.75)/2</f>
        <v/>
      </c>
      <c r="P595">
        <f>(1.5+1.5+1.2)/3</f>
        <v/>
      </c>
    </row>
    <row r="596">
      <c r="A596" t="inlineStr">
        <is>
          <t>Bondar</t>
        </is>
      </c>
      <c r="B596" t="inlineStr">
        <is>
          <t>Shakhtar Donetsk</t>
        </is>
      </c>
      <c r="C596" t="inlineStr">
        <is>
          <t>Defender</t>
        </is>
      </c>
      <c r="D596" t="n">
        <v>90</v>
      </c>
      <c r="E596" t="n">
        <v>1</v>
      </c>
      <c r="F596" t="n">
        <v>0</v>
      </c>
      <c r="G596" t="n">
        <v>0</v>
      </c>
      <c r="H596" t="n">
        <v>10.2</v>
      </c>
      <c r="I596" t="n">
        <v>31</v>
      </c>
      <c r="J596" t="n">
        <v>537854</v>
      </c>
      <c r="K596" t="inlineStr">
        <is>
          <t>{'marketValueHistory': [{'date': '04/09/2020', 'age': '20', 'clubName': 'FC Mariupol', 'clubID': '6993', 'value': '€250k'}, {'date': '14/01/2021', 'age': '20', 'clubName': 'FC Mariupol', 'clubID': '6993', 'value': '€500k'}, {'date': '27/05/2021', 'age': '20', 'clubName': 'FC Mariupol', 'clubID': '6993', 'value': '€900k'}, {'date': '20/12/2021', 'age': '21', 'clubName': 'Shakhtar Donetsk', 'clubID': '660', 'value': '€1.00m'}, {'date': '18/05/2022', 'age': '21', 'clubName': 'Shakhtar Donetsk', 'clubID': '660', 'value': '€1.00m'}, {'date': '06/09/2022', 'age': '22', 'clubName': 'Shakhtar Donetsk', 'clubID': '660', 'value': '€1.50m'}, {'date': '06/12/2022', 'age': '22', 'clubName': 'Shakhtar Donetsk', 'clubID': '660', 'value': '€4.00m'}, {'date': '28/03/2023', 'age': '22', 'clubName': 'Shakhtar Donetsk', 'clubID': '660', 'value': '€6.00m'}, {'date': '21/06/2023', 'age': '22', 'clubName': 'Shakhtar Donetsk', 'clubID': '660', 'value': '€8.00m'}, {'date': '12/07/2023', 'age': '22', 'clubName': 'Shakhtar Donetsk', 'clubID': '660', 'value': '€10.00m'}, {'date': '11/12/2023', 'age': '23', 'clubName': 'Shakhtar Donetsk', 'clubID': '660', 'value': '€9.00m'}, {'date': '06/06/2024', 'age': '23', 'clubName': 'Shakhtar Donetsk', 'clubID': '660', 'value': '€9.00m'}, {'date': '17/12/2024', 'age': '24', 'clubName': 'Shakhtar Donetsk', 'clubID': '660', 'value': '€10.00m'}, {'date': '10/06/2025', 'age': '24', 'clubName': 'Shakhtar Donetsk', 'clubID': '660', 'value': '€10.00m'}, {'date': '18/12/2025', 'age': '25', 'clubName': 'Shakhtar Donetsk', 'clubID': '660', 'value': '€9.00m'}, {'date': '23/03/2026', 'age': '25', 'clubName': 'Shakhtar Donetsk', 'clubID': '660', 'value': '€8.00m'}]}</t>
        </is>
      </c>
      <c r="L596" t="inlineStr">
        <is>
          <t>Ukraine</t>
        </is>
      </c>
      <c r="M596" t="inlineStr">
        <is>
          <t>2000-08-21</t>
        </is>
      </c>
      <c r="N596" t="inlineStr">
        <is>
          <t>4</t>
        </is>
      </c>
      <c r="O596">
        <f>(1+1.5+4)/3</f>
        <v/>
      </c>
      <c r="P596">
        <f>(0.5+0.9+1)/3</f>
        <v/>
      </c>
    </row>
    <row r="597">
      <c r="A597" t="inlineStr">
        <is>
          <t>Lustenberger</t>
        </is>
      </c>
      <c r="B597" t="inlineStr">
        <is>
          <t>Young Boys</t>
        </is>
      </c>
      <c r="C597" t="inlineStr">
        <is>
          <t>Defender</t>
        </is>
      </c>
      <c r="D597" t="n">
        <v>90</v>
      </c>
      <c r="E597" t="n">
        <v>1</v>
      </c>
      <c r="F597" t="n">
        <v>0</v>
      </c>
      <c r="G597" t="n">
        <v>0</v>
      </c>
      <c r="H597" t="n">
        <v>10.2</v>
      </c>
      <c r="I597" t="n">
        <v>28.3</v>
      </c>
      <c r="J597" t="n">
        <v>42203</v>
      </c>
      <c r="K597" t="inlineStr">
        <is>
          <t>{'marketValueHistory': [{'date': 'Jul 22, 2006', 'age': '18', 'clubName': 'FC Luzern', 'clubID': '434', 'value': '€50k'}, {'date': 'Jan 16, 2007', 'age': '18', 'clubName': 'FC Luzern', 'clubID': '434', 'value': '€300k'}, {'date': 'May 27, 2007', 'age': '19', 'clubName': 'FC Luzern', 'clubID': '434', 'value': '€600k'}, {'date': 'Aug 24, 2007', 'age': '19', 'clubName': 'Hertha BSC', 'clubID': '44', 'value': '€1.50m'}, {'date': 'Jun 4, 2008', 'age': '20', 'clubName': 'Hertha BSC', 'clubID': '44', 'value': '€2.00m'}, {'date': 'Jun 13, 2010', 'age': '22', 'clubName': 'Hertha BSC', 'clubID': '44', 'value': '€2.50m'}, {'date': 'Jan 12, 2011', 'age': '22', 'clubName': 'Hertha BSC', 'clubID': '44', 'value': '€2.00m'}, {'date': 'Jun 29, 2011', 'age': '23', 'clubName': 'Hertha BSC', 'clubID': '44', 'value': '€2.50m'}, {'date': 'Jan 23, 2012', 'age': '23', 'clubName': 'Hertha BSC', 'clubID': '44', 'value': '€2.50m'}, {'date': 'Jun 29, 2012', 'age': '24', 'clubName': 'Hertha BSC', 'clubID': '44', 'value': '€2.00m'}, {'date': 'Jan 4, 2013', 'age': '24', 'clubName': 'Hertha BSC', 'clubID': '44', 'value': '€2.00m'}, {'date': 'Jun 29, 2013', 'age': '25', 'clubName': 'Hertha BSC', 'clubID': '44', 'value': '€2.80m'}, {'date': 'Nov 5, 2013', 'age': '25', 'clubName': 'Hertha BSC', 'clubID': '44', 'value': '€3.20m'}, {'date': 'Feb 12, 2014', 'age': '25', 'clubName': 'Hertha BSC', 'clubID': '44', 'value': '€5.00m'}, {'date': 'Jul 10, 2014', 'age': '26', 'clubName': 'Hertha BSC', 'clubID': '44', 'value': '€5.00m'}, {'date': 'Feb 4, 2015', 'age': '26', 'clubName': 'Hertha BSC', 'clubID': '44', 'value': '€4.00m'}, {'date': 'Jul 1, 2015', 'age': '27', 'clubName': 'Hertha BSC', 'clubID': '44', 'value': '€4.00m'}, {'date': 'Feb 15, 2016', 'age': '27', 'clubName': 'Hertha BSC', 'clubID': '44', 'value': '€4.50m'}, {'date': 'Jul 22, 2016', 'age': '28', 'clubName': 'Hertha BSC', 'clubID': '44', 'value': '€3.50m'}, {'date': 'Feb 7, 2017', 'age': '28', 'clubName': 'Hertha BSC', 'clubID': '44', 'value': '€3.50m'}, {'date': 'Jun 19, 2017', 'age': '29', 'clubName': 'Hertha BSC', 'clubID': '44', 'value': '€3.00m'}, {'date': 'Dec 28, 2017', 'age': '29', 'clubName': 'Hertha BSC', 'clubID': '44', 'value': '€2.50m'}, {'date': 'Jun 5, 2018', 'age': '30', 'clubName': 'Hertha BSC', 'clubID': '44', 'value': '€2.50m'}, {'date': 'Dec 18, 2018', 'age': '30', 'clubName': 'Hertha BSC', 'clubID': '44', 'value': '€2.50m'}, {'date': 'Jun 5, 2019', 'age': '31', 'clubName': 'Hertha BSC', 'clubID': '44', 'value': '€2.50m'}, {'date': 'Jan 6, 2020', 'age': '31', 'clubName': 'BSC Young Boys', 'clubID': '452', 'value': '€2.50m'}, {'date': 'Apr 8, 2020', 'age': '31', 'clubName': 'BSC Young Boys', 'clubID': '452', 'value': '€2.00m'}, {'date': 'Jul 31, 2020', 'age': '32', 'clubName': 'BSC Young Boys', 'clubID': '452', 'value': '€2.00m'}, {'date': 'Dec 28, 2020', 'age': '32', 'clubName': 'BSC Young Boys', 'clubID': '452', 'value': '€1.00m'}, {'date': 'Apr 15, 2021', 'age': '32', 'clubName': 'BSC Young Boys', 'clubID': '452', 'value': '€500k'}, {'date': 'Jun 23, 2021', 'age': '33', 'clubName': 'BSC Young Boys', 'clubID': '452', 'value': '€400k'}, {'date': 'Jan 3, 2022', 'age': '33', 'clubName': 'BSC Young Boys', 'clubID': '452', 'value': '€400k'}, {'date': 'Jun 8, 2022', 'age': '34', 'clubName': 'BSC Young Boys', 'clubID': '452', 'value': '€400k'}, {'date': 'Nov 10, 2022', 'age': '34', 'clubName': 'BSC Young Boys', 'clubID': '452', 'value': '€400k'}, {'date': 'Jun 7, 2023', 'age': '35', 'clubName': 'BSC Young Boys', 'clubID': '452', 'value': '€200k'}, {'date': 'Oct 19, 2023', 'age': '35', 'clubName': 'BSC Young Boys', 'clubID': '452', 'value': '€100k'}, {'date': 'Dec 21, 2023', 'age': '35', 'clubName': 'BSC Young Boys', 'clubID': '452', 'value': '€100k'}, {'date': 'May 31, 2024', 'age': '36', 'clubName': 'BSC Young Boys', 'clubID': '452', 'value': '€100k'}, {'date': 'Jul 1, 2024', 'age': '36', 'clubName': 'Retired', 'clubID': '123', 'value': '-'}]}</t>
        </is>
      </c>
      <c r="L597" t="inlineStr">
        <is>
          <t>Switzerland</t>
        </is>
      </c>
      <c r="M597" t="inlineStr">
        <is>
          <t>1988-05-02</t>
        </is>
      </c>
      <c r="N597" t="inlineStr">
        <is>
          <t>Switzerland</t>
        </is>
      </c>
      <c r="O597">
        <f>(0.4+0.4+0.4)/3</f>
        <v/>
      </c>
      <c r="P597">
        <f>(0.5+0.4)/2</f>
        <v/>
      </c>
    </row>
    <row r="598">
      <c r="A598" t="inlineStr">
        <is>
          <t>Serdar Saatci</t>
        </is>
      </c>
      <c r="B598" t="inlineStr">
        <is>
          <t>Besiktas</t>
        </is>
      </c>
      <c r="C598" t="inlineStr">
        <is>
          <t>Defender</t>
        </is>
      </c>
      <c r="D598" t="n">
        <v>90</v>
      </c>
      <c r="E598" t="n">
        <v>1</v>
      </c>
      <c r="F598" t="n">
        <v>0</v>
      </c>
      <c r="G598" t="n">
        <v>0</v>
      </c>
      <c r="H598" t="n">
        <v>9.5</v>
      </c>
      <c r="I598" t="n">
        <v>24.9</v>
      </c>
      <c r="J598" t="n">
        <v>655899</v>
      </c>
      <c r="K598" t="inlineStr">
        <is>
          <t>{'marketValueHistory': [{'date': 'Nov 20, 2020', 'age': '17', 'clubName': 'Besiktas JK', 'clubID': '114', 'value': '€50k'}, {'date': 'Dec 23, 2020', 'age': '17', 'clubName': 'Besiktas JK', 'clubID': '114', 'value': '€50k'}, {'date': 'Mar 16, 2021', 'age': '18', 'clubName': 'Besiktas JK', 'clubID': '114', 'value': '€50k'}, {'date': 'May 21, 2021', 'age': '18', 'clubName': 'Besiktas JK', 'clubID': '114', 'value': '€50k'}, {'date': 'Oct 12, 2021', 'age': '18', 'clubName': 'Besiktas JK', 'clubID': '114', 'value': '€400k'}, {'date': 'Jan 4, 2022', 'age': '18', 'clubName': 'Besiktas JK', 'clubID': '114', 'value': '€750k'}, {'date': 'Mar 31, 2022', 'age': '19', 'clubName': 'Besiktas JK', 'clubID': '114', 'value': '€900k'}, {'date': 'Jun 1, 2022', 'age': '19', 'clubName': 'Besiktas JK', 'clubID': '114', 'value': '€1.60m'}, {'date': 'Sep 16, 2022', 'age': '19', 'clubName': 'SC Braga', 'clubID': '1075', 'value': '€1.50m'}, {'date': 'Nov 1, 2022', 'age': '19', 'clubName': 'SC Braga', 'clubID': '1075', 'value': '€1.50m'}, {'date': 'Jun 16, 2023', 'age': '20', 'clubName': 'SC Braga', 'clubID': '1075', 'value': '€2.00m'}, {'date': 'Dec 27, 2023', 'age': '20', 'clubName': 'SC Braga', 'clubID': '1075', 'value': '€5.00m'}, {'date': 'Jun 6, 2024', 'age': '21', 'clubName': 'SC Braga', 'clubID': '1075', 'value': '€5.00m'}, {'date': 'Oct 4, 2024', 'age': '21', 'clubName': 'Trabzonspor', 'clubID': '449', 'value': '€3.50m'}, {'date': 'Dec 23, 2024', 'age': '21', 'clubName': 'Trabzonspor', 'clubID': '449', 'value': '€3.50m'}, {'date': 'Mar 20, 2025', 'age': '22', 'clubName': 'Trabzonspor', 'clubID': '449', 'value': '€3.00m'}, {'date': 'Jun 18, 2025', 'age': '22', 'clubName': 'Trabzonspor', 'clubID': '449', 'value': '€2.50m'}, {'date': 'Oct 1, 2025', 'age': '22', 'clubName': 'Trabzonspor', 'clubID': '449', 'value': '€2.20m'}, {'date': 'Dec 17, 2025', 'age': '22', 'clubName': 'Trabzonspor', 'clubID': '449', 'value': '€2.00m'}]}</t>
        </is>
      </c>
      <c r="L598" t="inlineStr">
        <is>
          <t>United Arab Emirates</t>
        </is>
      </c>
      <c r="M598" t="inlineStr">
        <is>
          <t>2003-02-14</t>
        </is>
      </c>
      <c r="N598" t="inlineStr">
        <is>
          <t>20</t>
        </is>
      </c>
      <c r="O598">
        <f>(0.75+0.9+1.6+1.5+1.5)/5</f>
        <v/>
      </c>
      <c r="P598">
        <f>(0.05+0.05+0.4)/3</f>
        <v/>
      </c>
    </row>
    <row r="599">
      <c r="A599" t="inlineStr">
        <is>
          <t>Vitao</t>
        </is>
      </c>
      <c r="B599" t="inlineStr">
        <is>
          <t>Shakhtar Donetsk</t>
        </is>
      </c>
      <c r="C599" t="inlineStr">
        <is>
          <t>Defender</t>
        </is>
      </c>
      <c r="D599" t="n">
        <v>90</v>
      </c>
      <c r="E599" t="n">
        <v>1</v>
      </c>
      <c r="F599" t="n">
        <v>0</v>
      </c>
      <c r="G599" t="n">
        <v>0</v>
      </c>
      <c r="H599" t="n">
        <v>9.4</v>
      </c>
      <c r="I599" t="n">
        <v>32.4</v>
      </c>
      <c r="J599" t="n">
        <v>428783</v>
      </c>
      <c r="K599" t="inlineStr">
        <is>
          <t>{'marketValueHistory': [{'date': '08/01/2020', 'age': '19', 'clubName': 'Shakhtar Donetsk', 'clubID': '660', 'value': '€3.50m'}, {'date': '08/04/2020', 'age': '20', 'clubName': 'Shakhtar Donetsk', 'clubID': '660', 'value': '€3.20m'}, {'date': '04/09/2020', 'age': '20', 'clubName': 'Shakhtar Donetsk', 'clubID': '660', 'value': '€2.50m'}, {'date': '14/01/2021', 'age': '20', 'clubName': 'Shakhtar Donetsk', 'clubID': '660', 'value': '€3.00m'}, {'date': '07/06/2021', 'age': '21', 'clubName': 'Shakhtar Donetsk', 'clubID': '660', 'value': '€3.00m'}, {'date': '20/12/2021', 'age': '21', 'clubName': 'Shakhtar Donetsk', 'clubID': '660', 'value': '€3.00m'}, {'date': '19/08/2022', 'age': '22', 'clubName': 'Sport Club Internacional', 'clubID': '6600', 'value': '€3.50m'}, {'date': '14/11/2022', 'age': '22', 'clubName': 'Sport Club Internacional', 'clubID': '6600', 'value': '€6.00m'}, {'date': '07/04/2023', 'age': '23', 'clubName': 'Sport Club Internacional', 'clubID': '6600', 'value': '€7.00m'}, {'date': '25/07/2023', 'age': '23', 'clubName': 'Sport Club Internacional', 'clubID': '6600', 'value': '€7.50m'}, {'date': '11/12/2023', 'age': '23', 'clubName': 'Sport Club Internacional', 'clubID': '6600', 'value': '€7.00m'}, {'date': '28/03/2024', 'age': '24', 'clubName': 'Sport Club Internacional', 'clubID': '6600', 'value': '€7.00m'}, {'date': '17/06/2024', 'age': '24', 'clubName': 'Sport Club Internacional', 'clubID': '6600', 'value': '€8.00m'}, {'date': '09/12/2024', 'age': '24', 'clubName': 'Sport Club Internacional', 'clubID': '6600', 'value': '€9.00m'}, {'date': '28/03/2025', 'age': '25', 'clubName': 'Sport Club Internacional', 'clubID': '6600', 'value': '€10.00m'}, {'date': '06/06/2025', 'age': '25', 'clubName': 'Sport Club Internacional', 'clubID': '6600', 'value': '€12.00m'}, {'date': '10/12/2025', 'age': '25', 'clubName': 'Sport Club Internacional', 'clubID': '6600', 'value': '€10.00m'}, {'date': '12/03/2026', 'age': '26', 'clubName': 'CR Flamengo', 'clubID': '614', 'value': '€11.00m'}]}</t>
        </is>
      </c>
      <c r="L599" t="inlineStr">
        <is>
          <t>Brazil</t>
        </is>
      </c>
      <c r="M599" t="inlineStr">
        <is>
          <t>2000-02-02</t>
        </is>
      </c>
      <c r="N599" t="inlineStr">
        <is>
          <t>Brazil</t>
        </is>
      </c>
      <c r="O599">
        <f>(3.5+6)/2</f>
        <v/>
      </c>
      <c r="P599">
        <f>(3+3+3)/3</f>
        <v/>
      </c>
    </row>
    <row r="600">
      <c r="A600" t="inlineStr">
        <is>
          <t>Ulreich</t>
        </is>
      </c>
      <c r="B600" t="inlineStr">
        <is>
          <t>Bayern</t>
        </is>
      </c>
      <c r="C600" t="inlineStr">
        <is>
          <t>Goalkeeper</t>
        </is>
      </c>
      <c r="D600" t="n">
        <v>90</v>
      </c>
      <c r="E600" t="n">
        <v>1</v>
      </c>
      <c r="F600" t="n">
        <v>0</v>
      </c>
      <c r="G600" t="n">
        <v>0</v>
      </c>
      <c r="H600" t="n">
        <v>6.2</v>
      </c>
      <c r="I600" t="n">
        <v>21.3</v>
      </c>
      <c r="J600" t="n">
        <v>40680</v>
      </c>
      <c r="K600" t="inlineStr">
        <is>
          <t>{'marketValueHistory': [{'date': 'Sep 27, 2006', 'age': '18', 'clubName': 'VfB Stuttgart U19', 'clubID': '2517', 'value': '€50k'}, {'date': 'Jul 12, 2007', 'age': '18', 'clubName': 'VfB Stuttgart II', 'clubID': '102', 'value': '€100k'}, {'date': 'Feb 27, 2008', 'age': '19', 'clubName': 'VfB Stuttgart', 'clubID': '79', 'value': '€500k'}, {'date': 'Jun 4, 2008', 'age': '19', 'clubName': 'VfB Stuttgart', 'clubID': '79', 'value': '€700k'}, {'date': 'Jun 10, 2009', 'age': '20', 'clubName': 'VfB Stuttgart', 'clubID': '79', 'value': '€500k'}, {'date': 'Jan 17, 2010', 'age': '21', 'clubName': 'VfB Stuttgart', 'clubID': '79', 'value': '€600k'}, {'date': 'Jun 13, 2010', 'age': '21', 'clubName': 'VfB Stuttgart', 'clubID': '79', 'value': '€1.00m'}, {'date': 'Aug 30, 2010', 'age': '22', 'clubName': 'VfB Stuttgart', 'clubID': '79', 'value': '€2.00m'}, {'date': 'Nov 30, 2010', 'age': '22', 'clubName': 'VfB Stuttgart', 'clubID': '79', 'value': '€3.00m'}, {'date': 'Mar 2, 2011', 'age': '22', 'clubName': 'VfB Stuttgart', 'clubID': '79', 'value': '€2.50m'}, {'date': 'Jun 29, 2011', 'age': '22', 'clubName': 'VfB Stuttgart', 'clubID': '79', 'value': '€3.50m'}, {'date': 'Jan 23, 2012', 'age': '23', 'clubName': 'VfB Stuttgart', 'clubID': '79', 'value': '€5.50m'}, {'date': 'Jun 29, 2012', 'age': '23', 'clubName': 'VfB Stuttgart', 'clubID': '79', 'value': '€6.00m'}, {'date': 'Jan 13, 2013', 'age': '24', 'clubName': 'VfB Stuttgart', 'clubID': '79', 'value': '€6.00m'}, {'date': 'Jun 30, 2013', 'age': '24', 'clubName': 'VfB Stuttgart', 'clubID': '79', 'value': '€6.00m'}, {'date': 'Jul 10, 2014', 'age': '25', 'clubName': 'VfB Stuttgart', 'clubID': '79', 'value': '€6.00m'}, {'date': 'Nov 3, 2014', 'age': '26', 'clubName': 'VfB Stuttgart', 'clubID': '79', 'value': '€4.50m'}, {'date': 'Feb 4, 2015', 'age': '26', 'clubName': 'VfB Stuttgart', 'clubID': '79', 'value': '€4.50m'}, {'date': 'Jul 1, 2015', 'age': '26', 'clubName': 'Bayern Munich', 'clubID': '27', 'value': '€3.50m'}, {'date': 'Feb 15, 2016', 'age': '27', 'clubName': 'Bayern Munich', 'clubID': '27', 'value': '€3.50m'}, {'date': 'Jul 22, 2016', 'age': '27', 'clubName': 'Bayern Munich', 'clubID': '27', 'value': '€2.50m'}, {'date': 'Feb 7, 2017', 'age': '28', 'clubName': 'Bayern Munich', 'clubID': '27', 'value': '€2.00m'}, {'date': 'Jun 19, 2017', 'age': '28', 'clubName': 'Bayern Munich', 'clubID': '27', 'value': '€2.00m'}, {'date': 'Dec 28, 2017', 'age': '29', 'clubName': 'Bayern Munich', 'clubID': '27', 'value': '€2.50m'}, {'date': 'Apr 4, 2018', 'age': '29', 'clubName': 'Bayern Munich', 'clubID': '27', 'value': '€5.00m'}, {'date': 'Jun 5, 2018', 'age': '29', 'clubName': 'Bayern Munich', 'clubID': '27', 'value': '€6.00m'}, {'date': 'Dec 18, 2018', 'age': '30', 'clubName': 'Bayern Munich', 'clubID': '27', 'value': '€4.50m'}, {'date': 'Jun 5, 2019', 'age': '30', 'clubName': 'Bayern Munich', 'clubID': '27', 'value': '€4.50m'}, {'date': 'Dec 17, 2019', 'age': '31', 'clubName': 'Bayern Munich', 'clubID': '27', 'value': '€4.50m'}, {'date': 'Apr 8, 2020', 'age': '31', 'clubName': 'Bayern Munich', 'clubID': '27', 'value': '€3.50m'}, {'date': 'Sep 16, 2020', 'age': '32', 'clubName': 'Bayern Munich', 'clubID': '27', 'value': '€3.00m'}, {'date': 'Nov 18, 2020', 'age': '32', 'clubName': 'Hamburger SV', 'clubID': '41', 'value': '€2.00m'}, {'date': 'Feb 8, 2021', 'age': '32', 'clubName': 'Hamburger SV', 'clubID': '41', 'value': '€1.50m'}, {'date': 'Jun 16, 2021', 'age': '32', 'clubName': 'Hamburger SV', 'clubID': '41', 'value': '€900k'}, {'date': 'Dec 22, 2021', 'age': '33', 'clubName': 'Bayern Munich', 'clubID': '27', 'value': '€900k'}, {'date': 'Jun 9, 2022', 'age': '33', 'clubName': 'Bayern Munich', 'clubID': '27', 'value': '€900k'}, {'date': 'Nov 9, 2022', 'age': '34', 'clubName': 'Bayern Munich', 'clubID': '27', 'value': '€900k'}, {'date': 'Jun 22, 2023', 'age': '34', 'clubName': 'Bayern Munich', 'clubID': '27', 'value': '€700k'}, {'date': 'Dec 14, 2023', 'age': '35', 'clubName': 'Bayern Munich', 'clubID': '27', 'value': '€700k'}, {'date': 'May 29, 2024', 'age': '35', 'clubName': 'Bayern Munich', 'clubID': '27', 'value': '€700k'}, {'date': 'Dec 20, 2024', 'age': '36', 'clubName': 'Bayern Munich', 'clubID': '27', 'value': '€500k'}, {'date': 'Jun 5, 2025', 'age': '36', 'clubName': 'Bayern Munich', 'clubID': '27', 'value': '€500k'}, {'date': 'Dec 19, 2025', 'age': '37', 'clubName': 'Bayern Munich', 'clubID': '27', 'value': '€500k'}]}</t>
        </is>
      </c>
      <c r="L600" t="inlineStr">
        <is>
          <t>Germany</t>
        </is>
      </c>
      <c r="M600" t="inlineStr">
        <is>
          <t>1988-08-03</t>
        </is>
      </c>
      <c r="N600" t="inlineStr">
        <is>
          <t>Germany</t>
        </is>
      </c>
      <c r="O600">
        <f>(0.9+0.9)/2</f>
        <v/>
      </c>
      <c r="P600">
        <f>(1.5+0.9+0.9)/3</f>
        <v/>
      </c>
    </row>
    <row r="601">
      <c r="A601" t="inlineStr">
        <is>
          <t>Martinez</t>
        </is>
      </c>
      <c r="B601" t="inlineStr">
        <is>
          <t>Leipzig</t>
        </is>
      </c>
      <c r="C601" t="inlineStr">
        <is>
          <t>Goalkeeper</t>
        </is>
      </c>
      <c r="D601" t="n">
        <v>90</v>
      </c>
      <c r="E601" t="n">
        <v>1</v>
      </c>
      <c r="F601" t="n">
        <v>0</v>
      </c>
      <c r="G601" t="n">
        <v>0</v>
      </c>
      <c r="H601" t="n">
        <v>6</v>
      </c>
      <c r="I601" t="n">
        <v>24.1</v>
      </c>
      <c r="J601" t="n">
        <v>406625</v>
      </c>
      <c r="K601" t="inlineStr">
        <is>
          <t>{'marketValueHistory': [{'date': 'Feb 6, 2016', 'age': '18', 'clubName': 'Racing Club', 'clubID': '1444', 'value': '€100k'}, {'date': 'Aug 8, 2016', 'age': '18', 'clubName': 'Racing Club', 'clubID': '1444', 'value': '€500k'}, {'date': 'Feb 13, 2017', 'age': '19', 'clubName': 'Racing Club', 'clubID': '1444', 'value': '€2.50m'}, {'date': 'Oct 9, 2017', 'age': '20', 'clubName': 'Racing Club', 'clubID': '1444', 'value': '€10.00m'}, {'date': 'May 8, 2018', 'age': '20', 'clubName': 'Racing Club', 'clubID': '1444', 'value': '€25.00m'}, {'date': 'Dec 20, 2018', 'age': '21', 'clubName': 'Inter Milan', 'clubID': '46', 'value': '€25.00m'}, {'date': 'Jun 6, 2019', 'age': '21', 'clubName': 'Inter Milan', 'clubID': '46', 'value': '€30.00m'}, {'date': 'Oct 8, 2019', 'age': '22', 'clubName': 'Inter Milan', 'clubID': '46', 'value': '€40.00m'}, {'date': 'Dec 12, 2019', 'age': '22', 'clubName': 'Inter Milan', 'clubID': '46', 'value': '€80.00m'}, {'date': 'Apr 8, 2020', 'age': '22', 'clubName': 'Inter Milan', 'clubID': '46', 'value': '€64.00m'}, {'date': 'Aug 25, 2020', 'age': '23', 'clubName': 'Inter Milan', 'clubID': '46', 'value': '€70.00m'}, {'date': 'Dec 29, 2020', 'age': '23', 'clubName': 'Inter Milan', 'clubID': '46', 'value': '€70.00m'}, {'date': 'Jun 3, 2021', 'age': '23', 'clubName': 'Inter Milan', 'clubID': '46', 'value': '€80.00m'}, {'date': 'Dec 28, 2021', 'age': '24', 'clubName': 'Inter Milan', 'clubID': '46', 'value': '€80.00m'}, {'date': 'Mar 15, 2022', 'age': '24', 'clubName': 'Inter Milan', 'clubID': '46', 'value': '€70.00m'}, {'date': 'Jun 7, 2022', 'age': '24', 'clubName': 'Inter Milan', 'clubID': '46', 'value': '€75.00m'}, {'date': 'Nov 11, 2022', 'age': '25', 'clubName': 'Inter Milan', 'clubID': '46', 'value': '€75.00m'}, {'date': 'Mar 21, 2023', 'age': '25', 'clubName': 'Inter Milan', 'clubID': '46', 'value': '€80.00m'}, {'date': 'Jun 15, 2023', 'age': '25', 'clubName': 'Inter Milan', 'clubID': '46', 'value': '€85.00m'}, {'date': 'Oct 11, 2023', 'age': '26', 'clubName': 'Inter Milan', 'clubID': '46', 'value': '€100.00m'}, {'date': 'Dec 20, 2023', 'age': '26', 'clubName': 'Inter Milan', 'clubID': '46', 'value': '€110.00m'}, {'date': 'Jun 5, 2024', 'age': '26', 'clubName': 'Inter Milan', 'clubID': '46', 'value': '€110.00m'}, {'date': 'Dec 18, 2024', 'age': '27', 'clubName': 'Inter Milan', 'clubID': '46', 'value': '€100.00m'}, {'date': 'Mar 25, 2025', 'age': '27', 'clubName': 'Inter Milan', 'clubID': '46', 'value': '€95.00m'}, {'date': 'Jun 17, 2025', 'age': '27', 'clubName': 'Inter Milan', 'clubID': '46', 'value': '€95.00m'}, {'date': 'Oct 7, 2025', 'age': '28', 'clubName': 'Inter Milan', 'clubID': '46', 'value': '€85.00m'}, {'date': 'Dec 23, 2025', 'age': '28', 'clubName': 'Inter Milan', 'clubID': '46', 'value': '€85.00m'}]}</t>
        </is>
      </c>
      <c r="L601" t="inlineStr">
        <is>
          <t>Argentina</t>
        </is>
      </c>
      <c r="M601" t="inlineStr">
        <is>
          <t>1997-08-22</t>
        </is>
      </c>
      <c r="N601" t="inlineStr">
        <is>
          <t>Argentina</t>
        </is>
      </c>
      <c r="O601">
        <f>(70+75+75)/3</f>
        <v/>
      </c>
      <c r="P601">
        <f>(80+80)/2</f>
        <v/>
      </c>
    </row>
    <row r="602">
      <c r="A602" t="inlineStr">
        <is>
          <t>Pervan</t>
        </is>
      </c>
      <c r="B602" t="inlineStr">
        <is>
          <t>Wolfsburg</t>
        </is>
      </c>
      <c r="C602" t="inlineStr">
        <is>
          <t>Goalkeeper</t>
        </is>
      </c>
      <c r="D602" t="n">
        <v>90</v>
      </c>
      <c r="E602" t="n">
        <v>1</v>
      </c>
      <c r="F602" t="n">
        <v>0</v>
      </c>
      <c r="G602" t="n">
        <v>0</v>
      </c>
      <c r="H602" t="n">
        <v>5.7</v>
      </c>
      <c r="I602" t="n">
        <v>26.9</v>
      </c>
      <c r="J602" t="n">
        <v>51977</v>
      </c>
      <c r="K602" t="inlineStr">
        <is>
          <t>{'marketValueHistory': [{'date': 'Jul 2, 2007', 'age': '19', 'clubName': 'SV Schwechat', 'clubID': '4462', 'value': '€50k'}, {'date': 'Sep 24, 2007', 'age': '19', 'clubName': 'FC Lustenau', 'clubID': '2231', 'value': '€75k'}, {'date': 'Dec 11, 2007', 'age': '20', 'clubName': 'FC Lustenau', 'clubID': '2231', 'value': '€100k'}, {'date': 'May 16, 2008', 'age': '20', 'clubName': 'FC Lustenau', 'clubID': '2231', 'value': '€125k'}, {'date': 'May 4, 2009', 'age': '21', 'clubName': 'FC Lustenau', 'clubID': '2231', 'value': '€100k'}, {'date': 'Jan 26, 2010', 'age': '22', 'clubName': 'FC Lustenau', 'clubID': '2231', 'value': '-'}, {'date': 'Jul 7, 2010', 'age': '22', 'clubName': 'FC Pasching', 'clubID': '935', 'value': '€100k'}, {'date': 'Sep 3, 2011', 'age': '23', 'clubName': 'LASK', 'clubID': '413', 'value': '€75k'}, {'date': 'Dec 8, 2011', 'age': '24', 'clubName': 'LASK', 'clubID': '413', 'value': '€75k'}, {'date': 'Jun 4, 2012', 'age': '24', 'clubName': 'LASK', 'clubID': '413', 'value': '€75k'}, {'date': 'Jul 15, 2012', 'age': '24', 'clubName': 'LASK', 'clubID': '413', 'value': '-'}, {'date': 'Jun 24, 2014', 'age': '26', 'clubName': 'LASK', 'clubID': '413', 'value': '€225k'}, {'date': 'Nov 22, 2014', 'age': '27', 'clubName': 'LASK', 'clubID': '413', 'value': '€250k'}, {'date': 'Jun 19, 2015', 'age': '27', 'clubName': 'LASK', 'clubID': '413', 'value': '€300k'}, {'date': 'Dec 1, 2015', 'age': '28', 'clubName': 'LASK', 'clubID': '413', 'value': '€325k'}, {'date': 'May 30, 2016', 'age': '28', 'clubName': 'LASK', 'clubID': '413', 'value': '€325k'}, {'date': 'Dec 3, 2016', 'age': '29', 'clubName': 'LASK', 'clubID': '413', 'value': '€325k'}, {'date': 'May 27, 2017', 'age': '29', 'clubName': 'LASK', 'clubID': '413', 'value': '€400k'}, {'date': 'Oct 11, 2017', 'age': '29', 'clubName': 'LASK', 'clubID': '413', 'value': '€600k'}, {'date': 'Jan 2, 2018', 'age': '30', 'clubName': 'LASK', 'clubID': '413', 'value': '€700k'}, {'date': 'Jun 14, 2018', 'age': '30', 'clubName': 'LASK', 'clubID': '413', 'value': '€800k'}, {'date': 'Dec 18, 2018', 'age': '31', 'clubName': 'VfL Wolfsburg', 'clubID': '82', 'value': '€600k'}, {'date': 'Jun 5, 2019', 'age': '31', 'clubName': 'VfL Wolfsburg', 'clubID': '82', 'value': '€800k'}, {'date': 'Dec 17, 2019', 'age': '32', 'clubName': 'VfL Wolfsburg', 'clubID': '82', 'value': '€800k'}, {'date': 'Apr 8, 2020', 'age': '32', 'clubName': 'VfL Wolfsburg', 'clubID': '82', 'value': '€650k'}, {'date': 'Feb 10, 2021', 'age': '33', 'clubName': 'VfL Wolfsburg', 'clubID': '82', 'value': '€650k'}, {'date': 'May 27, 2021', 'age': '33', 'clubName': 'VfL Wolfsburg', 'clubID': '82', 'value': '€600k'}, {'date': 'Dec 22, 2021', 'age': '34', 'clubName': 'VfL Wolfsburg', 'clubID': '82', 'value': '€600k'}, {'date': 'Jun 9, 2022', 'age': '34', 'clubName': 'VfL Wolfsburg', 'clubID': '82', 'value': '€600k'}, {'date': 'Nov 9, 2022', 'age': '34', 'clubName': 'VfL Wolfsburg', 'clubID': '82', 'value': '€400k'}, {'date': 'Jun 22, 2023', 'age': '35', 'clubName': 'VfL Wolfsburg', 'clubID': '82', 'value': '€400k'}, {'date': 'Dec 14, 2023', 'age': '36', 'clubName': 'VfL Wolfsburg', 'clubID': '82', 'value': '€400k'}, {'date': 'May 29, 2024', 'age': '36', 'clubName': 'VfL Wolfsburg', 'clubID': '82', 'value': '€300k'}, {'date': 'Dec 20, 2024', 'age': '37', 'clubName': 'VfL Wolfsburg', 'clubID': '82', 'value': '€300k'}, {'date': 'Jun 5, 2025', 'age': '37', 'clubName': 'VfL Wolfsburg', 'clubID': '82', 'value': '€300k'}, {'date': 'Dec 19, 2025', 'age': '38', 'clubName': 'VfL Wolfsburg', 'clubID': '82', 'value': '€300k'}]}</t>
        </is>
      </c>
      <c r="L602" t="inlineStr">
        <is>
          <t>Austria</t>
        </is>
      </c>
      <c r="M602" t="inlineStr">
        <is>
          <t>1987-11-13</t>
        </is>
      </c>
      <c r="N602" t="inlineStr">
        <is>
          <t>Austria</t>
        </is>
      </c>
      <c r="O602">
        <f>(0.6+0.4)/2</f>
        <v/>
      </c>
      <c r="P602">
        <f>(0.65+0.6+0.6)/3</f>
        <v/>
      </c>
    </row>
    <row r="603">
      <c r="A603" t="inlineStr">
        <is>
          <t>Arrizabalaga</t>
        </is>
      </c>
      <c r="B603" t="inlineStr">
        <is>
          <t>Chelsea</t>
        </is>
      </c>
      <c r="C603" t="inlineStr">
        <is>
          <t>Goalkeeper</t>
        </is>
      </c>
      <c r="D603" t="n">
        <v>90</v>
      </c>
      <c r="E603" t="n">
        <v>1</v>
      </c>
      <c r="F603" t="n">
        <v>0</v>
      </c>
      <c r="G603" t="n">
        <v>0</v>
      </c>
      <c r="H603" t="n">
        <v>5.6</v>
      </c>
      <c r="I603" t="n">
        <v>23.3</v>
      </c>
      <c r="J603" t="n">
        <v>192279</v>
      </c>
      <c r="K603" t="inlineStr">
        <is>
          <t>{'marketValueHistory': [{'date': 'Aug 25, 2012', 'age': '17', 'clubName': 'CD Basconia', 'clubID': '6665', 'value': '€500k'}, {'date': 'Jul 20, 2014', 'age': '19', 'clubName': 'Athletic Bilbao', 'clubID': '621', 'value': '€1.00m'}, {'date': 'Jan 8, 2015', 'age': '20', 'clubName': 'SD Ponferradina', 'clubID': '4032', 'value': '€1.00m'}, {'date': 'Jul 1, 2015', 'age': '20', 'clubName': 'Athletic Bilbao', 'clubID': '621', 'value': '€1.00m'}, {'date': 'Feb 22, 2016', 'age': '21', 'clubName': 'Real Valladolid CF', 'clubID': '366', 'value': '€1.50m'}, {'date': 'Jul 15, 2016', 'age': '21', 'clubName': 'Athletic Bilbao', 'clubID': '621', 'value': '€1.50m'}, {'date': 'Jan 24, 2017', 'age': '22', 'clubName': 'Athletic Bilbao', 'clubID': '621', 'value': '€3.00m'}, {'date': 'Mar 29, 2017', 'age': '22', 'clubName': 'Athletic Bilbao', 'clubID': '621', 'value': '€5.00m'}, {'date': 'Jun 5, 2017', 'age': '22', 'clubName': 'Athletic Bilbao', 'clubID': '621', 'value': '€8.00m'}, {'date': 'Jan 1, 2018', 'age': '23', 'clubName': 'Athletic Bilbao', 'clubID': '621', 'value': '€20.00m'}, {'date': 'May 30, 2018', 'age': '23', 'clubName': 'Athletic Bilbao', 'clubID': '621', 'value': '€20.00m'}, {'date': 'Aug 13, 2018', 'age': '23', 'clubName': 'Chelsea FC', 'clubID': '631', 'value': '€40.00m'}, {'date': 'Oct 17, 2018', 'age': '24', 'clubName': 'Chelsea FC', 'clubID': '631', 'value': '€50.00m'}, {'date': 'Dec 19, 2018', 'age': '24', 'clubName': 'Chelsea FC', 'clubID': '631', 'value': '€55.00m'}, {'date': 'Jun 13, 2019', 'age': '24', 'clubName': 'Chelsea FC', 'clubID': '631', 'value': '€60.00m'}, {'date': 'Dec 10, 2019', 'age': '25', 'clubName': 'Chelsea FC', 'clubID': '631', 'value': '€60.00m'}, {'date': 'Mar 9, 2020', 'age': '25', 'clubName': 'Chelsea FC', 'clubID': '631', 'value': '€40.00m'}, {'date': 'Apr 8, 2020', 'age': '25', 'clubName': 'Chelsea FC', 'clubID': '631', 'value': '€32.00m'}, {'date': 'Jul 30, 2020', 'age': '25', 'clubName': 'Chelsea FC', 'clubID': '631', 'value': '€28.00m'}, {'date': 'Oct 13, 2020', 'age': '26', 'clubName': 'Chelsea FC', 'clubID': '631', 'value': '€18.00m'}, {'date': 'Dec 17, 2020', 'age': '26', 'clubName': 'Chelsea FC', 'clubID': '631', 'value': '€15.00m'}, {'date': 'Mar 18, 2021', 'age': '26', 'clubName': 'Chelsea FC', 'clubID': '631', 'value': '€13.00m'}, {'date': 'Jun 8, 2021', 'age': '26', 'clubName': 'Chelsea FC', 'clubID': '631', 'value': '€13.00m'}, {'date': 'Dec 23, 2021', 'age': '27', 'clubName': 'Chelsea FC', 'clubID': '631', 'value': '€10.00m'}, {'date': 'Jun 15, 2022', 'age': '27', 'clubName': 'Chelsea FC', 'clubID': '631', 'value': '€10.00m'}, {'date': 'Nov 3, 2022', 'age': '28', 'clubName': 'Chelsea FC', 'clubID': '631', 'value': '€15.00m'}, {'date': 'Jun 20, 2023', 'age': '28', 'clubName': 'Chelsea FC', 'clubID': '631', 'value': '€18.00m'}, {'date': 'Dec 22, 2023', 'age': '29', 'clubName': 'Real Madrid', 'clubID': '418', 'value': '€20.00m'}, {'date': 'Mar 21, 2024', 'age': '29', 'clubName': 'Real Madrid', 'clubID': '418', 'value': '€12.00m'}, {'date': 'Jun 7, 2024', 'age': '29', 'clubName': 'Real Madrid', 'clubID': '418', 'value': '€12.00m'}, {'date': 'Dec 16, 2024', 'age': '30', 'clubName': 'AFC Bournemouth', 'clubID': '989', 'value': '€11.00m'}, {'date': 'May 30, 2025', 'age': '30', 'clubName': 'AFC Bournemouth', 'clubID': '989', 'value': '€10.00m'}, {'date': 'Oct 17, 2025', 'age': '31', 'clubName': 'Arsenal FC', 'clubID': '11', 'value': '€8.00m'}, {'date': 'Dec 9, 2025', 'age': '31', 'clubName': 'Arsenal FC', 'clubID': '11', 'value': '€7.00m'}]}</t>
        </is>
      </c>
      <c r="L603" t="inlineStr">
        <is>
          <t>Spain</t>
        </is>
      </c>
      <c r="M603" t="inlineStr">
        <is>
          <t>1994-10-03</t>
        </is>
      </c>
      <c r="N603" t="inlineStr">
        <is>
          <t>13</t>
        </is>
      </c>
      <c r="O603">
        <f>(10+15)/2</f>
        <v/>
      </c>
      <c r="P603">
        <f>(13+13+10)/3</f>
        <v/>
      </c>
    </row>
    <row r="604">
      <c r="A604" t="inlineStr">
        <is>
          <t>Joao Virginia</t>
        </is>
      </c>
      <c r="B604" t="inlineStr">
        <is>
          <t>Sporting CP</t>
        </is>
      </c>
      <c r="C604" t="inlineStr">
        <is>
          <t>Goalkeeper</t>
        </is>
      </c>
      <c r="D604" t="n">
        <v>90</v>
      </c>
      <c r="E604" t="n">
        <v>1</v>
      </c>
      <c r="F604" t="n">
        <v>0</v>
      </c>
      <c r="G604" t="n">
        <v>0</v>
      </c>
      <c r="H604" t="n">
        <v>5.4</v>
      </c>
      <c r="I604" t="n">
        <v>22.7</v>
      </c>
      <c r="J604" t="n">
        <v>329813</v>
      </c>
      <c r="K604" t="inlineStr">
        <is>
          <t>{'marketValueHistory': [{'date': '23/05/2019', 'age': '19', 'clubName': 'Everton FC U23', 'clubID': '9261', 'value': '€500k'}, {'date': '17/10/2019', 'age': '20', 'clubName': 'Reading FC', 'clubID': '1032', 'value': '€150k'}, {'date': '30/07/2020', 'age': '20', 'clubName': 'Everton FC', 'clubID': '29', 'value': '€150k'}, {'date': '13/10/2020', 'age': '21', 'clubName': 'Everton FC', 'clubID': '29', 'value': '€500k'}, {'date': '18/03/2021', 'age': '21', 'clubName': 'Everton FC', 'clubID': '29', 'value': '€500k'}, {'date': '08/06/2021', 'age': '21', 'clubName': 'Everton FC', 'clubID': '29', 'value': '€1.00m'}, {'date': '27/12/2021', 'age': '22', 'clubName': 'Sporting CP', 'clubID': '336', 'value': '€1.00m'}, {'date': '31/05/2022', 'age': '22', 'clubName': 'Sporting CP', 'clubID': '336', 'value': '€1.00m'}, {'date': '11/11/2022', 'age': '23', 'clubName': 'SC Cambuur Leeuwarden', 'clubID': '133', 'value': '€1.00m'}, {'date': '17/03/2023', 'age': '23', 'clubName': 'SC Cambuur Leeuwarden', 'clubID': '133', 'value': '€700k'}, {'date': '23/06/2023', 'age': '23', 'clubName': 'SC Cambuur Leeuwarden', 'clubID': '133', 'value': '€600k'}, {'date': '19/12/2023', 'age': '24', 'clubName': 'Everton FC', 'clubID': '29', 'value': '€800k'}, {'date': '27/05/2024', 'age': '24', 'clubName': 'Everton FC', 'clubID': '29', 'value': '€800k'}, {'date': '16/12/2024', 'age': '25', 'clubName': 'Everton FC', 'clubID': '29', 'value': '€800k'}, {'date': '30/05/2025', 'age': '25', 'clubName': 'Everton FC', 'clubID': '29', 'value': '€800k'}, {'date': '30/09/2025', 'age': '25', 'clubName': 'Sporting CP', 'clubID': '336', 'value': '€1.00m'}, {'date': '18/12/2025', 'age': '26', 'clubName': 'Sporting CP', 'clubID': '336', 'value': '€1.00m'}]}</t>
        </is>
      </c>
      <c r="L604" t="inlineStr">
        <is>
          <t>Portugal</t>
        </is>
      </c>
      <c r="M604" t="inlineStr">
        <is>
          <t>1999-10-10</t>
        </is>
      </c>
      <c r="N604" t="inlineStr">
        <is>
          <t>Portugal</t>
        </is>
      </c>
      <c r="O604">
        <f>(1+1)/2</f>
        <v/>
      </c>
      <c r="P604">
        <f>(0.5+1+1)/3</f>
        <v/>
      </c>
    </row>
    <row r="605">
      <c r="A605" t="inlineStr">
        <is>
          <t>Mert Gunok</t>
        </is>
      </c>
      <c r="B605" t="inlineStr">
        <is>
          <t>Besiktas</t>
        </is>
      </c>
      <c r="C605" t="inlineStr">
        <is>
          <t>Goalkeeper</t>
        </is>
      </c>
      <c r="D605" t="n">
        <v>90</v>
      </c>
      <c r="E605" t="n">
        <v>1</v>
      </c>
      <c r="F605" t="n">
        <v>0</v>
      </c>
      <c r="G605" t="n">
        <v>0</v>
      </c>
      <c r="H605" t="n">
        <v>4.8</v>
      </c>
      <c r="I605" t="n">
        <v>23.5</v>
      </c>
      <c r="J605" t="n">
        <v>51894</v>
      </c>
      <c r="K605" t="inlineStr">
        <is>
          <t>{'marketValueHistory': [{'date': 'Aug 23, 2007', 'age': '18', 'clubName': 'Fenerbahce U21', 'clubID': '7804', 'value': '€250k'}, {'date': 'Jan 9, 2008', 'age': '18', 'clubName': 'Fenerbahce U21', 'clubID': '7804', 'value': '€50k'}, {'date': 'Jul 21, 2008', 'age': '19', 'clubName': 'Fenerbahce U21', 'clubID': '7804', 'value': '€100k'}, {'date': 'Feb 8, 2009', 'age': '19', 'clubName': 'Fenerbahce U21', 'clubID': '7804', 'value': '€100k'}, {'date': 'Jul 16, 2009', 'age': '20', 'clubName': 'Fenerbahce', 'clubID': '36', 'value': '€100k'}, {'date': 'Jan 11, 2010', 'age': '20', 'clubName': 'Fenerbahce', 'clubID': '36', 'value': '€100k'}, {'date': 'Jun 22, 2010', 'age': '21', 'clubName': 'Fenerbahce', 'clubID': '36', 'value': '€100k'}, {'date': 'Jan 21, 2011', 'age': '21', 'clubName': 'Fenerbahce', 'clubID': '36', 'value': '€350k'}, {'date': 'Jul 1, 2011', 'age': '22', 'clubName': 'Fenerbahce', 'clubID': '36', 'value': '€850k'}, {'date': 'Jan 9, 2012', 'age': '22', 'clubName': 'Fenerbahce', 'clubID': '36', 'value': '€1.00m'}, {'date': 'Jun 19, 2012', 'age': '23', 'clubName': 'Fenerbahce', 'clubID': '36', 'value': '€2.00m'}, {'date': 'Jan 6, 2013', 'age': '23', 'clubName': 'Fenerbahce', 'clubID': '36', 'value': '€2.00m'}, {'date': 'Jun 15, 2013', 'age': '24', 'clubName': 'Fenerbahce', 'clubID': '36', 'value': '€1.50m'}, {'date': 'Jan 27, 2014', 'age': '24', 'clubName': 'Fenerbahce', 'clubID': '36', 'value': '€1.20m'}, {'date': 'Aug 11, 2014', 'age': '25', 'clubName': 'Fenerbahce', 'clubID': '36', 'value': '€1.20m'}, {'date': 'Jan 26, 2015', 'age': '25', 'clubName': 'Fenerbahce', 'clubID': '36', 'value': '€1.50m'}, {'date': 'Jun 25, 2015', 'age': '26', 'clubName': 'Fenerbahce', 'clubID': '36', 'value': '€2.20m'}, {'date': 'Oct 8, 2015', 'age': '26', 'clubName': 'Bursaspor', 'clubID': '20', 'value': '€2.50m'}, {'date': 'Jan 18, 2016', 'age': '26', 'clubName': 'Bursaspor', 'clubID': '20', 'value': '€3.75m'}, {'date': 'Jul 15, 2016', 'age': '27', 'clubName': 'Bursaspor', 'clubID': '20', 'value': '€3.00m'}, {'date': 'Jan 10, 2017', 'age': '27', 'clubName': 'Bursaspor', 'clubID': '20', 'value': '€1.50m'}, {'date': 'Jun 9, 2017', 'age': '28', 'clubName': 'Bursaspor', 'clubID': '20', 'value': '€1.00m'}, {'date': 'Feb 12, 2018', 'age': '28', 'clubName': 'Basaksehir FK', 'clubID': '6890', 'value': '€650k'}, {'date': 'May 29, 2018', 'age': '29', 'clubName': 'Basaksehir FK', 'clubID': '6890', 'value': '€400k'}, {'date': 'Oct 11, 2018', 'age': '29', 'clubName': 'Basaksehir FK', 'clubID': '6890', 'value': '€1.40m'}, {'date': 'Jan 4, 2019', 'age': '29', 'clubName': 'Basaksehir FK', 'clubID': '6890', 'value': '€2.25m'}, {'date': 'Mar 27, 2019', 'age': '30', 'clubName': 'Basaksehir FK', 'clubID': '6890', 'value': '€3.00m'}, {'date': 'Jun 4, 2019', 'age': '30', 'clubName': 'Basaksehir FK', 'clubID': '6890', 'value': '€3.50m'}, {'date': 'Oct 4, 2019', 'age': '30', 'clubName': 'Basaksehir FK', 'clubID': '6890', 'value': '€4.00m'}, {'date': 'Jan 3, 2020', 'age': '30', 'clubName': 'Basaksehir FK', 'clubID': '6890', 'value': '€5.00m'}, {'date': 'Apr 8, 2020', 'age': '31', 'clubName': 'Basaksehir FK', 'clubID': '6890', 'value': '€4.00m'}, {'date': 'Aug 4, 2020', 'age': '31', 'clubName': 'Basaksehir FK', 'clubID': '6890', 'value': '€5.00m'}, {'date': 'Dec 23, 2020', 'age': '31', 'clubName': 'Basaksehir FK', 'clubID': '6890', 'value': '€4.40m'}, {'date': 'Mar 16, 2021', 'age': '32', 'clubName': 'Basaksehir FK', 'clubID': '6890', 'value': '€3.10m'}, {'date': 'May 25, 2021', 'age': '32', 'clubName': 'Basaksehir FK', 'clubID': '6890', 'value': '€2.40m'}, {'date': 'Oct 12, 2021', 'age': '32', 'clubName': 'Besiktas JK', 'clubID': '114', 'value': '€2.10m'}, {'date': 'Jan 4, 2022', 'age': '32', 'clubName': 'Besiktas JK', 'clubID': '114', 'value': '€1.60m'}, {'date': 'Mar 31, 2022', 'age': '33', 'clubName': 'Besiktas JK', 'clubID': '114', 'value': '€1.20m'}, {'date': 'Jun 1, 2022', 'age': '33', 'clubName': 'Besiktas JK', 'clubID': '114', 'value': '€900k'}, {'date': 'Oct 27, 2022', 'age': '33', 'clubName': 'Besiktas JK', 'clubID': '114', 'value': '€650k'}, {'date': 'Mar 14, 2023', 'age': '34', 'clubName': 'Besiktas JK', 'clubID': '114', 'value': '€1.00m'}, {'date': 'Jun 8, 2023', 'age': '34', 'clubName': 'Besiktas JK', 'clubID': '114', 'value': '€1.30m'}, {'date': 'Sep 27, 2023', 'age': '34', 'clubName': 'Besiktas JK', 'clubID': '114', 'value': '€1.50m'}, {'date': 'Dec 21, 2023', 'age': '34', 'clubName': 'Besiktas JK', 'clubID': '114', 'value': '€1.40m'}, {'date': 'Mar 15, 2024', 'age': '35', 'clubName': 'Besiktas JK', 'clubID': '114', 'value': '€1.30m'}, {'date': 'May 31, 2024', 'age': '35', 'clubName': 'Besiktas JK', 'clubID': '114', 'value': '€1.20m'}, {'date': 'Oct 4, 2024', 'age': '35', 'clubName': 'Besiktas JK', 'clubID': '114', 'value': '€1.20m'}, {'date': 'Dec 23, 2024', 'age': '35', 'clubName': 'Besiktas JK', 'clubID': '114', 'value': '€1.20m'}, {'date': 'Mar 20, 2025', 'age': '36', 'clubName': 'Besiktas JK', 'clubID': '114', 'value': '€1.20m'}, {'date': 'Jun 18, 2025', 'age': '36', 'clubName': 'Besiktas JK', 'clubID': '114', 'value': '€1.00m'}, {'date': 'Oct 1, 2025', 'age': '36', 'clubName': 'Besiktas JK', 'clubID': '114', 'value': '€800k'}, {'date': 'Dec 17, 2025', 'age': '36', 'clubName': 'Besiktas JK', 'clubID': '114', 'value': '€500k'}]}</t>
        </is>
      </c>
      <c r="L605" t="inlineStr">
        <is>
          <t>Turkey</t>
        </is>
      </c>
      <c r="M605" t="inlineStr">
        <is>
          <t>1989-03-01</t>
        </is>
      </c>
      <c r="N605" t="inlineStr">
        <is>
          <t>Turkey</t>
        </is>
      </c>
      <c r="O605">
        <f>(1.6+1.2+0.9+0.65)/4</f>
        <v/>
      </c>
      <c r="P605">
        <f>(3.1+2.4+2.1)/3</f>
        <v/>
      </c>
    </row>
    <row r="606">
      <c r="A606" t="inlineStr">
        <is>
          <t>Celeadnic</t>
        </is>
      </c>
      <c r="B606" t="inlineStr">
        <is>
          <t>Sheriff</t>
        </is>
      </c>
      <c r="C606" t="inlineStr">
        <is>
          <t>Goalkeeper</t>
        </is>
      </c>
      <c r="D606" t="n">
        <v>90</v>
      </c>
      <c r="E606" t="n">
        <v>1</v>
      </c>
      <c r="F606" t="n">
        <v>0</v>
      </c>
      <c r="G606" t="n">
        <v>0</v>
      </c>
      <c r="H606" t="n">
        <v>4.7</v>
      </c>
      <c r="I606" t="n">
        <v>25.8</v>
      </c>
      <c r="J606" t="n">
        <v>267526</v>
      </c>
      <c r="K606" t="inlineStr">
        <is>
          <t>{'marketValueHistory': [{'date': '06/01/2014', 'age': '21', 'clubName': 'Dacia Chisinau', 'clubID': '11907', 'value': '€25k'}, {'date': '11/04/2015', 'age': '22', 'clubName': 'Dacia Chisinau', 'clubID': '11907', 'value': '€50k'}, {'date': '07/09/2015', 'age': '23', 'clubName': 'Dinamo-Auto Tiraspol (-2024)', 'clubID': '38921', 'value': '€25k'}, {'date': '10/05/2016', 'age': '24', 'clubName': 'Dinamo-Auto Tiraspol (-2024)', 'clubID': '38921', 'value': '€75k'}, {'date': '01/12/2016', 'age': '24', 'clubName': 'Dacia Chisinau', 'clubID': '11907', 'value': '€25k'}, {'date': '02/06/2017', 'age': '25', 'clubName': 'Dacia Chisinau', 'clubID': '11907', 'value': '€25k'}, {'date': '11/12/2017', 'age': '25', 'clubName': 'FC Petrocub Hîncești', 'clubID': '46643', 'value': '€150k'}, {'date': '25/10/2018', 'age': '26', 'clubName': 'FC Petrocub Hîncești', 'clubID': '46643', 'value': '€200k'}, {'date': '11/06/2019', 'age': '27', 'clubName': 'FC Sheriff Tiraspol', 'clubID': '2481', 'value': '€250k'}, {'date': '11/12/2019', 'age': '27', 'clubName': 'FC Sheriff Tiraspol', 'clubID': '2481', 'value': '€250k'}, {'date': '15/12/2020', 'age': '28', 'clubName': 'FC Sheriff Tiraspol', 'clubID': '2481', 'value': '€225k'}, {'date': '24/05/2021', 'age': '29', 'clubName': 'FC Sheriff Tiraspol', 'clubID': '2481', 'value': '€225k'}, {'date': '25/12/2021', 'age': '29', 'clubName': 'FC Sheriff Tiraspol', 'clubID': '2481', 'value': '€225k'}, {'date': '23/05/2022', 'age': '30', 'clubName': 'FC Sheriff Tiraspol', 'clubID': '2481', 'value': '€225k'}, {'date': '05/11/2022', 'age': '30', 'clubName': 'FC Sheriff Tiraspol', 'clubID': '2481', 'value': '€350k'}, {'date': '08/06/2023', 'age': '31', 'clubName': 'FC Sheriff Tiraspol', 'clubID': '2481', 'value': '€300k'}, {'date': '08/12/2023', 'age': '31', 'clubName': 'FC Sheriff Tiraspol', 'clubID': '2481', 'value': '€200k'}, {'date': '07/06/2024', 'age': '32', 'clubName': 'FC Sheriff Tiraspol', 'clubID': '2481', 'value': '€200k'}, {'date': '18/12/2024', 'age': '32', 'clubName': 'FC Sheriff Tiraspol', 'clubID': '2481', 'value': '€200k'}, {'date': '17/06/2025', 'age': '33', 'clubName': 'Ordabasy Shymkent', 'clubID': '16779', 'value': '€150k'}, {'date': '26/10/2025', 'age': '33', 'clubName': 'Ordabasy Shymkent', 'clubID': '16779', 'value': '€100k'}]}</t>
        </is>
      </c>
      <c r="L606" t="inlineStr">
        <is>
          <t>Moldova</t>
        </is>
      </c>
      <c r="M606" t="inlineStr">
        <is>
          <t>1992-04-23</t>
        </is>
      </c>
      <c r="N606" t="inlineStr">
        <is>
          <t>Moldova</t>
        </is>
      </c>
      <c r="O606">
        <f>(0.225+0.35)/2</f>
        <v/>
      </c>
      <c r="P606">
        <f>(0.225+0.225)/2</f>
        <v/>
      </c>
    </row>
    <row r="607">
      <c r="A607" t="inlineStr">
        <is>
          <t>Boyko</t>
        </is>
      </c>
      <c r="B607" t="inlineStr">
        <is>
          <t>Dynamo Kyiv</t>
        </is>
      </c>
      <c r="C607" t="inlineStr">
        <is>
          <t>Goalkeeper</t>
        </is>
      </c>
      <c r="D607" t="n">
        <v>90</v>
      </c>
      <c r="E607" t="n">
        <v>1</v>
      </c>
      <c r="F607" t="n">
        <v>0</v>
      </c>
      <c r="G607" t="n">
        <v>0</v>
      </c>
      <c r="H607" t="n">
        <v>4.5</v>
      </c>
      <c r="I607" t="n">
        <v>21.8</v>
      </c>
      <c r="J607" t="n">
        <v>91931</v>
      </c>
      <c r="K607" t="inlineStr">
        <is>
          <t>{'marketValueHistory': [{'date': 'Nov 17, 2008', 'age': '20', 'clubName': 'Dynamo-2 Kyiv', 'clubID': '6249', 'value': '€25k'}, {'date': 'Dec 10, 2008', 'age': '20', 'clubName': 'Dynamo-2 Kyiv', 'clubID': '6249', 'value': '€100k'}, {'date': 'Dec 30, 2008', 'age': '20', 'clubName': 'Dynamo-2 Kyiv', 'clubID': '6249', 'value': '€150k'}, {'date': 'Aug 21, 2009', 'age': '21', 'clubName': 'Obolon Kyiv', 'clubID': '2742', 'value': '€350k'}, {'date': 'Feb 18, 2010', 'age': '22', 'clubName': 'Dynamo-2 Kyiv', 'clubID': '6249', 'value': '€1.00m'}, {'date': 'Aug 28, 2010', 'age': '22', 'clubName': 'Dynamo Kyiv', 'clubID': '338', 'value': '€1.50m'}, {'date': 'Jan 17, 2011', 'age': '22', 'clubName': 'Dynamo Kyiv', 'clubID': '338', 'value': '€1.30m'}, {'date': 'Jun 10, 2011', 'age': '23', 'clubName': 'Dynamo Kyiv', 'clubID': '338', 'value': '€1.00m'}, {'date': 'Jan 5, 2012', 'age': '23', 'clubName': 'Kryvbas Kryvyi Rig', 'clubID': '3592', 'value': '€1.30m'}, {'date': 'Nov 22, 2012', 'age': '24', 'clubName': 'Dynamo Kyiv', 'clubID': '338', 'value': '€1.00m'}, {'date': 'Sep 13, 2013', 'age': '25', 'clubName': 'Dnipro Dnipropetrovsk (- 2020)', 'clubID': '339', 'value': '€2.00m'}, {'date': 'Jan 2, 2014', 'age': '25', 'clubName': 'Dnipro Dnipropetrovsk (- 2020)', 'clubID': '339', 'value': '€3.00m'}, {'date': 'Jun 30, 2014', 'age': '26', 'clubName': 'Dynamo Kyiv', 'clubID': '338', 'value': '€4.00m'}, {'date': 'Dec 25, 2014', 'age': '26', 'clubName': 'Dnipro Dnipropetrovsk (- 2020)', 'clubID': '339', 'value': '€4.00m'}, {'date': 'Jun 7, 2015', 'age': '27', 'clubName': 'Dnipro Dnipropetrovsk (- 2020)', 'clubID': '339', 'value': '€5.50m'}, {'date': 'Dec 18, 2015', 'age': '27', 'clubName': 'Dnipro Dnipropetrovsk (- 2020)', 'clubID': '339', 'value': '€5.50m'}, {'date': 'Apr 7, 2016', 'age': '28', 'clubName': 'Besiktas JK', 'clubID': '114', 'value': '€4.75m'}, {'date': 'Jun 1, 2016', 'age': '28', 'clubName': 'Besiktas JK', 'clubID': '114', 'value': '€2.50m'}, {'date': 'Jul 15, 2016', 'age': '28', 'clubName': 'Besiktas JK', 'clubID': '114', 'value': '€2.50m'}, {'date': 'Jan 24, 2017', 'age': '28', 'clubName': 'Málaga CF', 'clubID': '1084', 'value': '€2.00m'}, {'date': 'Jun 5, 2017', 'age': '29', 'clubName': 'Málaga CF', 'clubID': '1084', 'value': '€1.00m'}, {'date': 'Feb 12, 2018', 'age': '30', 'clubName': 'Dynamo Kyiv', 'clubID': '338', 'value': '€350k'}, {'date': 'May 14, 2018', 'age': '30', 'clubName': 'Dynamo Kyiv', 'clubID': '338', 'value': '€1.00m'}, {'date': 'Aug 6, 2018', 'age': '30', 'clubName': 'Dynamo Kyiv', 'clubID': '338', 'value': '€1.50m'}, {'date': 'Dec 10, 2018', 'age': '30', 'clubName': 'Dynamo Kyiv', 'clubID': '338', 'value': '€2.00m'}, {'date': 'Jun 20, 2019', 'age': '31', 'clubName': 'Dynamo Kyiv', 'clubID': '338', 'value': '€2.50m'}, {'date': 'Jan 8, 2020', 'age': '31', 'clubName': 'Dynamo Kyiv', 'clubID': '338', 'value': '€2.00m'}, {'date': 'Apr 8, 2020', 'age': '32', 'clubName': 'Dynamo Kyiv', 'clubID': '338', 'value': '€1.60m'}, {'date': 'Sep 4, 2020', 'age': '32', 'clubName': 'Dynamo Kyiv', 'clubID': '338', 'value': '€1.50m'}, {'date': 'Jan 14, 2021', 'age': '32', 'clubName': 'Dynamo Kyiv', 'clubID': '338', 'value': '€1.00m'}, {'date': 'Jun 7, 2021', 'age': '33', 'clubName': 'Dynamo Kyiv', 'clubID': '338', 'value': '€1.00m'}, {'date': 'Dec 20, 2021', 'age': '33', 'clubName': 'Dynamo Kyiv', 'clubID': '338', 'value': '€1.00m'}, {'date': 'May 18, 2022', 'age': '34', 'clubName': 'Dynamo Kyiv', 'clubID': '338', 'value': '€1.00m'}, {'date': 'Dec 6, 2022', 'age': '34', 'clubName': 'Dynamo Kyiv', 'clubID': '338', 'value': '€1.00m'}, {'date': 'Jun 21, 2023', 'age': '35', 'clubName': 'Dynamo Kyiv', 'clubID': '338', 'value': '€600k'}, {'date': 'Dec 11, 2023', 'age': '35', 'clubName': 'Polissya Zhytomyr', 'clubID': '53646', 'value': '€500k'}, {'date': 'Jun 6, 2024', 'age': '36', 'clubName': 'Polissya Zhytomyr', 'clubID': '53646', 'value': '€300k'}, {'date': 'Oct 16, 2024', 'age': '36', 'clubName': 'Without Club', 'clubID': '515', 'value': '€200k'}, {'date': 'Mar 10, 2025', 'age': '37', 'clubName': 'Retired', 'clubID': '123', 'value': '-'}]}</t>
        </is>
      </c>
      <c r="L607" t="inlineStr">
        <is>
          <t>Ukraine</t>
        </is>
      </c>
      <c r="M607" t="inlineStr">
        <is>
          <t>1988-01-29</t>
        </is>
      </c>
      <c r="N607" t="inlineStr">
        <is>
          <t>Ukraine</t>
        </is>
      </c>
      <c r="O607">
        <f>(1+1)/2</f>
        <v/>
      </c>
      <c r="P607">
        <f>(1+1+1)/3</f>
        <v/>
      </c>
    </row>
    <row r="608">
      <c r="A608" t="inlineStr">
        <is>
          <t>Perin</t>
        </is>
      </c>
      <c r="B608" t="inlineStr">
        <is>
          <t>Juventus</t>
        </is>
      </c>
      <c r="C608" t="inlineStr">
        <is>
          <t>Goalkeeper</t>
        </is>
      </c>
      <c r="D608" t="n">
        <v>90</v>
      </c>
      <c r="E608" t="n">
        <v>1</v>
      </c>
      <c r="F608" t="n">
        <v>0</v>
      </c>
      <c r="G608" t="n">
        <v>0</v>
      </c>
      <c r="H608" t="n">
        <v>4.3</v>
      </c>
      <c r="I608" t="n">
        <v>21.8</v>
      </c>
      <c r="J608" t="n">
        <v>110923</v>
      </c>
      <c r="K608" t="inlineStr">
        <is>
          <t>{'marketValueHistory': [{'date': '21/09/2009', 'age': '16', 'clubName': 'Genoa U19', 'clubID': '252', 'value': '€100k'}, {'date': '23/10/2009', 'age': '16', 'clubName': 'Genoa U19', 'clubID': '252', 'value': '€200k'}, {'date': '28/10/2009', 'age': '16', 'clubName': 'Genoa U19', 'clubID': '252', 'value': '€300k'}, {'date': '19/07/2010', 'age': '17', 'clubName': 'Genoa CFC', 'clubID': '252', 'value': '€500k'}, {'date': '10/01/2011', 'age': '18', 'clubName': 'Genoa CFC', 'clubID': '252', 'value': '€700k'}, {'date': '21/06/2011', 'age': '18', 'clubName': 'Genoa CFC', 'clubID': '252', 'value': '€800k'}, {'date': '01/01/2012', 'age': '19', 'clubName': 'Calcio Padova', 'clubID': '3037', 'value': '€1.00m'}, {'date': '12/06/2012', 'age': '19', 'clubName': 'Calcio Padova', 'clubID': '3037', 'value': '€2.50m'}, {'date': '07/11/2012', 'age': '19', 'clubName': 'Delfino Pescara 1936', 'clubID': '2921', 'value': '€7.00m'}, {'date': '14/01/2013', 'age': '20', 'clubName': 'Delfino Pescara 1936', 'clubID': '2921', 'value': '€8.50m'}, {'date': '19/06/2013', 'age': '20', 'clubName': 'Delfino Pescara 1936', 'clubID': '2921', 'value': '€6.50m'}, {'date': '07/01/2014', 'age': '21', 'clubName': 'Genoa CFC', 'clubID': '252', 'value': '€8.00m'}, {'date': '10/03/2014', 'age': '21', 'clubName': 'Genoa CFC', 'clubID': '252', 'value': '€10.00m'}, {'date': '11/07/2014', 'age': '21', 'clubName': 'Genoa CFC', 'clubID': '252', 'value': '€12.00m'}, {'date': '08/11/2014', 'age': '21', 'clubName': 'Genoa CFC', 'clubID': '252', 'value': '€14.00m'}, {'date': '07/01/2015', 'age': '22', 'clubName': 'Genoa CFC', 'clubID': '252', 'value': '€15.00m'}, {'date': '01/07/2015', 'age': '22', 'clubName': 'Genoa CFC', 'clubID': '252', 'value': '€17.50m'}, {'date': '04/01/2016', 'age': '23', 'clubName': 'Genoa CFC', 'clubID': '252', 'value': '€17.50m'}, {'date': '15/07/2016', 'age': '23', 'clubName': 'Genoa CFC', 'clubID': '252', 'value': '€17.50m'}, {'date': '02/01/2017', 'age': '24', 'clubName': 'Genoa CFC', 'clubID': '252', 'value': '€18.00m'}, {'date': '28/03/2017', 'age': '24', 'clubName': 'Genoa CFC', 'clubID': '252', 'value': '€15.00m'}, {'date': '08/06/2017', 'age': '24', 'clubName': 'Genoa CFC', 'clubID': '252', 'value': '€15.00m'}, {'date': '29/12/2017', 'age': '25', 'clubName': 'Genoa CFC', 'clubID': '252', 'value': '€15.00m'}, {'date': '07/06/2018', 'age': '25', 'clubName': 'Genoa CFC', 'clubID': '252', 'value': '€16.00m'}, {'date': '20/12/2018', 'age': '26', 'clubName': 'Juventus FC', 'clubID': '506', 'value': '€15.00m'}, {'date': '06/06/2019', 'age': '26', 'clubName': 'Juventus FC', 'clubID': '506', 'value': '€13.00m'}, {'date': '08/10/2019', 'age': '26', 'clubName': 'Juventus FC', 'clubID': '506', 'value': '€10.00m'}, {'date': '12/12/2019', 'age': '27', 'clubName': 'Juventus FC', 'clubID': '506', 'value': '€10.00m'}, {'date': '08/04/2020', 'age': '27', 'clubName': 'Genoa CFC', 'clubID': '252', 'value': '€8.00m'}, {'date': '25/08/2020', 'age': '27', 'clubName': 'Genoa CFC', 'clubID': '252', 'value': '€7.50m'}, {'date': '29/12/2020', 'age': '28', 'clubName': 'Genoa CFC', 'clubID': '252', 'value': '€7.00m'}, {'date': '03/06/2021', 'age': '28', 'clubName': 'Genoa CFC', 'clubID': '252', 'value': '€7.00m'}, {'date': '14/10/2021', 'age': '28', 'clubName': 'Juventus FC', 'clubID': '506', 'value': '€5.00m'}, {'date': '28/12/2021', 'age': '29', 'clubName': 'Juventus FC', 'clubID': '506', 'value': '€4.00m'}, {'date': '07/06/2022', 'age': '29', 'clubName': 'Juventus FC', 'clubID': '506', 'value': '€4.00m'}, {'date': '11/11/2022', 'age': '30', 'clubName': 'Juventus FC', 'clubID': '506', 'value': '€4.00m'}, {'date': '15/06/2023', 'age': '30', 'clubName': 'Juventus FC', 'clubID': '506', 'value': '€4.00m'}, {'date': '20/12/2023', 'age': '31', 'clubName': 'Juventus FC', 'clubID': '506', 'value': '€3.00m'}, {'date': '05/06/2024', 'age': '31', 'clubName': 'Juventus FC', 'clubID': '506', 'value': '€3.00m'}, {'date': '18/12/2024', 'age': '32', 'clubName': 'Juventus FC', 'clubID': '506', 'value': '€3.00m'}, {'date': '17/06/2025', 'age': '32', 'clubName': 'Juventus FC', 'clubID': '506', 'value': '€2.50m'}, {'date': '23/12/2025', 'age': '33', 'clubName': 'Juventus FC', 'clubID': '506', 'value': '€2.00m'}]}</t>
        </is>
      </c>
      <c r="L608" t="inlineStr">
        <is>
          <t>Italy</t>
        </is>
      </c>
      <c r="M608" t="inlineStr">
        <is>
          <t>1992-11-10</t>
        </is>
      </c>
      <c r="N608" t="inlineStr">
        <is>
          <t>2</t>
        </is>
      </c>
      <c r="O608">
        <f>(4+4)/2</f>
        <v/>
      </c>
      <c r="P608">
        <f>(7+5+4)/3</f>
        <v/>
      </c>
    </row>
    <row r="609">
      <c r="A609" t="inlineStr">
        <is>
          <t>Steffen</t>
        </is>
      </c>
      <c r="B609" t="inlineStr">
        <is>
          <t>Man City</t>
        </is>
      </c>
      <c r="C609" t="inlineStr">
        <is>
          <t>Goalkeeper</t>
        </is>
      </c>
      <c r="D609" t="n">
        <v>90</v>
      </c>
      <c r="E609" t="n">
        <v>1</v>
      </c>
      <c r="F609" t="n">
        <v>0</v>
      </c>
      <c r="G609" t="n">
        <v>0</v>
      </c>
      <c r="H609" t="n">
        <v>4</v>
      </c>
      <c r="I609" t="n">
        <v>18.8</v>
      </c>
      <c r="J609" t="n">
        <v>3990</v>
      </c>
      <c r="L609" t="inlineStr">
        <is>
          <t>Germany</t>
        </is>
      </c>
      <c r="M609" t="inlineStr">
        <is>
          <t>1970-01-19</t>
        </is>
      </c>
      <c r="N609" t="inlineStr">
        <is>
          <t>Germany</t>
        </is>
      </c>
    </row>
    <row r="610">
      <c r="A610" t="inlineStr">
        <is>
          <t>Nanasi</t>
        </is>
      </c>
      <c r="B610" t="inlineStr">
        <is>
          <t>Malmo</t>
        </is>
      </c>
      <c r="C610" t="inlineStr">
        <is>
          <t>Forward</t>
        </is>
      </c>
      <c r="D610" t="n">
        <v>89</v>
      </c>
      <c r="E610" t="n">
        <v>2</v>
      </c>
      <c r="F610" t="n">
        <v>0</v>
      </c>
      <c r="G610" t="n">
        <v>0</v>
      </c>
      <c r="H610" t="n">
        <v>12.4</v>
      </c>
      <c r="I610" t="n">
        <v>28</v>
      </c>
      <c r="J610" t="n">
        <v>579928</v>
      </c>
      <c r="K610" t="inlineStr">
        <is>
          <t>{'marketValueHistory': [{'date': 'Aug 5, 2020', 'age': '18', 'clubName': 'Varbergs BoIS', 'clubID': '10507', 'value': '€100k'}, {'date': 'Dec 10, 2020', 'age': '18', 'clubName': 'Malmö FF', 'clubID': '496', 'value': '€100k'}, {'date': 'Jun 9, 2021', 'age': '19', 'clubName': 'Malmö FF', 'clubID': '496', 'value': '€100k'}, {'date': 'Sep 17, 2021', 'age': '19', 'clubName': 'Malmö FF', 'clubID': '496', 'value': '€300k'}, {'date': 'Dec 17, 2021', 'age': '19', 'clubName': 'Malmö FF', 'clubID': '496', 'value': '€500k'}, {'date': 'Jun 24, 2022', 'age': '20', 'clubName': 'Malmö FF', 'clubID': '496', 'value': '€800k'}, {'date': 'Dec 14, 2022', 'age': '20', 'clubName': 'Malmö FF', 'clubID': '496', 'value': '€1.80m'}, {'date': 'Jun 27, 2023', 'age': '21', 'clubName': 'Malmö FF', 'clubID': '496', 'value': '€3.50m'}, {'date': 'Sep 13, 2023', 'age': '21', 'clubName': 'Malmö FF', 'clubID': '496', 'value': '€4.50m'}, {'date': 'Dec 8, 2023', 'age': '21', 'clubName': 'Malmö FF', 'clubID': '496', 'value': '€5.00m'}, {'date': 'Jun 13, 2024', 'age': '22', 'clubName': 'Malmö FF', 'clubID': '496', 'value': '€8.00m'}, {'date': 'Oct 7, 2024', 'age': '22', 'clubName': 'RC Strasbourg Alsace', 'clubID': '667', 'value': '€12.00m'}, {'date': 'Dec 10, 2024', 'age': '22', 'clubName': 'RC Strasbourg Alsace', 'clubID': '667', 'value': '€15.00m'}, {'date': 'Jun 3, 2025', 'age': '23', 'clubName': 'RC Strasbourg Alsace', 'clubID': '667', 'value': '€18.00m'}, {'date': 'Dec 15, 2025', 'age': '23', 'clubName': 'RC Strasbourg Alsace', 'clubID': '667', 'value': '€15.00m'}, {'date': 'Mar 27, 2026', 'age': '23', 'clubName': 'RC Strasbourg Alsace', 'clubID': '667', 'value': '€12.00m'}]}</t>
        </is>
      </c>
      <c r="L610" t="inlineStr">
        <is>
          <t>Sweden</t>
        </is>
      </c>
      <c r="M610" t="inlineStr">
        <is>
          <t>2002-05-16</t>
        </is>
      </c>
      <c r="N610" t="inlineStr">
        <is>
          <t>Sweden</t>
        </is>
      </c>
      <c r="O610">
        <f>(0.8+1.8)/2</f>
        <v/>
      </c>
      <c r="P610">
        <f>(0.1+0.3+0.5)/3</f>
        <v/>
      </c>
    </row>
    <row r="611">
      <c r="A611" t="inlineStr">
        <is>
          <t>Florenzi</t>
        </is>
      </c>
      <c r="B611" t="inlineStr">
        <is>
          <t>Milan</t>
        </is>
      </c>
      <c r="C611" t="inlineStr">
        <is>
          <t>Defender</t>
        </is>
      </c>
      <c r="D611" t="n">
        <v>88</v>
      </c>
      <c r="E611" t="n">
        <v>4</v>
      </c>
      <c r="F611" t="n">
        <v>0</v>
      </c>
      <c r="G611" t="n">
        <v>0</v>
      </c>
      <c r="H611" t="n">
        <v>12.6</v>
      </c>
      <c r="I611" t="n">
        <v>31.3</v>
      </c>
      <c r="J611" t="n">
        <v>130365</v>
      </c>
      <c r="K611" t="inlineStr">
        <is>
          <t>{'marketValueHistory': [{'date': '18/11/2009', 'age': '18', 'clubName': 'Roma U19', 'clubID': '12', 'value': '€50k'}, {'date': '15/06/2011', 'age': '20', 'clubName': 'Roma U19', 'clubID': '12', 'value': '€125k'}, {'date': '01/01/2012', 'age': '20', 'clubName': 'FC Crotone', 'clubID': '4083', 'value': '€400k'}, {'date': '08/06/2012', 'age': '21', 'clubName': 'FC Crotone', 'clubID': '4083', 'value': '€1.50m'}, {'date': '07/11/2012', 'age': '21', 'clubName': 'AS Roma', 'clubID': '12', 'value': '€4.00m'}, {'date': '14/01/2013', 'age': '21', 'clubName': 'AS Roma', 'clubID': '12', 'value': '€6.00m'}, {'date': '19/06/2013', 'age': '22', 'clubName': 'AS Roma', 'clubID': '12', 'value': '€7.50m'}, {'date': '11/11/2013', 'age': '22', 'clubName': 'AS Roma', 'clubID': '12', 'value': '€12.00m'}, {'date': '07/01/2014', 'age': '22', 'clubName': 'AS Roma', 'clubID': '12', 'value': '€12.00m'}, {'date': '01/07/2014', 'age': '23', 'clubName': 'AS Roma', 'clubID': '12', 'value': '€14.00m'}, {'date': '07/01/2015', 'age': '23', 'clubName': 'AS Roma', 'clubID': '12', 'value': '€14.00m'}, {'date': '01/07/2015', 'age': '24', 'clubName': 'AS Roma', 'clubID': '12', 'value': '€18.00m'}, {'date': '05/11/2015', 'age': '24', 'clubName': 'AS Roma', 'clubID': '12', 'value': '€20.00m'}, {'date': '04/01/2016', 'age': '24', 'clubName': 'AS Roma', 'clubID': '12', 'value': '€20.00m'}, {'date': '01/06/2016', 'age': '25', 'clubName': 'AS Roma', 'clubID': '12', 'value': '€20.00m'}, {'date': '15/07/2016', 'age': '25', 'clubName': 'AS Roma', 'clubID': '12', 'value': '€22.00m'}, {'date': '02/01/2017', 'age': '25', 'clubName': 'AS Roma', 'clubID': '12', 'value': '€22.00m'}, {'date': '28/03/2017', 'age': '26', 'clubName': 'AS Roma', 'clubID': '12', 'value': '€20.00m'}, {'date': '08/06/2017', 'age': '26', 'clubName': 'AS Roma', 'clubID': '12', 'value': '€20.00m'}, {'date': '29/12/2017', 'age': '26', 'clubName': 'AS Roma', 'clubID': '12', 'value': '€25.00m'}, {'date': '07/06/2018', 'age': '27', 'clubName': 'AS Roma', 'clubID': '12', 'value': '€30.00m'}, {'date': '20/12/2018', 'age': '27', 'clubName': 'AS Roma', 'clubID': '12', 'value': '€30.00m'}, {'date': '06/06/2019', 'age': '28', 'clubName': 'AS Roma', 'clubID': '12', 'value': '€25.00m'}, {'date': '12/12/2019', 'age': '28', 'clubName': 'AS Roma', 'clubID': '12', 'value': '€20.00m'}, {'date': '08/04/2020', 'age': '29', 'clubName': 'Valencia CF', 'clubID': '1049', 'value': '€16.00m'}, {'date': '25/08/2020', 'age': '29', 'clubName': 'AS Roma', 'clubID': '12', 'value': '€10.00m'}, {'date': '15/10/2020', 'age': '29', 'clubName': 'Paris Saint-Germain', 'clubID': '583', 'value': '€12.00m'}, {'date': '07/01/2021', 'age': '29', 'clubName': 'Paris Saint-Germain', 'clubID': '583', 'value': '€15.00m'}, {'date': '25/05/2021', 'age': '30', 'clubName': 'Paris Saint-Germain', 'clubID': '583', 'value': '€13.00m'}, {'date': '14/10/2021', 'age': '30', 'clubName': 'AC Milan', 'clubID': '5', 'value': '€8.00m'}, {'date': '28/12/2021', 'age': '30', 'clubName': 'AC Milan', 'clubID': '5', 'value': '€7.00m'}, {'date': '07/06/2022', 'age': '31', 'clubName': 'AC Milan', 'clubID': '5', 'value': '€5.50m'}, {'date': '27/09/2022', 'age': '31', 'clubName': 'AC Milan', 'clubID': '5', 'value': '€3.50m'}, {'date': '11/11/2022', 'age': '31', 'clubName': 'AC Milan', 'clubID': '5', 'value': '€2.50m'}, {'date': '15/06/2023', 'age': '32', 'clubName': 'AC Milan', 'clubID': '5', 'value': '€2.00m'}, {'date': '20/12/2023', 'age': '32', 'clubName': 'AC Milan', 'clubID': '5', 'value': '€2.00m'}, {'date': '05/06/2024', 'age': '33', 'clubName': 'AC Milan', 'clubID': '5', 'value': '€2.00m'}, {'date': '18/12/2024', 'age': '33', 'clubName': 'AC Milan', 'clubID': '5', 'value': '€1.50m'}, {'date': '17/06/2025', 'age': '34', 'clubName': 'AC Milan', 'clubID': '5', 'value': '€1.00m'}, {'date': '27/08/2025', 'age': '34', 'clubName': 'Retired', 'clubID': '123', 'value': '-'}]}</t>
        </is>
      </c>
      <c r="L611" t="inlineStr">
        <is>
          <t>Italy</t>
        </is>
      </c>
      <c r="M611" t="inlineStr">
        <is>
          <t>1991-03-11</t>
        </is>
      </c>
      <c r="N611" t="inlineStr">
        <is>
          <t>49</t>
        </is>
      </c>
      <c r="O611">
        <f>(5.5+3.5+2.5)/3</f>
        <v/>
      </c>
      <c r="P611">
        <f>(15+13+8+7)/4</f>
        <v/>
      </c>
    </row>
    <row r="612">
      <c r="A612" t="inlineStr">
        <is>
          <t>Olmo</t>
        </is>
      </c>
      <c r="B612" t="inlineStr">
        <is>
          <t>Leipzig</t>
        </is>
      </c>
      <c r="C612" t="inlineStr">
        <is>
          <t>Forward</t>
        </is>
      </c>
      <c r="D612" t="n">
        <v>88</v>
      </c>
      <c r="E612" t="n">
        <v>2</v>
      </c>
      <c r="F612" t="n">
        <v>0</v>
      </c>
      <c r="G612" t="n">
        <v>1</v>
      </c>
      <c r="H612" t="n">
        <v>10.9</v>
      </c>
      <c r="I612" t="n">
        <v>27.7</v>
      </c>
      <c r="J612" t="n">
        <v>293385</v>
      </c>
      <c r="K612" t="inlineStr">
        <is>
          <t>{'marketValueHistory': [{'date': 'Mar 17, 2015', 'age': '16', 'clubName': 'GNK Dinamo Zagreb', 'clubID': '419', 'value': '€300k'}, {'date': 'Sep 14, 2015', 'age': '17', 'clubName': 'GNK Dinamo Zagreb', 'clubID': '419', 'value': '€350k'}, {'date': 'Mar 14, 2016', 'age': '17', 'clubName': 'GNK Dinamo Zagreb', 'clubID': '419', 'value': '€600k'}, {'date': 'Sep 14, 2016', 'age': '18', 'clubName': 'GNK Dinamo Zagreb', 'clubID': '419', 'value': '€700k'}, {'date': 'Mar 13, 2017', 'age': '18', 'clubName': 'GNK Dinamo Zagreb', 'clubID': '419', 'value': '€950k'}, {'date': 'Oct 23, 2017', 'age': '19', 'clubName': 'GNK Dinamo Zagreb', 'clubID': '419', 'value': '€1.50m'}, {'date': 'Mar 18, 2018', 'age': '19', 'clubName': 'GNK Dinamo Zagreb', 'clubID': '419', 'value': '€3.50m'}, {'date': 'Sep 25, 2018', 'age': '20', 'clubName': 'GNK Dinamo Zagreb', 'clubID': '419', 'value': '€6.50m'}, {'date': 'Mar 11, 2019', 'age': '20', 'clubName': 'GNK Dinamo Zagreb', 'clubID': '419', 'value': '€15.00m'}, {'date': 'Sep 16, 2019', 'age': '21', 'clubName': 'GNK Dinamo Zagreb', 'clubID': '419', 'value': '€30.00m'}, {'date': 'Dec 27, 2019', 'age': '21', 'clubName': 'GNK Dinamo Zagreb', 'clubID': '419', 'value': '€35.00m'}, {'date': 'Apr 8, 2020', 'age': '21', 'clubName': 'RB Leipzig', 'clubID': '23826', 'value': '€31.50m'}, {'date': 'Nov 26, 2020', 'age': '22', 'clubName': 'RB Leipzig', 'clubID': '23826', 'value': '€33.00m'}, {'date': 'Feb 10, 2021', 'age': '22', 'clubName': 'RB Leipzig', 'clubID': '23826', 'value': '€38.00m'}, {'date': 'May 31, 2021', 'age': '23', 'clubName': 'RB Leipzig', 'clubID': '23826', 'value': '€45.00m'}, {'date': 'Jul 15, 2021', 'age': '23', 'clubName': 'RB Leipzig', 'clubID': '23826', 'value': '€50.00m'}, {'date': 'Dec 22, 2021', 'age': '23', 'clubName': 'RB Leipzig', 'clubID': '23826', 'value': '€50.00m'}, {'date': 'Mar 24, 2022', 'age': '23', 'clubName': 'RB Leipzig', 'clubID': '23826', 'value': '€45.00m'}, {'date': 'Jun 9, 2022', 'age': '24', 'clubName': 'RB Leipzig', 'clubID': '23826', 'value': '€40.00m'}, {'date': 'Nov 9, 2022', 'age': '24', 'clubName': 'RB Leipzig', 'clubID': '23826', 'value': '€40.00m'}, {'date': 'Jun 22, 2023', 'age': '25', 'clubName': 'RB Leipzig', 'clubID': '23826', 'value': '€40.00m'}, {'date': 'Oct 18, 2023', 'age': '25', 'clubName': 'RB Leipzig', 'clubID': '23826', 'value': '€50.00m'}, {'date': 'Dec 14, 2023', 'age': '25', 'clubName': 'RB Leipzig', 'clubID': '23826', 'value': '€50.00m'}, {'date': 'May 29, 2024', 'age': '26', 'clubName': 'RB Leipzig', 'clubID': '23826', 'value': '€50.00m'}, {'date': 'Jul 18, 2024', 'age': '26', 'clubName': 'RB Leipzig', 'clubID': '23826', 'value': '€60.00m'}, {'date': 'Dec 27, 2024', 'age': '26', 'clubName': 'FC Barcelona', 'clubID': '131', 'value': '€60.00m'}, {'date': 'Jun 9, 2025', 'age': '27', 'clubName': 'FC Barcelona', 'clubID': '131', 'value': '€60.00m'}, {'date': 'Dec 12, 2025', 'age': '27', 'clubName': 'FC Barcelona', 'clubID': '131', 'value': '€60.00m'}]}</t>
        </is>
      </c>
      <c r="L612" t="inlineStr">
        <is>
          <t>Spain</t>
        </is>
      </c>
      <c r="M612" t="inlineStr">
        <is>
          <t>1998-05-07</t>
        </is>
      </c>
      <c r="N612" t="inlineStr">
        <is>
          <t>48</t>
        </is>
      </c>
      <c r="O612">
        <f>(45+40+40)/3</f>
        <v/>
      </c>
      <c r="P612">
        <f>(38+45+50+50)/4</f>
        <v/>
      </c>
    </row>
    <row r="613">
      <c r="A613" t="inlineStr">
        <is>
          <t>Fabio Vieira</t>
        </is>
      </c>
      <c r="B613" t="inlineStr">
        <is>
          <t>FC Porto</t>
        </is>
      </c>
      <c r="C613" t="inlineStr">
        <is>
          <t>Midfielder</t>
        </is>
      </c>
      <c r="D613" t="n">
        <v>85</v>
      </c>
      <c r="E613" t="n">
        <v>2</v>
      </c>
      <c r="F613" t="n">
        <v>0</v>
      </c>
      <c r="G613" t="n">
        <v>1</v>
      </c>
      <c r="H613" t="n">
        <v>11</v>
      </c>
      <c r="I613" t="n">
        <v>32.2</v>
      </c>
      <c r="J613" t="n">
        <v>537598</v>
      </c>
      <c r="K613" t="inlineStr">
        <is>
          <t>{'marketValueHistory': [{'date': '31/12/2019', 'age': '19', 'clubName': 'FC Porto B', 'clubID': '10331', 'value': '€700k'}, {'date': '08/04/2020', 'age': '19', 'clubName': 'FC Porto B', 'clubID': '10331', 'value': '€625k'}, {'date': '17/08/2020', 'age': '20', 'clubName': 'FC Porto', 'clubID': '720', 'value': '€7.00m'}, {'date': '28/01/2021', 'age': '20', 'clubName': 'FC Porto', 'clubID': '720', 'value': '€9.00m'}, {'date': '21/05/2021', 'age': '20', 'clubName': 'FC Porto', 'clubID': '720', 'value': '€9.00m'}, {'date': '27/12/2021', 'age': '21', 'clubName': 'FC Porto', 'clubID': '720', 'value': '€10.00m'}, {'date': '10/03/2022', 'age': '21', 'clubName': 'FC Porto', 'clubID': '720', 'value': '€17.00m'}, {'date': '31/05/2022', 'age': '22', 'clubName': 'FC Porto', 'clubID': '720', 'value': '€25.00m'}, {'date': '15/09/2022', 'age': '22', 'clubName': 'Arsenal FC', 'clubID': '11', 'value': '€30.00m'}, {'date': '03/11/2022', 'age': '22', 'clubName': 'Arsenal FC', 'clubID': '11', 'value': '€30.00m'}, {'date': '16/03/2023', 'age': '22', 'clubName': 'Arsenal FC', 'clubID': '11', 'value': '€27.00m'}, {'date': '20/06/2023', 'age': '23', 'clubName': 'Arsenal FC', 'clubID': '11', 'value': '€25.00m'}, {'date': '19/12/2023', 'age': '23', 'clubName': 'Arsenal FC', 'clubID': '11', 'value': '€28.00m'}, {'date': '14/03/2024', 'age': '23', 'clubName': 'Arsenal FC', 'clubID': '11', 'value': '€25.00m'}, {'date': '27/05/2024', 'age': '23', 'clubName': 'Arsenal FC', 'clubID': '11', 'value': '€22.00m'}, {'date': '19/12/2024', 'age': '24', 'clubName': 'FC Porto', 'clubID': '720', 'value': '€22.00m'}, {'date': '30/05/2025', 'age': '25', 'clubName': 'FC Porto', 'clubID': '720', 'value': '€22.00m'}, {'date': '14/10/2025', 'age': '25', 'clubName': 'Hamburger SV', 'clubID': '41', 'value': '€18.00m'}, {'date': '19/12/2025', 'age': '25', 'clubName': 'Hamburger SV', 'clubID': '41', 'value': '€18.00m'}]}</t>
        </is>
      </c>
      <c r="L613" t="inlineStr">
        <is>
          <t>Germany</t>
        </is>
      </c>
      <c r="M613" t="inlineStr">
        <is>
          <t>2001-07-01</t>
        </is>
      </c>
      <c r="N613" t="inlineStr">
        <is>
          <t>25</t>
        </is>
      </c>
      <c r="O613">
        <f>(17+25+30+30)/4</f>
        <v/>
      </c>
      <c r="P613">
        <f>(9+9+10)/3</f>
        <v/>
      </c>
    </row>
    <row r="614">
      <c r="A614" t="inlineStr">
        <is>
          <t>E. Hazard</t>
        </is>
      </c>
      <c r="B614" t="inlineStr">
        <is>
          <t>Real Madrid</t>
        </is>
      </c>
      <c r="C614" t="inlineStr">
        <is>
          <t>Forward</t>
        </is>
      </c>
      <c r="D614" t="n">
        <v>84</v>
      </c>
      <c r="E614" t="n">
        <v>3</v>
      </c>
      <c r="F614" t="n">
        <v>0</v>
      </c>
      <c r="G614" t="n">
        <v>0</v>
      </c>
      <c r="H614" t="n">
        <v>10.8</v>
      </c>
      <c r="I614" t="n">
        <v>33.2</v>
      </c>
      <c r="J614" t="n">
        <v>50202</v>
      </c>
      <c r="K614" t="inlineStr">
        <is>
          <t>{'marketValueHistory': [{'date': '05/05/2008', 'age': '17', 'clubName': 'LOSC Lille U19', 'clubID': '12765', 'value': '€400k'}, {'date': '30/12/2008', 'age': '17', 'clubName': 'LOSC Lille', 'clubID': '1082', 'value': '€1.80m'}, {'date': '18/05/2009', 'age': '18', 'clubName': 'LOSC Lille', 'clubID': '1082', 'value': '€4.00m'}, {'date': '14/06/2009', 'age': '18', 'clubName': 'LOSC Lille', 'clubID': '1082', 'value': '€5.50m'}, {'date': '04/09/2009', 'age': '18', 'clubName': 'LOSC Lille', 'clubID': '1082', 'value': '€7.00m'}, {'date': '22/12/2009', 'age': '18', 'clubName': 'LOSC Lille', 'clubID': '1082', 'value': '€7.50m'}, {'date': '09/01/2010', 'age': '19', 'clubName': 'LOSC Lille', 'clubID': '1082', 'value': '€9.00m'}, {'date': '18/05/2010', 'age': '19', 'clubName': 'LOSC Lille', 'clubID': '1082', 'value': '€14.00m'}, {'date': '16/07/2010', 'age': '19', 'clubName': 'LOSC Lille', 'clubID': '1082', 'value': '€16.00m'}, {'date': '01/01/2011', 'age': '19', 'clubName': 'LOSC Lille', 'clubID': '1082', 'value': '€18.00m'}, {'date': '24/05/2011', 'age': '20', 'clubName': 'LOSC Lille', 'clubID': '1082', 'value': '€22.50m'}, {'date': '24/12/2011', 'age': '20', 'clubName': 'LOSC Lille', 'clubID': '1082', 'value': '€26.50m'}, {'date': '02/02/2012', 'age': '21', 'clubName': 'LOSC Lille', 'clubID': '1082', 'value': '€27.00m'}, {'date': '23/05/2012', 'age': '21', 'clubName': 'LOSC Lille', 'clubID': '1082', 'value': '€33.00m'}, {'date': '05/07/2012', 'age': '21', 'clubName': 'Chelsea FC', 'clubID': '631', 'value': '€40.00m'}, {'date': '28/01/2013', 'age': '22', 'clubName': 'Chelsea FC', 'clubID': '631', 'value': '€40.00m'}, {'date': '02/07/2013', 'age': '22', 'clubName': 'Chelsea FC', 'clubID': '631', 'value': '€42.00m'}, {'date': '15/01/2014', 'age': '23', 'clubName': 'Chelsea FC', 'clubID': '631', 'value': '€45.00m'}, {'date': '12/08/2014', 'age': '23', 'clubName': 'Chelsea FC', 'clubID': '631', 'value': '€48.00m'}, {'date': '12/02/2015', 'age': '24', 'clubName': 'Chelsea FC', 'clubID': '631', 'value': '€60.00m'}, {'date': '01/07/2015', 'age': '24', 'clubName': 'Chelsea FC', 'clubID': '631', 'value': '€70.00m'}, {'date': '09/02/2016', 'age': '25', 'clubName': 'Chelsea FC', 'clubID': '631', 'value': '€70.00m'}, {'date': '01/06/2016', 'age': '25', 'clubName': 'Chelsea FC', 'clubID': '631', 'value': '€65.00m'}, {'date': '01/08/2016', 'age': '25', 'clubName': 'Chelsea FC', 'clubID': '631', 'value': '€65.00m'}, {'date': '20/02/2017', 'age': '26', 'clubName': 'Chelsea FC', 'clubID': '631', 'value': '€70.00m'}, {'date': '28/06/2017', 'age': '26', 'clubName': 'Chelsea FC', 'clubID': '631', 'value': '€75.00m'}, {'date': '02/01/2018', 'age': '26', 'clubName': 'Chelsea FC', 'clubID': '631', 'value': '€100.00m'}, {'date': '28/05/2018', 'age': '27', 'clubName': 'Chelsea FC', 'clubID': '631', 'value': '€110.00m'}, {'date': '16/07/2018', 'age': '27', 'clubName': 'Chelsea FC', 'clubID': '631', 'value': '€120.00m'}, {'date': '17/10/2018', 'age': '27', 'clubName': 'Chelsea FC', 'clubID': '631', 'value': '€150.00m'}, {'date': '19/12/2018', 'age': '27', 'clubName': 'Chelsea FC', 'clubID': '631', 'value': '€150.00m'}, {'date': '13/06/2019', 'age': '28', 'clubName': 'Chelsea FC', 'clubID': '631', 'value': '€150.00m'}, {'date': '20/12/2019', 'age': '28', 'clubName': 'Real Madrid', 'clubID': '418', 'value': '€120.00m'}, {'date': '05/03/2020', 'age': '29', 'clubName': 'Real Madrid', 'clubID': '418', 'value': '€100.00m'}, {'date': '08/04/2020', 'age': '29', 'clubName': 'Real Madrid', 'clubID': '418', 'value': '€80.00m'}, {'date': '08/10/2020', 'age': '29', 'clubName': 'Real Madrid', 'clubID': '418', 'value': '€60.00m'}, {'date': '05/01/2021', 'age': '29', 'clubName': 'Real Madrid', 'clubID': '418', 'value': '€50.00m'}, {'date': '19/03/2021', 'age': '30', 'clubName': 'Real Madrid', 'clubID': '418', 'value': '€40.00m'}, {'date': '26/05/2021', 'age': '30', 'clubName': 'Real Madrid', 'clubID': '418', 'value': '€40.00m'}, {'date': '13/10/2021', 'age': '30', 'clubName': 'Real Madrid', 'clubID': '418', 'value': '€25.00m'}, {'date': '30/12/2021', 'age': '30', 'clubName': 'Real Madrid', 'clubID': '418', 'value': '€18.00m'}, {'date': '21/03/2022', 'age': '31', 'clubName': 'Real Madrid', 'clubID': '418', 'value': '€16.00m'}, {'date': '03/06/2022', 'age': '31', 'clubName': 'Real Madrid', 'clubID': '418', 'value': '€12.00m'}, {'date': '07/11/2022', 'age': '31', 'clubName': 'Real Madrid', 'clubID': '418', 'value': '€7.50m'}, {'date': '23/03/2023', 'age': '32', 'clubName': 'Real Madrid', 'clubID': '418', 'value': '€5.00m'}, {'date': '13/06/2023', 'age': '32', 'clubName': 'Real Madrid', 'clubID': '418', 'value': '€5.00m'}, {'date': '10/10/2023', 'age': '32', 'clubName': 'Retired', 'clubID': '123', 'value': '-'}]}</t>
        </is>
      </c>
      <c r="L614" t="inlineStr">
        <is>
          <t>Belgium</t>
        </is>
      </c>
      <c r="M614" t="inlineStr">
        <is>
          <t>1991-01-07</t>
        </is>
      </c>
      <c r="N614" t="inlineStr">
        <is>
          <t>Belgium</t>
        </is>
      </c>
      <c r="O614">
        <f>(16+12+7.5)/3</f>
        <v/>
      </c>
      <c r="P614">
        <f>(50+40+40+25+18)/5</f>
        <v/>
      </c>
    </row>
    <row r="615">
      <c r="A615" t="inlineStr">
        <is>
          <t>Bondarenko</t>
        </is>
      </c>
      <c r="B615" t="inlineStr">
        <is>
          <t>Shakhtar Donetsk</t>
        </is>
      </c>
      <c r="C615" t="inlineStr">
        <is>
          <t>Midfielder</t>
        </is>
      </c>
      <c r="D615" t="n">
        <v>84</v>
      </c>
      <c r="E615" t="n">
        <v>2</v>
      </c>
      <c r="F615" t="n">
        <v>0</v>
      </c>
      <c r="G615" t="n">
        <v>0</v>
      </c>
      <c r="H615" t="n">
        <v>11.8</v>
      </c>
      <c r="I615" t="n">
        <v>31.6</v>
      </c>
      <c r="J615" t="n">
        <v>537854</v>
      </c>
      <c r="K615" t="inlineStr">
        <is>
          <t>{'marketValueHistory': [{'date': '04/09/2020', 'age': '20', 'clubName': 'FC Mariupol', 'clubID': '6993', 'value': '€250k'}, {'date': '14/01/2021', 'age': '20', 'clubName': 'FC Mariupol', 'clubID': '6993', 'value': '€500k'}, {'date': '27/05/2021', 'age': '20', 'clubName': 'FC Mariupol', 'clubID': '6993', 'value': '€900k'}, {'date': '20/12/2021', 'age': '21', 'clubName': 'Shakhtar Donetsk', 'clubID': '660', 'value': '€1.00m'}, {'date': '18/05/2022', 'age': '21', 'clubName': 'Shakhtar Donetsk', 'clubID': '660', 'value': '€1.00m'}, {'date': '06/09/2022', 'age': '22', 'clubName': 'Shakhtar Donetsk', 'clubID': '660', 'value': '€1.50m'}, {'date': '06/12/2022', 'age': '22', 'clubName': 'Shakhtar Donetsk', 'clubID': '660', 'value': '€4.00m'}, {'date': '28/03/2023', 'age': '22', 'clubName': 'Shakhtar Donetsk', 'clubID': '660', 'value': '€6.00m'}, {'date': '21/06/2023', 'age': '22', 'clubName': 'Shakhtar Donetsk', 'clubID': '660', 'value': '€8.00m'}, {'date': '12/07/2023', 'age': '22', 'clubName': 'Shakhtar Donetsk', 'clubID': '660', 'value': '€10.00m'}, {'date': '11/12/2023', 'age': '23', 'clubName': 'Shakhtar Donetsk', 'clubID': '660', 'value': '€9.00m'}, {'date': '06/06/2024', 'age': '23', 'clubName': 'Shakhtar Donetsk', 'clubID': '660', 'value': '€9.00m'}, {'date': '17/12/2024', 'age': '24', 'clubName': 'Shakhtar Donetsk', 'clubID': '660', 'value': '€10.00m'}, {'date': '10/06/2025', 'age': '24', 'clubName': 'Shakhtar Donetsk', 'clubID': '660', 'value': '€10.00m'}, {'date': '18/12/2025', 'age': '25', 'clubName': 'Shakhtar Donetsk', 'clubID': '660', 'value': '€9.00m'}, {'date': '23/03/2026', 'age': '25', 'clubName': 'Shakhtar Donetsk', 'clubID': '660', 'value': '€8.00m'}]}</t>
        </is>
      </c>
      <c r="L615" t="inlineStr">
        <is>
          <t>Ukraine</t>
        </is>
      </c>
      <c r="M615" t="inlineStr">
        <is>
          <t>2000-08-21</t>
        </is>
      </c>
      <c r="N615" t="inlineStr">
        <is>
          <t>4</t>
        </is>
      </c>
      <c r="O615">
        <f>(1+1.5+4)/3</f>
        <v/>
      </c>
      <c r="P615">
        <f>(0.5+0.9+1)/3</f>
        <v/>
      </c>
    </row>
    <row r="616">
      <c r="A616" t="inlineStr">
        <is>
          <t>Piatkowski</t>
        </is>
      </c>
      <c r="B616" t="inlineStr">
        <is>
          <t>Salzburg</t>
        </is>
      </c>
      <c r="C616" t="inlineStr">
        <is>
          <t>Defender</t>
        </is>
      </c>
      <c r="D616" t="n">
        <v>84</v>
      </c>
      <c r="E616" t="n">
        <v>2</v>
      </c>
      <c r="F616" t="n">
        <v>0</v>
      </c>
      <c r="G616" t="n">
        <v>0</v>
      </c>
      <c r="H616" t="n">
        <v>9.800000000000001</v>
      </c>
      <c r="I616" t="n">
        <v>30.7</v>
      </c>
      <c r="J616" t="n">
        <v>345449</v>
      </c>
      <c r="K616" t="inlineStr">
        <is>
          <t>{'marketValueHistory': [{'date': '25/01/2019', 'age': '18', 'clubName': 'Zaglebie Lubin', 'clubID': '168', 'value': '€50k'}, {'date': '29/06/2019', 'age': '19', 'clubName': 'Zaglebie Lubin', 'clubID': '168', 'value': '€50k'}, {'date': '15/01/2020', 'age': '19', 'clubName': 'Raków Częstochowa', 'clubID': '9644', 'value': '€100k'}, {'date': '18/08/2020', 'age': '20', 'clubName': 'Raków Częstochowa', 'clubID': '9644', 'value': '€350k'}, {'date': '19/01/2021', 'age': '20', 'clubName': 'Raków Częstochowa', 'clubID': '9644', 'value': '€2.50m'}, {'date': '31/05/2021', 'age': '20', 'clubName': 'Raków Częstochowa', 'clubID': '9644', 'value': '€5.00m'}, {'date': '16/12/2021', 'age': '21', 'clubName': 'Red Bull Salzburg', 'clubID': '409', 'value': '€5.00m'}, {'date': '27/05/2022', 'age': '21', 'clubName': 'Red Bull Salzburg', 'clubID': '409', 'value': '€5.00m'}, {'date': '10/11/2022', 'age': '22', 'clubName': 'Red Bull Salzburg', 'clubID': '409', 'value': '€5.00m'}, {'date': '09/06/2023', 'age': '22', 'clubName': 'KAA Gent', 'clubID': '157', 'value': '€5.00m'}, {'date': '11/09/2023', 'age': '23', 'clubName': 'Red Bull Salzburg', 'clubID': '409', 'value': '€4.00m'}, {'date': '11/12/2023', 'age': '23', 'clubName': 'Red Bull Salzburg', 'clubID': '409', 'value': '€3.00m'}, {'date': '07/06/2024', 'age': '23', 'clubName': 'Granada CF', 'clubID': '16795', 'value': '€2.50m'}, {'date': '10/10/2024', 'age': '24', 'clubName': 'Red Bull Salzburg', 'clubID': '409', 'value': '€5.00m'}, {'date': '17/12/2024', 'age': '24', 'clubName': 'Red Bull Salzburg', 'clubID': '409', 'value': '€4.50m'}, {'date': '20/03/2025', 'age': '24', 'clubName': 'Kasimpasa', 'clubID': '10484', 'value': '€4.50m'}, {'date': '18/06/2025', 'age': '24', 'clubName': 'Kasimpasa', 'clubID': '10484', 'value': '€4.50m'}, {'date': '26/09/2025', 'age': '25', 'clubName': 'Legia Warszawa', 'clubID': '255', 'value': '€3.50m'}, {'date': '08/12/2025', 'age': '25', 'clubName': 'Legia Warszawa', 'clubID': '255', 'value': '€3.00m'}, {'date': '26/03/2026', 'age': '25', 'clubName': 'Legia Warszawa', 'clubID': '255', 'value': '€2.50m'}]}</t>
        </is>
      </c>
      <c r="L616" t="inlineStr">
        <is>
          <t>Poland</t>
        </is>
      </c>
      <c r="M616" t="inlineStr">
        <is>
          <t>2000-11-09</t>
        </is>
      </c>
      <c r="N616" t="inlineStr">
        <is>
          <t>8</t>
        </is>
      </c>
      <c r="O616">
        <f>(5+5)/2</f>
        <v/>
      </c>
      <c r="P616">
        <f>(2.5+5+5)/3</f>
        <v/>
      </c>
    </row>
    <row r="617">
      <c r="A617" t="inlineStr">
        <is>
          <t>Nalic</t>
        </is>
      </c>
      <c r="B617" t="inlineStr">
        <is>
          <t>Malmo</t>
        </is>
      </c>
      <c r="C617" t="inlineStr">
        <is>
          <t>Forward</t>
        </is>
      </c>
      <c r="D617" t="n">
        <v>83</v>
      </c>
      <c r="E617" t="n">
        <v>5</v>
      </c>
      <c r="F617" t="n">
        <v>0</v>
      </c>
      <c r="G617" t="n">
        <v>0</v>
      </c>
      <c r="H617" t="n">
        <v>13.6</v>
      </c>
      <c r="I617" t="n">
        <v>31.3</v>
      </c>
      <c r="J617" t="n">
        <v>332875</v>
      </c>
      <c r="K617" t="inlineStr">
        <is>
          <t>{'marketValueHistory': [{'date': 'Apr 5, 2018', 'age': '20', 'clubName': 'Landskrona BoIS', 'clubID': '2294', 'value': '€50k'}, {'date': 'Jan 16, 2019', 'age': '21', 'clubName': 'Malmö FF', 'clubID': '496', 'value': '€250k'}, {'date': 'Jun 28, 2019', 'age': '21', 'clubName': 'AFC Eskilstuna', 'clubID': '8877', 'value': '€400k'}, {'date': 'Nov 20, 2019', 'age': '21', 'clubName': 'AFC Eskilstuna', 'clubID': '8877', 'value': '€500k'}, {'date': 'Apr 8, 2020', 'age': '22', 'clubName': 'Malmö FF', 'clubID': '496', 'value': '€400k'}, {'date': 'Aug 5, 2020', 'age': '22', 'clubName': 'Malmö FF', 'clubID': '496', 'value': '€250k'}, {'date': 'Dec 10, 2020', 'age': '23', 'clubName': 'Malmö FF', 'clubID': '496', 'value': '€500k'}, {'date': 'Jun 9, 2021', 'age': '23', 'clubName': 'Malmö FF', 'clubID': '496', 'value': '€750k'}, {'date': 'Dec 17, 2021', 'age': '24', 'clubName': 'Malmö FF', 'clubID': '496', 'value': '€800k'}, {'date': 'Jun 24, 2022', 'age': '24', 'clubName': 'Malmö FF', 'clubID': '496', 'value': '€700k'}, {'date': 'Dec 14, 2022', 'age': '25', 'clubName': 'Malmö FF', 'clubID': '496', 'value': '€700k'}, {'date': 'Jun 27, 2023', 'age': '25', 'clubName': 'Hammarby IF', 'clubID': '1059', 'value': '€700k'}, {'date': 'Dec 8, 2023', 'age': '26', 'clubName': 'Hammarby IF', 'clubID': '1059', 'value': '€600k'}, {'date': 'May 31, 2024', 'age': '26', 'clubName': 'Almere City FC', 'clubID': '723', 'value': '€550k'}, {'date': 'Dec 17, 2024', 'age': '27', 'clubName': 'Almere City FC', 'clubID': '723', 'value': '€500k'}, {'date': 'Mar 28, 2025', 'age': '27', 'clubName': 'Almere City FC', 'clubID': '723', 'value': '€400k'}, {'date': 'May 28, 2025', 'age': '27', 'clubName': 'Almere City FC', 'clubID': '723', 'value': '€350k'}, {'date': 'Oct 21, 2025', 'age': '27', 'clubName': 'Without Club', 'clubID': '515', 'value': '€300k'}]}</t>
        </is>
      </c>
      <c r="L617" t="inlineStr">
        <is>
          <t>Sweden</t>
        </is>
      </c>
      <c r="M617" t="inlineStr">
        <is>
          <t>1997-12-01</t>
        </is>
      </c>
      <c r="N617" t="inlineStr">
        <is>
          <t>Bosnia-Herzegovina</t>
        </is>
      </c>
      <c r="O617">
        <f>(0.7+0.7)/2</f>
        <v/>
      </c>
      <c r="P617">
        <f>(0.75+0.8)/2</f>
        <v/>
      </c>
    </row>
    <row r="618">
      <c r="A618" t="inlineStr">
        <is>
          <t>Korniienko</t>
        </is>
      </c>
      <c r="B618" t="inlineStr">
        <is>
          <t>Shakhtar Donetsk</t>
        </is>
      </c>
      <c r="C618" t="inlineStr">
        <is>
          <t>Defender</t>
        </is>
      </c>
      <c r="D618" t="n">
        <v>83</v>
      </c>
      <c r="E618" t="n">
        <v>2</v>
      </c>
      <c r="F618" t="n">
        <v>0</v>
      </c>
      <c r="G618" t="n">
        <v>0</v>
      </c>
      <c r="H618" t="n">
        <v>11.2</v>
      </c>
      <c r="I618" t="n">
        <v>31.9</v>
      </c>
      <c r="J618" t="n">
        <v>467243</v>
      </c>
      <c r="K618" t="inlineStr">
        <is>
          <t>{'marketValueHistory': [{'date': '07/05/2019', 'age': '20', 'clubName': 'Shakhtar Donetsk II', 'clubID': '8963', 'value': '€50k'}, {'date': '20/06/2019', 'age': '20', 'clubName': 'Shakhtar Donetsk II', 'clubID': '8963', 'value': '€400k'}, {'date': '08/01/2020', 'age': '20', 'clubName': 'FC Mariupol', 'clubID': '6993', 'value': '€400k'}, {'date': '08/04/2020', 'age': '21', 'clubName': 'FC Mariupol', 'clubID': '6993', 'value': '€350k'}, {'date': '04/09/2020', 'age': '21', 'clubName': 'Shakhtar Donetsk', 'clubID': '660', 'value': '€400k'}, {'date': '14/01/2021', 'age': '21', 'clubName': 'Shakhtar Donetsk', 'clubID': '660', 'value': '€2.50m'}, {'date': '27/05/2021', 'age': '22', 'clubName': 'Shakhtar Donetsk', 'clubID': '660', 'value': '€2.00m'}, {'date': '20/12/2021', 'age': '22', 'clubName': 'Shakhtar Donetsk', 'clubID': '660', 'value': '€3.00m'}, {'date': '18/05/2022', 'age': '23', 'clubName': 'Shakhtar Donetsk', 'clubID': '660', 'value': '€3.00m'}, {'date': '06/12/2022', 'age': '23', 'clubName': 'Shakhtar Donetsk', 'clubID': '660', 'value': '€2.50m'}, {'date': '21/06/2023', 'age': '24', 'clubName': 'Shakhtar Donetsk', 'clubID': '660', 'value': '€1.50m'}, {'date': '11/12/2023', 'age': '24', 'clubName': 'Vorskla Poltava', 'clubID': '2740', 'value': '€1.20m'}, {'date': '06/06/2024', 'age': '25', 'clubName': 'Vorskla Poltava', 'clubID': '2740', 'value': '€1.00m'}, {'date': '17/12/2024', 'age': '25', 'clubName': 'Vorskla Poltava', 'clubID': '2740', 'value': '€700k'}, {'date': '10/06/2025', 'age': '26', 'clubName': 'Shakhtar Donetsk', 'clubID': '660', 'value': '€500k'}, {'date': '18/12/2025', 'age': '26', 'clubName': 'Shakhtar Donetsk', 'clubID': '660', 'value': '€400k'}]}</t>
        </is>
      </c>
      <c r="L618" t="inlineStr">
        <is>
          <t>Ukraine</t>
        </is>
      </c>
      <c r="M618" t="inlineStr">
        <is>
          <t>1999-02-14</t>
        </is>
      </c>
      <c r="N618" t="inlineStr">
        <is>
          <t>Ukraine</t>
        </is>
      </c>
      <c r="O618">
        <f>(3+2.5)/2</f>
        <v/>
      </c>
      <c r="P618">
        <f>(2.5+2+3)/3</f>
        <v/>
      </c>
    </row>
    <row r="619">
      <c r="A619" t="inlineStr">
        <is>
          <t>En-Nesyri</t>
        </is>
      </c>
      <c r="B619" t="inlineStr">
        <is>
          <t>Sevilla</t>
        </is>
      </c>
      <c r="C619" t="inlineStr">
        <is>
          <t>Forward</t>
        </is>
      </c>
      <c r="D619" t="n">
        <v>83</v>
      </c>
      <c r="E619" t="n">
        <v>2</v>
      </c>
      <c r="F619" t="n">
        <v>0</v>
      </c>
      <c r="G619" t="n">
        <v>0</v>
      </c>
      <c r="H619" t="n">
        <v>10.2</v>
      </c>
      <c r="I619" t="n">
        <v>32.9</v>
      </c>
      <c r="J619" t="n">
        <v>433049</v>
      </c>
      <c r="K619" t="inlineStr">
        <is>
          <t>{'marketValueHistory': [{'date': '27/10/2016', 'age': '19', 'clubName': 'Atlético Malagueño', 'clubID': '5649', 'value': '€1.00m'}, {'date': '24/01/2017', 'age': '19', 'clubName': 'Málaga CF', 'clubID': '1084', 'value': '€1.00m'}, {'date': '05/06/2017', 'age': '20', 'clubName': 'Málaga CF', 'clubID': '1084', 'value': '€1.00m'}, {'date': '01/01/2018', 'age': '20', 'clubName': 'Málaga CF', 'clubID': '1084', 'value': '€800k'}, {'date': '22/03/2018', 'age': '20', 'clubName': 'Málaga CF', 'clubID': '1084', 'value': '€1.50m'}, {'date': '30/05/2018', 'age': '20', 'clubName': 'Málaga CF', 'clubID': '1084', 'value': '€1.80m'}, {'date': '08/08/2018', 'age': '21', 'clubName': 'Málaga CF', 'clubID': '1084', 'value': '€6.00m'}, {'date': '21/12/2018', 'age': '21', 'clubName': 'CD Leganés', 'clubID': '1244', 'value': '€6.00m'}, {'date': '28/02/2019', 'age': '21', 'clubName': 'CD Leganés', 'clubID': '1244', 'value': '€10.00m'}, {'date': '11/06/2019', 'age': '22', 'clubName': 'CD Leganés', 'clubID': '1244', 'value': '€12.00m'}, {'date': '20/12/2019', 'age': '22', 'clubName': 'CD Leganés', 'clubID': '1244', 'value': '€12.00m'}, {'date': '11/02/2020', 'age': '22', 'clubName': 'Sevilla FC', 'clubID': '368', 'value': '€15.00m'}, {'date': '08/04/2020', 'age': '22', 'clubName': 'Sevilla FC', 'clubID': '368', 'value': '€12.00m'}, {'date': '08/10/2020', 'age': '23', 'clubName': 'Sevilla FC', 'clubID': '368', 'value': '€12.00m'}, {'date': '05/01/2021', 'age': '23', 'clubName': 'Sevilla FC', 'clubID': '368', 'value': '€15.00m'}, {'date': '19/03/2021', 'age': '23', 'clubName': 'Sevilla FC', 'clubID': '368', 'value': '€30.00m'}, {'date': '10/06/2021', 'age': '24', 'clubName': 'Sevilla FC', 'clubID': '368', 'value': '€40.00m'}, {'date': '30/12/2021', 'age': '24', 'clubName': 'Sevilla FC', 'clubID': '368', 'value': '€40.00m'}, {'date': '21/03/2022', 'age': '24', 'clubName': 'Sevilla FC', 'clubID': '368', 'value': '€35.00m'}, {'date': '03/06/2022', 'age': '25', 'clubName': 'Sevilla FC', 'clubID': '368', 'value': '€25.00m'}, {'date': '23/09/2022', 'age': '25', 'clubName': 'Sevilla FC', 'clubID': '368', 'value': '€20.00m'}, {'date': '07/11/2022', 'age': '25', 'clubName': 'Sevilla FC', 'clubID': '368', 'value': '€12.00m'}, {'date': '23/12/2022', 'age': '25', 'clubName': 'Sevilla FC', 'clubID': '368', 'value': '€15.00m'}, {'date': '13/06/2023', 'age': '26', 'clubName': 'Sevilla FC', 'clubID': '368', 'value': '€20.00m'}, {'date': '22/12/2023', 'age': '26', 'clubName': 'Sevilla FC', 'clubID': '368', 'value': '€18.00m'}, {'date': '07/06/2024', 'age': '27', 'clubName': 'Sevilla FC', 'clubID': '368', 'value': '€20.00m'}, {'date': '04/10/2024', 'age': '27', 'clubName': 'Fenerbahce', 'clubID': '36', 'value': '€22.00m'}, {'date': '23/12/2024', 'age': '27', 'clubName': 'Fenerbahce', 'clubID': '36', 'value': '€22.00m'}, {'date': '20/03/2025', 'age': '27', 'clubName': 'Fenerbahce', 'clubID': '36', 'value': '€24.00m'}, {'date': '18/06/2025', 'age': '28', 'clubName': 'Fenerbahce', 'clubID': '36', 'value': '€24.00m'}, {'date': '17/12/2025', 'age': '28', 'clubName': 'Fenerbahce', 'clubID': '36', 'value': '€22.00m'}, {'date': '30/03/2026', 'age': '28', 'clubName': 'Al-Ittihad Club', 'clubID': '8023', 'value': '€20.00m'}]}</t>
        </is>
      </c>
      <c r="L619" t="inlineStr">
        <is>
          <t>Morocco</t>
        </is>
      </c>
      <c r="M619" t="inlineStr">
        <is>
          <t>1997-06-01</t>
        </is>
      </c>
      <c r="N619" t="inlineStr">
        <is>
          <t>92</t>
        </is>
      </c>
      <c r="O619">
        <f>(35+25+20+12+15)/5</f>
        <v/>
      </c>
      <c r="P619">
        <f>(15+30+40+40)/4</f>
        <v/>
      </c>
    </row>
    <row r="620">
      <c r="A620" t="inlineStr">
        <is>
          <t>Supryaha</t>
        </is>
      </c>
      <c r="B620" t="inlineStr">
        <is>
          <t>Dynamo Kyiv</t>
        </is>
      </c>
      <c r="C620" t="inlineStr">
        <is>
          <t>Forward</t>
        </is>
      </c>
      <c r="D620" t="n">
        <v>81</v>
      </c>
      <c r="E620" t="n">
        <v>2</v>
      </c>
      <c r="F620" t="n">
        <v>0</v>
      </c>
      <c r="G620" t="n">
        <v>0</v>
      </c>
      <c r="H620" t="n">
        <v>10.9</v>
      </c>
      <c r="I620" t="n">
        <v>30.9</v>
      </c>
      <c r="J620" t="n">
        <v>419061</v>
      </c>
      <c r="K620" t="inlineStr">
        <is>
          <t>{'marketValueHistory': [{'date': 'Aug 9, 2018', 'age': '18', 'clubName': 'SC Dnipro-1', 'clubID': '60551', 'value': '€300k'}, {'date': 'Dec 10, 2018', 'age': '18', 'clubName': 'Dynamo Kyiv', 'clubID': '338', 'value': '€4.50m'}, {'date': 'Jun 20, 2019', 'age': '19', 'clubName': 'Dynamo Kyiv', 'clubID': '338', 'value': '€3.00m'}, {'date': 'Jan 8, 2020', 'age': '19', 'clubName': 'SC Dnipro-1', 'clubID': '60551', 'value': '€3.00m'}, {'date': 'Apr 8, 2020', 'age': '20', 'clubName': 'SC Dnipro-1', 'clubID': '60551', 'value': '€2.70m'}, {'date': 'Sep 4, 2020', 'age': '20', 'clubName': 'Dynamo Kyiv', 'clubID': '338', 'value': '€7.00m'}, {'date': 'Jan 14, 2021', 'age': '20', 'clubName': 'Dynamo Kyiv', 'clubID': '338', 'value': '€7.50m'}, {'date': 'Jun 7, 2021', 'age': '21', 'clubName': 'Dynamo Kyiv', 'clubID': '338', 'value': '€6.00m'}, {'date': 'Dec 20, 2021', 'age': '21', 'clubName': 'Dynamo Kyiv', 'clubID': '338', 'value': '€4.00m'}, {'date': 'Jun 7, 2022', 'age': '22', 'clubName': 'UC Sampdoria', 'clubID': '1038', 'value': '€3.00m'}, {'date': 'Sep 6, 2022', 'age': '22', 'clubName': 'Dynamo Kyiv', 'clubID': '338', 'value': '€2.50m'}, {'date': 'Dec 6, 2022', 'age': '22', 'clubName': 'Dynamo Kyiv', 'clubID': '338', 'value': '€1.80m'}, {'date': 'Jun 21, 2023', 'age': '23', 'clubName': 'Dynamo Kyiv', 'clubID': '338', 'value': '€1.00m'}, {'date': 'Dec 11, 2023', 'age': '23', 'clubName': 'Dynamo Kyiv', 'clubID': '338', 'value': '€800k'}, {'date': 'Jun 6, 2024', 'age': '24', 'clubName': 'Dynamo Kyiv', 'clubID': '338', 'value': '€600k'}, {'date': 'Dec 17, 2024', 'age': '24', 'clubName': 'Zorya Lugansk', 'clubID': '10690', 'value': '€500k'}, {'date': 'Jun 10, 2025', 'age': '25', 'clubName': 'Zorya Lugansk', 'clubID': '10690', 'value': '€400k'}, {'date': 'Dec 18, 2025', 'age': '25', 'clubName': 'Epicentr Kamyanets-Podilskyi', 'clubID': '84122', 'value': '€400k'}]}</t>
        </is>
      </c>
      <c r="L620" t="inlineStr">
        <is>
          <t>Ukraine</t>
        </is>
      </c>
      <c r="M620" t="inlineStr">
        <is>
          <t>2000-02-15</t>
        </is>
      </c>
      <c r="N620" t="inlineStr">
        <is>
          <t>Ukraine</t>
        </is>
      </c>
      <c r="O620">
        <f>(3+2.5+1.8)/3</f>
        <v/>
      </c>
      <c r="P620">
        <f>(7.5+6+4)/3</f>
        <v/>
      </c>
    </row>
    <row r="621">
      <c r="A621" t="inlineStr">
        <is>
          <t>De Winter</t>
        </is>
      </c>
      <c r="B621" t="inlineStr">
        <is>
          <t>Juventus</t>
        </is>
      </c>
      <c r="C621" t="inlineStr">
        <is>
          <t>Defender</t>
        </is>
      </c>
      <c r="D621" t="n">
        <v>81</v>
      </c>
      <c r="E621" t="n">
        <v>2</v>
      </c>
      <c r="F621" t="n">
        <v>0</v>
      </c>
      <c r="G621" t="n">
        <v>0</v>
      </c>
      <c r="H621" t="n">
        <v>10.8</v>
      </c>
      <c r="I621" t="n">
        <v>32.4</v>
      </c>
      <c r="J621" t="n">
        <v>490384</v>
      </c>
      <c r="K621" t="inlineStr">
        <is>
          <t>{'marketValueHistory': [{'date': '30/06/2021', 'age': '19', 'clubName': 'Juventus Primavera', 'clubID': '11008', 'value': '€400k'}, {'date': '20/12/2021', 'age': '19', 'clubName': 'Juventus U23', 'clubID': '41101', 'value': '€2.00m'}, {'date': '20/06/2022', 'age': '20', 'clubName': 'Juventus U23', 'clubID': '41101', 'value': '€2.20m'}, {'date': '11/11/2022', 'age': '20', 'clubName': 'FC Empoli', 'clubID': '749', 'value': '€4.00m'}, {'date': '15/06/2023', 'age': '21', 'clubName': 'FC Empoli', 'clubID': '749', 'value': '€4.00m'}, {'date': '20/12/2023', 'age': '21', 'clubName': 'Genoa CFC', 'clubID': '252', 'value': '€7.00m'}, {'date': '12/03/2024', 'age': '21', 'clubName': 'Genoa CFC', 'clubID': '252', 'value': '€10.00m'}, {'date': '05/06/2024', 'age': '21', 'clubName': 'Genoa CFC', 'clubID': '252', 'value': '€12.00m'}, {'date': '18/12/2024', 'age': '22', 'clubName': 'Genoa CFC', 'clubID': '252', 'value': '€12.00m'}, {'date': '25/03/2025', 'age': '22', 'clubName': 'Genoa CFC', 'clubID': '252', 'value': '€18.00m'}, {'date': '17/06/2025', 'age': '23', 'clubName': 'Genoa CFC', 'clubID': '252', 'value': '€22.00m'}, {'date': '23/12/2025', 'age': '23', 'clubName': 'AC Milan', 'clubID': '5', 'value': '€20.00m'}, {'date': '24/03/2026', 'age': '23', 'clubName': 'AC Milan', 'clubID': '5', 'value': '€23.00m'}]}</t>
        </is>
      </c>
      <c r="L621" t="inlineStr">
        <is>
          <t>Belgium</t>
        </is>
      </c>
      <c r="M621" t="inlineStr">
        <is>
          <t>2002-06-12</t>
        </is>
      </c>
      <c r="N621" t="inlineStr">
        <is>
          <t>Belgium</t>
        </is>
      </c>
      <c r="O621">
        <f>(2.2+4)/2</f>
        <v/>
      </c>
      <c r="P621">
        <f>(0.4+2)/2</f>
        <v/>
      </c>
    </row>
    <row r="622">
      <c r="A622" t="inlineStr">
        <is>
          <t>Kulusevski</t>
        </is>
      </c>
      <c r="B622" t="inlineStr">
        <is>
          <t>Juventus</t>
        </is>
      </c>
      <c r="C622" t="inlineStr">
        <is>
          <t>Midfielder</t>
        </is>
      </c>
      <c r="D622" t="n">
        <v>80</v>
      </c>
      <c r="E622" t="n">
        <v>5</v>
      </c>
      <c r="F622" t="n">
        <v>1</v>
      </c>
      <c r="G622" t="n">
        <v>0</v>
      </c>
      <c r="H622" t="n">
        <v>14.3</v>
      </c>
      <c r="I622" t="n">
        <v>32.9</v>
      </c>
      <c r="J622" t="n">
        <v>431755</v>
      </c>
      <c r="K622" t="inlineStr">
        <is>
          <t>{'id': '431755', 'marketValue': '€55.00m', 'marketValueHistory': [{'age': '19', 'date': 'Jun 17, 2019', 'clubName': 'Atalanta BC', 'value': '€1.00m', 'clubID': '800'}, {'age': '19', 'date': 'Oct 8, 2019', 'clubName': 'Parma Calcio 1913', 'value': '€6.00m', 'clubID': '130'}, {'age': '19', 'date': 'Dec 12, 2019', 'clubName': 'Parma Calcio 1913', 'value': '€25.00m', 'clubID': '130'}, {'age': '19', 'date': 'Feb 11, 2020', 'clubName': 'Parma Calcio 1913', 'value': '€35.00m', 'clubID': '130'}, {'age': '19', 'date': 'Apr 8, 2020', 'clubName': 'Parma Calcio 1913', 'value': '€31.50m', 'clubID': '130'}, {'age': '20', 'date': 'Aug 25, 2020', 'clubName': 'Parma Calcio 1913', 'value': '€40.00m', 'clubID': '130'}, {'age': '20', 'date': 'Oct 29, 2020', 'clubName': 'Juventus FC', 'value': '€45.00m', 'clubID': '506'}, {'age': '20', 'date': 'Dec 29, 2020', 'clubName': 'Juventus FC', 'value': '€45.00m', 'clubID': '506'}, {'age': '21', 'date': 'May 31, 2021', 'clubName': 'Juventus FC', 'value': '€40.00m', 'clubID': '506'}, {'age': '21', 'date': 'Oct 14, 2021', 'clubName': 'Juventus FC', 'value': '€35.00m', 'clubID': '506'}, {'age': '21', 'date': 'Dec 28, 2021', 'clubName': 'Juventus FC', 'value': '€30.00m', 'clubID': '506'}, {'age': '21', 'date': 'Mar 29, 2022', 'clubName': 'Tottenham Hotspur', 'value': '€35.00m', 'clubID': '148'}, {'age': '22', 'date': 'Jun 15, 2022', 'clubName': 'Tottenham Hotspur', 'value': '€40.00m', 'clubID': '148'}, {'age': '22', 'date': 'Sep 15, 2022', 'clubName': 'Tottenham Hotspur', 'value': '€50.00m', 'clubID': '148'}, {'age': '22', 'date': 'Nov 3, 2022', 'clubName': 'Tottenham Hotspur', 'value': '€50.00m', 'clubID': '148'}, {'age': '22', 'date': 'Mar 16, 2023', 'clubName': 'Tottenham Hotspur', 'value': '€55.00m', 'clubID': '148'}, {'age': '23', 'date': 'Jun 20, 2023', 'clubName': 'Tottenham Hotspur', 'value': '€50.00m', 'clubID': '148'}, {'age': '23', 'date': 'Dec 19, 2023', 'clubName': 'Tottenham Hotspur', 'value': '€55.00m', 'clubID': '148'}], 'ranking': {'Worldwide': '79', 'Premier League': '39', 'Tottenham': '3', 'Sweden': '2', 'Right Winger': '9', 'Year 2000': '10'}, 'updatedAt': datetime.datetime(2024, 5, 23, 22, 28, 43, 916508)}</t>
        </is>
      </c>
      <c r="L622" t="inlineStr">
        <is>
          <t>Sweden</t>
        </is>
      </c>
      <c r="M622" t="inlineStr">
        <is>
          <t>2000-04-25</t>
        </is>
      </c>
      <c r="N622" t="inlineStr">
        <is>
          <t>45</t>
        </is>
      </c>
      <c r="O622">
        <f>(35+40+50+50)/4</f>
        <v/>
      </c>
      <c r="P622">
        <f>(40+35+30)/3</f>
        <v/>
      </c>
    </row>
    <row r="623">
      <c r="A623" t="inlineStr">
        <is>
          <t>Augustinsson</t>
        </is>
      </c>
      <c r="B623" t="inlineStr">
        <is>
          <t>Sevilla</t>
        </is>
      </c>
      <c r="C623" t="inlineStr">
        <is>
          <t>Defender</t>
        </is>
      </c>
      <c r="D623" t="n">
        <v>80</v>
      </c>
      <c r="E623" t="n">
        <v>3</v>
      </c>
      <c r="F623" t="n">
        <v>0</v>
      </c>
      <c r="G623" t="n">
        <v>0</v>
      </c>
      <c r="H623" t="n">
        <v>11.1</v>
      </c>
      <c r="I623" t="n">
        <v>31.1</v>
      </c>
      <c r="J623" t="n">
        <v>170646</v>
      </c>
      <c r="K623" t="inlineStr">
        <is>
          <t>{'marketValueHistory': [{'date': 'Aug 11, 2012', 'age': '18', 'clubName': 'IF Brommapojkarna', 'clubID': '1092', 'value': '€150k'}, {'date': 'Jun 26, 2013', 'age': '19', 'clubName': 'IFK Göteborg', 'clubID': '801', 'value': '€700k'}, {'date': 'Mar 28, 2014', 'age': '19', 'clubName': 'IFK Göteborg', 'clubID': '801', 'value': '€700k'}, {'date': 'Feb 6, 2015', 'age': '20', 'clubName': 'FC Copenhagen', 'clubID': '190', 'value': '€700k'}, {'date': 'Sep 2, 2015', 'age': '21', 'clubName': 'FC Copenhagen', 'clubID': '190', 'value': '€2.00m'}, {'date': 'Jan 21, 2016', 'age': '21', 'clubName': 'FC Copenhagen', 'clubID': '190', 'value': '€3.00m'}, {'date': 'Jun 1, 2016', 'age': '22', 'clubName': 'FC Copenhagen', 'clubID': '190', 'value': '€3.50m'}, {'date': 'Aug 12, 2016', 'age': '22', 'clubName': 'FC Copenhagen', 'clubID': '190', 'value': '€3.50m'}, {'date': 'Dec 12, 2016', 'age': '22', 'clubName': 'FC Copenhagen', 'clubID': '190', 'value': '€4.00m'}, {'date': 'Jun 21, 2017', 'age': '23', 'clubName': 'FC Copenhagen', 'clubID': '190', 'value': '€4.00m'}, {'date': 'Dec 28, 2017', 'age': '23', 'clubName': 'SV Werder Bremen', 'clubID': '86', 'value': '€4.50m'}, {'date': 'Apr 4, 2018', 'age': '23', 'clubName': 'SV Werder Bremen', 'clubID': '86', 'value': '€6.50m'}, {'date': 'Jun 5, 2018', 'age': '24', 'clubName': 'SV Werder Bremen', 'clubID': '86', 'value': '€7.50m'}, {'date': 'Jul 16, 2018', 'age': '24', 'clubName': 'SV Werder Bremen', 'clubID': '86', 'value': '€12.00m'}, {'date': 'Dec 18, 2018', 'age': '24', 'clubName': 'SV Werder Bremen', 'clubID': '86', 'value': '€12.00m'}, {'date': 'Jun 5, 2019', 'age': '25', 'clubName': 'SV Werder Bremen', 'clubID': '86', 'value': '€12.00m'}, {'date': 'Dec 17, 2019', 'age': '25', 'clubName': 'SV Werder Bremen', 'clubID': '86', 'value': '€12.00m'}, {'date': 'Apr 8, 2020', 'age': '25', 'clubName': 'SV Werder Bremen', 'clubID': '86', 'value': '€9.50m'}, {'date': 'Sep 16, 2020', 'age': '26', 'clubName': 'SV Werder Bremen', 'clubID': '86', 'value': '€8.00m'}, {'date': 'Feb 10, 2021', 'age': '26', 'clubName': 'SV Werder Bremen', 'clubID': '86', 'value': '€10.00m'}, {'date': 'May 31, 2021', 'age': '27', 'clubName': 'SV Werder Bremen', 'clubID': '86', 'value': '€10.00m'}, {'date': 'Oct 13, 2021', 'age': '27', 'clubName': 'Sevilla FC', 'clubID': '368', 'value': '€7.50m'}, {'date': 'Dec 30, 2021', 'age': '27', 'clubName': 'Sevilla FC', 'clubID': '368', 'value': '€7.00m'}, {'date': 'Jun 3, 2022', 'age': '28', 'clubName': 'Sevilla FC', 'clubID': '368', 'value': '€5.00m'}, {'date': 'Nov 3, 2022', 'age': '28', 'clubName': 'Aston Villa', 'clubID': '405', 'value': '€4.00m'}, {'date': 'Mar 23, 2023', 'age': '28', 'clubName': 'RCD Mallorca', 'clubID': '237', 'value': '€3.00m'}, {'date': 'Jun 13, 2023', 'age': '29', 'clubName': 'RCD Mallorca', 'clubID': '237', 'value': '€2.50m'}, {'date': 'Dec 19, 2023', 'age': '29', 'clubName': 'RSC Anderlecht', 'clubID': '58', 'value': '€3.00m'}, {'date': 'Jun 4, 2024', 'age': '30', 'clubName': 'RSC Anderlecht', 'clubID': '58', 'value': '€4.00m'}, {'date': 'Dec 11, 2024', 'age': '30', 'clubName': 'RSC Anderlecht', 'clubID': '58', 'value': '€4.00m'}, {'date': 'Mar 26, 2025', 'age': '30', 'clubName': 'RSC Anderlecht', 'clubID': '58', 'value': '€3.50m'}, {'date': 'Jun 12, 2025', 'age': '31', 'clubName': 'RSC Anderlecht', 'clubID': '58', 'value': '€3.00m'}, {'date': 'Oct 1, 2025', 'age': '31', 'clubName': 'RSC Anderlecht', 'clubID': '58', 'value': '€2.50m'}, {'date': 'Dec 10, 2025', 'age': '31', 'clubName': 'RSC Anderlecht', 'clubID': '58', 'value': '€2.00m'}]}</t>
        </is>
      </c>
      <c r="L623" t="inlineStr">
        <is>
          <t>Sweden</t>
        </is>
      </c>
      <c r="M623" t="inlineStr">
        <is>
          <t>1994-04-21</t>
        </is>
      </c>
      <c r="N623" t="inlineStr">
        <is>
          <t>Sweden</t>
        </is>
      </c>
      <c r="O623">
        <f>(5+4)/2</f>
        <v/>
      </c>
      <c r="P623">
        <f>(10+10+7.5+7)/4</f>
        <v/>
      </c>
    </row>
    <row r="624">
      <c r="A624" t="inlineStr">
        <is>
          <t>Radeljic</t>
        </is>
      </c>
      <c r="B624" t="inlineStr">
        <is>
          <t>Sheriff</t>
        </is>
      </c>
      <c r="C624" t="inlineStr">
        <is>
          <t>Defender</t>
        </is>
      </c>
      <c r="D624" t="n">
        <v>79</v>
      </c>
      <c r="E624" t="n">
        <v>3</v>
      </c>
      <c r="F624" t="n">
        <v>0</v>
      </c>
      <c r="G624" t="n">
        <v>0</v>
      </c>
      <c r="H624" t="n">
        <v>10.2</v>
      </c>
      <c r="I624" t="n">
        <v>29.1</v>
      </c>
      <c r="J624" t="n">
        <v>384568</v>
      </c>
      <c r="K624" t="inlineStr">
        <is>
          <t>{'marketValueHistory': [{'date': '09/08/2016', 'age': '18', 'clubName': 'VfB Stuttgart II', 'clubID': '102', 'value': '€50k'}, {'date': '06/02/2017', 'age': '19', 'clubName': 'VfB Stuttgart II', 'clubID': '102', 'value': '€100k'}, {'date': '21/08/2017', 'age': '19', 'clubName': 'VfB Stuttgart II', 'clubID': '102', 'value': '€100k'}, {'date': '04/02/2018', 'age': '20', 'clubName': 'VfB Stuttgart II', 'clubID': '102', 'value': '€75k'}, {'date': '25/09/2018', 'age': '21', 'clubName': 'NK Osijek II', 'clubID': '59009', 'value': '€150k'}, {'date': '27/12/2019', 'age': '22', 'clubName': 'NK Osijek II', 'clubID': '59009', 'value': '€50k'}, {'date': '26/06/2020', 'age': '22', 'clubName': 'NK Siroki Brijeg', 'clubID': '1242', 'value': '€50k'}, {'date': '09/09/2020', 'age': '23', 'clubName': 'NK Siroki Brijeg', 'clubID': '1242', 'value': '€150k'}, {'date': '16/12/2020', 'age': '23', 'clubName': 'NK Siroki Brijeg', 'clubID': '1242', 'value': '€350k'}, {'date': '24/05/2021', 'age': '23', 'clubName': 'FC Sheriff Tiraspol', 'clubID': '2481', 'value': '€350k'}, {'date': '25/12/2021', 'age': '24', 'clubName': 'FC Sheriff Tiraspol', 'clubID': '2481', 'value': '€500k'}, {'date': '23/05/2022', 'age': '24', 'clubName': 'FC Sheriff Tiraspol', 'clubID': '2481', 'value': '€550k'}, {'date': '05/11/2022', 'age': '25', 'clubName': 'FC Sheriff Tiraspol', 'clubID': '2481', 'value': '€750k'}, {'date': '08/06/2023', 'age': '25', 'clubName': 'FC Sheriff Tiraspol', 'clubID': '2481', 'value': '€750k'}, {'date': '18/12/2023', 'age': '26', 'clubName': 'HNK Rijeka', 'clubID': '144', 'value': '€600k'}, {'date': '04/06/2024', 'age': '26', 'clubName': 'HNK Rijeka', 'clubID': '144', 'value': '€2.00m'}, {'date': '23/12/2024', 'age': '27', 'clubName': 'HNK Rijeka', 'clubID': '144', 'value': '€2.00m'}, {'date': '09/06/2025', 'age': '27', 'clubName': 'HNK Rijeka', 'clubID': '144', 'value': '€2.80m'}, {'date': '22/12/2025', 'age': '28', 'clubName': 'HNK Rijeka', 'clubID': '144', 'value': '€2.80m'}]}</t>
        </is>
      </c>
      <c r="L624" t="inlineStr">
        <is>
          <t>Bosnia-Herzegovina</t>
        </is>
      </c>
      <c r="M624" t="inlineStr">
        <is>
          <t>1997-09-05</t>
        </is>
      </c>
      <c r="N624" t="inlineStr">
        <is>
          <t>Bosnia-Herzegovina</t>
        </is>
      </c>
      <c r="O624">
        <f>(0.55+0.75)/2</f>
        <v/>
      </c>
      <c r="P624">
        <f>(0.35+0.5)/2</f>
        <v/>
      </c>
    </row>
    <row r="625">
      <c r="A625" t="inlineStr">
        <is>
          <t>Jovane Cabral</t>
        </is>
      </c>
      <c r="B625" t="inlineStr">
        <is>
          <t>Sporting CP</t>
        </is>
      </c>
      <c r="C625" t="inlineStr">
        <is>
          <t>Forward</t>
        </is>
      </c>
      <c r="D625" t="n">
        <v>79</v>
      </c>
      <c r="E625" t="n">
        <v>3</v>
      </c>
      <c r="F625" t="n">
        <v>0</v>
      </c>
      <c r="G625" t="n">
        <v>0</v>
      </c>
      <c r="H625" t="n">
        <v>9.800000000000001</v>
      </c>
      <c r="I625" t="n">
        <v>28.4</v>
      </c>
      <c r="J625" t="n">
        <v>448466</v>
      </c>
      <c r="K625" t="inlineStr">
        <is>
          <t>{'id': '448466', 'marketValue': '€3.50m', 'marketValueHistory': [{'age': '18', 'date': 'Sep 30, 2016', 'clubName': 'Sporting CP B', 'value': '€50k', 'clubID': '10949'}, {'age': '19', 'date': 'Jun 30, 2017', 'clubName': 'Sporting CP B', 'value': '€175k', 'clubID': '10949'}, {'age': '19', 'date': 'Sep 8, 2017', 'clubName': 'Sporting CP B', 'value': '€400k', 'clubID': '10949'}, {'age': '19', 'date': 'Feb 23, 2018', 'clubName': 'Sporting CP B', 'value': '€400k', 'clubID': '10949'}, {'age': '20', 'date': 'Jun 29, 2018', 'clubName': 'Sporting CP B', 'value': '€275k', 'clubID': '10949'}, {'age': '20', 'date': 'Nov 1, 2018', 'clubName': 'Sporting CP', 'value': '€3.00m', 'clubID': '336'}, {'age': '20', 'date': 'Jan 11, 2019', 'clubName': 'Sporting CP', 'value': '€7.00m', 'clubID': '336'}, {'age': '20', 'date': 'Jun 7, 2019', 'clubName': 'Sporting CP', 'value': '€6.00m', 'clubID': '336'}, {'age': '21', 'date': 'Dec 30, 2019', 'clubName': 'Sporting CP', 'value': '€5.00m', 'clubID': '336'}, {'age': '21', 'date': 'Apr 8, 2020', 'clubName': 'Sporting CP', 'value': '€4.50m', 'clubID': '336'}, {'age': '22', 'date': 'Aug 17, 2020', 'clubName': 'Sporting CP', 'value': '€10.00m', 'clubID': '336'}, {'age': '22', 'date': 'Jan 28, 2021', 'clubName': 'Sporting CP', 'value': '€10.00m', 'clubID': '336'}, {'age': '22', 'date': 'May 21, 2021', 'clubName': 'Sporting CP', 'value': '€8.00m', 'clubID': '336'}, {'age': '23', 'date': 'Dec 27, 2021', 'clubName': 'Sporting CP', 'value': '€7.00m', 'clubID': '336'}, {'age': '23', 'date': 'Jun 7, 2022', 'clubName': 'SS Lazio', 'value': '€5.50m', 'clubID': '398'}, {'age': '24', 'date': 'Nov 1, 2022', 'clubName': 'Sporting CP', 'value': '€5.00m', 'clubID': '336'}, {'age': '24', 'date': 'Mar 2, 2023', 'clubName': 'Sporting CP', 'value': '€3.50m', 'clubID': '336'}, {'age': '25', 'date': 'Jun 16, 2023', 'clubName': 'Sporting CP', 'value': '€3.50m', 'clubID': '336'}, {'age': '25', 'date': 'Dec 20, 2023', 'clubName': 'US Salernitana 1919', 'value': '€3.50m', 'clubID': '380'}], 'ranking': {'Worldwide': '2.586', 'Super League 1': '27', 'Olympiacos': '12', 'Cape Verde': '4', 'Left Winger': '237', 'Year 1998': '236'}, 'updatedAt': datetime.datetime(2024, 5, 23, 22, 34, 35, 643321)}</t>
        </is>
      </c>
      <c r="L625" t="inlineStr">
        <is>
          <t>Cape Verde</t>
        </is>
      </c>
      <c r="M625" t="inlineStr">
        <is>
          <t>1998-06-14</t>
        </is>
      </c>
      <c r="N625" t="inlineStr">
        <is>
          <t>26</t>
        </is>
      </c>
      <c r="O625">
        <f>(5.5+5)/2</f>
        <v/>
      </c>
      <c r="P625">
        <f>(10+8+7)/3</f>
        <v/>
      </c>
    </row>
    <row r="626">
      <c r="A626" t="inlineStr">
        <is>
          <t>Marc Roca</t>
        </is>
      </c>
      <c r="B626" t="inlineStr">
        <is>
          <t>Bayern</t>
        </is>
      </c>
      <c r="C626" t="inlineStr">
        <is>
          <t>Midfielder</t>
        </is>
      </c>
      <c r="D626" t="n">
        <v>78</v>
      </c>
      <c r="E626" t="n">
        <v>4</v>
      </c>
      <c r="F626" t="n">
        <v>0</v>
      </c>
      <c r="G626" t="n">
        <v>0</v>
      </c>
      <c r="H626" t="n">
        <v>11.6</v>
      </c>
      <c r="I626" t="n">
        <v>27.6</v>
      </c>
      <c r="J626" t="n">
        <v>336869</v>
      </c>
      <c r="K626" t="inlineStr">
        <is>
          <t>{'marketValueHistory': [{'date': 'Aug 1, 2016', 'age': '19', 'clubName': 'RCD Espanyol Barcelona', 'clubID': '714', 'value': '€250k'}, {'date': 'Oct 27, 2016', 'age': '19', 'clubName': 'RCD Espanyol Barcelona', 'clubID': '714', 'value': '€1.00m'}, {'date': 'Jan 24, 2017', 'age': '20', 'clubName': 'RCD Espanyol Barcelona', 'clubID': '714', 'value': '€1.00m'}, {'date': 'Jun 5, 2017', 'age': '20', 'clubName': 'RCD Espanyol Barcelona', 'clubID': '714', 'value': '€2.00m'}, {'date': 'Jan 1, 2018', 'age': '21', 'clubName': 'RCD Espanyol Barcelona', 'clubID': '714', 'value': '€1.00m'}, {'date': 'May 30, 2018', 'age': '21', 'clubName': 'RCD Espanyol Barcelona', 'clubID': '714', 'value': '€800k'}, {'date': 'Sep 7, 2018', 'age': '21', 'clubName': 'RCD Espanyol Barcelona', 'clubID': '714', 'value': '€1.50m'}, {'date': 'Oct 1, 2018', 'age': '21', 'clubName': 'RCD Espanyol Barcelona', 'clubID': '714', 'value': '€10.00m'}, {'date': 'Dec 21, 2018', 'age': '22', 'clubName': 'RCD Espanyol Barcelona', 'clubID': '714', 'value': '€12.00m'}, {'date': 'Feb 28, 2019', 'age': '22', 'clubName': 'RCD Espanyol Barcelona', 'clubID': '714', 'value': '€20.00m'}, {'date': 'Jun 11, 2019', 'age': '22', 'clubName': 'RCD Espanyol Barcelona', 'clubID': '714', 'value': '€30.00m'}, {'date': 'Dec 20, 2019', 'age': '23', 'clubName': 'RCD Espanyol Barcelona', 'clubID': '714', 'value': '€20.00m'}, {'date': 'Apr 8, 2020', 'age': '23', 'clubName': 'RCD Espanyol Barcelona', 'clubID': '714', 'value': '€16.00m'}, {'date': 'Oct 8, 2020', 'age': '23', 'clubName': 'Bayern Munich', 'clubID': '27', 'value': '€16.00m'}, {'date': 'Feb 10, 2021', 'age': '24', 'clubName': 'Bayern Munich', 'clubID': '27', 'value': '€12.00m'}, {'date': 'Jun 9, 2021', 'age': '24', 'clubName': 'Bayern Munich', 'clubID': '27', 'value': '€10.00m'}, {'date': 'Oct 7, 2021', 'age': '24', 'clubName': 'Bayern Munich', 'clubID': '27', 'value': '€8.00m'}, {'date': 'Dec 22, 2021', 'age': '25', 'clubName': 'Bayern Munich', 'clubID': '27', 'value': '€7.00m'}, {'date': 'Jun 9, 2022', 'age': '25', 'clubName': 'Bayern Munich', 'clubID': '27', 'value': '€7.00m'}, {'date': 'Sep 15, 2022', 'age': '25', 'clubName': 'Leeds United', 'clubID': '399', 'value': '€12.00m'}, {'date': 'Nov 3, 2022', 'age': '25', 'clubName': 'Leeds United', 'clubID': '399', 'value': '€12.00m'}, {'date': 'Mar 16, 2023', 'age': '26', 'clubName': 'Leeds United', 'clubID': '399', 'value': '€15.00m'}, {'date': 'Jun 20, 2023', 'age': '26', 'clubName': 'Leeds United', 'clubID': '399', 'value': '€10.00m'}, {'date': 'Dec 22, 2023', 'age': '27', 'clubName': 'Real Betis Balompié', 'clubID': '150', 'value': '€10.00m'}, {'date': 'Jun 7, 2024', 'age': '27', 'clubName': 'Real Betis Balompié', 'clubID': '150', 'value': '€9.00m'}, {'date': 'Dec 27, 2024', 'age': '28', 'clubName': 'Real Betis Balompié', 'clubID': '150', 'value': '€8.00m'}, {'date': 'Jun 9, 2025', 'age': '28', 'clubName': 'Real Betis Balompié', 'clubID': '150', 'value': '€6.00m'}, {'date': 'Oct 2, 2025', 'age': '28', 'clubName': 'Real Betis Balompié', 'clubID': '150', 'value': '€4.00m'}, {'date': 'Dec 12, 2025', 'age': '29', 'clubName': 'Real Betis Balompié', 'clubID': '150', 'value': '€4.00m'}]}</t>
        </is>
      </c>
      <c r="L626" t="inlineStr">
        <is>
          <t>Spain</t>
        </is>
      </c>
      <c r="M626" t="inlineStr">
        <is>
          <t>1996-11-26</t>
        </is>
      </c>
      <c r="N626" t="inlineStr">
        <is>
          <t>Spain</t>
        </is>
      </c>
      <c r="O626">
        <f>(7+12+12)/3</f>
        <v/>
      </c>
      <c r="P626">
        <f>(12+10+8+7)/4</f>
        <v/>
      </c>
    </row>
    <row r="627">
      <c r="A627" t="inlineStr">
        <is>
          <t>Kanga</t>
        </is>
      </c>
      <c r="B627" t="inlineStr">
        <is>
          <t>Young Boys</t>
        </is>
      </c>
      <c r="C627" t="inlineStr">
        <is>
          <t>Forward</t>
        </is>
      </c>
      <c r="D627" t="n">
        <v>75</v>
      </c>
      <c r="E627" t="n">
        <v>5</v>
      </c>
      <c r="F627" t="n">
        <v>0</v>
      </c>
      <c r="G627" t="n">
        <v>0</v>
      </c>
      <c r="H627" t="n">
        <v>10.1</v>
      </c>
      <c r="I627" t="n">
        <v>32.2</v>
      </c>
      <c r="J627" t="n">
        <v>231306</v>
      </c>
      <c r="K627" t="inlineStr">
        <is>
          <t>{'marketValueHistory': [{'date': 'Feb 9, 2013', 'age': '22', 'clubName': 'FC Rostov', 'clubID': '1083', 'value': '€100k'}, {'date': 'Jun 19, 2013', 'age': '22', 'clubName': 'FC Rostov', 'clubID': '1083', 'value': '€1.00m'}, {'date': 'Sep 13, 2013', 'age': '23', 'clubName': 'FC Rostov', 'clubID': '1083', 'value': '€1.20m'}, {'date': 'Mar 28, 2014', 'age': '23', 'clubName': 'FC Rostov', 'clubID': '1083', 'value': '€1.60m'}, {'date': 'Jul 31, 2014', 'age': '23', 'clubName': 'FC Rostov', 'clubID': '1083', 'value': '€2.00m'}, {'date': 'Feb 23, 2015', 'age': '24', 'clubName': 'FC Rostov', 'clubID': '1083', 'value': '€2.00m'}, {'date': 'Jun 18, 2015', 'age': '24', 'clubName': 'FC Rostov', 'clubID': '1083', 'value': '€2.00m'}, {'date': 'Jan 6, 2016', 'age': '25', 'clubName': 'FC Rostov', 'clubID': '1083', 'value': '€2.50m'}, {'date': 'May 25, 2016', 'age': '25', 'clubName': 'FC Rostov', 'clubID': '1083', 'value': '€2.50m'}, {'date': 'Dec 18, 2016', 'age': '26', 'clubName': 'Red Star Belgrade', 'clubID': '159', 'value': '€2.50m'}, {'date': 'May 4, 2017', 'age': '26', 'clubName': 'Red Star Belgrade', 'clubID': '159', 'value': '€3.00m'}, {'date': 'Jan 10, 2018', 'age': '27', 'clubName': 'Red Star Belgrade', 'clubID': '159', 'value': '€3.00m'}, {'date': 'Jul 14, 2018', 'age': '27', 'clubName': 'AC Sparta Prague', 'clubID': '197', 'value': '€3.00m'}, {'date': 'Oct 29, 2018', 'age': '28', 'clubName': 'AC Sparta Prague', 'clubID': '197', 'value': '€3.50m'}, {'date': 'Dec 30, 2018', 'age': '28', 'clubName': 'AC Sparta Prague', 'clubID': '197', 'value': '€3.50m'}, {'date': 'Jun 25, 2019', 'age': '28', 'clubName': 'AC Sparta Prague', 'clubID': '197', 'value': '€3.50m'}, {'date': 'Sep 25, 2019', 'age': '29', 'clubName': 'AC Sparta Prague', 'clubID': '197', 'value': '€4.50m'}, {'date': 'Dec 7, 2019', 'age': '29', 'clubName': 'AC Sparta Prague', 'clubID': '197', 'value': '€4.50m'}, {'date': 'Apr 8, 2020', 'age': '29', 'clubName': 'AC Sparta Prague', 'clubID': '197', 'value': '€3.50m'}, {'date': 'Jul 10, 2020', 'age': '29', 'clubName': 'AC Sparta Prague', 'clubID': '197', 'value': '€3.50m'}, {'date': 'Dec 22, 2020', 'age': '30', 'clubName': 'Red Star Belgrade', 'clubID': '159', 'value': '€3.50m'}, {'date': 'Jun 12, 2021', 'age': '30', 'clubName': 'Red Star Belgrade', 'clubID': '159', 'value': '€3.20m'}, {'date': 'Dec 25, 2021', 'age': '31', 'clubName': 'Red Star Belgrade', 'clubID': '159', 'value': '€2.50m'}, {'date': 'Jun 26, 2022', 'age': '31', 'clubName': 'Red Star Belgrade', 'clubID': '159', 'value': '€2.50m'}, {'date': 'Nov 18, 2022', 'age': '32', 'clubName': 'Red Star Belgrade', 'clubID': '159', 'value': '€2.30m'}, {'date': 'Jun 22, 2023', 'age': '32', 'clubName': 'Red Star Belgrade', 'clubID': '159', 'value': '€2.30m'}, {'date': 'Dec 27, 2023', 'age': '33', 'clubName': 'Red Star Belgrade', 'clubID': '159', 'value': '€1.50m'}, {'date': 'Jun 10, 2024', 'age': '33', 'clubName': 'Red Star Belgrade', 'clubID': '159', 'value': '€900k'}, {'date': 'Dec 27, 2024', 'age': '34', 'clubName': 'Red Star Belgrade', 'clubID': '159', 'value': '€600k'}, {'date': 'Jun 12, 2025', 'age': '34', 'clubName': 'Red Star Belgrade', 'clubID': '159', 'value': '€500k'}, {'date': 'Oct 8, 2025', 'age': '35', 'clubName': 'Esenler Erokspor', 'clubID': '45269', 'value': '€350k'}, {'date': 'Dec 29, 2025', 'age': '35', 'clubName': 'Esenler Erokspor', 'clubID': '45269', 'value': '€300k'}, {'date': 'Mar 12, 2026', 'age': '35', 'clubName': 'Esenler Erokspor', 'clubID': '45269', 'value': '€250k'}]}</t>
        </is>
      </c>
      <c r="L627" t="inlineStr">
        <is>
          <t>Türkiye</t>
        </is>
      </c>
      <c r="M627" t="inlineStr">
        <is>
          <t>1990-09-01</t>
        </is>
      </c>
      <c r="N627" t="inlineStr">
        <is>
          <t>79</t>
        </is>
      </c>
      <c r="O627">
        <f>(2.5+2.3)/2</f>
        <v/>
      </c>
      <c r="P627">
        <f>(3.2+2.5)/2</f>
        <v/>
      </c>
    </row>
    <row r="628">
      <c r="A628" t="inlineStr">
        <is>
          <t>Cavani</t>
        </is>
      </c>
      <c r="B628" t="inlineStr">
        <is>
          <t>Man United</t>
        </is>
      </c>
      <c r="C628" t="inlineStr">
        <is>
          <t>Forward</t>
        </is>
      </c>
      <c r="D628" t="n">
        <v>75</v>
      </c>
      <c r="E628" t="n">
        <v>4</v>
      </c>
      <c r="F628" t="n">
        <v>0</v>
      </c>
      <c r="G628" t="n">
        <v>0</v>
      </c>
      <c r="H628" t="n">
        <v>11.7</v>
      </c>
      <c r="I628" t="n">
        <v>32.6</v>
      </c>
      <c r="J628" t="n">
        <v>48280</v>
      </c>
      <c r="K628" t="inlineStr">
        <is>
          <t>{'marketValueHistory': [{'date': '08/04/2007', 'age': '20', 'clubName': 'US Palermo', 'clubID': '458', 'value': '€4.85m'}, {'date': '09/02/2008', 'age': '20', 'clubName': 'US Palermo', 'clubID': '458', 'value': '€5.00m'}, {'date': '03/02/2009', 'age': '21', 'clubName': 'US Palermo', 'clubID': '458', 'value': '€8.00m'}, {'date': '06/08/2009', 'age': '22', 'clubName': 'US Palermo', 'clubID': '458', 'value': '€10.50m'}, {'date': '27/01/2010', 'age': '22', 'clubName': 'US Palermo', 'clubID': '458', 'value': '€11.00m'}, {'date': '01/08/2010', 'age': '23', 'clubName': 'SSC Napoli', 'clubID': '6195', 'value': '€15.50m'}, {'date': '10/01/2011', 'age': '23', 'clubName': 'SSC Napoli', 'clubID': '6195', 'value': '€19.00m'}, {'date': '21/06/2011', 'age': '24', 'clubName': 'SSC Napoli', 'clubID': '6195', 'value': '€24.50m'}, {'date': '11/01/2012', 'age': '24', 'clubName': 'SSC Napoli', 'clubID': '6195', 'value': '€28.00m'}, {'date': '28/06/2012', 'age': '25', 'clubName': 'SSC Napoli', 'clubID': '6195', 'value': '€35.00m'}, {'date': '14/01/2013', 'age': '25', 'clubName': 'SSC Napoli', 'clubID': '6195', 'value': '€45.00m'}, {'date': '09/04/2013', 'age': '26', 'clubName': 'SSC Napoli', 'clubID': '6195', 'value': '€55.00m'}, {'date': '19/06/2013', 'age': '26', 'clubName': 'SSC Napoli', 'clubID': '6195', 'value': '€55.00m'}, {'date': '22/07/2013', 'age': '26', 'clubName': 'Paris Saint-Germain', 'clubID': '583', 'value': '€60.00m'}, {'date': '14/01/2014', 'age': '26', 'clubName': 'Paris Saint-Germain', 'clubID': '583', 'value': '€60.00m'}, {'date': '01/08/2014', 'age': '27', 'clubName': 'Paris Saint-Germain', 'clubID': '583', 'value': '€57.00m'}, {'date': '14/01/2015', 'age': '27', 'clubName': 'Paris Saint-Germain', 'clubID': '583', 'value': '€50.00m'}, {'date': '06/06/2015', 'age': '28', 'clubName': 'Paris Saint-Germain', 'clubID': '583', 'value': '€42.00m'}, {'date': '04/02/2016', 'age': '28', 'clubName': 'Paris Saint-Germain', 'clubID': '583', 'value': '€40.00m'}, {'date': '13/07/2016', 'age': '29', 'clubName': 'Paris Saint-Germain', 'clubID': '583', 'value': '€37.00m'}, {'date': '01/11/2016', 'age': '29', 'clubName': 'Paris Saint-Germain', 'clubID': '583', 'value': '€40.00m'}, {'date': '16/01/2017', 'age': '29', 'clubName': 'Paris Saint-Germain', 'clubID': '583', 'value': '€45.00m'}, {'date': '01/06/2017', 'age': '30', 'clubName': 'Paris Saint-Germain', 'clubID': '583', 'value': '€45.00m'}, {'date': '24/01/2018', 'age': '30', 'clubName': 'Paris Saint-Germain', 'clubID': '583', 'value': '€60.00m'}, {'date': '04/06/2018', 'age': '31', 'clubName': 'Paris Saint-Germain', 'clubID': '583', 'value': '€60.00m'}, {'date': '17/12/2018', 'age': '31', 'clubName': 'Paris Saint-Germain', 'clubID': '583', 'value': '€55.00m'}, {'date': '07/03/2019', 'age': '32', 'clubName': 'Paris Saint-Germain', 'clubID': '583', 'value': '€50.00m'}, {'date': '03/06/2019', 'age': '32', 'clubName': 'Paris Saint-Germain', 'clubID': '583', 'value': '€40.00m'}, {'date': '19/12/2019', 'age': '32', 'clubName': 'Paris Saint-Germain', 'clubID': '583', 'value': '€25.00m'}, {'date': '08/04/2020', 'age': '33', 'clubName': 'Paris Saint-Germain', 'clubID': '583', 'value': '€20.00m'}, {'date': '13/10/2020', 'age': '33', 'clubName': 'Manchester United', 'clubID': '985', 'value': '€12.00m'}, {'date': '18/03/2021', 'age': '34', 'clubName': 'Manchester United', 'clubID': '985', 'value': '€7.00m'}, {'date': '08/06/2021', 'age': '34', 'clubName': 'Manchester United', 'clubID': '985', 'value': '€6.00m'}, {'date': '23/12/2021', 'age': '34', 'clubName': 'Manchester United', 'clubID': '985', 'value': '€4.00m'}, {'date': '15/06/2022', 'age': '35', 'clubName': 'Manchester United', 'clubID': '985', 'value': '€4.00m'}, {'date': '07/11/2022', 'age': '35', 'clubName': 'Valencia CF', 'clubID': '1049', 'value': '€5.00m'}, {'date': '23/03/2023', 'age': '36', 'clubName': 'Valencia CF', 'clubID': '1049', 'value': '€4.00m'}, {'date': '13/06/2023', 'age': '36', 'clubName': 'Valencia CF', 'clubID': '1049', 'value': '€3.00m'}, {'date': '04/10/2023', 'age': '36', 'clubName': 'CA Boca Juniors', 'clubID': '189', 'value': '€2.50m'}, {'date': '19/12/2023', 'age': '36', 'clubName': 'CA Boca Juniors', 'clubID': '189', 'value': '€2.00m'}, {'date': '11/03/2024', 'age': '37', 'clubName': 'CA Boca Juniors', 'clubID': '189', 'value': '€1.00m'}, {'date': '12/06/2024', 'age': '37', 'clubName': 'CA Boca Juniors', 'clubID': '189', 'value': '€1.00m'}, {'date': '13/12/2024', 'age': '37', 'clubName': 'CA Boca Juniors', 'clubID': '189', 'value': '€1.00m'}, {'date': '02/06/2025', 'age': '38', 'clubName': 'CA Boca Juniors', 'clubID': '189', 'value': '€1.00m'}, {'date': '24/09/2025', 'age': '38', 'clubName': 'CA Boca Juniors', 'clubID': '189', 'value': '€500k'}, {'date': '17/12/2025', 'age': '38', 'clubName': 'CA Boca Juniors', 'clubID': '189', 'value': '€500k'}]}</t>
        </is>
      </c>
      <c r="L628" t="inlineStr">
        <is>
          <t>Uruguay</t>
        </is>
      </c>
      <c r="M628" t="inlineStr">
        <is>
          <t>1987-02-14</t>
        </is>
      </c>
      <c r="N628" t="inlineStr">
        <is>
          <t>Uruguay</t>
        </is>
      </c>
      <c r="O628">
        <f>(4+5)/2</f>
        <v/>
      </c>
      <c r="P628">
        <f>(7+6+4)/3</f>
        <v/>
      </c>
    </row>
    <row r="629">
      <c r="A629" t="inlineStr">
        <is>
          <t>Gokhan Tore</t>
        </is>
      </c>
      <c r="B629" t="inlineStr">
        <is>
          <t>Besiktas</t>
        </is>
      </c>
      <c r="C629" t="inlineStr">
        <is>
          <t>Midfielder</t>
        </is>
      </c>
      <c r="D629" t="n">
        <v>75</v>
      </c>
      <c r="E629" t="n">
        <v>4</v>
      </c>
      <c r="F629" t="n">
        <v>0</v>
      </c>
      <c r="G629" t="n">
        <v>0</v>
      </c>
      <c r="H629" t="n">
        <v>11.2</v>
      </c>
      <c r="I629" t="n">
        <v>31.1</v>
      </c>
      <c r="J629" t="n">
        <v>82130</v>
      </c>
      <c r="K629" t="inlineStr">
        <is>
          <t>{'marketValueHistory': [{'date': '01/02/2009', 'age': '17', 'clubName': 'Chelsea FC U18', 'clubID': '6918', 'value': '€50k'}, {'date': '25/09/2010', 'age': '18', 'clubName': 'Chelsea FC Reserves', 'clubID': '9250', 'value': '-'}, {'date': '04/07/2011', 'age': '19', 'clubName': 'Hamburger SV', 'clubID': '41', 'value': '€2.00m'}, {'date': '23/01/2012', 'age': '20', 'clubName': 'Hamburger SV', 'clubID': '41', 'value': '€4.00m'}, {'date': '29/06/2012', 'age': '20', 'clubName': 'Hamburger SV', 'clubID': '41', 'value': '€5.00m'}, {'date': '26/07/2012', 'age': '20', 'clubName': 'Rubin Kazan', 'clubID': '2698', 'value': '€6.00m'}, {'date': '20/01/2013', 'age': '21', 'clubName': 'Rubin Kazan', 'clubID': '2698', 'value': '€4.00m'}, {'date': '19/06/2013', 'age': '21', 'clubName': 'Rubin Kazan', 'clubID': '2698', 'value': '€3.80m'}, {'date': '27/01/2014', 'age': '22', 'clubName': 'Besiktas JK', 'clubID': '114', 'value': '€5.00m'}, {'date': '23/07/2014', 'age': '22', 'clubName': 'Rubin Kazan', 'clubID': '2698', 'value': '€7.00m'}, {'date': '27/10/2014', 'age': '22', 'clubName': 'Besiktas JK', 'clubID': '114', 'value': '€8.00m'}, {'date': '26/01/2015', 'age': '23', 'clubName': 'Besiktas JK', 'clubID': '114', 'value': '€10.00m'}, {'date': '25/06/2015', 'age': '23', 'clubName': 'Besiktas JK', 'clubID': '114', 'value': '€12.00m'}, {'date': '08/10/2015', 'age': '23', 'clubName': 'Besiktas JK', 'clubID': '114', 'value': '€15.00m'}, {'date': '18/01/2016', 'age': '23', 'clubName': 'Besiktas JK', 'clubID': '114', 'value': '€15.00m'}, {'date': '01/08/2016', 'age': '24', 'clubName': 'West Ham United', 'clubID': '379', 'value': '€14.00m'}, {'date': '20/02/2017', 'age': '25', 'clubName': 'West Ham United', 'clubID': '379', 'value': '€12.00m'}, {'date': '28/06/2017', 'age': '25', 'clubName': 'West Ham United', 'clubID': '379', 'value': '€12.00m'}, {'date': '06/10/2017', 'age': '25', 'clubName': 'Besiktas JK', 'clubID': '114', 'value': '€8.00m'}, {'date': '12/02/2018', 'age': '26', 'clubName': 'Besiktas JK', 'clubID': '114', 'value': '€4.50m'}, {'date': '29/05/2018', 'age': '26', 'clubName': 'Besiktas JK', 'clubID': '114', 'value': '€3.00m'}, {'date': '04/01/2019', 'age': '26', 'clubName': 'Besiktas JK', 'clubID': '114', 'value': '€1.50m'}, {'date': '27/03/2019', 'age': '27', 'clubName': 'Besiktas JK', 'clubID': '114', 'value': '€500k'}, {'date': '04/06/2019', 'age': '27', 'clubName': 'Besiktas JK', 'clubID': '114', 'value': '€300k'}, {'date': '03/01/2020', 'age': '27', 'clubName': 'Yeni Malatyaspor', 'clubID': '19789', 'value': '€500k'}, {'date': '08/04/2020', 'age': '28', 'clubName': 'Yeni Malatyaspor', 'clubID': '19789', 'value': '€400k'}, {'date': '04/08/2020', 'age': '28', 'clubName': 'Yeni Malatyaspor', 'clubID': '19789', 'value': '€500k'}, {'date': '23/12/2020', 'age': '28', 'clubName': 'Besiktas JK', 'clubID': '114', 'value': '€500k'}, {'date': '16/03/2021', 'age': '29', 'clubName': 'Besiktas JK', 'clubID': '114', 'value': '€500k'}, {'date': '21/05/2021', 'age': '29', 'clubName': 'Besiktas JK', 'clubID': '114', 'value': '€950k'}, {'date': '12/10/2021', 'age': '29', 'clubName': 'Besiktas JK', 'clubID': '114', 'value': '€1.10m'}, {'date': '04/01/2022', 'age': '29', 'clubName': 'Besiktas JK', 'clubID': '114', 'value': '€725k'}, {'date': '31/03/2022', 'age': '30', 'clubName': 'Besiktas JK', 'clubID': '114', 'value': '€500k'}, {'date': '01/06/2022', 'age': '30', 'clubName': 'Besiktas JK', 'clubID': '114', 'value': '€300k'}, {'date': '27/10/2022', 'age': '30', 'clubName': 'Adana Demirspor', 'clubID': '3840', 'value': '€250k'}, {'date': '14/03/2023', 'age': '31', 'clubName': 'MKE Ankaragücü', 'clubID': '868', 'value': '€200k'}, {'date': '08/06/2023', 'age': '31', 'clubName': 'MKE Ankaragücü', 'clubID': '868', 'value': '€150k'}, {'date': '27/09/2023', 'age': '31', 'clubName': 'Konyaspor', 'clubID': '2293', 'value': '€150k'}, {'date': '21/12/2023', 'age': '31', 'clubName': 'Konyaspor', 'clubID': '2293', 'value': '€100k'}, {'date': '29/03/2024', 'age': '32', 'clubName': 'Retired', 'clubID': '123', 'value': '€75k'}, {'date': '04/04/2025', 'age': '33', 'clubName': 'Retired', 'clubID': '123', 'value': '-'}]}</t>
        </is>
      </c>
      <c r="L629" t="inlineStr">
        <is>
          <t>Turkey</t>
        </is>
      </c>
      <c r="M629" t="inlineStr">
        <is>
          <t>1992-01-20</t>
        </is>
      </c>
      <c r="N629" t="inlineStr">
        <is>
          <t>Turkey</t>
        </is>
      </c>
      <c r="O629">
        <f>(0.725+0.5+0.3+0.25)/4</f>
        <v/>
      </c>
      <c r="P629">
        <f>(0.5+0.95+1.1)/3</f>
        <v/>
      </c>
    </row>
    <row r="630">
      <c r="A630" t="inlineStr">
        <is>
          <t>Emre Can</t>
        </is>
      </c>
      <c r="B630" t="inlineStr">
        <is>
          <t>Dortmund</t>
        </is>
      </c>
      <c r="C630" t="inlineStr">
        <is>
          <t>Defender</t>
        </is>
      </c>
      <c r="D630" t="n">
        <v>74</v>
      </c>
      <c r="E630" t="n">
        <v>2</v>
      </c>
      <c r="F630" t="n">
        <v>0</v>
      </c>
      <c r="G630" t="n">
        <v>0</v>
      </c>
      <c r="H630" t="n">
        <v>8.4</v>
      </c>
      <c r="I630" t="n">
        <v>33.7</v>
      </c>
      <c r="J630" t="n">
        <v>119296</v>
      </c>
      <c r="K630" t="inlineStr">
        <is>
          <t>{'id': '119296', 'marketValue': '€12.00m', 'marketValueHistory': [{'age': '17', 'date': 'Jul 2, 2011', 'clubName': 'FC Bayern Munich II', 'value': '€150k', 'clubID': '27'}, {'age': '17', 'date': 'Jan 9, 2012', 'clubName': 'FC Bayern Munich II', 'value': '€200k', 'clubID': '27'}, {'age': '18', 'date': 'Feb 3, 2012', 'clubName': 'FC Bayern Munich II', 'value': '€400k', 'clubID': '27'}, {'age': '18', 'date': 'Mar 5, 2012', 'clubName': 'FC Bayern Munich II', 'value': '€600k', 'clubID': '27'}, {'age': '18', 'date': 'Aug 26, 2012', 'clubName': 'Bayern Munich', 'value': '€1.50m', 'clubID': '27'}, {'age': '19', 'date': 'Jan 13, 2013', 'clubName': 'Bayern Munich', 'value': '€1.50m', 'clubID': '27'}, {'age': '19', 'date': 'Jun 30, 2013', 'clubName': 'Bayern Munich', 'value': '€1.50m', 'clubID': '27'}, {'age': '19', 'date': 'Aug 27, 2013', 'clubName': 'Bayer 04 Leverkusen', 'value': '€5.00m', 'clubID': '15'}, {'age': '20', 'date': 'Feb 12, 2014', 'clubName': 'Bayer 04 Leverkusen', 'value': '€7.50m', 'clubID': '15'}, {'age': '20', 'date': 'Aug 12, 2014', 'clubName': 'Liverpool FC', 'value': '€12.00m', 'clubID': '31'}, {'age': '21', 'date': 'Feb 12, 2015', 'clubName': 'Liverpool FC', 'value': '€12.00m', 'clubID': '31'}, {'age': '21', 'date': 'Jul 1, 2015', 'clubName': 'Liverpool FC', 'value': '€15.00m', 'clubID': '31'}, {'age': '22', 'date': 'Feb 9, 2016', 'clubName': 'Liverpool FC', 'value': '€15.00m', 'clubID': '31'}, {'age': '22', 'date': 'Jun 1, 2016', 'clubName': 'Liverpool FC', 'value': '€18.00m', 'clubID': '31'}, {'age': '22', 'date': 'Aug 1, 2016', 'clubName': 'Liverpool FC', 'value': '€18.00m', 'clubID': '31'}, {'age': '23', 'date': 'Feb 20, 2017', 'clubName': 'Liverpool FC', 'value': '€15.00m', 'clubID': '31'}, {'age': '23', 'date': 'Jun 28, 2017', 'clubName': 'Liverpool FC', 'value': '€15.00m', 'clubID': '31'}, {'age': '23', 'date': 'Oct 23, 2017', 'clubName': 'Liverpool FC', 'value': '€22.00m', 'clubID': '31'}, {'age': '23', 'date': 'Jan 2, 2018', 'clubName': 'Liverpool FC', 'value': '€28.00m', 'clubID': '31'}, {'age': '24', 'date': 'May 28, 2018', 'clubName': 'Liverpool FC', 'value': '€30.00m', 'clubID': '31'}, {'age': '24', 'date': 'Dec 20, 2018', 'clubName': 'Juventus FC', 'value': '€30.00m', 'clubID': '506'}, {'age': '25', 'date': 'Jun 6, 2019', 'clubName': 'Juventus FC', 'value': '€40.00m', 'clubID': '506'}, {'age': '25', 'date': 'Oct 8, 2019', 'clubName': 'Juventus FC', 'value': '€33.00m', 'clubID': '506'}, {'age': '25', 'date': 'Dec 12, 2019', 'clubName': 'Juventus FC', 'value': '€30.00m', 'clubID': '506'}, {'age': '26', 'date': 'Apr 8, 2020', 'clubName': 'Borussia Dortmund', 'value': '€24.00m', 'clubID': '16'}, {'age': '26', 'date': 'Sep 16, 2020', 'clubName': 'Borussia Dortmund', 'value': '€26.00m', 'clubID': '16'}, {'age': '27', 'date': 'Feb 10, 2021', 'clubName': 'Borussia Dortmund', 'value': '€26.00m', 'clubID': '16'}, {'age': '27', 'date': 'Jun 1, 2021', 'clubName': 'Borussia Dortmund', 'value': '€26.00m', 'clubID': '16'}, {'age': '27', 'date': 'Dec 22, 2021', 'clubName': 'Borussia Dortmund', 'value': '€22.00m', 'clubID': '16'}, {'age': '28', 'date': 'Mar 24, 2022', 'clubName': 'Borussia Dortmund', 'value': '€16.00m', 'clubID': '16'}, {'age': '28', 'date': 'Jun 9, 2022', 'clubName': 'Borussia Dortmund', 'value': '€16.00m', 'clubID': '16'}, {'age': '28', 'date': 'Sep 21, 2022', 'clubName': 'Borussia Dortmund', 'value': '€14.00m', 'clubID': '16'}, {'age': '28', 'date': 'Nov 9, 2022', 'clubName': 'Borussia Dortmund', 'value': '€14.00m', 'clubID': '16'}, {'age': '29', 'date': 'Jun 22, 2023', 'clubName': 'Borussia Dortmund', 'value': '€14.00m', 'clubID': '16'}, {'age': '29', 'date': 'Dec 14, 2023', 'clubName': 'Borussia Dortmund', 'value': '€12.00m', 'clubID': '16'}], 'ranking': {'Worldwide': '854', 'Bundesliga': '100', 'Bor. Dortmund': '17', 'Germany': '41', 'Defensive Midfield': '78', 'Year 1994': '44'}, 'updatedAt': datetime.datetime(2024, 5, 23, 22, 18, 44, 345031)}</t>
        </is>
      </c>
      <c r="L630" t="inlineStr">
        <is>
          <t>Turkey</t>
        </is>
      </c>
      <c r="M630" t="inlineStr">
        <is>
          <t>1994-01-12</t>
        </is>
      </c>
      <c r="N630" t="inlineStr">
        <is>
          <t>48</t>
        </is>
      </c>
      <c r="O630">
        <f>(16+16+14+14)/4</f>
        <v/>
      </c>
      <c r="P630">
        <f>(26+26+22)/3</f>
        <v/>
      </c>
    </row>
    <row r="631">
      <c r="A631" t="inlineStr">
        <is>
          <t>Alcacer</t>
        </is>
      </c>
      <c r="B631" t="inlineStr">
        <is>
          <t>Villarreal</t>
        </is>
      </c>
      <c r="C631" t="inlineStr">
        <is>
          <t>Forward</t>
        </is>
      </c>
      <c r="D631" t="n">
        <v>73</v>
      </c>
      <c r="E631" t="n">
        <v>3</v>
      </c>
      <c r="F631" t="n">
        <v>1</v>
      </c>
      <c r="G631" t="n">
        <v>0</v>
      </c>
      <c r="H631" t="n">
        <v>10</v>
      </c>
      <c r="I631" t="n">
        <v>31.1</v>
      </c>
      <c r="J631" t="n">
        <v>126716</v>
      </c>
      <c r="K631" t="inlineStr">
        <is>
          <t>{'marketValueHistory': [{'date': 'Aug 7, 2012', 'age': '18', 'clubName': 'Valencia CF', 'clubID': '1049', 'value': '€2.50m'}, {'date': 'Jan 11, 2013', 'age': '19', 'clubName': 'Getafe CF', 'clubID': '3709', 'value': '€2.00m'}, {'date': 'Jun 12, 2013', 'age': '19', 'clubName': 'Getafe CF', 'clubID': '3709', 'value': '€2.00m'}, {'date': 'Jul 25, 2013', 'age': '19', 'clubName': 'Valencia CF', 'clubID': '1049', 'value': '€3.00m'}, {'date': 'Jan 23, 2014', 'age': '20', 'clubName': 'Valencia CF', 'clubID': '1049', 'value': '€3.00m'}, {'date': 'Mar 3, 2014', 'age': '20', 'clubName': 'Valencia CF', 'clubID': '1049', 'value': '€6.00m'}, {'date': 'Jul 20, 2014', 'age': '20', 'clubName': 'Valencia CF', 'clubID': '1049', 'value': '€12.00m'}, {'date': 'Oct 22, 2014', 'age': '21', 'clubName': 'Valencia CF', 'clubID': '1049', 'value': '€20.00m'}, {'date': 'Jan 23, 2015', 'age': '21', 'clubName': 'Valencia CF', 'clubID': '1049', 'value': '€20.00m'}, {'date': 'Jul 1, 2015', 'age': '21', 'clubName': 'Valencia CF', 'clubID': '1049', 'value': '€20.00m'}, {'date': 'Nov 22, 2015', 'age': '22', 'clubName': 'Valencia CF', 'clubID': '1049', 'value': '€25.00m'}, {'date': 'Feb 22, 2016', 'age': '22', 'clubName': 'Valencia CF', 'clubID': '1049', 'value': '€25.00m'}, {'date': 'Jul 15, 2016', 'age': '22', 'clubName': 'Valencia CF', 'clubID': '1049', 'value': '€25.00m'}, {'date': 'Jan 24, 2017', 'age': '23', 'clubName': 'FC Barcelona', 'clubID': '131', 'value': '€20.00m'}, {'date': 'Jun 5, 2017', 'age': '23', 'clubName': 'FC Barcelona', 'clubID': '131', 'value': '€18.00m'}, {'date': 'Jan 1, 2018', 'age': '24', 'clubName': 'FC Barcelona', 'clubID': '131', 'value': '€18.00m'}, {'date': 'Mar 22, 2018', 'age': '24', 'clubName': 'FC Barcelona', 'clubID': '131', 'value': '€15.00m'}, {'date': 'May 30, 2018', 'age': '24', 'clubName': 'FC Barcelona', 'clubID': '131', 'value': '€15.00m'}, {'date': 'Oct 22, 2018', 'age': '25', 'clubName': 'Borussia Dortmund', 'clubID': '16', 'value': '€30.00m'}, {'date': 'Dec 18, 2018', 'age': '25', 'clubName': 'Borussia Dortmund', 'clubID': '16', 'value': '€40.00m'}, {'date': 'Jun 5, 2019', 'age': '25', 'clubName': 'Borussia Dortmund', 'clubID': '16', 'value': '€37.00m'}, {'date': 'Oct 2, 2019', 'age': '26', 'clubName': 'Borussia Dortmund', 'clubID': '16', 'value': '€50.00m'}, {'date': 'Dec 17, 2019', 'age': '26', 'clubName': 'Borussia Dortmund', 'clubID': '16', 'value': '€42.00m'}, {'date': 'Mar 5, 2020', 'age': '26', 'clubName': 'Villarreal CF', 'clubID': '1050', 'value': '€35.00m'}, {'date': 'Apr 8, 2020', 'age': '26', 'clubName': 'Villarreal CF', 'clubID': '1050', 'value': '€28.00m'}, {'date': 'Oct 8, 2020', 'age': '27', 'clubName': 'Villarreal CF', 'clubID': '1050', 'value': '€25.00m'}, {'date': 'Jan 5, 2021', 'age': '27', 'clubName': 'Villarreal CF', 'clubID': '1050', 'value': '€25.00m'}, {'date': 'Mar 19, 2021', 'age': '27', 'clubName': 'Villarreal CF', 'clubID': '1050', 'value': '€22.00m'}, {'date': 'Jun 10, 2021', 'age': '27', 'clubName': 'Villarreal CF', 'clubID': '1050', 'value': '€22.00m'}, {'date': 'Oct 13, 2021', 'age': '28', 'clubName': 'Villarreal CF', 'clubID': '1050', 'value': '€15.00m'}, {'date': 'Dec 30, 2021', 'age': '28', 'clubName': 'Villarreal CF', 'clubID': '1050', 'value': '€12.00m'}, {'date': 'Jun 3, 2022', 'age': '28', 'clubName': 'Villarreal CF', 'clubID': '1050', 'value': '€9.00m'}, {'date': 'Dec 15, 2022', 'age': '29', 'clubName': 'Sharjah FC', 'clubID': '13613', 'value': '€8.00m'}, {'date': 'May 31, 2023', 'age': '29', 'clubName': 'Sharjah FC', 'clubID': '13613', 'value': '€7.50m'}, {'date': 'Oct 12, 2023', 'age': '30', 'clubName': 'Emirates Club', 'clubID': '15542', 'value': '€7.00m'}, {'date': 'Mar 8, 2024', 'age': '30', 'clubName': 'Emirates Club', 'clubID': '15542', 'value': '€6.00m'}, {'date': 'Jun 3, 2024', 'age': '30', 'clubName': 'Emirates Club', 'clubID': '15542', 'value': '€5.00m'}, {'date': 'Nov 18, 2024', 'age': '31', 'clubName': 'Sharjah FC', 'clubID': '13613', 'value': '€4.00m'}, {'date': 'May 29, 2025', 'age': '31', 'clubName': 'Sharjah FC', 'clubID': '13613', 'value': '€3.00m'}, {'date': 'Jul 1, 2025', 'age': '31', 'clubName': 'Retired', 'clubID': '123', 'value': '-'}]}</t>
        </is>
      </c>
      <c r="L631" t="inlineStr">
        <is>
          <t>Spain</t>
        </is>
      </c>
      <c r="M631" t="inlineStr">
        <is>
          <t>1993-08-30</t>
        </is>
      </c>
      <c r="N631" t="inlineStr">
        <is>
          <t>Spain</t>
        </is>
      </c>
      <c r="O631">
        <f>(9+8)/2</f>
        <v/>
      </c>
      <c r="P631">
        <f>(25+22+22+15+12)/5</f>
        <v/>
      </c>
    </row>
    <row r="632">
      <c r="A632" t="inlineStr">
        <is>
          <t>Esteves</t>
        </is>
      </c>
      <c r="B632" t="inlineStr">
        <is>
          <t>Sporting CP</t>
        </is>
      </c>
      <c r="C632" t="inlineStr">
        <is>
          <t>Defender</t>
        </is>
      </c>
      <c r="D632" t="n">
        <v>73</v>
      </c>
      <c r="E632" t="n">
        <v>1</v>
      </c>
      <c r="F632" t="n">
        <v>0</v>
      </c>
      <c r="G632" t="n">
        <v>0</v>
      </c>
      <c r="H632" t="n">
        <v>8.4</v>
      </c>
      <c r="I632" t="n">
        <v>27.4</v>
      </c>
      <c r="J632" t="n">
        <v>115055</v>
      </c>
      <c r="L632" t="inlineStr">
        <is>
          <t>Portugal</t>
        </is>
      </c>
      <c r="M632" t="inlineStr">
        <is>
          <t>1935-08-06</t>
        </is>
      </c>
      <c r="N632" t="inlineStr">
        <is>
          <t>Portugal</t>
        </is>
      </c>
    </row>
    <row r="633">
      <c r="A633" t="inlineStr">
        <is>
          <t>Rensch</t>
        </is>
      </c>
      <c r="B633" t="inlineStr">
        <is>
          <t>Ajax</t>
        </is>
      </c>
      <c r="C633" t="inlineStr">
        <is>
          <t>Defender</t>
        </is>
      </c>
      <c r="D633" t="n">
        <v>71</v>
      </c>
      <c r="E633" t="n">
        <v>5</v>
      </c>
      <c r="F633" t="n">
        <v>0</v>
      </c>
      <c r="G633" t="n">
        <v>0</v>
      </c>
      <c r="H633" t="n">
        <v>13.8</v>
      </c>
      <c r="I633" t="n">
        <v>30.7</v>
      </c>
      <c r="J633" t="n">
        <v>557407</v>
      </c>
      <c r="K633" t="inlineStr">
        <is>
          <t>{'id': '557407', 'marketValue': '€8.00m', 'marketValueHistory': [{'age': '17', 'date': 'Aug 12, 2020', 'clubName': 'Ajax Amsterdam U21', 'value': '€250k', 'clubID': '8817'}, {'age': '17', 'date': 'Oct 24, 2020', 'clubName': 'Ajax Amsterdam U21', 'value': '€2.30m', 'clubID': '8817'}, {'age': '17', 'date': 'Dec 31, 2020', 'clubName': 'Ajax Amsterdam', 'value': '€4.00m', 'clubID': '610'}, {'age': '18', 'date': 'Mar 9, 2021', 'clubName': 'Ajax Amsterdam', 'value': '€5.50m', 'clubID': '610'}, {'age': '18', 'date': 'May 19, 2021', 'clubName': 'Ajax Amsterdam', 'value': '€8.00m', 'clubID': '610'}, {'age': '18', 'date': 'Oct 4, 2021', 'clubName': 'Ajax Amsterdam', 'value': '€10.00m', 'clubID': '610'}, {'age': '18', 'date': 'Jan 5, 2022', 'clubName': 'Ajax Amsterdam', 'value': '€10.00m', 'clubID': '610'}, {'age': '19', 'date': 'Mar 17, 2022', 'clubName': 'Ajax Amsterdam', 'value': '€8.00m', 'clubID': '610'}, {'age': '19', 'date': 'Jun 8, 2022', 'clubName': 'Ajax Amsterdam', 'value': '€8.00m', 'clubID': '610'}, {'age': '19', 'date': 'Nov 11, 2022', 'clubName': 'Ajax Amsterdam', 'value': '€8.00m', 'clubID': '610'}, {'age': '20', 'date': 'Jun 23, 2023', 'clubName': 'Ajax Amsterdam', 'value': '€8.00m', 'clubID': '610'}, {'age': '20', 'date': 'Dec 15, 2023', 'clubName': 'Ajax Amsterdam', 'value': '€8.00m', 'clubID': '610'}], 'ranking': {'Worldwide': '1.233', 'Eredivisie': '37', 'Ajax': '9', 'Netherlands': '54', 'Right-Back': '73', 'Year 2003': '63'}, 'updatedAt': datetime.datetime(2024, 5, 23, 22, 25, 59, 952286)}</t>
        </is>
      </c>
      <c r="L633" t="inlineStr">
        <is>
          <t>Netherlands</t>
        </is>
      </c>
      <c r="M633" t="inlineStr">
        <is>
          <t>2003-01-18</t>
        </is>
      </c>
      <c r="N633" t="inlineStr">
        <is>
          <t>22</t>
        </is>
      </c>
      <c r="O633">
        <f>(10+8+8+8)/4</f>
        <v/>
      </c>
      <c r="P633">
        <f>(5.5+8+10)/3</f>
        <v/>
      </c>
    </row>
    <row r="634">
      <c r="A634" t="inlineStr">
        <is>
          <t>Ferran Torres</t>
        </is>
      </c>
      <c r="B634" t="inlineStr">
        <is>
          <t>Man City</t>
        </is>
      </c>
      <c r="C634" t="inlineStr">
        <is>
          <t>Forward</t>
        </is>
      </c>
      <c r="D634" t="n">
        <v>71</v>
      </c>
      <c r="E634" t="n">
        <v>1</v>
      </c>
      <c r="F634" t="n">
        <v>0</v>
      </c>
      <c r="G634" t="n">
        <v>0</v>
      </c>
      <c r="H634" t="n">
        <v>8.1</v>
      </c>
      <c r="I634" t="inlineStr">
        <is>
          <t>-</t>
        </is>
      </c>
      <c r="J634" t="n">
        <v>398184</v>
      </c>
      <c r="K634" t="inlineStr">
        <is>
          <t>{'marketValueHistory': [{'date': '01/01/2018', 'age': '17', 'clubName': 'Valencia CF', 'clubID': '1049', 'value': '€1.00m'}, {'date': '22/03/2018', 'age': '18', 'clubName': 'Valencia CF', 'clubID': '1049', 'value': '€5.00m'}, {'date': '30/05/2018', 'age': '18', 'clubName': 'Valencia CF', 'clubID': '1049', 'value': '€5.00m'}, {'date': '21/12/2018', 'age': '18', 'clubName': 'Valencia CF', 'clubID': '1049', 'value': '€5.00m'}, {'date': '28/02/2019', 'age': '18', 'clubName': 'Valencia CF', 'clubID': '1049', 'value': '€12.00m'}, {'date': '11/06/2019', 'age': '19', 'clubName': 'Valencia CF', 'clubID': '1049', 'value': '€20.00m'}, {'date': '20/12/2019', 'age': '19', 'clubName': 'Valencia CF', 'clubID': '1049', 'value': '€40.00m'}, {'date': '05/03/2020', 'age': '20', 'clubName': 'Valencia CF', 'clubID': '1049', 'value': '€50.00m'}, {'date': '08/04/2020', 'age': '20', 'clubName': 'Valencia CF', 'clubID': '1049', 'value': '€45.00m'}, {'date': '13/10/2020', 'age': '20', 'clubName': 'Manchester City', 'clubID': '281', 'value': '€45.00m'}, {'date': '17/12/2020', 'age': '20', 'clubName': 'Manchester City', 'clubID': '281', 'value': '€50.00m'}, {'date': '18/03/2021', 'age': '21', 'clubName': 'Manchester City', 'clubID': '281', 'value': '€50.00m'}, {'date': '31/05/2021', 'age': '21', 'clubName': 'Manchester City', 'clubID': '281', 'value': '€50.00m'}, {'date': '23/12/2021', 'age': '21', 'clubName': 'Manchester City', 'clubID': '281', 'value': '€45.00m'}, {'date': '03/06/2022', 'age': '22', 'clubName': 'FC Barcelona', 'clubID': '131', 'value': '€45.00m'}, {'date': '23/09/2022', 'age': '22', 'clubName': 'FC Barcelona', 'clubID': '131', 'value': '€40.00m'}, {'date': '07/11/2022', 'age': '22', 'clubName': 'FC Barcelona', 'clubID': '131', 'value': '€35.00m'}, {'date': '23/03/2023', 'age': '23', 'clubName': 'FC Barcelona', 'clubID': '131', 'value': '€30.00m'}, {'date': '13/06/2023', 'age': '23', 'clubName': 'FC Barcelona', 'clubID': '131', 'value': '€30.00m'}, {'date': '13/10/2023', 'age': '23', 'clubName': 'FC Barcelona', 'clubID': '131', 'value': '€35.00m'}, {'date': '22/12/2023', 'age': '23', 'clubName': 'FC Barcelona', 'clubID': '131', 'value': '€35.00m'}, {'date': '07/06/2024', 'age': '24', 'clubName': 'FC Barcelona', 'clubID': '131', 'value': '€30.00m'}, {'date': '27/12/2024', 'age': '24', 'clubName': 'FC Barcelona', 'clubID': '131', 'value': '€28.00m'}, {'date': '09/06/2025', 'age': '25', 'clubName': 'FC Barcelona', 'clubID': '131', 'value': '€40.00m'}, {'date': '02/10/2025', 'age': '25', 'clubName': 'FC Barcelona', 'clubID': '131', 'value': '€50.00m'}, {'date': '12/12/2025', 'age': '25', 'clubName': 'FC Barcelona', 'clubID': '131', 'value': '€50.00m'}]}</t>
        </is>
      </c>
      <c r="L634" t="inlineStr">
        <is>
          <t>Spain</t>
        </is>
      </c>
      <c r="M634" t="inlineStr">
        <is>
          <t>2000-02-29</t>
        </is>
      </c>
      <c r="N634" t="inlineStr">
        <is>
          <t>Spain</t>
        </is>
      </c>
      <c r="O634">
        <f>(45+40+35)/3</f>
        <v/>
      </c>
      <c r="P634">
        <f>(50+50+45)/3</f>
        <v/>
      </c>
    </row>
    <row r="635">
      <c r="A635" t="inlineStr">
        <is>
          <t>Kehrer</t>
        </is>
      </c>
      <c r="B635" t="inlineStr">
        <is>
          <t>Paris</t>
        </is>
      </c>
      <c r="C635" t="inlineStr">
        <is>
          <t>Defender</t>
        </is>
      </c>
      <c r="D635" t="n">
        <v>70</v>
      </c>
      <c r="E635" t="n">
        <v>4</v>
      </c>
      <c r="F635" t="n">
        <v>0</v>
      </c>
      <c r="G635" t="n">
        <v>0</v>
      </c>
      <c r="H635" t="n">
        <v>8.300000000000001</v>
      </c>
      <c r="I635" t="n">
        <v>33.4</v>
      </c>
      <c r="J635" t="n">
        <v>228948</v>
      </c>
      <c r="K635" t="inlineStr">
        <is>
          <t>{'marketValueHistory': [{'date': '01/07/2015', 'age': '18', 'clubName': 'FC Schalke 04', 'clubID': '33', 'value': '€250k'}, {'date': '15/02/2016', 'age': '19', 'clubName': 'FC Schalke 04', 'clubID': '33', 'value': '€250k'}, {'date': '22/07/2016', 'age': '19', 'clubName': 'FC Schalke 04', 'clubID': '33', 'value': '€250k'}, {'date': '07/02/2017', 'age': '20', 'clubName': 'FC Schalke 04', 'clubID': '33', 'value': '€1.00m'}, {'date': '22/03/2017', 'age': '20', 'clubName': 'FC Schalke 04', 'clubID': '33', 'value': '€1.50m'}, {'date': '19/06/2017', 'age': '20', 'clubName': 'FC Schalke 04', 'clubID': '33', 'value': '€3.50m'}, {'date': '18/10/2017', 'age': '21', 'clubName': 'FC Schalke 04', 'clubID': '33', 'value': '€5.00m'}, {'date': '28/12/2017', 'age': '21', 'clubName': 'FC Schalke 04', 'clubID': '33', 'value': '€7.50m'}, {'date': '04/04/2018', 'age': '21', 'clubName': 'FC Schalke 04', 'clubID': '33', 'value': '€13.00m'}, {'date': '05/06/2018', 'age': '21', 'clubName': 'FC Schalke 04', 'clubID': '33', 'value': '€18.00m'}, {'date': '06/09/2018', 'age': '21', 'clubName': 'Paris Saint-Germain', 'clubID': '583', 'value': '€30.00m'}, {'date': '17/12/2018', 'age': '22', 'clubName': 'Paris Saint-Germain', 'clubID': '583', 'value': '€35.00m'}, {'date': '03/06/2019', 'age': '22', 'clubName': 'Paris Saint-Germain', 'clubID': '583', 'value': '€35.00m'}, {'date': '19/12/2019', 'age': '23', 'clubName': 'Paris Saint-Germain', 'clubID': '583', 'value': '€35.00m'}, {'date': '08/04/2020', 'age': '23', 'clubName': 'Paris Saint-Germain', 'clubID': '583', 'value': '€28.00m'}, {'date': '15/10/2020', 'age': '24', 'clubName': 'Paris Saint-Germain', 'clubID': '583', 'value': '€28.00m'}, {'date': '07/01/2021', 'age': '24', 'clubName': 'Paris Saint-Germain', 'clubID': '583', 'value': '€25.00m'}, {'date': '04/06/2021', 'age': '24', 'clubName': 'Paris Saint-Germain', 'clubID': '583', 'value': '€25.00m'}, {'date': '16/12/2021', 'age': '25', 'clubName': 'Paris Saint-Germain', 'clubID': '583', 'value': '€25.00m'}, {'date': '30/05/2022', 'age': '25', 'clubName': 'Paris Saint-Germain', 'clubID': '583', 'value': '€22.00m'}, {'date': '03/11/2022', 'age': '26', 'clubName': 'West Ham United', 'clubID': '379', 'value': '€22.00m'}, {'date': '16/03/2023', 'age': '26', 'clubName': 'West Ham United', 'clubID': '379', 'value': '€18.00m'}, {'date': '20/06/2023', 'age': '26', 'clubName': 'West Ham United', 'clubID': '379', 'value': '€18.00m'}, {'date': '09/10/2023', 'age': '27', 'clubName': 'West Ham United', 'clubID': '379', 'value': '€13.00m'}, {'date': '19/12/2023', 'age': '27', 'clubName': 'West Ham United', 'clubID': '379', 'value': '€9.00m'}, {'date': '03/06/2024', 'age': '27', 'clubName': 'AS Monaco', 'clubID': '162', 'value': '€10.00m'}, {'date': '10/12/2024', 'age': '28', 'clubName': 'AS Monaco', 'clubID': '162', 'value': '€15.00m'}, {'date': '03/06/2025', 'age': '28', 'clubName': 'AS Monaco', 'clubID': '162', 'value': '€20.00m'}, {'date': '15/12/2025', 'age': '29', 'clubName': 'AS Monaco', 'clubID': '162', 'value': '€18.00m'}, {'date': '27/03/2026', 'age': '29', 'clubName': 'AS Monaco', 'clubID': '162', 'value': '€15.00m'}]}</t>
        </is>
      </c>
      <c r="L635" t="inlineStr">
        <is>
          <t>Germany</t>
        </is>
      </c>
      <c r="M635" t="inlineStr">
        <is>
          <t>1996-09-21</t>
        </is>
      </c>
      <c r="N635" t="inlineStr">
        <is>
          <t>Germany</t>
        </is>
      </c>
      <c r="O635">
        <f>(22+22)/2</f>
        <v/>
      </c>
      <c r="P635">
        <f>(25+25+25)/3</f>
        <v/>
      </c>
    </row>
    <row r="636">
      <c r="A636" t="inlineStr">
        <is>
          <t>Krugovoi</t>
        </is>
      </c>
      <c r="B636" t="inlineStr">
        <is>
          <t>Zenit</t>
        </is>
      </c>
      <c r="C636" t="inlineStr">
        <is>
          <t>Defender</t>
        </is>
      </c>
      <c r="D636" t="n">
        <v>68</v>
      </c>
      <c r="E636" t="n">
        <v>6</v>
      </c>
      <c r="F636" t="n">
        <v>0</v>
      </c>
      <c r="G636" t="n">
        <v>0</v>
      </c>
      <c r="H636" t="n">
        <v>11.8</v>
      </c>
      <c r="I636" t="n">
        <v>34.9</v>
      </c>
      <c r="J636" t="n">
        <v>372535</v>
      </c>
      <c r="K636" t="inlineStr">
        <is>
          <t>{'marketValueHistory': [{'date': 'Aug 25, 2015', 'age': '17', 'clubName': 'Unknown', 'clubID': '75', 'value': '€100k'}, {'date': 'Dec 2, 2016', 'age': '18', 'clubName': 'Zenit 2 St. Petersburg', 'clubID': '16950', 'value': '€250k'}, {'date': 'Jun 1, 2017', 'age': '19', 'clubName': 'Zenit 2 St. Petersburg', 'clubID': '16950', 'value': '€250k'}, {'date': 'Jun 6, 2018', 'age': '20', 'clubName': 'Zenit 2 St. Petersburg', 'clubID': '16950', 'value': '€250k'}, {'date': 'Dec 20, 2018', 'age': '20', 'clubName': 'FC Ufa', 'clubID': '28095', 'value': '€400k'}, {'date': 'Jun 14, 2019', 'age': '21', 'clubName': 'FC Ufa', 'clubID': '28095', 'value': '€700k'}, {'date': 'Sep 10, 2019', 'age': '21', 'clubName': 'FC Ufa', 'clubID': '28095', 'value': '€1.00m'}, {'date': 'Dec 23, 2019', 'age': '21', 'clubName': 'FC Ufa', 'clubID': '28095', 'value': '€1.00m'}, {'date': 'Apr 8, 2020', 'age': '21', 'clubName': 'FC Ufa', 'clubID': '28095', 'value': '€900k'}, {'date': 'Jul 29, 2020', 'age': '22', 'clubName': 'FC Ufa', 'clubID': '28095', 'value': '€1.00m'}, {'date': 'Oct 19, 2020', 'age': '22', 'clubName': 'Zenit St. Petersburg', 'clubID': '964', 'value': '€1.50m'}, {'date': 'Dec 29, 2020', 'age': '22', 'clubName': 'Zenit St. Petersburg', 'clubID': '964', 'value': '€1.50m'}, {'date': 'Jun 2, 2021', 'age': '23', 'clubName': 'Zenit St. Petersburg', 'clubID': '964', 'value': '€1.50m'}, {'date': 'Dec 29, 2021', 'age': '23', 'clubName': 'Zenit St. Petersburg', 'clubID': '964', 'value': '€2.00m'}, {'date': 'Jun 2, 2022', 'age': '24', 'clubName': 'Zenit St. Petersburg', 'clubID': '964', 'value': '€3.00m'}, {'date': 'Nov 21, 2022', 'age': '24', 'clubName': 'Zenit St. Petersburg', 'clubID': '964', 'value': '€2.80m'}, {'date': 'Jun 14, 2023', 'age': '25', 'clubName': 'Zenit St. Petersburg', 'clubID': '964', 'value': '€2.50m'}, {'date': 'Dec 13, 2023', 'age': '25', 'clubName': 'Zenit St. Petersburg', 'clubID': '964', 'value': '€2.00m'}, {'date': 'Jun 4, 2024', 'age': '26', 'clubName': 'Zenit St. Petersburg', 'clubID': '964', 'value': '€1.80m'}, {'date': 'Sep 18, 2024', 'age': '26', 'clubName': 'CSKA Moscow', 'clubID': '2410', 'value': '€3.00m'}, {'date': 'Dec 12, 2024', 'age': '26', 'clubName': 'CSKA Moscow', 'clubID': '2410', 'value': '€3.00m'}, {'date': 'Jun 4, 2025', 'age': '27', 'clubName': 'CSKA Moscow', 'clubID': '2410', 'value': '€2.80m'}, {'date': 'Sep 18, 2025', 'age': '27', 'clubName': 'CSKA Moscow', 'clubID': '2410', 'value': '€5.00m'}, {'date': 'Dec 16, 2025', 'age': '27', 'clubName': 'CSKA Moscow', 'clubID': '2410', 'value': '€5.00m'}]}</t>
        </is>
      </c>
      <c r="L636" t="inlineStr">
        <is>
          <t>Russia</t>
        </is>
      </c>
      <c r="M636" t="inlineStr">
        <is>
          <t>1998-05-28</t>
        </is>
      </c>
      <c r="N636" t="inlineStr">
        <is>
          <t>Russia</t>
        </is>
      </c>
      <c r="O636">
        <f>(3+2.8)/2</f>
        <v/>
      </c>
      <c r="P636">
        <f>(1.5+2)/2</f>
        <v/>
      </c>
    </row>
    <row r="637">
      <c r="A637" t="inlineStr">
        <is>
          <t>Dost</t>
        </is>
      </c>
      <c r="B637" t="inlineStr">
        <is>
          <t>Club Brugge</t>
        </is>
      </c>
      <c r="C637" t="inlineStr">
        <is>
          <t>Forward</t>
        </is>
      </c>
      <c r="D637" t="n">
        <v>68</v>
      </c>
      <c r="E637" t="n">
        <v>3</v>
      </c>
      <c r="F637" t="n">
        <v>0</v>
      </c>
      <c r="G637" t="n">
        <v>0</v>
      </c>
      <c r="H637" t="n">
        <v>8.6</v>
      </c>
      <c r="I637" t="n">
        <v>28.7</v>
      </c>
      <c r="J637" t="n">
        <v>56331</v>
      </c>
      <c r="K637" t="inlineStr">
        <is>
          <t>{'marketValueHistory': [{'date': '08/08/2008', 'age': '19', 'clubName': 'Heracles Almelo', 'clubID': '1304', 'value': '€300k'}, {'date': '02/12/2008', 'age': '19', 'clubName': 'Heracles Almelo', 'clubID': '1304', 'value': '€500k'}, {'date': '07/01/2010', 'age': '20', 'clubName': 'Heracles Almelo', 'clubID': '1304', 'value': '€1.50m'}, {'date': '20/08/2010', 'age': '21', 'clubName': 'SC Heerenveen', 'clubID': '306', 'value': '€2.00m'}, {'date': '17/01/2011', 'age': '21', 'clubName': 'SC Heerenveen', 'clubID': '306', 'value': '€2.50m'}, {'date': '28/02/2011', 'age': '21', 'clubName': 'SC Heerenveen', 'clubID': '306', 'value': '€4.00m'}, {'date': '10/01/2012', 'age': '22', 'clubName': 'SC Heerenveen', 'clubID': '306', 'value': '€5.00m'}, {'date': '13/04/2012', 'age': '22', 'clubName': 'SC Heerenveen', 'clubID': '306', 'value': '€8.00m'}, {'date': '05/07/2012', 'age': '23', 'clubName': 'VfL Wolfsburg', 'clubID': '82', 'value': '€9.00m'}, {'date': '13/01/2013', 'age': '23', 'clubName': 'VfL Wolfsburg', 'clubID': '82', 'value': '€9.00m'}, {'date': '30/06/2013', 'age': '24', 'clubName': 'VfL Wolfsburg', 'clubID': '82', 'value': '€9.00m'}, {'date': '12/02/2014', 'age': '24', 'clubName': 'VfL Wolfsburg', 'clubID': '82', 'value': '€7.00m'}, {'date': '10/07/2014', 'age': '25', 'clubName': 'VfL Wolfsburg', 'clubID': '82', 'value': '€5.00m'}, {'date': '03/11/2014', 'age': '25', 'clubName': 'VfL Wolfsburg', 'clubID': '82', 'value': '€4.00m'}, {'date': '04/02/2015', 'age': '25', 'clubName': 'VfL Wolfsburg', 'clubID': '82', 'value': '€4.00m'}, {'date': '29/03/2015', 'age': '25', 'clubName': 'VfL Wolfsburg', 'clubID': '82', 'value': '€6.50m'}, {'date': '01/07/2015', 'age': '26', 'clubName': 'VfL Wolfsburg', 'clubID': '82', 'value': '€7.50m'}, {'date': '15/02/2016', 'age': '26', 'clubName': 'VfL Wolfsburg', 'clubID': '82', 'value': '€7.50m'}, {'date': '22/07/2016', 'age': '27', 'clubName': 'VfL Wolfsburg', 'clubID': '82', 'value': '€7.50m'}, {'date': '31/10/2016', 'age': '27', 'clubName': 'Sporting CP', 'clubID': '336', 'value': '€9.00m'}, {'date': '22/02/2017', 'age': '27', 'clubName': 'Sporting CP', 'clubID': '336', 'value': '€12.00m'}, {'date': '26/06/2017', 'age': '28', 'clubName': 'Sporting CP', 'clubID': '336', 'value': '€16.00m'}, {'date': '07/02/2018', 'age': '28', 'clubName': 'Sporting CP', 'clubID': '336', 'value': '€19.00m'}, {'date': '13/06/2018', 'age': '29', 'clubName': 'Sporting CP', 'clubID': '336', 'value': '€22.00m'}, {'date': '11/01/2019', 'age': '29', 'clubName': 'Sporting CP', 'clubID': '336', 'value': '€22.00m'}, {'date': '18/03/2019', 'age': '29', 'clubName': 'Sporting CP', 'clubID': '336', 'value': '€20.00m'}, {'date': '07/06/2019', 'age': '30', 'clubName': 'Sporting CP', 'clubID': '336', 'value': '€17.00m'}, {'date': '02/10/2019', 'age': '30', 'clubName': 'Eintracht Frankfurt', 'clubID': '24', 'value': '€10.00m'}, {'date': '17/12/2019', 'age': '30', 'clubName': 'Eintracht Frankfurt', 'clubID': '24', 'value': '€10.00m'}, {'date': '11/03/2020', 'age': '30', 'clubName': 'Eintracht Frankfurt', 'clubID': '24', 'value': '€8.00m'}, {'date': '08/04/2020', 'age': '30', 'clubName': 'Eintracht Frankfurt', 'clubID': '24', 'value': '€6.50m'}, {'date': '16/09/2020', 'age': '31', 'clubName': 'Eintracht Frankfurt', 'clubID': '24', 'value': '€5.50m'}, {'date': '17/03/2021', 'age': '31', 'clubName': 'Club Brugge KV', 'clubID': '2282', 'value': '€4.80m'}, {'date': '07/06/2021', 'age': '32', 'clubName': 'Club Brugge KV', 'clubID': '2282', 'value': '€4.80m'}, {'date': '06/10/2021', 'age': '32', 'clubName': 'Club Brugge KV', 'clubID': '2282', 'value': '€3.50m'}, {'date': '06/01/2022', 'age': '32', 'clubName': 'Club Brugge KV', 'clubID': '2282', 'value': '€2.80m'}, {'date': '12/04/2022', 'age': '32', 'clubName': 'Club Brugge KV', 'clubID': '2282', 'value': '€2.50m'}, {'date': '14/09/2022', 'age': '33', 'clubName': 'FC Utrecht', 'clubID': '200', 'value': '€1.80m'}, {'date': '11/11/2022', 'age': '33', 'clubName': 'FC Utrecht', 'clubID': '200', 'value': '€1.80m'}, {'date': '23/06/2023', 'age': '34', 'clubName': 'FC Utrecht', 'clubID': '200', 'value': '€1.30m'}, {'date': '15/12/2023', 'age': '34', 'clubName': 'NEC Nijmegen', 'clubID': '467', 'value': '€750k'}, {'date': '31/05/2024', 'age': '35', 'clubName': 'NEC Nijmegen', 'clubID': '467', 'value': '€600k'}, {'date': '16/10/2024', 'age': '35', 'clubName': 'Career break', 'clubID': '2113', 'value': '€400k'}, {'date': '01/01/2025', 'age': '35', 'clubName': 'Career break', 'clubID': '2113', 'value': '-'}]}</t>
        </is>
      </c>
      <c r="L637" t="inlineStr">
        <is>
          <t>Netherlands</t>
        </is>
      </c>
      <c r="M637" t="inlineStr">
        <is>
          <t>1990-07-01</t>
        </is>
      </c>
      <c r="N637" t="inlineStr">
        <is>
          <t>Netherlands</t>
        </is>
      </c>
      <c r="O637">
        <f>(2.8+2.5+1.8+1.8)/4</f>
        <v/>
      </c>
      <c r="P637">
        <f>(4.8+4.8+3.5)/3</f>
        <v/>
      </c>
    </row>
    <row r="638">
      <c r="A638" t="inlineStr">
        <is>
          <t>Diallo</t>
        </is>
      </c>
      <c r="B638" t="inlineStr">
        <is>
          <t>Man United</t>
        </is>
      </c>
      <c r="C638" t="inlineStr">
        <is>
          <t>Midfielder</t>
        </is>
      </c>
      <c r="D638" t="n">
        <v>68</v>
      </c>
      <c r="E638" t="n">
        <v>1</v>
      </c>
      <c r="F638" t="n">
        <v>0</v>
      </c>
      <c r="G638" t="n">
        <v>0</v>
      </c>
      <c r="H638" t="n">
        <v>8.300000000000001</v>
      </c>
      <c r="I638" t="n">
        <v>32.4</v>
      </c>
      <c r="J638" t="n">
        <v>536835</v>
      </c>
      <c r="K638" t="inlineStr">
        <is>
          <t>{'marketValueHistory': [{'date': 'Oct 29, 2020', 'age': '18', 'clubName': 'Atalanta BC', 'clubID': '800', 'value': '€15.00m'}, {'date': 'Dec 29, 2020', 'age': '18', 'clubName': 'Atalanta BC', 'clubID': '800', 'value': '€15.00m'}, {'date': 'Mar 18, 2021', 'age': '18', 'clubName': 'Manchester United', 'clubID': '985', 'value': '€15.00m'}, {'date': 'Jun 8, 2021', 'age': '18', 'clubName': 'Manchester United', 'clubID': '985', 'value': '€18.00m'}, {'date': 'Dec 23, 2021', 'age': '19', 'clubName': 'Manchester United', 'clubID': '985', 'value': '€18.00m'}, {'date': 'Jun 15, 2022', 'age': '19', 'clubName': 'Manchester United', 'clubID': '985', 'value': '€15.00m'}, {'date': 'Sep 14, 2022', 'age': '20', 'clubName': 'Sunderland AFC', 'clubID': '289', 'value': '€10.00m'}, {'date': 'Oct 27, 2022', 'age': '20', 'clubName': 'Sunderland AFC', 'clubID': '289', 'value': '€7.00m'}, {'date': 'Mar 24, 2023', 'age': '20', 'clubName': 'Sunderland AFC', 'clubID': '289', 'value': '€13.00m'}, {'date': 'Jun 1, 2023', 'age': '20', 'clubName': 'Manchester United', 'clubID': '985', 'value': '€18.00m'}, {'date': 'Dec 19, 2023', 'age': '21', 'clubName': 'Manchester United', 'clubID': '985', 'value': '€18.00m'}, {'date': 'May 27, 2024', 'age': '21', 'clubName': 'Manchester United', 'clubID': '985', 'value': '€18.00m'}, {'date': 'Oct 1, 2024', 'age': '22', 'clubName': 'Manchester United', 'clubID': '985', 'value': '€22.00m'}, {'date': 'Dec 16, 2024', 'age': '22', 'clubName': 'Manchester United', 'clubID': '985', 'value': '€25.00m'}, {'date': 'Mar 18, 2025', 'age': '22', 'clubName': 'Manchester United', 'clubID': '985', 'value': '€40.00m'}, {'date': 'May 30, 2025', 'age': '22', 'clubName': 'Manchester United', 'clubID': '985', 'value': '€45.00m'}, {'date': 'Oct 17, 2025', 'age': '23', 'clubName': 'Manchester United', 'clubID': '985', 'value': '€40.00m'}, {'date': 'Dec 9, 2025', 'age': '23', 'clubName': 'Manchester United', 'clubID': '985', 'value': '€50.00m'}]}</t>
        </is>
      </c>
      <c r="L638" t="inlineStr">
        <is>
          <t>Ivory Coast</t>
        </is>
      </c>
      <c r="M638" t="inlineStr">
        <is>
          <t>2002-07-11</t>
        </is>
      </c>
      <c r="N638" t="inlineStr">
        <is>
          <t>Ivory Coast</t>
        </is>
      </c>
      <c r="O638">
        <f>(15+10+7)/3</f>
        <v/>
      </c>
      <c r="P638">
        <f>(15+18+18)/3</f>
        <v/>
      </c>
    </row>
    <row r="639">
      <c r="A639" t="inlineStr">
        <is>
          <t>Henderson</t>
        </is>
      </c>
      <c r="B639" t="inlineStr">
        <is>
          <t>Man United</t>
        </is>
      </c>
      <c r="C639" t="inlineStr">
        <is>
          <t>Goalkeeper</t>
        </is>
      </c>
      <c r="D639" t="n">
        <v>68</v>
      </c>
      <c r="E639" t="n">
        <v>1</v>
      </c>
      <c r="F639" t="n">
        <v>0</v>
      </c>
      <c r="G639" t="n">
        <v>0</v>
      </c>
      <c r="H639" t="n">
        <v>4.4</v>
      </c>
      <c r="I639" t="n">
        <v>27.7</v>
      </c>
      <c r="J639" t="n">
        <v>61651</v>
      </c>
      <c r="K639" t="inlineStr">
        <is>
          <t>{'id': '61651', 'marketValue': '€6.00m', 'marketValueHistory': [{'age': '18', 'date': 'Aug 24, 2008', 'clubName': 'Sunderland AFC', 'value': '€50k', 'clubID': '289'}, {'age': '19', 'date': 'Jan 24, 2010', 'clubName': 'Sunderland AFC', 'value': '€3.00m', 'clubID': '289'}, {'age': '20', 'date': 'Aug 13, 2010', 'clubName': 'Sunderland AFC', 'value': '€4.00m', 'clubID': '289'}, {'age': '20', 'date': 'Feb 1, 2011', 'clubName': 'Sunderland AFC', 'value': '€8.50m', 'clubID': '289'}, {'age': '21', 'date': 'Aug 8, 2011', 'clubName': 'Liverpool FC', 'value': '€13.00m', 'clubID': '31'}, {'age': '21', 'date': 'Feb 6, 2012', 'clubName': 'Liverpool FC', 'value': '€15.00m', 'clubID': '31'}, {'age': '22', 'date': 'Jun 24, 2012', 'clubName': 'Liverpool FC', 'value': '€15.00m', 'clubID': '31'}, {'age': '22', 'date': 'Jan 28, 2013', 'clubName': 'Liverpool FC', 'value': '€10.50m', 'clubID': '31'}, {'age': '23', 'date': 'Jul 2, 2013', 'clubName': 'Liverpool FC', 'value': '€13.00m', 'clubID': '31'}, {'age': '23', 'date': 'Jan 15, 2014', 'clubName': 'Liverpool FC', 'value': '€15.00m', 'clubID': '31'}, {'age': '24', 'date': 'Aug 12, 2014', 'clubName': 'Liverpool FC', 'value': '€18.00m', 'clubID': '31'}, {'age': '24', 'date': 'Feb 12, 2015', 'clubName': 'Liverpool FC', 'value': '€23.00m', 'clubID': '31'}, {'age': '25', 'date': 'Jul 1, 2015', 'clubName': 'Liverpool FC', 'value': '€28.00m', 'clubID': '31'}, {'age': '25', 'date': 'Feb 9, 2016', 'clubName': 'Liverpool FC', 'value': '€28.00m', 'clubID': '31'}, {'age': '25', 'date': 'Jun 1, 2016', 'clubName': 'Liverpool FC', 'value': '€28.00m', 'clubID': '31'}, {'age': '26', 'date': 'Aug 1, 2016', 'clubName': 'Liverpool FC', 'value': '€28.00m', 'clubID': '31'}, {'age': '26', 'date': 'Feb 20, 2017', 'clubName': 'Liverpool FC', 'value': '€28.00m', 'clubID': '31'}, {'age': '27', 'date': 'Jun 28, 2017', 'clubName': 'Liverpool FC', 'value': '€28.00m', 'clubID': '31'}, {'age': '27', 'date': 'Jan 2, 2018', 'clubName': 'Liverpool FC', 'value': '€25.00m', 'clubID': '31'}, {'age': '27', 'date': 'May 28, 2018', 'clubName': 'Liverpool FC', 'value': '€25.00m', 'clubID': '31'}, {'age': '28', 'date': 'Jul 16, 2018', 'clubName': 'Liverpool FC', 'value': '€28.00m', 'clubID': '31'}, {'age': '28', 'date': 'Dec 19, 2018', 'clubName': 'Liverpool FC', 'value': '€28.00m', 'clubID': '31'}, {'age': '28', 'date': 'Jun 13, 2019', 'clubName': 'Liverpool FC', 'value': '€35.00m', 'clubID': '31'}, {'age': '29', 'date': 'Dec 10, 2019', 'clubName': 'Liverpool FC', 'value': '€35.00m', 'clubID': '31'}, {'age': '29', 'date': 'Apr 8, 2020', 'clubName': 'Liverpool FC', 'value': '€28.00m', 'clubID': '31'}, {'age': '30', 'date': 'Oct 13, 2020', 'clubName': 'Liverpool FC', 'value': '€28.00m', 'clubID': '31'}, {'age': '30', 'date': 'Mar 18, 2021', 'clubName': 'Liverpool FC', 'value': '€22.00m', 'clubID': '31'}, {'age': '30', 'date': 'May 28, 2021', 'clubName': 'Liverpool FC', 'value': '€20.00m', 'clubID': '31'}, {'age': '31', 'date': 'Dec 23, 2021', 'clubName': 'Liverpool FC', 'value': '€18.00m', 'clubID': '31'}, {'age': '31', 'date': 'Jun 15, 2022', 'clubName': 'Liverpool FC', 'value': '€15.00m', 'clubID': '31'}, {'age': '32', 'date': 'Nov 3, 2022', 'clubName': 'Liverpool FC', 'value': '€15.00m', 'clubID': '31'}, {'age': '32', 'date': 'Mar 16, 2023', 'clubName': 'Liverpool FC', 'value': '€10.00m', 'clubID': '31'}, {'age': '33', 'date': 'Jun 20, 2023', 'clubName': 'Liverpool FC', 'value': '€10.00m', 'clubID': '31'}, {'age': '33', 'date': 'Oct 24, 2023', 'clubName': 'Al-Ettifaq FC', 'value': '€8.00m', 'clubID': '7732'}, {'age': '33', 'date': 'Dec 15, 2023', 'clubName': 'Al-Ettifaq FC', 'value': '€7.50m', 'clubID': '7732'}, {'age': '33', 'date': 'Mar 18, 2024', 'clubName': 'Ajax Amsterdam', 'value': '€6.00m', 'clubID': '610'}], 'ranking': {'Worldwide': '1.591', 'Eredivisie': '49', 'Ajax': '16', 'England': '151', 'Central Midfield': '215', 'Year 1990': '9'}, 'updatedAt': datetime.datetime(2024, 5, 23, 22, 26, 13, 61203)}</t>
        </is>
      </c>
      <c r="L639" t="inlineStr">
        <is>
          <t>United Kingdom</t>
        </is>
      </c>
      <c r="M639" t="inlineStr">
        <is>
          <t>1990-06-17</t>
        </is>
      </c>
      <c r="N639" t="inlineStr">
        <is>
          <t>88</t>
        </is>
      </c>
      <c r="O639">
        <f>(15+15)/2</f>
        <v/>
      </c>
      <c r="P639">
        <f>(22+20+18)/3</f>
        <v/>
      </c>
    </row>
    <row r="640">
      <c r="A640" t="inlineStr">
        <is>
          <t>Martial</t>
        </is>
      </c>
      <c r="B640" t="inlineStr">
        <is>
          <t>Man United</t>
        </is>
      </c>
      <c r="C640" t="inlineStr">
        <is>
          <t>Forward</t>
        </is>
      </c>
      <c r="D640" t="n">
        <v>67</v>
      </c>
      <c r="E640" t="n">
        <v>2</v>
      </c>
      <c r="F640" t="n">
        <v>0</v>
      </c>
      <c r="G640" t="n">
        <v>0</v>
      </c>
      <c r="H640" t="n">
        <v>7.1</v>
      </c>
      <c r="I640" t="n">
        <v>30.9</v>
      </c>
      <c r="J640" t="n">
        <v>182877</v>
      </c>
      <c r="K640" t="inlineStr">
        <is>
          <t>{'marketValueHistory': [{'date': 'Jul 2, 2013', 'age': '17', 'clubName': 'AS Monaco', 'clubID': '162', 'value': '€4.00m'}, {'date': 'Jan 14, 2014', 'age': '18', 'clubName': 'AS Monaco', 'clubID': '162', 'value': '€4.75m'}, {'date': 'Feb 5, 2014', 'age': '18', 'clubName': 'AS Monaco', 'clubID': '162', 'value': '€5.00m'}, {'date': 'Aug 7, 2014', 'age': '18', 'clubName': 'AS Monaco', 'clubID': '162', 'value': '€5.00m'}, {'date': 'Jan 14, 2015', 'age': '19', 'clubName': 'AS Monaco', 'clubID': '162', 'value': '€5.00m'}, {'date': 'Jun 6, 2015', 'age': '19', 'clubName': 'AS Monaco', 'clubID': '162', 'value': '€8.00m'}, {'date': 'Oct 14, 2015', 'age': '19', 'clubName': 'Manchester United', 'clubID': '985', 'value': '€25.00m'}, {'date': 'Feb 9, 2016', 'age': '20', 'clubName': 'Manchester United', 'clubID': '985', 'value': '€30.00m'}, {'date': 'Jun 1, 2016', 'age': '20', 'clubName': 'Manchester United', 'clubID': '985', 'value': '€32.00m'}, {'date': 'Aug 1, 2016', 'age': '20', 'clubName': 'Manchester United', 'clubID': '985', 'value': '€32.00m'}, {'date': 'Feb 20, 2017', 'age': '21', 'clubName': 'Manchester United', 'clubID': '985', 'value': '€30.00m'}, {'date': 'Jun 28, 2017', 'age': '21', 'clubName': 'Manchester United', 'clubID': '985', 'value': '€30.00m'}, {'date': 'Oct 23, 2017', 'age': '21', 'clubName': 'Manchester United', 'clubID': '985', 'value': '€35.00m'}, {'date': 'Jan 2, 2018', 'age': '22', 'clubName': 'Manchester United', 'clubID': '985', 'value': '€65.00m'}, {'date': 'May 28, 2018', 'age': '22', 'clubName': 'Manchester United', 'clubID': '985', 'value': '€65.00m'}, {'date': 'Oct 17, 2018', 'age': '22', 'clubName': 'Manchester United', 'clubID': '985', 'value': '€60.00m'}, {'date': 'Dec 19, 2018', 'age': '23', 'clubName': 'Manchester United', 'clubID': '985', 'value': '€60.00m'}, {'date': 'Jun 13, 2019', 'age': '23', 'clubName': 'Manchester United', 'clubID': '985', 'value': '€60.00m'}, {'date': 'Dec 10, 2019', 'age': '24', 'clubName': 'Manchester United', 'clubID': '985', 'value': '€60.00m'}, {'date': 'Apr 8, 2020', 'age': '24', 'clubName': 'Manchester United', 'clubID': '985', 'value': '€48.00m'}, {'date': 'Jul 30, 2020', 'age': '24', 'clubName': 'Manchester United', 'clubID': '985', 'value': '€58.00m'}, {'date': 'Oct 13, 2020', 'age': '24', 'clubName': 'Manchester United', 'clubID': '985', 'value': '€60.00m'}, {'date': 'Dec 17, 2020', 'age': '25', 'clubName': 'Manchester United', 'clubID': '985', 'value': '€55.00m'}, {'date': 'Mar 18, 2021', 'age': '25', 'clubName': 'Manchester United', 'clubID': '985', 'value': '€50.00m'}, {'date': 'Jun 8, 2021', 'age': '25', 'clubName': 'Manchester United', 'clubID': '985', 'value': '€45.00m'}, {'date': 'Oct 5, 2021', 'age': '25', 'clubName': 'Manchester United', 'clubID': '985', 'value': '€35.00m'}, {'date': 'Dec 23, 2021', 'age': '26', 'clubName': 'Manchester United', 'clubID': '985', 'value': '€32.00m'}, {'date': 'Mar 21, 2022', 'age': '26', 'clubName': 'Sevilla FC', 'clubID': '368', 'value': '€28.00m'}, {'date': 'Jun 3, 2022', 'age': '26', 'clubName': 'Sevilla FC', 'clubID': '368', 'value': '€16.00m'}, {'date': 'Nov 3, 2022', 'age': '26', 'clubName': 'Manchester United', 'clubID': '985', 'value': '€15.00m'}, {'date': 'Jun 20, 2023', 'age': '27', 'clubName': 'Manchester United', 'clubID': '985', 'value': '€15.00m'}, {'date': 'Dec 19, 2023', 'age': '28', 'clubName': 'Manchester United', 'clubID': '985', 'value': '€15.00m'}, {'date': 'Mar 14, 2024', 'age': '28', 'clubName': 'Manchester United', 'clubID': '985', 'value': '€10.00m'}, {'date': 'May 27, 2024', 'age': '28', 'clubName': 'Manchester United', 'clubID': '985', 'value': '€10.00m'}, {'date': 'Sep 26, 2024', 'age': '28', 'clubName': 'AEK Athens', 'clubID': '2441', 'value': '€9.00m'}, {'date': 'Dec 18, 2024', 'age': '29', 'clubName': 'AEK Athens', 'clubID': '2441', 'value': '€9.00m'}, {'date': 'May 23, 2025', 'age': '29', 'clubName': 'AEK Athens', 'clubID': '2441', 'value': '€7.50m'}, {'date': 'Dec 29, 2025', 'age': '30', 'clubName': 'CF Monterrey', 'clubID': '2407', 'value': '€6.00m'}, {'date': 'Mar 26, 2026', 'age': '30', 'clubName': 'CF Monterrey', 'clubID': '2407', 'value': '€5.00m'}]}</t>
        </is>
      </c>
      <c r="L640" t="inlineStr">
        <is>
          <t>France</t>
        </is>
      </c>
      <c r="M640" t="inlineStr">
        <is>
          <t>1995-12-05</t>
        </is>
      </c>
      <c r="N640" t="inlineStr">
        <is>
          <t>30</t>
        </is>
      </c>
      <c r="O640">
        <f>(28+16+15)/3</f>
        <v/>
      </c>
      <c r="P640">
        <f>(50+45+35+32)/4</f>
        <v/>
      </c>
    </row>
    <row r="641">
      <c r="A641" t="inlineStr">
        <is>
          <t>Gagliardini</t>
        </is>
      </c>
      <c r="B641" t="inlineStr">
        <is>
          <t>Inter</t>
        </is>
      </c>
      <c r="C641" t="inlineStr">
        <is>
          <t>Midfielder</t>
        </is>
      </c>
      <c r="D641" t="n">
        <v>66</v>
      </c>
      <c r="E641" t="n">
        <v>5</v>
      </c>
      <c r="F641" t="n">
        <v>0</v>
      </c>
      <c r="G641" t="n">
        <v>0</v>
      </c>
      <c r="H641" t="n">
        <v>11.6</v>
      </c>
      <c r="I641" t="n">
        <v>29.6</v>
      </c>
      <c r="J641" t="n">
        <v>197471</v>
      </c>
      <c r="K641" t="inlineStr">
        <is>
          <t>{'id': '197471', 'marketValue': '€4.00m', 'marketValueHistory': [{'age': '17', 'date': 'Sep 1, 2011', 'clubName': 'Atalanta Primavera', 'value': '€50k', 'clubID': '11998'}, {'age': '17', 'date': 'Mar 7, 2012', 'clubName': 'Atalanta Primavera', 'value': '€75k', 'clubID': '11998'}, {'age': '19', 'date': 'Jun 10, 2013', 'clubName': 'Atalanta Primavera', 'value': '€100k', 'clubID': '11998'}, {'age': '19', 'date': 'Jan 7, 2014', 'clubName': 'Atalanta BC', 'value': '€100k', 'clubID': '800'}, {'age': '19', 'date': 'Jan 29, 2014', 'clubName': 'AC Cesena', 'value': '€100k', 'clubID': '1429'}, {'age': '20', 'date': 'Jul 15, 2014', 'clubName': 'Atalanta BC', 'value': '€1.00m', 'clubID': '800'}, {'age': '20', 'date': 'Feb 10, 2015', 'clubName': 'Spezia Calcio', 'value': '€800k', 'clubID': '3522'}, {'age': '21', 'date': 'Jun 29, 2015', 'clubName': 'Spezia Calcio', 'value': '€700k', 'clubID': '3522'}, {'age': '21', 'date': 'Dec 28, 2015', 'clubName': 'Vicenza Calcio', 'value': '€700k', 'clubID': '2655'}, {'age': '22', 'date': 'Jul 15, 2016', 'clubName': 'Atalanta BC', 'value': '€700k', 'clubID': '800'}, {'age': '22', 'date': 'Jan 2, 2017', 'clubName': 'Atalanta BC', 'value': '€8.00m', 'clubID': '800'}, {'age': '22', 'date': 'Mar 28, 2017', 'clubName': 'Inter Milan', 'value': '€15.00m', 'clubID': '46'}, {'age': '23', 'date': 'Jun 8, 2017', 'clubName': 'Inter Milan', 'value': '€15.00m', 'clubID': '46'}, {'age': '23', 'date': 'Dec 29, 2017', 'clubName': 'Inter Milan', 'value': '€20.00m', 'clubID': '46'}, {'age': '24', 'date': 'Jun 7, 2018', 'clubName': 'Inter Milan', 'value': '€20.00m', 'clubID': '46'}, {'age': '24', 'date': 'Oct 12, 2018', 'clubName': 'Inter Milan', 'value': '€18.00m', 'clubID': '46'}, {'age': '24', 'date': 'Dec 20, 2018', 'clubName': 'Inter Milan', 'value': '€18.00m', 'clubID': '46'}, {'age': '25', 'date': 'Jun 6, 2019', 'clubName': 'Inter Milan', 'value': '€15.00m', 'clubID': '46'}, {'age': '25', 'date': 'Dec 12, 2019', 'clubName': 'Inter Milan', 'value': '€15.00m', 'clubID': '46'}, {'age': '26', 'date': 'Apr 8, 2020', 'clubName': 'Inter Milan', 'value': '€12.00m', 'clubID': '46'}, {'age': '26', 'date': 'Aug 25, 2020', 'clubName': 'Inter Milan', 'value': '€14.00m', 'clubID': '46'}, {'age': '26', 'date': 'Dec 29, 2020', 'clubName': 'Inter Milan', 'value': '€15.00m', 'clubID': '46'}, {'age': '27', 'date': 'Jun 3, 2021', 'clubName': 'Inter Milan', 'value': '€15.00m', 'clubID': '46'}, {'age': '27', 'date': 'Dec 28, 2021', 'clubName': 'Inter Milan', 'value': '€12.00m', 'clubID': '46'}, {'age': '27', 'date': 'Mar 15, 2022', 'clubName': 'Inter Milan', 'value': '€10.00m', 'clubID': '46'}, {'age': '28', 'date': 'Jun 7, 2022', 'clubName': 'Inter Milan', 'value': '€8.00m', 'clubID': '46'}, {'age': '28', 'date': 'Nov 11, 2022', 'clubName': 'Inter Milan', 'value': '€6.50m', 'clubID': '46'}, {'age': '29', 'date': 'Jun 15, 2023', 'clubName': 'Inter Milan', 'value': '€4.00m', 'clubID': '46'}, {'age': '29', 'date': 'Dec 20, 2023', 'clubName': 'AC Monza', 'value': '€4.00m', 'clubID': '2919'}], 'ranking': {'Worldwide': '2.272', 'Serie A': '261', 'Monza': '10', 'Italy': '107', 'Central Midfield': '315', 'Year 1994': '140'}, 'updatedAt': datetime.datetime(2024, 5, 23, 22, 30, 57, 629262)}</t>
        </is>
      </c>
      <c r="L641" t="inlineStr">
        <is>
          <t>Italy</t>
        </is>
      </c>
      <c r="M641" t="inlineStr">
        <is>
          <t>1994-04-07</t>
        </is>
      </c>
      <c r="N641" t="inlineStr">
        <is>
          <t>Italy</t>
        </is>
      </c>
      <c r="O641">
        <f>(10+8+6.5)/3</f>
        <v/>
      </c>
      <c r="P641">
        <f>(15+12)/2</f>
        <v/>
      </c>
    </row>
    <row r="642">
      <c r="A642" t="inlineStr">
        <is>
          <t>Miguel Gutierrez</t>
        </is>
      </c>
      <c r="B642" t="inlineStr">
        <is>
          <t>Real Madrid</t>
        </is>
      </c>
      <c r="C642" t="inlineStr">
        <is>
          <t>Defender</t>
        </is>
      </c>
      <c r="D642" t="n">
        <v>66</v>
      </c>
      <c r="E642" t="n">
        <v>1</v>
      </c>
      <c r="F642" t="n">
        <v>0</v>
      </c>
      <c r="G642" t="n">
        <v>0</v>
      </c>
      <c r="H642" t="n">
        <v>7.7</v>
      </c>
      <c r="I642" t="n">
        <v>32</v>
      </c>
      <c r="J642" t="n">
        <v>525299</v>
      </c>
      <c r="K642" t="inlineStr">
        <is>
          <t>{'marketValueHistory': [{'date': 'Oct 8, 2020', 'age': '19', 'clubName': 'Real Madrid Castilla', 'clubID': '6767', 'value': '€200k'}, {'date': 'Jan 8, 2021', 'age': '19', 'clubName': 'Real Madrid Castilla', 'clubID': '6767', 'value': '€200k'}, {'date': 'Mar 19, 2021', 'age': '19', 'clubName': 'Real Madrid Castilla', 'clubID': '6767', 'value': '€700k'}, {'date': 'Jun 10, 2021', 'age': '19', 'clubName': 'Real Madrid Castilla', 'clubID': '6767', 'value': '€5.00m'}, {'date': 'Jun 30, 2021', 'age': '19', 'clubName': 'Real Madrid Castilla', 'clubID': '6767', 'value': '€5.00m'}, {'date': 'Oct 13, 2021', 'age': '20', 'clubName': 'Real Madrid Castilla', 'clubID': '6767', 'value': '€10.00m'}, {'date': 'Dec 30, 2021', 'age': '20', 'clubName': 'Real Madrid Castilla', 'clubID': '6767', 'value': '€6.00m'}, {'date': 'Jun 3, 2022', 'age': '20', 'clubName': 'Real Madrid Castilla', 'clubID': '6767', 'value': '€6.00m'}, {'date': 'Jun 29, 2022', 'age': '20', 'clubName': 'Real Madrid Castilla', 'clubID': '6767', 'value': '€6.00m'}, {'date': 'Sep 23, 2022', 'age': '21', 'clubName': 'Girona FC', 'clubID': '12321', 'value': '€8.00m'}, {'date': 'Nov 7, 2022', 'age': '21', 'clubName': 'Girona FC', 'clubID': '12321', 'value': '€8.00m'}, {'date': 'Mar 23, 2023', 'age': '21', 'clubName': 'Girona FC', 'clubID': '12321', 'value': '€9.00m'}, {'date': 'Jun 13, 2023', 'age': '21', 'clubName': 'Girona FC', 'clubID': '12321', 'value': '€10.00m'}, {'date': 'Oct 13, 2023', 'age': '22', 'clubName': 'Girona FC', 'clubID': '12321', 'value': '€15.00m'}, {'date': 'Dec 22, 2023', 'age': '22', 'clubName': 'Girona FC', 'clubID': '12321', 'value': '€20.00m'}, {'date': 'Jun 7, 2024', 'age': '22', 'clubName': 'Girona FC', 'clubID': '12321', 'value': '€25.00m'}, {'date': 'Dec 27, 2024', 'age': '23', 'clubName': 'Girona FC', 'clubID': '12321', 'value': '€25.00m'}, {'date': 'Jun 9, 2025', 'age': '23', 'clubName': 'Girona FC', 'clubID': '12321', 'value': '€20.00m'}, {'date': 'Dec 23, 2025', 'age': '24', 'clubName': 'SSC Napoli', 'clubID': '6195', 'value': '€17.00m'}]}</t>
        </is>
      </c>
      <c r="L642" t="inlineStr">
        <is>
          <t>Italy</t>
        </is>
      </c>
      <c r="M642" t="inlineStr">
        <is>
          <t>2001-07-27</t>
        </is>
      </c>
      <c r="N642" t="inlineStr">
        <is>
          <t>2</t>
        </is>
      </c>
      <c r="O642">
        <f>(6+6+8+8)/4</f>
        <v/>
      </c>
      <c r="P642">
        <f>(0.2+0.7+5+5+10+6)/6</f>
        <v/>
      </c>
    </row>
    <row r="643">
      <c r="A643" t="inlineStr">
        <is>
          <t>Ruben Vinagre</t>
        </is>
      </c>
      <c r="B643" t="inlineStr">
        <is>
          <t>Sporting CP</t>
        </is>
      </c>
      <c r="C643" t="inlineStr">
        <is>
          <t>Defender</t>
        </is>
      </c>
      <c r="D643" t="n">
        <v>63</v>
      </c>
      <c r="E643" t="n">
        <v>2</v>
      </c>
      <c r="F643" t="n">
        <v>0</v>
      </c>
      <c r="G643" t="n">
        <v>0</v>
      </c>
      <c r="H643" t="n">
        <v>7.8</v>
      </c>
      <c r="I643" t="n">
        <v>32.5</v>
      </c>
      <c r="J643" t="n">
        <v>357158</v>
      </c>
      <c r="K643" t="inlineStr">
        <is>
          <t>{'marketValueHistory': [{'date': '30/09/2016', 'age': '17', 'clubName': 'Académica Coimbra', 'clubID': '2990', 'value': '€25k'}, {'date': '18/09/2017', 'age': '18', 'clubName': 'Wolverhampton Wanderers', 'clubID': '543', 'value': '€250k'}, {'date': '27/02/2018', 'age': '18', 'clubName': 'Wolverhampton Wanderers', 'clubID': '543', 'value': '€500k'}, {'date': '13/08/2018', 'age': '19', 'clubName': 'Wolverhampton Wanderers', 'clubID': '543', 'value': '€2.00m'}, {'date': '19/12/2018', 'age': '19', 'clubName': 'Wolverhampton Wanderers', 'clubID': '543', 'value': '€5.00m'}, {'date': '13/06/2019', 'age': '20', 'clubName': 'Wolverhampton Wanderers', 'clubID': '543', 'value': '€7.00m'}, {'date': '12/09/2019', 'age': '20', 'clubName': 'Wolverhampton Wanderers', 'clubID': '543', 'value': '€10.00m'}, {'date': '10/12/2019', 'age': '20', 'clubName': 'Wolverhampton Wanderers', 'clubID': '543', 'value': '€10.00m'}, {'date': '08/04/2020', 'age': '20', 'clubName': 'Wolverhampton Wanderers', 'clubID': '543', 'value': '€9.00m'}, {'date': '12/10/2020', 'age': '21', 'clubName': 'Olympiacos Piraeus', 'clubID': '683', 'value': '€9.00m'}, {'date': '28/01/2021', 'age': '21', 'clubName': 'FC Famalicão', 'clubID': '3329', 'value': '€7.00m'}, {'date': '25/03/2021', 'age': '21', 'clubName': 'FC Famalicão', 'clubID': '3329', 'value': '€5.00m'}, {'date': '21/05/2021', 'age': '22', 'clubName': 'FC Famalicão', 'clubID': '3329', 'value': '€5.00m'}, {'date': '27/12/2021', 'age': '22', 'clubName': 'Sporting CP', 'clubID': '336', 'value': '€5.00m'}, {'date': '31/05/2022', 'age': '23', 'clubName': 'Sporting CP', 'clubID': '336', 'value': '€5.00m'}, {'date': '03/11/2022', 'age': '23', 'clubName': 'Everton FC', 'clubID': '29', 'value': '€5.00m'}, {'date': '20/06/2023', 'age': '24', 'clubName': 'Everton FC', 'clubID': '29', 'value': '€4.00m'}, {'date': '27/10/2023', 'age': '24', 'clubName': 'Hull City', 'clubID': '3008', 'value': '€3.50m'}, {'date': '21/12/2023', 'age': '24', 'clubName': 'Hull City', 'clubID': '3008', 'value': '€2.80m'}, {'date': '05/06/2024', 'age': '25', 'clubName': 'Hellas Verona', 'clubID': '276', 'value': '€2.40m'}, {'date': '09/12/2024', 'age': '25', 'clubName': 'Legia Warszawa', 'clubID': '255', 'value': '€4.50m'}, {'date': '06/06/2025', 'age': '26', 'clubName': 'Legia Warszawa', 'clubID': '255', 'value': '€3.50m'}, {'date': '26/09/2025', 'age': '26', 'clubName': 'Legia Warszawa', 'clubID': '255', 'value': '€3.00m'}, {'date': '08/12/2025', 'age': '26', 'clubName': 'Legia Warszawa', 'clubID': '255', 'value': '€2.50m'}, {'date': '26/03/2026', 'age': '26', 'clubName': 'Legia Warszawa', 'clubID': '255', 'value': '€2.00m'}]}</t>
        </is>
      </c>
      <c r="L643" t="inlineStr">
        <is>
          <t>Portugal</t>
        </is>
      </c>
      <c r="M643" t="inlineStr">
        <is>
          <t>1999-04-09</t>
        </is>
      </c>
      <c r="N643" t="inlineStr">
        <is>
          <t>Portugal</t>
        </is>
      </c>
      <c r="O643">
        <f>(5+5)/2</f>
        <v/>
      </c>
      <c r="P643">
        <f>(7+5+5+5)/4</f>
        <v/>
      </c>
    </row>
    <row r="644">
      <c r="A644" t="inlineStr">
        <is>
          <t>Mambimbi</t>
        </is>
      </c>
      <c r="B644" t="inlineStr">
        <is>
          <t>Young Boys</t>
        </is>
      </c>
      <c r="C644" t="inlineStr">
        <is>
          <t>Forward</t>
        </is>
      </c>
      <c r="D644" t="n">
        <v>60</v>
      </c>
      <c r="E644" t="n">
        <v>4</v>
      </c>
      <c r="F644" t="n">
        <v>0</v>
      </c>
      <c r="G644" t="n">
        <v>0</v>
      </c>
      <c r="H644" t="n">
        <v>9.4</v>
      </c>
      <c r="I644" t="n">
        <v>33.3</v>
      </c>
      <c r="J644" t="n">
        <v>507496</v>
      </c>
      <c r="K644" t="inlineStr">
        <is>
          <t>{'marketValueHistory': [{'date': 'Jul 10, 2018', 'age': '17', 'clubName': 'BSC Young Boys U21', 'clubID': '5508', 'value': '€225k'}, {'date': 'Jan 26, 2019', 'age': '18', 'clubName': 'BSC Young Boys U21', 'clubID': '5508', 'value': '€225k'}, {'date': 'Jun 17, 2019', 'age': '18', 'clubName': 'BSC Young Boys U21', 'clubID': '5508', 'value': '€450k'}, {'date': 'Jan 6, 2020', 'age': '18', 'clubName': 'BSC Young Boys', 'clubID': '452', 'value': '€1.50m'}, {'date': 'Apr 8, 2020', 'age': '19', 'clubName': 'BSC Young Boys', 'clubID': '452', 'value': '€1.30m'}, {'date': 'Jul 31, 2020', 'age': '19', 'clubName': 'BSC Young Boys', 'clubID': '452', 'value': '€2.00m'}, {'date': 'Dec 28, 2020', 'age': '19', 'clubName': 'BSC Young Boys', 'clubID': '452', 'value': '€3.00m'}, {'date': 'Jun 23, 2021', 'age': '20', 'clubName': 'BSC Young Boys', 'clubID': '452', 'value': '€5.00m'}, {'date': 'Jan 3, 2022', 'age': '20', 'clubName': 'BSC Young Boys', 'clubID': '452', 'value': '€4.00m'}, {'date': 'Jun 8, 2022', 'age': '21', 'clubName': 'BSC Young Boys', 'clubID': '452', 'value': '€4.00m'}, {'date': 'Nov 11, 2022', 'age': '21', 'clubName': 'SC Cambuur Leeuwarden', 'clubID': '133', 'value': '€3.00m'}, {'date': 'Jun 23, 2023', 'age': '22', 'clubName': 'SC Cambuur Leeuwarden', 'clubID': '133', 'value': '€2.50m'}, {'date': 'Oct 19, 2023', 'age': '22', 'clubName': 'FC St. Gallen 1879', 'clubID': '257', 'value': '€1.20m'}, {'date': 'Dec 21, 2023', 'age': '22', 'clubName': 'FC St. Gallen 1879', 'clubID': '257', 'value': '€800k'}, {'date': 'Mar 28, 2024', 'age': '23', 'clubName': 'FC St. Gallen 1879', 'clubID': '257', 'value': '€500k'}, {'date': 'May 31, 2024', 'age': '23', 'clubName': 'FC St. Gallen 1879', 'clubID': '257', 'value': '€400k'}, {'date': 'Dec 23, 2024', 'age': '23', 'clubName': 'FC St. Gallen 1879', 'clubID': '257', 'value': '€600k'}, {'date': 'Jun 10, 2025', 'age': '24', 'clubName': 'FC St. Gallen 1879', 'clubID': '257', 'value': '€600k'}, {'date': 'Dec 15, 2025', 'age': '24', 'clubName': 'Le Havre AC', 'clubID': '738', 'value': '€600k'}]}</t>
        </is>
      </c>
      <c r="L644" t="inlineStr">
        <is>
          <t>Switzerland</t>
        </is>
      </c>
      <c r="M644" t="inlineStr">
        <is>
          <t>2001-01-18</t>
        </is>
      </c>
      <c r="N644" t="inlineStr">
        <is>
          <t>Switzerland</t>
        </is>
      </c>
      <c r="O644">
        <f>(4+4+3)/3</f>
        <v/>
      </c>
      <c r="P644">
        <f>5</f>
        <v/>
      </c>
    </row>
    <row r="645">
      <c r="A645" t="inlineStr">
        <is>
          <t>Moriba</t>
        </is>
      </c>
      <c r="B645" t="inlineStr">
        <is>
          <t>Leipzig</t>
        </is>
      </c>
      <c r="C645" t="inlineStr">
        <is>
          <t>Midfielder</t>
        </is>
      </c>
      <c r="D645" t="n">
        <v>60</v>
      </c>
      <c r="E645" t="n">
        <v>3</v>
      </c>
      <c r="F645" t="n">
        <v>0</v>
      </c>
      <c r="G645" t="n">
        <v>0</v>
      </c>
      <c r="H645" t="n">
        <v>8.699999999999999</v>
      </c>
      <c r="I645" t="n">
        <v>27.4</v>
      </c>
      <c r="J645" t="n">
        <v>617074</v>
      </c>
      <c r="K645" t="inlineStr">
        <is>
          <t>{'marketValueHistory': [{'date': '11/02/2020', 'age': '17', 'clubName': 'FC Barcelona U19', 'clubID': '2470', 'value': '€500k'}, {'date': '08/04/2020', 'age': '17', 'clubName': 'FC Barcelona U19', 'clubID': '2470', 'value': '€450k'}, {'date': '23/07/2020', 'age': '17', 'clubName': 'FC Barcelona B', 'clubID': '2464', 'value': '€5.00m'}, {'date': '08/10/2020', 'age': '17', 'clubName': 'FC Barcelona B', 'clubID': '2464', 'value': '€5.00m'}, {'date': '08/01/2021', 'age': '17', 'clubName': 'FC Barcelona B', 'clubID': '2464', 'value': '€5.00m'}, {'date': '19/03/2021', 'age': '18', 'clubName': 'FC Barcelona B', 'clubID': '2464', 'value': '€10.00m'}, {'date': '10/06/2021', 'age': '18', 'clubName': 'FC Barcelona B', 'clubID': '2464', 'value': '€25.00m'}, {'date': '22/12/2021', 'age': '18', 'clubName': 'RB Leipzig', 'clubID': '23826', 'value': '€20.00m'}, {'date': '21/03/2022', 'age': '19', 'clubName': 'Valencia CF', 'clubID': '1049', 'value': '€10.00m'}, {'date': '03/06/2022', 'age': '19', 'clubName': 'Valencia CF', 'clubID': '1049', 'value': '€9.00m'}, {'date': '07/11/2022', 'age': '19', 'clubName': 'Valencia CF', 'clubID': '1049', 'value': '€7.00m'}, {'date': '23/03/2023', 'age': '20', 'clubName': 'Valencia CF', 'clubID': '1049', 'value': '€6.00m'}, {'date': '13/06/2023', 'age': '20', 'clubName': 'Valencia CF', 'clubID': '1049', 'value': '€4.00m'}, {'date': '14/12/2023', 'age': '20', 'clubName': 'RB Leipzig', 'clubID': '23826', 'value': '€3.00m'}, {'date': '21/03/2024', 'age': '21', 'clubName': 'Getafe CF', 'clubID': '3709', 'value': '€3.00m'}, {'date': '07/06/2024', 'age': '21', 'clubName': 'Getafe CF', 'clubID': '3709', 'value': '€3.00m'}, {'date': '27/12/2024', 'age': '21', 'clubName': 'Celta de Vigo', 'clubID': '940', 'value': '€4.00m'}, {'date': '09/06/2025', 'age': '22', 'clubName': 'Celta de Vigo', 'clubID': '940', 'value': '€6.00m'}, {'date': '12/12/2025', 'age': '22', 'clubName': 'Celta de Vigo', 'clubID': '940', 'value': '€10.00m'}]}</t>
        </is>
      </c>
      <c r="L645" t="inlineStr">
        <is>
          <t>Spain</t>
        </is>
      </c>
      <c r="M645" t="inlineStr">
        <is>
          <t>2003-01-19</t>
        </is>
      </c>
      <c r="N645" t="inlineStr">
        <is>
          <t>Guinea</t>
        </is>
      </c>
      <c r="O645">
        <f>(10+9+7)/3</f>
        <v/>
      </c>
      <c r="P645">
        <f>(5+10+25+20)/4</f>
        <v/>
      </c>
    </row>
    <row r="646">
      <c r="A646" t="inlineStr">
        <is>
          <t>Passlack</t>
        </is>
      </c>
      <c r="B646" t="inlineStr">
        <is>
          <t>Dortmund</t>
        </is>
      </c>
      <c r="C646" t="inlineStr">
        <is>
          <t>Midfielder</t>
        </is>
      </c>
      <c r="D646" t="n">
        <v>60</v>
      </c>
      <c r="E646" t="n">
        <v>2</v>
      </c>
      <c r="F646" t="n">
        <v>0</v>
      </c>
      <c r="G646" t="n">
        <v>0</v>
      </c>
      <c r="H646" t="n">
        <v>7.6</v>
      </c>
      <c r="I646" t="n">
        <v>28.9</v>
      </c>
      <c r="J646" t="n">
        <v>274461</v>
      </c>
      <c r="K646" t="inlineStr">
        <is>
          <t>{'id': '274461', 'marketValue': '€1.50m', 'marketValueHistory': [{'age': '17', 'date': 'Feb 15, 2016', 'clubName': 'Borussia Dortmund', 'value': '€500k', 'clubID': '16'}, {'age': '18', 'date': 'Jul 22, 2016', 'clubName': 'Borussia Dortmund', 'value': '€1.00m', 'clubID': '16'}, {'age': '18', 'date': 'Oct 13, 2016', 'clubName': 'Borussia Dortmund', 'value': '€3.00m', 'clubID': '16'}, {'age': '18', 'date': 'Feb 7, 2017', 'clubName': 'Borussia Dortmund', 'value': '€3.00m', 'clubID': '16'}, {'age': '19', 'date': 'Jun 19, 2017', 'clubName': 'Borussia Dortmund', 'value': '€3.00m', 'clubID': '16'}, {'age': '19', 'date': 'Dec 28, 2017', 'clubName': 'TSG 1899 Hoffenheim', 'value': '€2.50m', 'clubID': '533'}, {'age': '20', 'date': 'Jun 5, 2018', 'clubName': 'TSG 1899 Hoffenheim', 'value': '€1.50m', 'clubID': '533'}, {'age': '21', 'date': 'Jun 28, 2019', 'clubName': 'Norwich City', 'value': '€1.50m', 'clubID': '1123'}, {'age': '21', 'date': 'Dec 18, 2019', 'clubName': 'Fortuna Sittard', 'value': '€1.50m', 'clubID': '385'}, {'age': '21', 'date': 'Apr 8, 2020', 'clubName': 'Fortuna Sittard', 'value': '€1.30m', 'clubID': '385'}, {'age': '22', 'date': 'Nov 26, 2020', 'clubName': 'Borussia Dortmund', 'value': '€3.00m', 'clubID': '16'}, {'age': '22', 'date': 'Feb 10, 2021', 'clubName': 'Borussia Dortmund', 'value': '€2.50m', 'clubID': '16'}, {'age': '23', 'date': 'Jun 9, 2021', 'clubName': 'Borussia Dortmund', 'value': '€2.50m', 'clubID': '16'}, {'age': '23', 'date': 'Dec 22, 2021', 'clubName': 'Borussia Dortmund', 'value': '€2.50m', 'clubID': '16'}, {'age': '24', 'date': 'Jun 9, 2022', 'clubName': 'Borussia Dortmund', 'value': '€1.50m', 'clubID': '16'}, {'age': '24', 'date': 'Nov 9, 2022', 'clubName': 'Borussia Dortmund', 'value': '€1.50m', 'clubID': '16'}, {'age': '25', 'date': 'Jun 22, 2023', 'clubName': 'Borussia Dortmund', 'value': '€1.50m', 'clubID': '16'}, {'age': '25', 'date': 'Dec 14, 2023', 'clubName': 'VfL Bochum', 'value': '€1.50m', 'clubID': '80'}], 'ranking': {'Worldwide': '5.054', 'Bundesliga': '352', 'VfL Bochum': '15', 'Germany': '232', 'Right-Back': '364', 'Year 1998': '463'}, 'updatedAt': datetime.datetime(2024, 5, 23, 22, 31, 53, 285985)}</t>
        </is>
      </c>
      <c r="L646" t="inlineStr">
        <is>
          <t>Germany</t>
        </is>
      </c>
      <c r="M646" t="inlineStr">
        <is>
          <t>1998-05-29</t>
        </is>
      </c>
      <c r="N646" t="inlineStr">
        <is>
          <t>Germany</t>
        </is>
      </c>
      <c r="O646">
        <f>(1.5+1.5)/2</f>
        <v/>
      </c>
      <c r="P646">
        <f>(2.5+2.5+2.5)/3</f>
        <v/>
      </c>
    </row>
    <row r="647">
      <c r="A647" t="inlineStr">
        <is>
          <t>Elliott</t>
        </is>
      </c>
      <c r="B647" t="inlineStr">
        <is>
          <t>Liverpool</t>
        </is>
      </c>
      <c r="C647" t="inlineStr">
        <is>
          <t>Midfielder</t>
        </is>
      </c>
      <c r="D647" t="n">
        <v>59</v>
      </c>
      <c r="E647" t="n">
        <v>1</v>
      </c>
      <c r="F647" t="n">
        <v>0</v>
      </c>
      <c r="G647" t="n">
        <v>0</v>
      </c>
      <c r="H647" t="n">
        <v>7.9</v>
      </c>
      <c r="I647" t="n">
        <v>31.5</v>
      </c>
      <c r="J647" t="n">
        <v>565822</v>
      </c>
      <c r="K647" t="inlineStr">
        <is>
          <t>{'marketValueHistory': [{'date': 'Aug 7, 2019', 'age': '16', 'clubName': 'Liverpool FC U23', 'clubID': '31', 'value': '€4.00m'}, {'date': 'Apr 8, 2020', 'age': '17', 'clubName': 'Liverpool FC U23', 'clubID': '31', 'value': '€3.60m'}, {'date': 'Oct 13, 2020', 'age': '17', 'clubName': 'Liverpool FC U23', 'clubID': '31', 'value': '€4.00m'}, {'date': 'Dec 22, 2020', 'age': '17', 'clubName': 'Blackburn Rovers', 'clubID': '164', 'value': '€8.00m'}, {'date': 'Mar 10, 2021', 'age': '17', 'clubName': 'Blackburn Rovers', 'clubID': '164', 'value': '€15.00m'}, {'date': 'Dec 23, 2021', 'age': '18', 'clubName': 'Liverpool FC', 'clubID': '31', 'value': '€15.00m'}, {'date': 'Mar 29, 2022', 'age': '18', 'clubName': 'Liverpool FC', 'clubID': '31', 'value': '€22.00m'}, {'date': 'Jun 15, 2022', 'age': '19', 'clubName': 'Liverpool FC', 'clubID': '31', 'value': '€22.00m'}, {'date': 'Sep 15, 2022', 'age': '19', 'clubName': 'Liverpool FC', 'clubID': '31', 'value': '€35.00m'}, {'date': 'Nov 3, 2022', 'age': '19', 'clubName': 'Liverpool FC', 'clubID': '31', 'value': '€35.00m'}, {'date': 'Jun 20, 2023', 'age': '20', 'clubName': 'Liverpool FC', 'clubID': '31', 'value': '€35.00m'}, {'date': 'Dec 19, 2023', 'age': '20', 'clubName': 'Liverpool FC', 'clubID': '31', 'value': '€30.00m'}, {'date': 'Mar 14, 2024', 'age': '20', 'clubName': 'Liverpool FC', 'clubID': '31', 'value': '€35.00m'}, {'date': 'May 27, 2024', 'age': '21', 'clubName': 'Liverpool FC', 'clubID': '31', 'value': '€35.00m'}, {'date': 'Dec 16, 2024', 'age': '21', 'clubName': 'Liverpool FC', 'clubID': '31', 'value': '€35.00m'}, {'date': 'May 30, 2025', 'age': '22', 'clubName': 'Liverpool FC', 'clubID': '31', 'value': '€30.00m'}, {'date': 'Oct 17, 2025', 'age': '22', 'clubName': 'Aston Villa', 'clubID': '405', 'value': '€35.00m'}, {'date': 'Dec 9, 2025', 'age': '22', 'clubName': 'Aston Villa', 'clubID': '405', 'value': '€30.00m'}, {'date': 'Mar 9, 2026', 'age': '22', 'clubName': 'Aston Villa', 'clubID': '405', 'value': '€22.00m'}]}</t>
        </is>
      </c>
      <c r="L647" t="inlineStr">
        <is>
          <t>England</t>
        </is>
      </c>
      <c r="M647" t="inlineStr">
        <is>
          <t>2003-04-04</t>
        </is>
      </c>
      <c r="N647" t="inlineStr">
        <is>
          <t>England</t>
        </is>
      </c>
      <c r="O647">
        <f>(22+22+35+35)/4</f>
        <v/>
      </c>
      <c r="P647">
        <f>(15+15)/2</f>
        <v/>
      </c>
    </row>
    <row r="648">
      <c r="A648" t="inlineStr">
        <is>
          <t>Bakayoko</t>
        </is>
      </c>
      <c r="B648" t="inlineStr">
        <is>
          <t>Milan</t>
        </is>
      </c>
      <c r="C648" t="inlineStr">
        <is>
          <t>Midfielder</t>
        </is>
      </c>
      <c r="D648" t="n">
        <v>56</v>
      </c>
      <c r="E648" t="n">
        <v>3</v>
      </c>
      <c r="F648" t="n">
        <v>0</v>
      </c>
      <c r="G648" t="n">
        <v>0</v>
      </c>
      <c r="H648" t="n">
        <v>8.1</v>
      </c>
      <c r="I648" t="n">
        <v>31.9</v>
      </c>
      <c r="J648" t="n">
        <v>565424</v>
      </c>
      <c r="K648" t="inlineStr">
        <is>
          <t>{'marketValueHistory': [{'date': 'Mar 16, 2021', 'age': '17', 'clubName': 'PSV Eindhoven U21', 'clubID': '9715', 'value': '€100k'}, {'date': 'Oct 12, 2021', 'age': '18', 'clubName': 'PSV Eindhoven U21', 'clubID': '9715', 'value': '€200k'}, {'date': 'Jan 12, 2022', 'age': '18', 'clubName': 'PSV Eindhoven U21', 'clubID': '9715', 'value': '€500k'}, {'date': 'Jun 23, 2022', 'age': '19', 'clubName': 'PSV Eindhoven U21', 'clubID': '9715', 'value': '€3.00m'}, {'date': 'Sep 14, 2022', 'age': '19', 'clubName': 'PSV Eindhoven', 'clubID': '383', 'value': '€4.50m'}, {'date': 'Nov 11, 2022', 'age': '19', 'clubName': 'PSV Eindhoven', 'clubID': '383', 'value': '€4.50m'}, {'date': 'Mar 17, 2023', 'age': '19', 'clubName': 'PSV Eindhoven', 'clubID': '383', 'value': '€9.00m'}, {'date': 'Jun 23, 2023', 'age': '20', 'clubName': 'PSV Eindhoven', 'clubID': '383', 'value': '€10.00m'}, {'date': 'Oct 17, 2023', 'age': '20', 'clubName': 'PSV Eindhoven', 'clubID': '383', 'value': '€25.00m'}, {'date': 'Dec 15, 2023', 'age': '20', 'clubName': 'PSV Eindhoven', 'clubID': '383', 'value': '€40.00m'}, {'date': 'May 31, 2024', 'age': '21', 'clubName': 'PSV Eindhoven', 'clubID': '383', 'value': '€45.00m'}, {'date': 'Dec 17, 2024', 'age': '21', 'clubName': 'PSV Eindhoven', 'clubID': '383', 'value': '€40.00m'}, {'date': 'Mar 28, 2025', 'age': '21', 'clubName': 'PSV Eindhoven', 'clubID': '383', 'value': '€35.00m'}, {'date': 'May 28, 2025', 'age': '22', 'clubName': 'PSV Eindhoven', 'clubID': '383', 'value': '€30.00m'}, {'date': 'Dec 19, 2025', 'age': '22', 'clubName': 'RB Leipzig', 'clubID': '23826', 'value': '€25.00m'}, {'date': 'Mar 20, 2026', 'age': '22', 'clubName': 'RB Leipzig', 'clubID': '23826', 'value': '€22.00m'}]}</t>
        </is>
      </c>
      <c r="L648" t="inlineStr">
        <is>
          <t>Belgium</t>
        </is>
      </c>
      <c r="M648" t="inlineStr">
        <is>
          <t>2003-04-20</t>
        </is>
      </c>
      <c r="N648" t="inlineStr">
        <is>
          <t>Belgium</t>
        </is>
      </c>
      <c r="O648">
        <f>(0.5+3+4.5+4.5)/4</f>
        <v/>
      </c>
      <c r="P648">
        <f>(0.1+0.2)/2</f>
        <v/>
      </c>
    </row>
    <row r="649">
      <c r="A649" t="inlineStr">
        <is>
          <t>Pezzella</t>
        </is>
      </c>
      <c r="B649" t="inlineStr">
        <is>
          <t>Atalanta</t>
        </is>
      </c>
      <c r="C649" t="inlineStr">
        <is>
          <t>Defender</t>
        </is>
      </c>
      <c r="D649" t="n">
        <v>56</v>
      </c>
      <c r="E649" t="n">
        <v>3</v>
      </c>
      <c r="F649" t="n">
        <v>0</v>
      </c>
      <c r="G649" t="n">
        <v>0</v>
      </c>
      <c r="H649" t="n">
        <v>8.1</v>
      </c>
      <c r="I649" t="n">
        <v>32.5</v>
      </c>
      <c r="J649" t="n">
        <v>113133</v>
      </c>
      <c r="K649" t="inlineStr">
        <is>
          <t>{'marketValueHistory': [{'date': 'Oct 6, 2009', 'age': '18', 'clubName': 'CA River Plate U20', 'clubID': '15108', 'value': '€25k'}, {'date': 'Jan 1, 2011', 'age': '19', 'clubName': 'CA River Plate II', 'clubID': '15108', 'value': '€50k'}, {'date': 'Jun 28, 2011', 'age': '20', 'clubName': 'CA River Plate II', 'clubID': '15108', 'value': '€50k'}, {'date': 'Nov 5, 2012', 'age': '21', 'clubName': 'CA River Plate', 'clubID': '15108', 'value': '€150k'}, {'date': 'Dec 26, 2012', 'age': '21', 'clubName': 'CA River Plate', 'clubID': '15108', 'value': '€1.00m'}, {'date': 'Feb 10, 2014', 'age': '22', 'clubName': 'CA River Plate', 'clubID': '15108', 'value': '€1.30m'}, {'date': 'Jan 10, 2015', 'age': '23', 'clubName': 'CA River Plate', 'clubID': '15108', 'value': '€1.50m'}, {'date': 'Jul 1, 2015', 'age': '24', 'clubName': 'Real Betis Balompié', 'clubID': '150', 'value': '€2.50m'}, {'date': 'Feb 22, 2016', 'age': '24', 'clubName': 'Real Betis Balompié', 'clubID': '150', 'value': '€2.50m'}, {'date': 'Jul 15, 2016', 'age': '25', 'clubName': 'Real Betis Balompié', 'clubID': '150', 'value': '€3.00m'}, {'date': 'Jan 24, 2017', 'age': '25', 'clubName': 'Real Betis Balompié', 'clubID': '150', 'value': '€3.50m'}, {'date': 'Jun 5, 2017', 'age': '25', 'clubName': 'Real Betis Balompié', 'clubID': '150', 'value': '€6.00m'}, {'date': 'Dec 29, 2017', 'age': '26', 'clubName': 'ACF Fiorentina', 'clubID': '430', 'value': '€9.00m'}, {'date': 'Jun 7, 2018', 'age': '26', 'clubName': 'ACF Fiorentina', 'clubID': '430', 'value': '€13.00m'}, {'date': 'Dec 20, 2018', 'age': '27', 'clubName': 'ACF Fiorentina', 'clubID': '430', 'value': '€20.00m'}, {'date': 'Jun 6, 2019', 'age': '27', 'clubName': 'ACF Fiorentina', 'clubID': '430', 'value': '€18.00m'}, {'date': 'Dec 12, 2019', 'age': '28', 'clubName': 'ACF Fiorentina', 'clubID': '430', 'value': '€18.00m'}, {'date': 'Apr 8, 2020', 'age': '28', 'clubName': 'ACF Fiorentina', 'clubID': '430', 'value': '€14.50m'}, {'date': 'Aug 25, 2020', 'age': '29', 'clubName': 'ACF Fiorentina', 'clubID': '430', 'value': '€15.00m'}, {'date': 'Dec 29, 2020', 'age': '29', 'clubName': 'ACF Fiorentina', 'clubID': '430', 'value': '€13.00m'}, {'date': 'Mar 23, 2021', 'age': '29', 'clubName': 'ACF Fiorentina', 'clubID': '430', 'value': '€10.00m'}, {'date': 'Jun 3, 2021', 'age': '29', 'clubName': 'ACF Fiorentina', 'clubID': '430', 'value': '€7.50m'}, {'date': 'Oct 13, 2021', 'age': '30', 'clubName': 'Real Betis Balompié', 'clubID': '150', 'value': '€5.00m'}, {'date': 'Dec 30, 2021', 'age': '30', 'clubName': 'Real Betis Balompié', 'clubID': '150', 'value': '€5.00m'}, {'date': 'Jun 3, 2022', 'age': '30', 'clubName': 'Real Betis Balompié', 'clubID': '150', 'value': '€5.00m'}, {'date': 'Nov 7, 2022', 'age': '31', 'clubName': 'Real Betis Balompié', 'clubID': '150', 'value': '€5.00m'}, {'date': 'Jun 13, 2023', 'age': '31', 'clubName': 'Real Betis Balompié', 'clubID': '150', 'value': '€5.00m'}, {'date': 'Dec 22, 2023', 'age': '32', 'clubName': 'Real Betis Balompié', 'clubID': '150', 'value': '€5.00m'}, {'date': 'Jun 7, 2024', 'age': '32', 'clubName': 'Real Betis Balompié', 'clubID': '150', 'value': '€3.00m'}, {'date': 'Dec 13, 2024', 'age': '33', 'clubName': 'CA River Plate', 'clubID': '209', 'value': '€2.70m'}, {'date': 'Apr 2, 2025', 'age': '33', 'clubName': 'CA River Plate', 'clubID': '209', 'value': '€2.30m'}, {'date': 'Jun 2, 2025', 'age': '33', 'clubName': 'CA River Plate', 'clubID': '209', 'value': '€1.80m'}, {'date': 'Sep 24, 2025', 'age': '34', 'clubName': 'CA River Plate', 'clubID': '209', 'value': '€1.30m'}, {'date': 'Dec 17, 2025', 'age': '34', 'clubName': 'CA River Plate', 'clubID': '209', 'value': '€1.00m'}]}</t>
        </is>
      </c>
      <c r="L649" t="inlineStr">
        <is>
          <t>Argentina</t>
        </is>
      </c>
      <c r="M649" t="inlineStr">
        <is>
          <t>1991-06-27</t>
        </is>
      </c>
      <c r="N649" t="inlineStr">
        <is>
          <t>Argentina</t>
        </is>
      </c>
      <c r="O649">
        <f>(5+5)/2</f>
        <v/>
      </c>
      <c r="P649">
        <f>(10+7.5+5+5)/4</f>
        <v/>
      </c>
    </row>
    <row r="650">
      <c r="A650" t="inlineStr">
        <is>
          <t>Sudakov</t>
        </is>
      </c>
      <c r="B650" t="inlineStr">
        <is>
          <t>Shakhtar Donetsk</t>
        </is>
      </c>
      <c r="C650" t="inlineStr">
        <is>
          <t>Midfielder</t>
        </is>
      </c>
      <c r="D650" t="n">
        <v>56</v>
      </c>
      <c r="E650" t="n">
        <v>2</v>
      </c>
      <c r="F650" t="n">
        <v>0</v>
      </c>
      <c r="G650" t="n">
        <v>0</v>
      </c>
      <c r="H650" t="n">
        <v>8.300000000000001</v>
      </c>
      <c r="I650" t="n">
        <v>28.6</v>
      </c>
      <c r="J650" t="n">
        <v>623325</v>
      </c>
      <c r="K650" t="inlineStr">
        <is>
          <t>{'marketValueHistory': [{'date': '16/10/2020', 'age': '18', 'clubName': 'Shakhtar Donetsk II', 'clubID': '8963', 'value': '€100k'}, {'date': '14/01/2021', 'age': '18', 'clubName': 'Shakhtar Donetsk', 'clubID': '660', 'value': '€400k'}, {'date': '27/05/2021', 'age': '18', 'clubName': 'Shakhtar Donetsk', 'clubID': '660', 'value': '€800k'}, {'date': '03/09/2021', 'age': '19', 'clubName': 'Shakhtar Donetsk', 'clubID': '660', 'value': '€1.00m'}, {'date': '20/12/2021', 'age': '19', 'clubName': 'Shakhtar Donetsk', 'clubID': '660', 'value': '€1.50m'}, {'date': '18/05/2022', 'age': '19', 'clubName': 'Shakhtar Donetsk', 'clubID': '660', 'value': '€1.50m'}, {'date': '06/12/2022', 'age': '20', 'clubName': 'Shakhtar Donetsk', 'clubID': '660', 'value': '€6.00m'}, {'date': '28/03/2023', 'age': '20', 'clubName': 'Shakhtar Donetsk', 'clubID': '660', 'value': '€9.00m'}, {'date': '21/06/2023', 'age': '20', 'clubName': 'Shakhtar Donetsk', 'clubID': '660', 'value': '€11.00m'}, {'date': '12/07/2023', 'age': '20', 'clubName': 'Shakhtar Donetsk', 'clubID': '660', 'value': '€15.00m'}, {'date': '11/12/2023', 'age': '21', 'clubName': 'Shakhtar Donetsk', 'clubID': '660', 'value': '€18.00m'}, {'date': '18/03/2024', 'age': '21', 'clubName': 'Shakhtar Donetsk', 'clubID': '660', 'value': '€25.00m'}, {'date': '06/06/2024', 'age': '21', 'clubName': 'Shakhtar Donetsk', 'clubID': '660', 'value': '€35.00m'}, {'date': '17/12/2024', 'age': '22', 'clubName': 'Shakhtar Donetsk', 'clubID': '660', 'value': '€32.00m'}, {'date': '10/06/2025', 'age': '22', 'clubName': 'Shakhtar Donetsk', 'clubID': '660', 'value': '€32.00m'}, {'date': '18/12/2025', 'age': '23', 'clubName': 'SL Benfica', 'clubID': '294', 'value': '€30.00m'}, {'date': '19/03/2026', 'age': '23', 'clubName': 'SL Benfica', 'clubID': '294', 'value': '€28.00m'}]}</t>
        </is>
      </c>
      <c r="L650" t="inlineStr">
        <is>
          <t>Ukraine</t>
        </is>
      </c>
      <c r="M650" t="inlineStr">
        <is>
          <t>2002-09-01</t>
        </is>
      </c>
      <c r="N650" t="inlineStr">
        <is>
          <t>34</t>
        </is>
      </c>
      <c r="O650">
        <f>(1.5+6)/2</f>
        <v/>
      </c>
      <c r="P650">
        <f>(0.4+0.8+1+1.5)/4</f>
        <v/>
      </c>
    </row>
    <row r="651">
      <c r="A651" t="inlineStr">
        <is>
          <t>Sandra</t>
        </is>
      </c>
      <c r="B651" t="inlineStr">
        <is>
          <t>Club Brugge</t>
        </is>
      </c>
      <c r="C651" t="inlineStr">
        <is>
          <t>Midfielder</t>
        </is>
      </c>
      <c r="D651" t="n">
        <v>56</v>
      </c>
      <c r="E651" t="n">
        <v>1</v>
      </c>
      <c r="F651" t="n">
        <v>0</v>
      </c>
      <c r="G651" t="n">
        <v>0</v>
      </c>
      <c r="H651" t="n">
        <v>6.9</v>
      </c>
      <c r="I651" t="n">
        <v>30.4</v>
      </c>
      <c r="J651" t="n">
        <v>632088</v>
      </c>
      <c r="K651" t="inlineStr">
        <is>
          <t>{'id': '632088', 'marketValue': '€1.00m', 'marketValueHistory': [{'age': '16', 'date': 'Oct 21, 2020', 'clubName': 'Club NXT', 'value': '€400k', 'clubID': '43560'}, {'age': '17', 'date': 'Jun 7, 2021', 'clubName': 'Club Brugge KV', 'value': '€400k', 'clubID': '2282'}, {'age': '18', 'date': 'Jan 6, 2022', 'clubName': 'Club Brugge KV', 'value': '€1.50m', 'clubID': '2282'}, {'age': '18', 'date': 'Apr 12, 2022', 'clubName': 'Club Brugge KV', 'value': '€1.50m', 'clubID': '2282'}, {'age': '18', 'date': 'Nov 4, 2022', 'clubName': 'Club Brugge KV', 'value': '€1.20m', 'clubID': '2282'}, {'age': '19', 'date': 'Jun 9, 2023', 'clubName': 'Club Brugge KV', 'value': '€1.00m', 'clubID': '2282'}, {'age': '19', 'date': 'Dec 15, 2023', 'clubName': 'Excelsior Rotterdam', 'value': '€1.00m', 'clubID': '798'}], 'ranking': {'Worldwide': '6.635', 'Eredivisie': '175', 'Excelsior': '5', 'Belgium': '143', 'Attacking Midfield': '554', 'Year 2003': '333'}, 'updatedAt': datetime.datetime(2024, 5, 23, 22, 35, 0, 198758)}</t>
        </is>
      </c>
      <c r="L651" t="inlineStr">
        <is>
          <t>Belgium</t>
        </is>
      </c>
      <c r="M651" t="inlineStr">
        <is>
          <t>2003-12-16</t>
        </is>
      </c>
      <c r="N651" t="inlineStr">
        <is>
          <t>Belgium</t>
        </is>
      </c>
      <c r="O651">
        <f>(1.5+1.5+1.2)/3</f>
        <v/>
      </c>
      <c r="P651">
        <f>0.4</f>
        <v/>
      </c>
    </row>
    <row r="652">
      <c r="A652" t="inlineStr">
        <is>
          <t>Mbamba</t>
        </is>
      </c>
      <c r="B652" t="inlineStr">
        <is>
          <t>Club Brugge</t>
        </is>
      </c>
      <c r="C652" t="inlineStr">
        <is>
          <t>Midfielder</t>
        </is>
      </c>
      <c r="D652" t="n">
        <v>55</v>
      </c>
      <c r="E652" t="n">
        <v>3</v>
      </c>
      <c r="F652" t="n">
        <v>0</v>
      </c>
      <c r="G652" t="n">
        <v>0</v>
      </c>
      <c r="H652" t="n">
        <v>8.699999999999999</v>
      </c>
      <c r="I652" t="n">
        <v>30.5</v>
      </c>
      <c r="J652" t="n">
        <v>743395</v>
      </c>
      <c r="K652" t="inlineStr">
        <is>
          <t>{'marketValueHistory': [{'date': '23/02/2021', 'age': '16', 'clubName': 'Club NXT', 'clubID': '43560', 'value': '€500k'}, {'date': '07/06/2021', 'age': '16', 'clubName': 'Club Brugge KV', 'clubID': '2282', 'value': '€800k'}, {'date': '06/10/2021', 'age': '16', 'clubName': 'Club Brugge KV', 'clubID': '2282', 'value': '€3.00m'}, {'date': '06/01/2022', 'age': '17', 'clubName': 'Club Brugge KV', 'clubID': '2282', 'value': '€5.00m'}, {'date': '12/04/2022', 'age': '17', 'clubName': 'Club Brugge KV', 'clubID': '2282', 'value': '€5.00m'}, {'date': '26/05/2022', 'age': '17', 'clubName': 'Club Brugge KV', 'clubID': '2282', 'value': '€4.00m'}, {'date': '04/11/2022', 'age': '17', 'clubName': 'Club Brugge KV', 'clubID': '2282', 'value': '€3.00m'}, {'date': '22/06/2023', 'age': '18', 'clubName': 'Bayer 04 Leverkusen', 'clubID': '15', 'value': '€3.00m'}, {'date': '14/12/2023', 'age': '18', 'clubName': 'Bayer 04 Leverkusen', 'clubID': '15', 'value': '€3.00m'}, {'date': '29/05/2024', 'age': '19', 'clubName': 'Bayer 04 Leverkusen', 'clubID': '15', 'value': '€2.50m'}, {'date': '19/12/2024', 'age': '19', 'clubName': 'Fortuna Düsseldorf', 'clubID': '38', 'value': '€2.00m'}, {'date': '26/03/2025', 'age': '20', 'clubName': 'FCV Dender EH', 'clubID': '9010', 'value': '€1.50m'}, {'date': '12/06/2025', 'age': '20', 'clubName': 'FCV Dender EH', 'clubID': '9010', 'value': '€1.50m'}, {'date': '10/12/2025', 'age': '20', 'clubName': 'FCV Dender EH', 'clubID': '9010', 'value': '€1.50m'}]}</t>
        </is>
      </c>
      <c r="L652" t="inlineStr">
        <is>
          <t>Belgium</t>
        </is>
      </c>
      <c r="M652" t="inlineStr">
        <is>
          <t>2005-01-05</t>
        </is>
      </c>
      <c r="N652" t="inlineStr">
        <is>
          <t>Belgium</t>
        </is>
      </c>
      <c r="O652">
        <f>(5+5+4+3)/4</f>
        <v/>
      </c>
      <c r="P652">
        <f>(0.5+0.8+3)/3</f>
        <v/>
      </c>
    </row>
    <row r="653">
      <c r="A653" t="inlineStr">
        <is>
          <t>Shepeliev</t>
        </is>
      </c>
      <c r="B653" t="inlineStr">
        <is>
          <t>Dynamo Kyiv</t>
        </is>
      </c>
      <c r="C653" t="inlineStr">
        <is>
          <t>Midfielder</t>
        </is>
      </c>
      <c r="D653" t="n">
        <v>54</v>
      </c>
      <c r="E653" t="n">
        <v>2</v>
      </c>
      <c r="F653" t="n">
        <v>0</v>
      </c>
      <c r="G653" t="n">
        <v>0</v>
      </c>
      <c r="H653" t="n">
        <v>8.699999999999999</v>
      </c>
      <c r="I653" t="n">
        <v>30.8</v>
      </c>
      <c r="J653" t="n">
        <v>294746</v>
      </c>
      <c r="K653" t="inlineStr">
        <is>
          <t>{'marketValueHistory': [{'date': 'Jun 26, 2017', 'age': '20', 'clubName': 'Dynamo Kyiv', 'clubID': '338', 'value': '€1.20m'}, {'date': 'Jan 12, 2018', 'age': '20', 'clubName': 'Dynamo Kyiv', 'clubID': '338', 'value': '€1.50m'}, {'date': 'Aug 6, 2018', 'age': '21', 'clubName': 'Dynamo Kyiv', 'clubID': '338', 'value': '€2.50m'}, {'date': 'Dec 10, 2018', 'age': '21', 'clubName': 'Dynamo Kyiv', 'clubID': '338', 'value': '€3.00m'}, {'date': 'Jun 20, 2019', 'age': '22', 'clubName': 'Dynamo Kyiv', 'clubID': '338', 'value': '€4.00m'}, {'date': 'Jan 8, 2020', 'age': '22', 'clubName': 'Dynamo Kyiv', 'clubID': '338', 'value': '€4.00m'}, {'date': 'Apr 8, 2020', 'age': '22', 'clubName': 'Dynamo Kyiv', 'clubID': '338', 'value': '€3.20m'}, {'date': 'Sep 4, 2020', 'age': '23', 'clubName': 'Dynamo Kyiv', 'clubID': '338', 'value': '€3.50m'}, {'date': 'Jan 14, 2021', 'age': '23', 'clubName': 'Dynamo Kyiv', 'clubID': '338', 'value': '€3.00m'}, {'date': 'Jun 7, 2021', 'age': '24', 'clubName': 'Dynamo Kyiv', 'clubID': '338', 'value': '€2.50m'}, {'date': 'Dec 20, 2021', 'age': '24', 'clubName': 'Dynamo Kyiv', 'clubID': '338', 'value': '€2.00m'}, {'date': 'May 18, 2022', 'age': '24', 'clubName': 'Dynamo Kyiv', 'clubID': '338', 'value': '€2.00m'}, {'date': 'Dec 6, 2022', 'age': '25', 'clubName': 'Dynamo Kyiv', 'clubID': '338', 'value': '€2.50m'}, {'date': 'Jun 21, 2023', 'age': '26', 'clubName': 'Dynamo Kyiv', 'clubID': '338', 'value': '€2.50m'}, {'date': 'Dec 11, 2023', 'age': '26', 'clubName': 'Dynamo Kyiv', 'clubID': '338', 'value': '€2.00m'}, {'date': 'Jun 6, 2024', 'age': '27', 'clubName': 'Dynamo Kyiv', 'clubID': '338', 'value': '€1.80m'}, {'date': 'Sep 12, 2024', 'age': '27', 'clubName': 'Dynamo Kyiv', 'clubID': '338', 'value': '€1.50m'}, {'date': 'Dec 17, 2024', 'age': '27', 'clubName': 'Dynamo Kyiv', 'clubID': '338', 'value': '€1.00m'}, {'date': 'Jun 10, 2025', 'age': '28', 'clubName': 'FC Oleksandriya', 'clubID': '18303', 'value': '€1.20m'}, {'date': 'Dec 18, 2025', 'age': '28', 'clubName': 'Polissya Zhytomyr', 'clubID': '53646', 'value': '€1.00m'}]}</t>
        </is>
      </c>
      <c r="L653" t="inlineStr">
        <is>
          <t>Ukraine</t>
        </is>
      </c>
      <c r="M653" t="inlineStr">
        <is>
          <t>1997-06-01</t>
        </is>
      </c>
      <c r="N653" t="inlineStr">
        <is>
          <t>Ukraine</t>
        </is>
      </c>
      <c r="O653">
        <f>(2+2.5)/2</f>
        <v/>
      </c>
      <c r="P653">
        <f>(3+2.5+2)/3</f>
        <v/>
      </c>
    </row>
    <row r="654">
      <c r="A654" t="inlineStr">
        <is>
          <t>Richards</t>
        </is>
      </c>
      <c r="B654" t="inlineStr">
        <is>
          <t>Bayern</t>
        </is>
      </c>
      <c r="C654" t="inlineStr">
        <is>
          <t>Defender</t>
        </is>
      </c>
      <c r="D654" t="n">
        <v>52</v>
      </c>
      <c r="E654" t="n">
        <v>4</v>
      </c>
      <c r="F654" t="n">
        <v>0</v>
      </c>
      <c r="G654" t="n">
        <v>0</v>
      </c>
      <c r="H654" t="n">
        <v>8.5</v>
      </c>
      <c r="I654" t="n">
        <v>30.9</v>
      </c>
      <c r="J654" t="n">
        <v>578539</v>
      </c>
      <c r="K654" t="inlineStr">
        <is>
          <t>{'marketValueHistory': [{'date': '02/05/2018', 'age': '18', 'clubName': 'FC Dallas', 'clubID': '8816', 'value': '€50k'}, {'date': '12/07/2019', 'age': '19', 'clubName': 'FC Bayern Munich II', 'clubID': '27', 'value': '€1.50m'}, {'date': '11/12/2019', 'age': '19', 'clubName': 'FC Bayern Munich II', 'clubID': '27', 'value': '€1.50m'}, {'date': '03/04/2020', 'age': '20', 'clubName': 'FC Bayern Munich II', 'clubID': '27', 'value': '€2.00m'}, {'date': '08/04/2020', 'age': '20', 'clubName': 'FC Bayern Munich II', 'clubID': '27', 'value': '€1.80m'}, {'date': '17/07/2020', 'age': '20', 'clubName': 'Bayern Munich', 'clubID': '27', 'value': '€2.20m'}, {'date': '11/11/2020', 'age': '20', 'clubName': 'Bayern Munich', 'clubID': '27', 'value': '€4.00m'}, {'date': '20/01/2021', 'age': '20', 'clubName': 'Bayern Munich', 'clubID': '27', 'value': '€5.00m'}, {'date': '09/06/2021', 'age': '21', 'clubName': 'TSG 1899 Hoffenheim', 'clubID': '533', 'value': '€7.50m'}, {'date': '22/12/2021', 'age': '21', 'clubName': 'TSG 1899 Hoffenheim', 'clubID': '533', 'value': '€7.50m'}, {'date': '09/06/2022', 'age': '22', 'clubName': 'TSG 1899 Hoffenheim', 'clubID': '533', 'value': '€7.50m'}, {'date': '15/09/2022', 'age': '22', 'clubName': 'Crystal Palace', 'clubID': '873', 'value': '€12.00m'}, {'date': '03/11/2022', 'age': '22', 'clubName': 'Crystal Palace', 'clubID': '873', 'value': '€12.00m'}, {'date': '16/03/2023', 'age': '22', 'clubName': 'Crystal Palace', 'clubID': '873', 'value': '€10.00m'}, {'date': '20/06/2023', 'age': '23', 'clubName': 'Crystal Palace', 'clubID': '873', 'value': '€10.00m'}, {'date': '19/12/2023', 'age': '23', 'clubName': 'Crystal Palace', 'clubID': '873', 'value': '€8.00m'}, {'date': '14/03/2024', 'age': '23', 'clubName': 'Crystal Palace', 'clubID': '873', 'value': '€10.00m'}, {'date': '27/05/2024', 'age': '24', 'clubName': 'Crystal Palace', 'clubID': '873', 'value': '€12.00m'}, {'date': '16/12/2024', 'age': '24', 'clubName': 'Crystal Palace', 'clubID': '873', 'value': '€12.00m'}, {'date': '30/05/2025', 'age': '25', 'clubName': 'Crystal Palace', 'clubID': '873', 'value': '€14.00m'}, {'date': '17/10/2025', 'age': '25', 'clubName': 'Crystal Palace', 'clubID': '873', 'value': '€22.00m'}, {'date': '09/12/2025', 'age': '25', 'clubName': 'Crystal Palace', 'clubID': '873', 'value': '€25.00m'}]}</t>
        </is>
      </c>
      <c r="L654" t="inlineStr">
        <is>
          <t>United States</t>
        </is>
      </c>
      <c r="M654" t="inlineStr">
        <is>
          <t>2000-03-28</t>
        </is>
      </c>
      <c r="N654" t="inlineStr">
        <is>
          <t>United States</t>
        </is>
      </c>
      <c r="O654">
        <f>(7.5+12+12)/3</f>
        <v/>
      </c>
      <c r="P654">
        <f>(5+7.5+7.5)/3</f>
        <v/>
      </c>
    </row>
    <row r="655">
      <c r="A655" t="inlineStr">
        <is>
          <t>Julien</t>
        </is>
      </c>
      <c r="B655" t="inlineStr">
        <is>
          <t>Sheriff</t>
        </is>
      </c>
      <c r="C655" t="inlineStr">
        <is>
          <t>Defender</t>
        </is>
      </c>
      <c r="D655" t="n">
        <v>52</v>
      </c>
      <c r="E655" t="n">
        <v>3</v>
      </c>
      <c r="F655" t="n">
        <v>0</v>
      </c>
      <c r="G655" t="n">
        <v>0</v>
      </c>
      <c r="H655" t="n">
        <v>7.2</v>
      </c>
      <c r="I655" t="n">
        <v>31.7</v>
      </c>
      <c r="J655" t="n">
        <v>196792</v>
      </c>
      <c r="K655" t="inlineStr">
        <is>
          <t>{'marketValueHistory': [{'date': 'Jul 22, 2013', 'age': '17', 'clubName': 'TSV 1860 München II', 'clubID': '73', 'value': '€50k'}, {'date': 'Jan 2, 2014', 'age': '18', 'clubName': 'TSV 1860 München II', 'clubID': '73', 'value': '€75k'}, {'date': 'Feb 6, 2014', 'age': '18', 'clubName': 'TSV 1860 München II', 'clubID': '73', 'value': '€100k'}, {'date': 'May 18, 2014', 'age': '18', 'clubName': 'TSV 1860 Munich', 'clubID': '72', 'value': '€200k'}, {'date': 'Jun 30, 2014', 'age': '18', 'clubName': 'TSV 1860 Munich', 'clubID': '72', 'value': '€800k'}, {'date': 'Jan 13, 2015', 'age': '19', 'clubName': 'TSV 1860 Munich', 'clubID': '72', 'value': '€900k'}, {'date': 'Jul 1, 2015', 'age': '19', 'clubName': 'Borussia Dortmund', 'clubID': '16', 'value': '€2.00m'}, {'date': 'Oct 16, 2015', 'age': '20', 'clubName': 'Borussia Dortmund', 'clubID': '16', 'value': '€7.00m'}, {'date': 'Feb 15, 2016', 'age': '20', 'clubName': 'Borussia Dortmund', 'clubID': '16', 'value': '€9.00m'}, {'date': 'Apr 13, 2016', 'age': '20', 'clubName': 'Borussia Dortmund', 'clubID': '16', 'value': '€12.00m'}, {'date': 'Jun 1, 2016', 'age': '20', 'clubName': 'Borussia Dortmund', 'clubID': '16', 'value': '€14.00m'}, {'date': 'Jul 22, 2016', 'age': '20', 'clubName': 'Borussia Dortmund', 'clubID': '16', 'value': '€18.00m'}, {'date': 'Feb 7, 2017', 'age': '21', 'clubName': 'Borussia Dortmund', 'clubID': '16', 'value': '€23.00m'}, {'date': 'Jun 19, 2017', 'age': '21', 'clubName': 'Borussia Dortmund', 'clubID': '16', 'value': '€25.00m'}, {'date': 'Dec 28, 2017', 'age': '22', 'clubName': 'Borussia Dortmund', 'clubID': '16', 'value': '€30.00m'}, {'date': 'Jun 5, 2018', 'age': '22', 'clubName': 'Borussia Dortmund', 'clubID': '16', 'value': '€30.00m'}, {'date': 'Oct 22, 2018', 'age': '23', 'clubName': 'Borussia Dortmund', 'clubID': '16', 'value': '€25.00m'}, {'date': 'Dec 18, 2018', 'age': '23', 'clubName': 'Borussia Dortmund', 'clubID': '16', 'value': '€22.00m'}, {'date': 'Jun 5, 2019', 'age': '23', 'clubName': 'Borussia Dortmund', 'clubID': '16', 'value': '€25.00m'}, {'date': 'Dec 17, 2019', 'age': '24', 'clubName': 'Borussia Dortmund', 'clubID': '16', 'value': '€23.00m'}, {'date': 'Apr 8, 2020', 'age': '24', 'clubName': 'SL Benfica', 'clubID': '294', 'value': '€18.50m'}, {'date': 'Aug 17, 2020', 'age': '24', 'clubName': 'SL Benfica', 'clubID': '294', 'value': '€20.00m'}, {'date': 'Oct 22, 2020', 'age': '25', 'clubName': 'SL Benfica', 'clubID': '294', 'value': '€17.00m'}, {'date': 'Jan 28, 2021', 'age': '25', 'clubName': 'SL Benfica', 'clubID': '294', 'value': '€17.00m'}, {'date': 'Mar 25, 2021', 'age': '25', 'clubName': 'SL Benfica', 'clubID': '294', 'value': '€20.00m'}, {'date': 'May 21, 2021', 'age': '25', 'clubName': 'SL Benfica', 'clubID': '294', 'value': '€20.00m'}, {'date': 'Dec 27, 2021', 'age': '26', 'clubName': 'SL Benfica', 'clubID': '294', 'value': '€22.00m'}, {'date': 'May 31, 2022', 'age': '26', 'clubName': 'SL Benfica', 'clubID': '294', 'value': '€22.00m'}, {'date': 'Sep 21, 2022', 'age': '27', 'clubName': 'Borussia Mönchengladbach', 'clubID': '18', 'value': '€15.00m'}, {'date': 'Nov 9, 2022', 'age': '27', 'clubName': 'Borussia Mönchengladbach', 'clubID': '18', 'value': '€15.00m'}, {'date': 'Jun 22, 2023', 'age': '27', 'clubName': 'Borussia Mönchengladbach', 'clubID': '18', 'value': '€10.00m'}, {'date': 'Dec 14, 2023', 'age': '28', 'clubName': 'Borussia Mönchengladbach', 'clubID': '18', 'value': '€10.00m'}, {'date': 'May 29, 2024', 'age': '28', 'clubName': 'Borussia Mönchengladbach', 'clubID': '18', 'value': '€6.00m'}, {'date': 'Dec 20, 2024', 'age': '29', 'clubName': 'Borussia Mönchengladbach', 'clubID': '18', 'value': '€6.00m'}, {'date': 'Jun 5, 2025', 'age': '29', 'clubName': 'Borussia Mönchengladbach', 'clubID': '18', 'value': '€6.00m'}, {'date': 'Dec 18, 2025', 'age': '30', 'clubName': 'Al-Qadsiah FC', 'clubID': '26069', 'value': '€5.00m'}]}</t>
        </is>
      </c>
      <c r="L655" t="inlineStr">
        <is>
          <t>Germany</t>
        </is>
      </c>
      <c r="M655" t="inlineStr">
        <is>
          <t>1995-09-08</t>
        </is>
      </c>
      <c r="N655" t="inlineStr">
        <is>
          <t>Germany</t>
        </is>
      </c>
      <c r="O655">
        <f>(22+15+15)/3</f>
        <v/>
      </c>
      <c r="P655">
        <f>(17+20+20+22)/4</f>
        <v/>
      </c>
    </row>
    <row r="656">
      <c r="A656" t="inlineStr">
        <is>
          <t>Oguzhan Ozyakup</t>
        </is>
      </c>
      <c r="B656" t="inlineStr">
        <is>
          <t>Besiktas</t>
        </is>
      </c>
      <c r="C656" t="inlineStr">
        <is>
          <t>Midfielder</t>
        </is>
      </c>
      <c r="D656" t="n">
        <v>52</v>
      </c>
      <c r="E656" t="n">
        <v>2</v>
      </c>
      <c r="F656" t="n">
        <v>0</v>
      </c>
      <c r="G656" t="n">
        <v>0</v>
      </c>
      <c r="H656" t="n">
        <v>7.4</v>
      </c>
      <c r="I656" t="n">
        <v>29.5</v>
      </c>
      <c r="J656" t="n">
        <v>77966</v>
      </c>
      <c r="K656" t="inlineStr">
        <is>
          <t>{'marketValueHistory': [{'date': '21/04/2010', 'age': '17', 'clubName': 'Arsenal FC U18', 'clubID': '5679', 'value': '€175k'}, {'date': '02/07/2012', 'age': '19', 'clubName': 'Besiktas JK', 'clubID': '114', 'value': '€500k'}, {'date': '06/01/2013', 'age': '20', 'clubName': 'Besiktas JK', 'clubID': '114', 'value': '€2.50m'}, {'date': '15/06/2013', 'age': '20', 'clubName': 'Besiktas JK', 'clubID': '114', 'value': '€3.80m'}, {'date': '27/01/2014', 'age': '21', 'clubName': 'Besiktas JK', 'clubID': '114', 'value': '€4.50m'}, {'date': '23/07/2014', 'age': '21', 'clubName': 'Besiktas JK', 'clubID': '114', 'value': '€6.25m'}, {'date': '26/01/2015', 'age': '22', 'clubName': 'Besiktas JK', 'clubID': '114', 'value': '€6.75m'}, {'date': '25/06/2015', 'age': '22', 'clubName': 'Besiktas JK', 'clubID': '114', 'value': '€6.50m'}, {'date': '18/01/2016', 'age': '23', 'clubName': 'Besiktas JK', 'clubID': '114', 'value': '€9.50m'}, {'date': '01/06/2016', 'age': '23', 'clubName': 'Besiktas JK', 'clubID': '114', 'value': '€14.00m'}, {'date': '15/07/2016', 'age': '23', 'clubName': 'Besiktas JK', 'clubID': '114', 'value': '€14.00m'}, {'date': '10/01/2017', 'age': '24', 'clubName': 'Besiktas JK', 'clubID': '114', 'value': '€12.50m'}, {'date': '09/06/2017', 'age': '24', 'clubName': 'Besiktas JK', 'clubID': '114', 'value': '€12.00m'}, {'date': '12/02/2018', 'age': '25', 'clubName': 'Besiktas JK', 'clubID': '114', 'value': '€10.00m'}, {'date': '29/05/2018', 'age': '25', 'clubName': 'Besiktas JK', 'clubID': '114', 'value': '€8.00m'}, {'date': '04/01/2019', 'age': '26', 'clubName': 'Besiktas JK', 'clubID': '114', 'value': '€6.50m'}, {'date': '27/03/2019', 'age': '26', 'clubName': 'Besiktas JK', 'clubID': '114', 'value': '€5.00m'}, {'date': '04/06/2019', 'age': '26', 'clubName': 'Besiktas JK', 'clubID': '114', 'value': '€3.50m'}, {'date': '03/01/2020', 'age': '27', 'clubName': 'Besiktas JK', 'clubID': '114', 'value': '€2.20m'}, {'date': '08/04/2020', 'age': '27', 'clubName': 'Feyenoord Rotterdam', 'clubID': '234', 'value': '€1.70m'}, {'date': '04/08/2020', 'age': '27', 'clubName': 'Besiktas JK', 'clubID': '114', 'value': '€1.50m'}, {'date': '23/12/2020', 'age': '28', 'clubName': 'Besiktas JK', 'clubID': '114', 'value': '€1.50m'}, {'date': '16/03/2021', 'age': '28', 'clubName': 'Besiktas JK', 'clubID': '114', 'value': '€1.80m'}, {'date': '21/05/2021', 'age': '28', 'clubName': 'Besiktas JK', 'clubID': '114', 'value': '€1.80m'}, {'date': '12/10/2021', 'age': '29', 'clubName': 'Besiktas JK', 'clubID': '114', 'value': '€1.70m'}, {'date': '04/01/2022', 'age': '29', 'clubName': 'Besiktas JK', 'clubID': '114', 'value': '€1.60m'}, {'date': '31/03/2022', 'age': '29', 'clubName': 'Besiktas JK', 'clubID': '114', 'value': '€1.30m'}, {'date': '01/06/2022', 'age': '29', 'clubName': 'Besiktas JK', 'clubID': '114', 'value': '€1.00m'}, {'date': '11/11/2022', 'age': '30', 'clubName': 'Fortuna Sittard', 'clubID': '385', 'value': '€1.00m'}, {'date': '23/06/2023', 'age': '30', 'clubName': 'Fortuna Sittard', 'clubID': '385', 'value': '€900k'}, {'date': '17/10/2023', 'age': '31', 'clubName': 'Fortuna Sittard', 'clubID': '385', 'value': '€700k'}, {'date': '15/12/2023', 'age': '31', 'clubName': 'Fortuna Sittard', 'clubID': '385', 'value': '€650k'}, {'date': '31/05/2024', 'age': '31', 'clubName': 'Fortuna Sittard', 'clubID': '385', 'value': '€600k'}, {'date': '26/08/2024', 'age': '31', 'clubName': 'SV Rood-Wit Zaanstad', 'clubID': '132100', 'value': '-'}]}</t>
        </is>
      </c>
      <c r="L656" t="inlineStr">
        <is>
          <t>Türkiye</t>
        </is>
      </c>
      <c r="M656" t="inlineStr">
        <is>
          <t>1992-09-23</t>
        </is>
      </c>
      <c r="N656" t="inlineStr">
        <is>
          <t>Turkey</t>
        </is>
      </c>
      <c r="O656">
        <f>(1.6+1.3+1+1)/4</f>
        <v/>
      </c>
      <c r="P656">
        <f>(1.8+1.8+1.7)/3</f>
        <v/>
      </c>
    </row>
    <row r="657">
      <c r="A657" t="inlineStr">
        <is>
          <t>Daramy</t>
        </is>
      </c>
      <c r="B657" t="inlineStr">
        <is>
          <t>Ajax</t>
        </is>
      </c>
      <c r="C657" t="inlineStr">
        <is>
          <t>Midfielder</t>
        </is>
      </c>
      <c r="D657" t="n">
        <v>52</v>
      </c>
      <c r="E657" t="n">
        <v>2</v>
      </c>
      <c r="F657" t="n">
        <v>0</v>
      </c>
      <c r="G657" t="n">
        <v>0</v>
      </c>
      <c r="H657" t="n">
        <v>6.4</v>
      </c>
      <c r="I657" t="n">
        <v>29.4</v>
      </c>
      <c r="J657" t="n">
        <v>574385</v>
      </c>
      <c r="K657" t="inlineStr">
        <is>
          <t>{'id': '574385', 'marketValue': '€10.00m', 'marketValueHistory': [{'age': '16', 'date': 'Dec 21, 2018', 'clubName': 'FC Copenhagen U19', 'value': '€75k', 'clubID': '16104'}, {'age': '17', 'date': 'Jun 8, 2019', 'clubName': 'FC Copenhagen', 'value': '€1.00m', 'clubID': '190'}, {'age': '17', 'date': 'Dec 22, 2019', 'clubName': 'FC Copenhagen', 'value': '€6.00m', 'clubID': '190'}, {'age': '18', 'date': 'Apr 8, 2020', 'clubName': 'FC Copenhagen', 'value': '€5.40m', 'clubID': '190'}, {'age': '18', 'date': 'Jul 31, 2020', 'clubName': 'FC Copenhagen', 'value': '€6.00m', 'clubID': '190'}, {'age': '18', 'date': 'Dec 23, 2020', 'clubName': 'FC Copenhagen', 'value': '€4.00m', 'clubID': '190'}, {'age': '19', 'date': 'Jun 4, 2021', 'clubName': 'FC Copenhagen', 'value': '€4.00m', 'clubID': '190'}, {'age': '19', 'date': 'Oct 4, 2021', 'clubName': 'Ajax Amsterdam', 'value': '€8.50m', 'clubID': '610'}, {'age': '19', 'date': 'Jan 5, 2022', 'clubName': 'Ajax Amsterdam', 'value': '€8.50m', 'clubID': '610'}, {'age': '20', 'date': 'Mar 17, 2022', 'clubName': 'Ajax Amsterdam', 'value': '€7.00m', 'clubID': '610'}, {'age': '20', 'date': 'Jun 8, 2022', 'clubName': 'Ajax Amsterdam', 'value': '€6.00m', 'clubID': '610'}, {'age': '20', 'date': 'Dec 22, 2022', 'clubName': 'FC Copenhagen', 'value': '€6.00m', 'clubID': '190'}, {'age': '21', 'date': 'Jun 26, 2023', 'clubName': 'FC Copenhagen', 'value': '€6.00m', 'clubID': '190'}, {'age': '21', 'date': 'Oct 16, 2023', 'clubName': 'Stade Reims', 'value': '€10.00m', 'clubID': '1421'}, {'age': '21', 'date': 'Dec 18, 2023', 'clubName': 'Stade Reims', 'value': '€10.00m', 'clubID': '1421'}], 'ranking': {'Worldwide': '987', 'Ligue 1': '94', 'Stade Reims': '2', 'Denmark': '22', 'Left Winger': '93', 'Year 2002': '81'}, 'updatedAt': datetime.datetime(2024, 5, 23, 22, 22, 3, 703948)}</t>
        </is>
      </c>
      <c r="L657" t="inlineStr">
        <is>
          <t>Kingdom of Denmark</t>
        </is>
      </c>
      <c r="M657" t="inlineStr">
        <is>
          <t>2002-01-07</t>
        </is>
      </c>
      <c r="N657" t="inlineStr">
        <is>
          <t>Denmark</t>
        </is>
      </c>
      <c r="O657">
        <f>(8.5+7+6+6)/4</f>
        <v/>
      </c>
      <c r="P657">
        <f>(4+8.5)/2</f>
        <v/>
      </c>
    </row>
    <row r="658">
      <c r="A658" t="inlineStr">
        <is>
          <t>Henrichs</t>
        </is>
      </c>
      <c r="B658" t="inlineStr">
        <is>
          <t>Leipzig</t>
        </is>
      </c>
      <c r="C658" t="inlineStr">
        <is>
          <t>Defender</t>
        </is>
      </c>
      <c r="D658" t="n">
        <v>51</v>
      </c>
      <c r="E658" t="n">
        <v>4</v>
      </c>
      <c r="F658" t="n">
        <v>0</v>
      </c>
      <c r="G658" t="n">
        <v>0</v>
      </c>
      <c r="H658" t="n">
        <v>7.2</v>
      </c>
      <c r="I658" t="n">
        <v>29</v>
      </c>
      <c r="J658" t="n">
        <v>202591</v>
      </c>
      <c r="K658" t="inlineStr">
        <is>
          <t>{'marketValueHistory': [{'date': '01/07/2015', 'age': '18', 'clubName': 'Bayer 04 Leverkusen', 'clubID': '15', 'value': '€150k'}, {'date': '15/02/2016', 'age': '18', 'clubName': 'Bayer 04 Leverkusen', 'clubID': '15', 'value': '€250k'}, {'date': '22/07/2016', 'age': '19', 'clubName': 'Bayer 04 Leverkusen', 'clubID': '15', 'value': '€1.25m'}, {'date': '13/10/2016', 'age': '19', 'clubName': 'Bayer 04 Leverkusen', 'clubID': '15', 'value': '€5.00m'}, {'date': '07/02/2017', 'age': '19', 'clubName': 'Bayer 04 Leverkusen', 'clubID': '15', 'value': '€10.00m'}, {'date': '19/06/2017', 'age': '20', 'clubName': 'Bayer 04 Leverkusen', 'clubID': '15', 'value': '€10.00m'}, {'date': '28/12/2017', 'age': '20', 'clubName': 'Bayer 04 Leverkusen', 'clubID': '15', 'value': '€12.00m'}, {'date': '05/06/2018', 'age': '21', 'clubName': 'Bayer 04 Leverkusen', 'clubID': '15', 'value': '€12.00m'}, {'date': '24/10/2018', 'age': '21', 'clubName': 'AS Monaco', 'clubID': '162', 'value': '€16.00m'}, {'date': '17/12/2018', 'age': '21', 'clubName': 'AS Monaco', 'clubID': '162', 'value': '€20.00m'}, {'date': '03/06/2019', 'age': '22', 'clubName': 'AS Monaco', 'clubID': '162', 'value': '€15.00m'}, {'date': '19/12/2019', 'age': '22', 'clubName': 'AS Monaco', 'clubID': '162', 'value': '€15.00m'}, {'date': '08/04/2020', 'age': '23', 'clubName': 'AS Monaco', 'clubID': '162', 'value': '€12.00m'}, {'date': '10/02/2021', 'age': '23', 'clubName': 'RB Leipzig', 'clubID': '23826', 'value': '€12.00m'}, {'date': '09/06/2021', 'age': '24', 'clubName': 'RB Leipzig', 'clubID': '23826', 'value': '€12.00m'}, {'date': '07/10/2021', 'age': '24', 'clubName': 'RB Leipzig', 'clubID': '23826', 'value': '€9.00m'}, {'date': '22/12/2021', 'age': '24', 'clubName': 'RB Leipzig', 'clubID': '23826', 'value': '€9.00m'}, {'date': '24/03/2022', 'age': '25', 'clubName': 'RB Leipzig', 'clubID': '23826', 'value': '€12.00m'}, {'date': '09/06/2022', 'age': '25', 'clubName': 'RB Leipzig', 'clubID': '23826', 'value': '€14.00m'}, {'date': '21/09/2022', 'age': '25', 'clubName': 'RB Leipzig', 'clubID': '23826', 'value': '€18.00m'}, {'date': '09/11/2022', 'age': '25', 'clubName': 'RB Leipzig', 'clubID': '23826', 'value': '€15.00m'}, {'date': '22/06/2023', 'age': '26', 'clubName': 'RB Leipzig', 'clubID': '23826', 'value': '€15.00m'}, {'date': '18/10/2023', 'age': '26', 'clubName': 'RB Leipzig', 'clubID': '23826', 'value': '€20.00m'}, {'date': '14/12/2023', 'age': '26', 'clubName': 'RB Leipzig', 'clubID': '23826', 'value': '€20.00m'}, {'date': '29/05/2024', 'age': '27', 'clubName': 'RB Leipzig', 'clubID': '23826', 'value': '€20.00m'}, {'date': '20/12/2024', 'age': '27', 'clubName': 'RB Leipzig', 'clubID': '23826', 'value': '€17.00m'}, {'date': '05/06/2025', 'age': '28', 'clubName': 'RB Leipzig', 'clubID': '23826', 'value': '€15.00m'}, {'date': '14/10/2025', 'age': '28', 'clubName': 'RB Leipzig', 'clubID': '23826', 'value': '€12.00m'}, {'date': '19/12/2025', 'age': '28', 'clubName': 'RB Leipzig', 'clubID': '23826', 'value': '€12.00m'}, {'date': '20/03/2026', 'age': '29', 'clubName': 'RB Leipzig', 'clubID': '23826', 'value': '€9.00m'}]}</t>
        </is>
      </c>
      <c r="L658" t="inlineStr">
        <is>
          <t>Germany</t>
        </is>
      </c>
      <c r="M658" t="inlineStr">
        <is>
          <t>1997-02-23</t>
        </is>
      </c>
      <c r="N658" t="inlineStr">
        <is>
          <t>Germany</t>
        </is>
      </c>
      <c r="O658">
        <f>(12+14+18+15)/4</f>
        <v/>
      </c>
      <c r="P658">
        <f>(12+12+9+9)/4</f>
        <v/>
      </c>
    </row>
    <row r="659">
      <c r="A659" t="inlineStr">
        <is>
          <t>Choupo-Moting</t>
        </is>
      </c>
      <c r="B659" t="inlineStr">
        <is>
          <t>Bayern</t>
        </is>
      </c>
      <c r="C659" t="inlineStr">
        <is>
          <t>Midfielder</t>
        </is>
      </c>
      <c r="D659" t="n">
        <v>49</v>
      </c>
      <c r="E659" t="n">
        <v>4</v>
      </c>
      <c r="F659" t="n">
        <v>1</v>
      </c>
      <c r="G659" t="n">
        <v>0</v>
      </c>
      <c r="H659" t="n">
        <v>6.7</v>
      </c>
      <c r="I659" t="n">
        <v>28.8</v>
      </c>
      <c r="J659" t="n">
        <v>45660</v>
      </c>
      <c r="K659" t="inlineStr">
        <is>
          <t>{'marketValueHistory': [{'date': 'May 9, 2007', 'age': '18', 'clubName': 'Hamburger SV U19', 'clubID': '41', 'value': '€200k'}, {'date': 'Nov 8, 2007', 'age': '18', 'clubName': 'Hamburger SV', 'clubID': '41', 'value': '€500k'}, {'date': 'Jan 1, 2008', 'age': '18', 'clubName': 'Hamburger SV', 'clubID': '41', 'value': '€800k'}, {'date': 'Jun 4, 2008', 'age': '19', 'clubName': 'Hamburger SV', 'clubID': '41', 'value': '€1.00m'}, {'date': 'Jul 13, 2010', 'age': '21', 'clubName': 'Hamburger SV', 'clubID': '41', 'value': '€1.50m'}, {'date': 'Jul 16, 2010', 'age': '21', 'clubName': 'Hamburger SV', 'clubID': '41', 'value': '€2.00m'}, {'date': 'Jan 12, 2011', 'age': '21', 'clubName': 'Hamburger SV', 'clubID': '41', 'value': '€3.00m'}, {'date': 'Jun 29, 2011', 'age': '22', 'clubName': 'Hamburger SV', 'clubID': '41', 'value': '€2.00m'}, {'date': 'Jan 23, 2012', 'age': '22', 'clubName': '1.FSV Mainz 05', 'clubID': '39', 'value': '€2.25m'}, {'date': 'Jun 29, 2012', 'age': '23', 'clubName': '1.FSV Mainz 05', 'clubID': '39', 'value': '€3.50m'}, {'date': 'Jan 13, 2013', 'age': '23', 'clubName': '1.FSV Mainz 05', 'clubID': '39', 'value': '€3.50m'}, {'date': 'Jun 30, 2013', 'age': '24', 'clubName': '1.FSV Mainz 05', 'clubID': '39', 'value': '€2.75m'}, {'date': 'Feb 12, 2014', 'age': '24', 'clubName': '1.FSV Mainz 05', 'clubID': '39', 'value': '€3.50m'}, {'date': 'Mar 31, 2014', 'age': '25', 'clubName': '1.FSV Mainz 05', 'clubID': '39', 'value': '€5.00m'}, {'date': 'Jul 10, 2014', 'age': '25', 'clubName': 'FC Schalke 04', 'clubID': '33', 'value': '€7.50m'}, {'date': 'Feb 4, 2015', 'age': '25', 'clubName': 'FC Schalke 04', 'clubID': '33', 'value': '€10.00m'}, {'date': 'Jul 1, 2015', 'age': '26', 'clubName': 'FC Schalke 04', 'clubID': '33', 'value': '€10.00m'}, {'date': 'Feb 15, 2016', 'age': '26', 'clubName': 'FC Schalke 04', 'clubID': '33', 'value': '€10.00m'}, {'date': 'Jul 22, 2016', 'age': '27', 'clubName': 'FC Schalke 04', 'clubID': '33', 'value': '€8.00m'}, {'date': 'Feb 7, 2017', 'age': '27', 'clubName': 'FC Schalke 04', 'clubID': '33', 'value': '€8.00m'}, {'date': 'Jun 19, 2017', 'age': '28', 'clubName': 'FC Schalke 04', 'clubID': '33', 'value': '€6.00m'}, {'date': 'Jan 2, 2018', 'age': '28', 'clubName': 'Stoke City', 'clubID': '512', 'value': '€8.00m'}, {'date': 'May 28, 2018', 'age': '29', 'clubName': 'Stoke City', 'clubID': '512', 'value': '€8.00m'}, {'date': 'Dec 17, 2018', 'age': '29', 'clubName': 'Paris Saint-Germain', 'clubID': '583', 'value': '€8.00m'}, {'date': 'Mar 7, 2019', 'age': '29', 'clubName': 'Paris Saint-Germain', 'clubID': '583', 'value': '€6.00m'}, {'date': 'Jun 3, 2019', 'age': '30', 'clubName': 'Paris Saint-Germain', 'clubID': '583', 'value': '€5.00m'}, {'date': 'Dec 19, 2019', 'age': '30', 'clubName': 'Paris Saint-Germain', 'clubID': '583', 'value': '€5.00m'}, {'date': 'Apr 8, 2020', 'age': '31', 'clubName': 'Paris Saint-Germain', 'clubID': '583', 'value': '€4.00m'}, {'date': 'Feb 10, 2021', 'age': '31', 'clubName': 'Bayern Munich', 'clubID': '27', 'value': '€3.50m'}, {'date': 'Jun 9, 2021', 'age': '32', 'clubName': 'Bayern Munich', 'clubID': '27', 'value': '€3.50m'}, {'date': 'Dec 22, 2021', 'age': '32', 'clubName': 'Bayern Munich', 'clubID': '27', 'value': '€3.50m'}, {'date': 'Jun 9, 2022', 'age': '33', 'clubName': 'Bayern Munich', 'clubID': '27', 'value': '€3.00m'}, {'date': 'Nov 9, 2022', 'age': '33', 'clubName': 'Bayern Munich', 'clubID': '27', 'value': '€6.00m'}, {'date': 'Jun 22, 2023', 'age': '34', 'clubName': 'Bayern Munich', 'clubID': '27', 'value': '€5.00m'}, {'date': 'Dec 14, 2023', 'age': '34', 'clubName': 'Bayern Munich', 'clubID': '27', 'value': '€3.00m'}, {'date': 'May 29, 2024', 'age': '35', 'clubName': 'Bayern Munich', 'clubID': '27', 'value': '€2.50m'}, {'date': 'Oct 16, 2024', 'age': '35', 'clubName': 'Without Club', 'clubID': '515', 'value': '€1.80m'}, {'date': 'Apr 17, 2025', 'age': '36', 'clubName': 'New York Red Bulls', 'clubID': '623', 'value': '€1.50m'}, {'date': 'Jun 5, 2025', 'age': '36', 'clubName': 'New York Red Bulls', 'clubID': '623', 'value': '€1.50m'}, {'date': 'Dec 11, 2025', 'age': '36', 'clubName': 'Red Bull New York', 'clubID': '623', 'value': '€1.20m'}]}</t>
        </is>
      </c>
      <c r="L659" t="inlineStr">
        <is>
          <t>Germany</t>
        </is>
      </c>
      <c r="M659" t="inlineStr">
        <is>
          <t>1989-03-23</t>
        </is>
      </c>
      <c r="N659" t="inlineStr">
        <is>
          <t>Cameroon</t>
        </is>
      </c>
      <c r="O659">
        <f>(3+6)/2</f>
        <v/>
      </c>
      <c r="P659">
        <f>(3.5+3.5+3.5)/3</f>
        <v/>
      </c>
    </row>
    <row r="660">
      <c r="A660" t="inlineStr">
        <is>
          <t>Yusuf Yazici</t>
        </is>
      </c>
      <c r="B660" t="inlineStr">
        <is>
          <t>Lille</t>
        </is>
      </c>
      <c r="C660" t="inlineStr">
        <is>
          <t>Midfielder</t>
        </is>
      </c>
      <c r="D660" t="n">
        <v>47</v>
      </c>
      <c r="E660" t="n">
        <v>4</v>
      </c>
      <c r="F660" t="n">
        <v>0</v>
      </c>
      <c r="G660" t="n">
        <v>0</v>
      </c>
      <c r="H660" t="n">
        <v>8.699999999999999</v>
      </c>
      <c r="I660" t="n">
        <v>31.2</v>
      </c>
      <c r="J660" t="n">
        <v>386726</v>
      </c>
      <c r="K660" t="inlineStr">
        <is>
          <t>{'marketValueHistory': [{'date': 'Dec 21, 2015', 'age': '18', 'clubName': 'Trabzonspor', 'clubID': '449', 'value': '€50k'}, {'date': 'Jan 28, 2016', 'age': '18', 'clubName': 'Trabzonspor', 'clubID': '449', 'value': '€200k'}, {'date': 'Jul 15, 2016', 'age': '19', 'clubName': 'Trabzonspor', 'clubID': '449', 'value': '€800k'}, {'date': 'Jan 10, 2017', 'age': '19', 'clubName': 'Trabzonspor', 'clubID': '449', 'value': '€700k'}, {'date': 'Mar 29, 2017', 'age': '20', 'clubName': 'Trabzonspor', 'clubID': '449', 'value': '€1.25m'}, {'date': 'Jun 9, 2017', 'age': '20', 'clubName': 'Trabzonspor', 'clubID': '449', 'value': '€2.50m'}, {'date': 'Feb 12, 2018', 'age': '21', 'clubName': 'Trabzonspor', 'clubID': '449', 'value': '€7.50m'}, {'date': 'May 29, 2018', 'age': '21', 'clubName': 'Trabzonspor', 'clubID': '449', 'value': '€12.00m'}, {'date': 'Jan 4, 2019', 'age': '21', 'clubName': 'Trabzonspor', 'clubID': '449', 'value': '€11.00m'}, {'date': 'Jun 4, 2019', 'age': '22', 'clubName': 'Trabzonspor', 'clubID': '449', 'value': '€13.00m'}, {'date': 'Sep 27, 2019', 'age': '22', 'clubName': 'LOSC Lille', 'clubID': '1082', 'value': '€16.00m'}, {'date': 'Dec 19, 2019', 'age': '22', 'clubName': 'LOSC Lille', 'clubID': '1082', 'value': '€16.00m'}, {'date': 'Apr 8, 2020', 'age': '23', 'clubName': 'LOSC Lille', 'clubID': '1082', 'value': '€13.00m'}, {'date': 'Oct 15, 2020', 'age': '23', 'clubName': 'LOSC Lille', 'clubID': '1082', 'value': '€13.00m'}, {'date': 'Jan 7, 2021', 'age': '23', 'clubName': 'LOSC Lille', 'clubID': '1082', 'value': '€20.00m'}, {'date': 'May 25, 2021', 'age': '24', 'clubName': 'LOSC Lille', 'clubID': '1082', 'value': '€20.00m'}, {'date': 'Dec 16, 2021', 'age': '24', 'clubName': 'LOSC Lille', 'clubID': '1082', 'value': '€15.00m'}, {'date': 'Jun 2, 2022', 'age': '25', 'clubName': 'CSKA Moscow', 'clubID': '2410', 'value': '€17.00m'}, {'date': 'Oct 27, 2022', 'age': '25', 'clubName': 'Trabzonspor', 'clubID': '449', 'value': '€15.00m'}, {'date': 'Mar 14, 2023', 'age': '26', 'clubName': 'Trabzonspor', 'clubID': '449', 'value': '€11.50m'}, {'date': 'Jun 8, 2023', 'age': '26', 'clubName': 'Trabzonspor', 'clubID': '449', 'value': '€9.00m'}, {'date': 'Dec 18, 2023', 'age': '26', 'clubName': 'LOSC Lille', 'clubID': '1082', 'value': '€10.00m'}, {'date': 'Jun 3, 2024', 'age': '27', 'clubName': 'LOSC Lille', 'clubID': '1082', 'value': '€10.00m'}, {'date': 'Dec 18, 2024', 'age': '27', 'clubName': 'Olympiacos Piraeus', 'clubID': '683', 'value': '€8.00m'}, {'date': 'Mar 14, 2025', 'age': '28', 'clubName': 'Olympiacos Piraeus', 'clubID': '683', 'value': '€7.00m'}, {'date': 'May 23, 2025', 'age': '28', 'clubName': 'Olympiacos Piraeus', 'clubID': '683', 'value': '€5.00m'}, {'date': 'Dec 12, 2025', 'age': '28', 'clubName': 'Olympiacos Piraeus', 'clubID': '683', 'value': '€4.50m'}, {'date': 'Mar 6, 2026', 'age': '29', 'clubName': 'Olympiacos Piraeus', 'clubID': '683', 'value': '€4.00m'}]}</t>
        </is>
      </c>
      <c r="L660" t="inlineStr">
        <is>
          <t>Turkey</t>
        </is>
      </c>
      <c r="M660" t="inlineStr">
        <is>
          <t>1997-01-29</t>
        </is>
      </c>
      <c r="N660" t="inlineStr">
        <is>
          <t>Turkey</t>
        </is>
      </c>
      <c r="O660">
        <f>(17+15)/2</f>
        <v/>
      </c>
      <c r="P660">
        <f>(20+20+15)/3</f>
        <v/>
      </c>
    </row>
    <row r="661">
      <c r="A661" t="inlineStr">
        <is>
          <t>Icardi</t>
        </is>
      </c>
      <c r="B661" t="inlineStr">
        <is>
          <t>Paris</t>
        </is>
      </c>
      <c r="C661" t="inlineStr">
        <is>
          <t>Forward</t>
        </is>
      </c>
      <c r="D661" t="n">
        <v>47</v>
      </c>
      <c r="E661" t="n">
        <v>3</v>
      </c>
      <c r="F661" t="n">
        <v>0</v>
      </c>
      <c r="G661" t="n">
        <v>0</v>
      </c>
      <c r="H661" t="n">
        <v>6.5</v>
      </c>
      <c r="I661" t="n">
        <v>31.6</v>
      </c>
      <c r="J661" t="n">
        <v>68863</v>
      </c>
      <c r="K661" t="inlineStr">
        <is>
          <t>{'marketValueHistory': [{'date': '09/05/2011', 'age': '18', 'clubName': 'Sampdoria Primavera', 'clubID': '12001', 'value': '€200k'}, {'date': '01/01/2012', 'age': '18', 'clubName': 'UC Sampdoria', 'clubID': '1038', 'value': '€200k'}, {'date': '14/06/2012', 'age': '19', 'clubName': 'UC Sampdoria', 'clubID': '1038', 'value': '€400k'}, {'date': '14/01/2013', 'age': '19', 'clubName': 'UC Sampdoria', 'clubID': '1038', 'value': '€5.00m'}, {'date': '12/02/2013', 'age': '19', 'clubName': 'UC Sampdoria', 'clubID': '1038', 'value': '€10.00m'}, {'date': '19/06/2013', 'age': '20', 'clubName': 'UC Sampdoria', 'clubID': '1038', 'value': '€12.00m'}, {'date': '07/01/2014', 'age': '20', 'clubName': 'Inter Milan', 'clubID': '46', 'value': '€12.00m'}, {'date': '01/07/2014', 'age': '21', 'clubName': 'Inter Milan', 'clubID': '46', 'value': '€18.00m'}, {'date': '08/11/2014', 'age': '21', 'clubName': 'Inter Milan', 'clubID': '46', 'value': '€21.00m'}, {'date': '07/01/2015', 'age': '21', 'clubName': 'Inter Milan', 'clubID': '46', 'value': '€21.00m'}, {'date': '20/03/2015', 'age': '22', 'clubName': 'Inter Milan', 'clubID': '46', 'value': '€25.00m'}, {'date': '01/07/2015', 'age': '22', 'clubName': 'Inter Milan', 'clubID': '46', 'value': '€32.00m'}, {'date': '04/01/2016', 'age': '22', 'clubName': 'Inter Milan', 'clubID': '46', 'value': '€32.00m'}, {'date': '15/07/2016', 'age': '23', 'clubName': 'Inter Milan', 'clubID': '46', 'value': '€35.00m'}, {'date': '14/10/2016', 'age': '23', 'clubName': 'Inter Milan', 'clubID': '46', 'value': '€40.00m'}, {'date': '02/01/2017', 'age': '23', 'clubName': 'Inter Milan', 'clubID': '46', 'value': '€45.00m'}, {'date': '28/03/2017', 'age': '24', 'clubName': 'Inter Milan', 'clubID': '46', 'value': '€50.00m'}, {'date': '08/06/2017', 'age': '24', 'clubName': 'Inter Milan', 'clubID': '46', 'value': '€50.00m'}, {'date': '29/12/2017', 'age': '24', 'clubName': 'Inter Milan', 'clubID': '46', 'value': '€75.00m'}, {'date': '07/06/2018', 'age': '25', 'clubName': 'Inter Milan', 'clubID': '46', 'value': '€95.00m'}, {'date': '20/12/2018', 'age': '25', 'clubName': 'Inter Milan', 'clubID': '46', 'value': '€100.00m'}, {'date': '01/03/2019', 'age': '26', 'clubName': 'Inter Milan', 'clubID': '46', 'value': '€90.00m'}, {'date': '06/06/2019', 'age': '26', 'clubName': 'Inter Milan', 'clubID': '46', 'value': '€80.00m'}, {'date': '27/09/2019', 'age': '26', 'clubName': 'Paris Saint-Germain', 'clubID': '583', 'value': '€75.00m'}, {'date': '19/12/2019', 'age': '26', 'clubName': 'Paris Saint-Germain', 'clubID': '583', 'value': '€75.00m'}, {'date': '08/04/2020', 'age': '27', 'clubName': 'Paris Saint-Germain', 'clubID': '583', 'value': '€60.00m'}, {'date': '15/10/2020', 'age': '27', 'clubName': 'Paris Saint-Germain', 'clubID': '583', 'value': '€55.00m'}, {'date': '04/06/2021', 'age': '28', 'clubName': 'Paris Saint-Germain', 'clubID': '583', 'value': '€40.00m'}, {'date': '08/10/2021', 'age': '28', 'clubName': 'Paris Saint-Germain', 'clubID': '583', 'value': '€35.00m'}, {'date': '16/12/2021', 'age': '28', 'clubName': 'Paris Saint-Germain', 'clubID': '583', 'value': '€28.00m'}, {'date': '30/05/2022', 'age': '29', 'clubName': 'Paris Saint-Germain', 'clubID': '583', 'value': '€22.00m'}, {'date': '27/10/2022', 'age': '29', 'clubName': 'Galatasaray', 'clubID': '141', 'value': '€17.50m'}, {'date': '14/03/2023', 'age': '30', 'clubName': 'Galatasaray', 'clubID': '141', 'value': '€18.00m'}, {'date': '08/06/2023', 'age': '30', 'clubName': 'Galatasaray', 'clubID': '141', 'value': '€19.00m'}, {'date': '27/09/2023', 'age': '30', 'clubName': 'Galatasaray', 'clubID': '141', 'value': '€20.00m'}, {'date': '21/12/2023', 'age': '30', 'clubName': 'Galatasaray', 'clubID': '141', 'value': '€20.00m'}, {'date': '15/03/2024', 'age': '31', 'clubName': 'Galatasaray', 'clubID': '141', 'value': '€18.00m'}, {'date': '31/05/2024', 'age': '31', 'clubName': 'Galatasaray', 'clubID': '141', 'value': '€17.00m'}, {'date': '04/10/2024', 'age': '31', 'clubName': 'Galatasaray', 'clubID': '141', 'value': '€15.00m'}, {'date': '23/12/2024', 'age': '31', 'clubName': 'Galatasaray', 'clubID': '141', 'value': '€13.00m'}, {'date': '20/03/2025', 'age': '32', 'clubName': 'Galatasaray', 'clubID': '141', 'value': '€11.00m'}, {'date': '18/06/2025', 'age': '32', 'clubName': 'Galatasaray', 'clubID': '141', 'value': '€9.00m'}, {'date': '01/10/2025', 'age': '32', 'clubName': 'Galatasaray', 'clubID': '141', 'value': '€8.00m'}, {'date': '17/12/2025', 'age': '32', 'clubName': 'Galatasaray', 'clubID': '141', 'value': '€6.00m'}, {'date': '05/03/2026', 'age': '33', 'clubName': 'Galatasaray', 'clubID': '141', 'value': '€5.00m'}]}</t>
        </is>
      </c>
      <c r="L661" t="inlineStr">
        <is>
          <t>Italy</t>
        </is>
      </c>
      <c r="M661" t="inlineStr">
        <is>
          <t>1993-02-19</t>
        </is>
      </c>
      <c r="N661" t="inlineStr">
        <is>
          <t>8</t>
        </is>
      </c>
      <c r="O661">
        <f>(22+17.5)/2</f>
        <v/>
      </c>
      <c r="P661">
        <f>(40+35+28)/3</f>
        <v/>
      </c>
    </row>
    <row r="662">
      <c r="A662" t="inlineStr">
        <is>
          <t>McAtee</t>
        </is>
      </c>
      <c r="B662" t="inlineStr">
        <is>
          <t>Man City</t>
        </is>
      </c>
      <c r="C662" t="inlineStr">
        <is>
          <t>Midfielder</t>
        </is>
      </c>
      <c r="D662" t="n">
        <v>45</v>
      </c>
      <c r="E662" t="n">
        <v>1</v>
      </c>
      <c r="F662" t="n">
        <v>0</v>
      </c>
      <c r="G662" t="n">
        <v>0</v>
      </c>
      <c r="H662" t="n">
        <v>6.2</v>
      </c>
      <c r="I662" t="n">
        <v>28.1</v>
      </c>
      <c r="J662" t="n">
        <v>583199</v>
      </c>
      <c r="K662" t="inlineStr">
        <is>
          <t>{'marketValueHistory': [{'date': 'Oct 5, 2021', 'age': '18', 'clubName': 'Manchester City U23', 'clubID': '9265', 'value': '€500k'}, {'date': 'Mar 29, 2022', 'age': '19', 'clubName': 'Manchester City U23', 'clubID': '9265', 'value': '€3.00m'}, {'date': 'Sep 14, 2022', 'age': '19', 'clubName': 'Sheffield United', 'clubID': '350', 'value': '€4.00m'}, {'date': 'Oct 27, 2022', 'age': '20', 'clubName': 'Sheffield United', 'clubID': '350', 'value': '€5.00m'}, {'date': 'Mar 24, 2023', 'age': '20', 'clubName': 'Sheffield United', 'clubID': '350', 'value': '€6.00m'}, {'date': 'Jun 1, 2023', 'age': '20', 'clubName': 'Manchester City U21', 'clubID': '9265', 'value': '€12.00m'}, {'date': 'Dec 19, 2023', 'age': '21', 'clubName': 'Sheffield United', 'clubID': '350', 'value': '€12.00m'}, {'date': 'May 27, 2024', 'age': '21', 'clubName': 'Sheffield United', 'clubID': '350', 'value': '€12.00m'}, {'date': 'Dec 16, 2024', 'age': '22', 'clubName': 'Manchester City', 'clubID': '281', 'value': '€14.00m'}, {'date': 'Mar 18, 2025', 'age': '22', 'clubName': 'Manchester City', 'clubID': '281', 'value': '€18.00m'}, {'date': 'May 30, 2025', 'age': '22', 'clubName': 'Manchester City', 'clubID': '281', 'value': '€20.00m'}, {'date': 'Oct 17, 2025', 'age': '22', 'clubName': 'Nottingham Forest', 'clubID': '703', 'value': '€25.00m'}, {'date': 'Dec 9, 2025', 'age': '23', 'clubName': 'Nottingham Forest', 'clubID': '703', 'value': '€23.00m'}, {'date': 'Mar 9, 2026', 'age': '23', 'clubName': 'Nottingham Forest', 'clubID': '703', 'value': '€20.00m'}]}</t>
        </is>
      </c>
      <c r="L662" t="inlineStr">
        <is>
          <t>United Kingdom</t>
        </is>
      </c>
      <c r="M662" t="inlineStr">
        <is>
          <t>2002-10-18</t>
        </is>
      </c>
      <c r="N662" t="inlineStr">
        <is>
          <t>England</t>
        </is>
      </c>
      <c r="O662">
        <f>(3+4+5)/3</f>
        <v/>
      </c>
      <c r="P662">
        <f>0.5</f>
        <v/>
      </c>
    </row>
    <row r="663">
      <c r="A663" t="inlineStr">
        <is>
          <t>Lovato</t>
        </is>
      </c>
      <c r="B663" t="inlineStr">
        <is>
          <t>Atalanta</t>
        </is>
      </c>
      <c r="C663" t="inlineStr">
        <is>
          <t>Defender</t>
        </is>
      </c>
      <c r="D663" t="n">
        <v>45</v>
      </c>
      <c r="E663" t="n">
        <v>1</v>
      </c>
      <c r="F663" t="n">
        <v>0</v>
      </c>
      <c r="G663" t="n">
        <v>0</v>
      </c>
      <c r="H663" t="n">
        <v>5.3</v>
      </c>
      <c r="I663" t="n">
        <v>31.4</v>
      </c>
      <c r="J663" t="n">
        <v>459655</v>
      </c>
      <c r="K663" t="inlineStr">
        <is>
          <t>{'marketValueHistory': [{'date': '14/06/2019', 'age': '19', 'clubName': 'Padova Primavera', 'clubID': '15099', 'value': '€75k'}, {'date': '18/12/2019', 'age': '19', 'clubName': 'Calcio Padova', 'clubID': '3037', 'value': '€150k'}, {'date': '25/08/2020', 'age': '20', 'clubName': 'Hellas Verona', 'clubID': '276', 'value': '€450k'}, {'date': '29/10/2020', 'age': '20', 'clubName': 'Hellas Verona', 'clubID': '276', 'value': '€4.00m'}, {'date': '29/12/2020', 'age': '20', 'clubName': 'Hellas Verona', 'clubID': '276', 'value': '€7.00m'}, {'date': '03/06/2021', 'age': '21', 'clubName': 'Hellas Verona', 'clubID': '276', 'value': '€7.00m'}, {'date': '28/12/2021', 'age': '21', 'clubName': 'Atalanta BC', 'clubID': '800', 'value': '€7.00m'}, {'date': '07/06/2022', 'age': '22', 'clubName': 'Cagliari Calcio', 'clubID': '1390', 'value': '€7.00m'}, {'date': '11/11/2022', 'age': '22', 'clubName': 'US Salernitana 1919', 'clubID': '380', 'value': '€6.50m'}, {'date': '15/06/2023', 'age': '23', 'clubName': 'US Salernitana 1919', 'clubID': '380', 'value': '€6.00m'}, {'date': '20/12/2023', 'age': '23', 'clubName': 'US Salernitana 1919', 'clubID': '380', 'value': '€4.50m'}, {'date': '05/06/2024', 'age': '24', 'clubName': 'Torino FC', 'clubID': '416', 'value': '€4.00m'}, {'date': '23/12/2024', 'age': '24', 'clubName': 'US Sassuolo', 'clubID': '6574', 'value': '€3.00m'}, {'date': '02/06/2025', 'age': '25', 'clubName': 'US Sassuolo', 'clubID': '6574', 'value': '€3.00m'}, {'date': '11/12/2025', 'age': '25', 'clubName': 'FC Empoli', 'clubID': '749', 'value': '€2.80m'}, {'date': '17/03/2026', 'age': '26', 'clubName': 'FC Empoli', 'clubID': '749', 'value': '€2.20m'}]}</t>
        </is>
      </c>
      <c r="L663" t="inlineStr">
        <is>
          <t>Italy</t>
        </is>
      </c>
      <c r="M663" t="inlineStr">
        <is>
          <t>2000-02-14</t>
        </is>
      </c>
      <c r="N663" t="inlineStr">
        <is>
          <t>Italy</t>
        </is>
      </c>
      <c r="O663">
        <f>(7+6.5)/2</f>
        <v/>
      </c>
      <c r="P663">
        <f>(7+7)/2</f>
        <v/>
      </c>
    </row>
    <row r="664">
      <c r="A664" t="inlineStr">
        <is>
          <t>Palmer</t>
        </is>
      </c>
      <c r="B664" t="inlineStr">
        <is>
          <t>Man City</t>
        </is>
      </c>
      <c r="C664" t="inlineStr">
        <is>
          <t>Midfielder</t>
        </is>
      </c>
      <c r="D664" t="n">
        <v>40</v>
      </c>
      <c r="E664" t="n">
        <v>3</v>
      </c>
      <c r="F664" t="n">
        <v>1</v>
      </c>
      <c r="G664" t="n">
        <v>0</v>
      </c>
      <c r="H664" t="n">
        <v>7</v>
      </c>
      <c r="I664" t="n">
        <v>36</v>
      </c>
      <c r="J664" t="n">
        <v>568177</v>
      </c>
      <c r="K664" t="inlineStr">
        <is>
          <t>{'id': '568177', 'marketValue': '€55.00m', 'marketValueHistory': [{'age': '18', 'date': 'Mar 18, 2021', 'clubName': 'Manchester City U23', 'value': '€500k', 'clubID': '9265'}, {'age': '19', 'date': 'Dec 23, 2021', 'clubName': 'Manchester City', 'value': '€3.00m', 'clubID': '281'}, {'age': '20', 'date': 'Jun 15, 2022', 'clubName': 'Manchester City', 'value': '€6.00m', 'clubID': '281'}, {'age': '20', 'date': 'Sep 15, 2022', 'clubName': 'Manchester City', 'value': '€10.00m', 'clubID': '281'}, {'age': '20', 'date': 'Nov 3, 2022', 'clubName': 'Manchester City', 'value': '€15.00m', 'clubID': '281'}, {'age': '21', 'date': 'Jun 20, 2023', 'clubName': 'Manchester City', 'value': '€15.00m', 'clubID': '281'}, {'age': '21', 'date': 'Jul 12, 2023', 'clubName': 'Manchester City', 'value': '€18.00m', 'clubID': '281'}, {'age': '21', 'date': 'Oct 9, 2023', 'clubName': 'Chelsea FC', 'value': '€32.00m', 'clubID': '631'}, {'age': '21', 'date': 'Dec 19, 2023', 'clubName': 'Chelsea FC', 'value': '€45.00m', 'clubID': '631'}, {'age': '21', 'date': 'Mar 14, 2024', 'clubName': 'Chelsea FC', 'value': '€55.00m', 'clubID': '631'}], 'ranking': {'Worldwide': '79', 'Premier League': '39', 'Chelsea': '4', 'England': '11', 'Attacking Midfield': '13', 'Year 2002': '6'}, 'updatedAt': datetime.datetime(2024, 5, 23, 22, 30, 21, 717782)}</t>
        </is>
      </c>
      <c r="L664" t="inlineStr">
        <is>
          <t>United Kingdom</t>
        </is>
      </c>
      <c r="M664" t="inlineStr">
        <is>
          <t>2002-05-06</t>
        </is>
      </c>
      <c r="N664" t="inlineStr">
        <is>
          <t>14</t>
        </is>
      </c>
      <c r="O664">
        <f>(6+10+15)/3</f>
        <v/>
      </c>
      <c r="P664">
        <f>(0.5+3)/2</f>
        <v/>
      </c>
    </row>
    <row r="665">
      <c r="A665" t="inlineStr">
        <is>
          <t>Paulo Bernardo</t>
        </is>
      </c>
      <c r="B665" t="inlineStr">
        <is>
          <t>Benfica</t>
        </is>
      </c>
      <c r="C665" t="inlineStr">
        <is>
          <t>Midfielder</t>
        </is>
      </c>
      <c r="D665" t="n">
        <v>39</v>
      </c>
      <c r="E665" t="n">
        <v>5</v>
      </c>
      <c r="F665" t="n">
        <v>0</v>
      </c>
      <c r="G665" t="n">
        <v>0</v>
      </c>
      <c r="H665" t="n">
        <v>8.300000000000001</v>
      </c>
      <c r="I665" t="n">
        <v>30.1</v>
      </c>
      <c r="J665" t="n">
        <v>504090</v>
      </c>
      <c r="K665" t="inlineStr">
        <is>
          <t>{'marketValueHistory': [{'date': 'Nov 2, 2020', 'age': '18', 'clubName': 'SL Benfica B', 'clubID': '10330', 'value': '€150k'}, {'date': 'May 21, 2021', 'age': '19', 'clubName': 'SL Benfica B', 'clubID': '10330', 'value': '€1.50m'}, {'date': 'Dec 27, 2021', 'age': '19', 'clubName': 'SL Benfica B', 'clubID': '10330', 'value': '€5.00m'}, {'date': 'May 31, 2022', 'age': '20', 'clubName': 'SL Benfica', 'clubID': '294', 'value': '€5.00m'}, {'date': 'Nov 1, 2022', 'age': '20', 'clubName': 'SL Benfica', 'clubID': '294', 'value': '€4.00m'}, {'date': 'Mar 2, 2023', 'age': '21', 'clubName': 'FC Paços de Ferreira', 'clubID': '2995', 'value': '€3.00m'}, {'date': 'Jun 16, 2023', 'age': '21', 'clubName': 'FC Paços de Ferreira', 'clubID': '2995', 'value': '€3.00m'}, {'date': 'Dec 5, 2023', 'age': '21', 'clubName': 'Celtic FC', 'clubID': '371', 'value': '€3.00m'}, {'date': 'May 30, 2024', 'age': '22', 'clubName': 'Celtic FC', 'clubID': '371', 'value': '€3.50m'}, {'date': 'Oct 2, 2024', 'age': '22', 'clubName': 'Celtic FC', 'clubID': '371', 'value': '€4.00m'}, {'date': 'Dec 3, 2024', 'age': '22', 'clubName': 'Celtic FC', 'clubID': '371', 'value': '€4.50m'}, {'date': 'Mar 12, 2025', 'age': '23', 'clubName': 'Celtic FC', 'clubID': '371', 'value': '€6.00m'}, {'date': 'Jun 17, 2025', 'age': '23', 'clubName': 'Celtic FC', 'clubID': '371', 'value': '€5.50m'}, {'date': 'Oct 8, 2025', 'age': '23', 'clubName': 'Celtic FC', 'clubID': '371', 'value': '€5.00m'}, {'date': 'Dec 10, 2025', 'age': '23', 'clubName': 'Celtic FC', 'clubID': '371', 'value': '€4.00m'}]}</t>
        </is>
      </c>
      <c r="L665" t="inlineStr">
        <is>
          <t>Scotland</t>
        </is>
      </c>
      <c r="M665" t="inlineStr">
        <is>
          <t>2002-01-24</t>
        </is>
      </c>
      <c r="N665" t="inlineStr">
        <is>
          <t>32</t>
        </is>
      </c>
      <c r="O665">
        <f>(5+4)/2</f>
        <v/>
      </c>
      <c r="P665">
        <f>(1.5+5)/2</f>
        <v/>
      </c>
    </row>
    <row r="666">
      <c r="A666" t="inlineStr">
        <is>
          <t>Kjaergaard</t>
        </is>
      </c>
      <c r="B666" t="inlineStr">
        <is>
          <t>Salzburg</t>
        </is>
      </c>
      <c r="C666" t="inlineStr">
        <is>
          <t>Midfielder</t>
        </is>
      </c>
      <c r="D666" t="n">
        <v>38</v>
      </c>
      <c r="E666" t="n">
        <v>4</v>
      </c>
      <c r="F666" t="n">
        <v>1</v>
      </c>
      <c r="G666" t="n">
        <v>0</v>
      </c>
      <c r="H666" t="n">
        <v>7.9</v>
      </c>
      <c r="I666" t="n">
        <v>30.7</v>
      </c>
      <c r="J666" t="n">
        <v>610405</v>
      </c>
      <c r="K666" t="inlineStr">
        <is>
          <t>{'marketValueHistory': [{'date': 'Jul 7, 2019', 'age': '16', 'clubName': 'FC Liefering', 'clubID': '37024', 'value': '€1.25m'}, {'date': 'Dec 3, 2019', 'age': '16', 'clubName': 'FC Liefering', 'clubID': '37024', 'value': '€1.25m'}, {'date': 'Apr 8, 2020', 'age': '16', 'clubName': 'FC Liefering', 'clubID': '37024', 'value': '€1.10m'}, {'date': 'Jul 31, 2020', 'age': '17', 'clubName': 'FC Liefering', 'clubID': '37024', 'value': '€1.10m'}, {'date': 'Dec 19, 2020', 'age': '17', 'clubName': 'FC Liefering', 'clubID': '37024', 'value': '€2.00m'}, {'date': 'Jun 2, 2021', 'age': '17', 'clubName': 'FC Liefering', 'clubID': '37024', 'value': '€3.00m'}, {'date': 'Dec 16, 2021', 'age': '18', 'clubName': 'Red Bull Salzburg', 'clubID': '409', 'value': '€3.00m'}, {'date': 'Mar 11, 2022', 'age': '18', 'clubName': 'Red Bull Salzburg', 'clubID': '409', 'value': '€4.00m'}, {'date': 'May 27, 2022', 'age': '18', 'clubName': 'Red Bull Salzburg', 'clubID': '409', 'value': '€6.00m'}, {'date': 'Sep 20, 2022', 'age': '19', 'clubName': 'Red Bull Salzburg', 'clubID': '409', 'value': '€10.00m'}, {'date': 'Nov 10, 2022', 'age': '19', 'clubName': 'Red Bull Salzburg', 'clubID': '409', 'value': '€15.00m'}, {'date': 'Jun 12, 2023', 'age': '19', 'clubName': 'Red Bull Salzburg', 'clubID': '409', 'value': '€13.00m'}, {'date': 'Dec 11, 2023', 'age': '20', 'clubName': 'Red Bull Salzburg', 'clubID': '409', 'value': '€13.00m'}, {'date': 'May 21, 2024', 'age': '20', 'clubName': 'Red Bull Salzburg', 'clubID': '409', 'value': '€13.00m'}, {'date': 'Dec 17, 2024', 'age': '21', 'clubName': 'Red Bull Salzburg', 'clubID': '409', 'value': '€13.00m'}, {'date': 'Jun 6, 2025', 'age': '21', 'clubName': 'Red Bull Salzburg', 'clubID': '409', 'value': '€10.00m'}, {'date': 'Dec 22, 2025', 'age': '22', 'clubName': 'Red Bull Salzburg', 'clubID': '409', 'value': '€8.00m'}]}</t>
        </is>
      </c>
      <c r="L666" t="inlineStr">
        <is>
          <t>Kingdom of Denmark</t>
        </is>
      </c>
      <c r="M666" t="inlineStr">
        <is>
          <t>2003-06-26</t>
        </is>
      </c>
      <c r="N666" t="inlineStr">
        <is>
          <t>0</t>
        </is>
      </c>
      <c r="O666">
        <f>(4+6+10+15)/4</f>
        <v/>
      </c>
      <c r="P666">
        <f>(3+3)/2</f>
        <v/>
      </c>
    </row>
    <row r="667">
      <c r="A667" t="inlineStr">
        <is>
          <t>Taylor</t>
        </is>
      </c>
      <c r="B667" t="inlineStr">
        <is>
          <t>Ajax</t>
        </is>
      </c>
      <c r="C667" t="inlineStr">
        <is>
          <t>Midfielder</t>
        </is>
      </c>
      <c r="D667" t="n">
        <v>38</v>
      </c>
      <c r="E667" t="n">
        <v>3</v>
      </c>
      <c r="F667" t="n">
        <v>0</v>
      </c>
      <c r="G667" t="n">
        <v>0</v>
      </c>
      <c r="H667" t="n">
        <v>6.6</v>
      </c>
      <c r="I667" t="n">
        <v>25.3</v>
      </c>
      <c r="J667" t="n">
        <v>470394</v>
      </c>
      <c r="K667" t="inlineStr">
        <is>
          <t>{'marketValueHistory': [{'date': 'Jul 1, 2019', 'age': '17', 'clubName': 'Ajax Amsterdam U21', 'clubID': '610', 'value': '€750k'}, {'date': 'Jan 17, 2020', 'age': '17', 'clubName': 'Ajax Amsterdam U21', 'clubID': '610', 'value': '€2.00m'}, {'date': 'Apr 8, 2020', 'age': '17', 'clubName': 'Ajax Amsterdam U21', 'clubID': '610', 'value': '€1.80m'}, {'date': 'Jun 29, 2020', 'age': '18', 'clubName': 'Ajax Amsterdam U21', 'clubID': '610', 'value': '€2.20m'}, {'date': 'Oct 24, 2020', 'age': '18', 'clubName': 'Ajax Amsterdam U21', 'clubID': '610', 'value': '€3.00m'}, {'date': 'Dec 31, 2020', 'age': '18', 'clubName': 'Ajax Amsterdam', 'clubID': '610', 'value': '€3.00m'}, {'date': 'May 19, 2021', 'age': '19', 'clubName': 'Ajax Amsterdam', 'clubID': '610', 'value': '€3.00m'}, {'date': 'Oct 12, 2021', 'age': '19', 'clubName': 'Ajax Amsterdam', 'clubID': '610', 'value': '€3.00m'}, {'date': 'Jan 5, 2022', 'age': '19', 'clubName': 'Ajax Amsterdam', 'clubID': '610', 'value': '€3.00m'}, {'date': 'Jun 8, 2022', 'age': '20', 'clubName': 'Ajax Amsterdam', 'clubID': '610', 'value': '€4.50m'}, {'date': 'Sep 14, 2022', 'age': '20', 'clubName': 'Ajax Amsterdam', 'clubID': '610', 'value': '€12.00m'}, {'date': 'Nov 11, 2022', 'age': '20', 'clubName': 'Ajax Amsterdam', 'clubID': '610', 'value': '€14.00m'}, {'date': 'Jun 23, 2023', 'age': '21', 'clubName': 'Ajax Amsterdam', 'clubID': '610', 'value': '€12.00m'}, {'date': 'Oct 17, 2023', 'age': '21', 'clubName': 'Ajax Amsterdam', 'clubID': '610', 'value': '€10.00m'}, {'date': 'Dec 15, 2023', 'age': '21', 'clubName': 'Ajax Amsterdam', 'clubID': '610', 'value': '€10.00m'}, {'date': 'May 31, 2024', 'age': '22', 'clubName': 'Ajax Amsterdam', 'clubID': '610', 'value': '€15.00m'}, {'date': 'Dec 17, 2024', 'age': '22', 'clubName': 'Ajax Amsterdam', 'clubID': '610', 'value': '€16.00m'}, {'date': 'Mar 28, 2025', 'age': '22', 'clubName': 'Ajax Amsterdam', 'clubID': '610', 'value': '€23.00m'}, {'date': 'May 28, 2025', 'age': '23', 'clubName': 'Ajax Amsterdam', 'clubID': '610', 'value': '€28.00m'}, {'date': 'Dec 2, 2025', 'age': '23', 'clubName': 'Ajax Amsterdam', 'clubID': '610', 'value': '€23.00m'}, {'date': 'Mar 24, 2026', 'age': '23', 'clubName': 'SS Lazio', 'clubID': '398', 'value': '€20.00m'}]}</t>
        </is>
      </c>
      <c r="L667" t="inlineStr">
        <is>
          <t>Italy</t>
        </is>
      </c>
      <c r="M667" t="inlineStr">
        <is>
          <t>2002-05-16</t>
        </is>
      </c>
      <c r="N667" t="inlineStr">
        <is>
          <t>27</t>
        </is>
      </c>
      <c r="O667">
        <f>(3+4.5+12+14)/4</f>
        <v/>
      </c>
      <c r="P667">
        <f>(3+3)/2</f>
        <v/>
      </c>
    </row>
    <row r="668">
      <c r="A668" t="inlineStr">
        <is>
          <t>Ceballos</t>
        </is>
      </c>
      <c r="B668" t="inlineStr">
        <is>
          <t>Real Madrid</t>
        </is>
      </c>
      <c r="C668" t="inlineStr">
        <is>
          <t>Midfielder</t>
        </is>
      </c>
      <c r="D668" t="n">
        <v>37</v>
      </c>
      <c r="E668" t="n">
        <v>5</v>
      </c>
      <c r="F668" t="n">
        <v>0</v>
      </c>
      <c r="G668" t="n">
        <v>0</v>
      </c>
      <c r="H668" t="n">
        <v>7.9</v>
      </c>
      <c r="I668" t="n">
        <v>29.8</v>
      </c>
      <c r="J668" t="n">
        <v>319745</v>
      </c>
      <c r="K668" t="inlineStr">
        <is>
          <t>{'marketValueHistory': [{'date': 'Jan 8, 2015', 'age': '18', 'clubName': 'Real Betis B', 'clubID': '150', 'value': '€2.00m'}, {'date': 'Jul 1, 2015', 'age': '18', 'clubName': 'Real Betis Balompié', 'clubID': '150', 'value': '€2.50m'}, {'date': 'Sep 20, 2015', 'age': '19', 'clubName': 'Real Betis Balompié', 'clubID': '150', 'value': '€5.00m'}, {'date': 'Feb 22, 2016', 'age': '19', 'clubName': 'Real Betis Balompié', 'clubID': '150', 'value': '€5.00m'}, {'date': 'Jul 15, 2016', 'age': '19', 'clubName': 'Real Betis Balompié', 'clubID': '150', 'value': '€6.00m'}, {'date': 'Jan 24, 2017', 'age': '20', 'clubName': 'Real Betis Balompié', 'clubID': '150', 'value': '€6.00m'}, {'date': 'Jun 5, 2017', 'age': '20', 'clubName': 'Real Betis Balompié', 'clubID': '150', 'value': '€10.00m'}, {'date': 'Aug 17, 2017', 'age': '21', 'clubName': 'Real Madrid', 'clubID': '418', 'value': '€17.00m'}, {'date': 'Jan 1, 2018', 'age': '21', 'clubName': 'Real Madrid', 'clubID': '418', 'value': '€17.00m'}, {'date': 'Mar 22, 2018', 'age': '21', 'clubName': 'Real Madrid', 'clubID': '418', 'value': '€12.00m'}, {'date': 'May 30, 2018', 'age': '21', 'clubName': 'Real Madrid', 'clubID': '418', 'value': '€12.00m'}, {'date': 'Oct 31, 2018', 'age': '22', 'clubName': 'Real Madrid', 'clubID': '418', 'value': '€20.00m'}, {'date': 'Dec 21, 2018', 'age': '22', 'clubName': 'Real Madrid', 'clubID': '418', 'value': '€20.00m'}, {'date': 'Jun 11, 2019', 'age': '22', 'clubName': 'Real Madrid', 'clubID': '418', 'value': '€30.00m'}, {'date': 'Sep 12, 2019', 'age': '23', 'clubName': 'Arsenal FC', 'clubID': '11', 'value': '€45.00m'}, {'date': 'Dec 10, 2019', 'age': '23', 'clubName': 'Arsenal FC', 'clubID': '11', 'value': '€40.00m'}, {'date': 'Apr 8, 2020', 'age': '23', 'clubName': 'Arsenal FC', 'clubID': '11', 'value': '€32.00m'}, {'date': 'Oct 13, 2020', 'age': '24', 'clubName': 'Arsenal FC', 'clubID': '11', 'value': '€32.00m'}, {'date': 'Mar 18, 2021', 'age': '24', 'clubName': 'Arsenal FC', 'clubID': '11', 'value': '€30.00m'}, {'date': 'Jun 8, 2021', 'age': '24', 'clubName': 'Arsenal FC', 'clubID': '11', 'value': '€27.00m'}, {'date': 'Oct 13, 2021', 'age': '25', 'clubName': 'Real Madrid', 'clubID': '418', 'value': '€20.00m'}, {'date': 'Dec 30, 2021', 'age': '25', 'clubName': 'Real Madrid', 'clubID': '418', 'value': '€18.00m'}, {'date': 'Mar 21, 2022', 'age': '25', 'clubName': 'Real Madrid', 'clubID': '418', 'value': '€15.00m'}, {'date': 'Jun 3, 2022', 'age': '25', 'clubName': 'Real Madrid', 'clubID': '418', 'value': '€14.00m'}, {'date': 'Nov 7, 2022', 'age': '26', 'clubName': 'Real Madrid', 'clubID': '418', 'value': '€9.00m'}, {'date': 'Mar 23, 2023', 'age': '26', 'clubName': 'Real Madrid', 'clubID': '418', 'value': '€12.00m'}, {'date': 'Jun 13, 2023', 'age': '26', 'clubName': 'Real Madrid', 'clubID': '418', 'value': '€12.00m'}, {'date': 'Dec 22, 2023', 'age': '27', 'clubName': 'Real Madrid', 'clubID': '418', 'value': '€9.00m'}, {'date': 'Mar 21, 2024', 'age': '27', 'clubName': 'Real Madrid', 'clubID': '418', 'value': '€8.00m'}, {'date': 'Jun 7, 2024', 'age': '27', 'clubName': 'Real Madrid', 'clubID': '418', 'value': '€6.00m'}, {'date': 'Oct 11, 2024', 'age': '28', 'clubName': 'Real Madrid', 'clubID': '418', 'value': '€4.00m'}, {'date': 'Dec 27, 2024', 'age': '28', 'clubName': 'Real Madrid', 'clubID': '418', 'value': '€4.00m'}, {'date': 'Mar 21, 2025', 'age': '28', 'clubName': 'Real Madrid', 'clubID': '418', 'value': '€10.00m'}, {'date': 'Jun 9, 2025', 'age': '28', 'clubName': 'Real Madrid', 'clubID': '418', 'value': '€10.00m'}, {'date': 'Oct 2, 2025', 'age': '29', 'clubName': 'Real Madrid', 'clubID': '418', 'value': '€8.00m'}, {'date': 'Dec 12, 2025', 'age': '29', 'clubName': 'Real Madrid', 'clubID': '418', 'value': '€8.00m'}]}</t>
        </is>
      </c>
      <c r="L668" t="inlineStr">
        <is>
          <t>Spain</t>
        </is>
      </c>
      <c r="M668" t="inlineStr">
        <is>
          <t>1996-08-07</t>
        </is>
      </c>
      <c r="N668" t="inlineStr">
        <is>
          <t>13</t>
        </is>
      </c>
      <c r="O668">
        <f>(15+14+9)/3</f>
        <v/>
      </c>
      <c r="P668">
        <f>(30+27+20+18)/4</f>
        <v/>
      </c>
    </row>
    <row r="669">
      <c r="A669" t="inlineStr">
        <is>
          <t>Francisco Conceicao</t>
        </is>
      </c>
      <c r="B669" t="inlineStr">
        <is>
          <t>FC Porto</t>
        </is>
      </c>
      <c r="C669" t="inlineStr">
        <is>
          <t>Forward</t>
        </is>
      </c>
      <c r="D669" t="n">
        <v>37</v>
      </c>
      <c r="E669" t="n">
        <v>2</v>
      </c>
      <c r="F669" t="n">
        <v>0</v>
      </c>
      <c r="G669" t="n">
        <v>0</v>
      </c>
      <c r="H669" t="n">
        <v>5.4</v>
      </c>
      <c r="I669" t="n">
        <v>30.3</v>
      </c>
      <c r="J669" t="n">
        <v>487474</v>
      </c>
      <c r="K669" t="inlineStr">
        <is>
          <t>{'marketValueHistory': [{'date': '02/11/2020', 'age': '17', 'clubName': 'FC Porto B', 'clubID': '10331', 'value': '€600k'}, {'date': '05/01/2021', 'age': '18', 'clubName': 'FC Porto B', 'clubID': '10331', 'value': '€2.50m'}, {'date': '25/03/2021', 'age': '18', 'clubName': 'FC Porto', 'clubID': '720', 'value': '€5.00m'}, {'date': '21/05/2021', 'age': '18', 'clubName': 'FC Porto', 'clubID': '720', 'value': '€8.00m'}, {'date': '27/12/2021', 'age': '19', 'clubName': 'FC Porto', 'clubID': '720', 'value': '€8.00m'}, {'date': '31/05/2022', 'age': '19', 'clubName': 'FC Porto', 'clubID': '720', 'value': '€8.00m'}, {'date': '11/11/2022', 'age': '19', 'clubName': 'Ajax Amsterdam', 'clubID': '610', 'value': '€8.00m'}, {'date': '23/06/2023', 'age': '20', 'clubName': 'Ajax Amsterdam', 'clubID': '610', 'value': '€8.00m'}, {'date': '27/12/2023', 'age': '21', 'clubName': 'FC Porto', 'clubID': '720', 'value': '€10.00m'}, {'date': '08/03/2024', 'age': '21', 'clubName': 'FC Porto', 'clubID': '720', 'value': '€15.00m'}, {'date': '06/06/2024', 'age': '21', 'clubName': 'FC Porto', 'clubID': '720', 'value': '€22.00m'}, {'date': '18/12/2024', 'age': '22', 'clubName': 'Juventus FC', 'clubID': '506', 'value': '€36.00m'}, {'date': '17/06/2025', 'age': '22', 'clubName': 'Juventus FC', 'clubID': '506', 'value': '€28.00m'}, {'date': '07/10/2025', 'age': '22', 'clubName': 'Juventus FC', 'clubID': '506', 'value': '€30.00m'}, {'date': '23/12/2025', 'age': '23', 'clubName': 'Juventus FC', 'clubID': '506', 'value': '€30.00m'}]}</t>
        </is>
      </c>
      <c r="L669" t="inlineStr">
        <is>
          <t>Portugal</t>
        </is>
      </c>
      <c r="M669" t="inlineStr">
        <is>
          <t>2002-12-14</t>
        </is>
      </c>
      <c r="N669" t="inlineStr">
        <is>
          <t>15</t>
        </is>
      </c>
      <c r="O669">
        <f>(8+8)/2</f>
        <v/>
      </c>
      <c r="P669">
        <f>(2.5+5+8+8)/4</f>
        <v/>
      </c>
    </row>
    <row r="670">
      <c r="A670" t="inlineStr">
        <is>
          <t>F. Nmecha</t>
        </is>
      </c>
      <c r="B670" t="inlineStr">
        <is>
          <t>Wolfsburg</t>
        </is>
      </c>
      <c r="C670" t="inlineStr">
        <is>
          <t>Midfielder</t>
        </is>
      </c>
      <c r="D670" t="n">
        <v>36</v>
      </c>
      <c r="E670" t="n">
        <v>2</v>
      </c>
      <c r="F670" t="n">
        <v>0</v>
      </c>
      <c r="G670" t="n">
        <v>0</v>
      </c>
      <c r="H670" t="n">
        <v>6.6</v>
      </c>
      <c r="I670" t="n">
        <v>29.4</v>
      </c>
      <c r="J670" t="n">
        <v>406640</v>
      </c>
      <c r="K670" t="inlineStr">
        <is>
          <t>{'marketValueHistory': [{'date': 'Dec 10, 2019', 'age': '19', 'clubName': 'Manchester City U23', 'clubID': '9265', 'value': '€500k'}, {'date': 'Apr 8, 2020', 'age': '19', 'clubName': 'Manchester City U23', 'clubID': '9265', 'value': '€450k'}, {'date': 'Dec 22, 2021', 'age': '21', 'clubName': 'VfL Wolfsburg', 'clubID': '82', 'value': '€700k'}, {'date': 'Mar 24, 2022', 'age': '21', 'clubName': 'VfL Wolfsburg', 'clubID': '82', 'value': '€1.00m'}, {'date': 'Jun 9, 2022', 'age': '21', 'clubName': 'VfL Wolfsburg', 'clubID': '82', 'value': '€2.00m'}, {'date': 'Nov 9, 2022', 'age': '22', 'clubName': 'VfL Wolfsburg', 'clubID': '82', 'value': '€3.00m'}, {'date': 'Mar 29, 2023', 'age': '22', 'clubName': 'VfL Wolfsburg', 'clubID': '82', 'value': '€8.00m'}, {'date': 'Jun 22, 2023', 'age': '22', 'clubName': 'VfL Wolfsburg', 'clubID': '82', 'value': '€15.00m'}, {'date': 'Oct 18, 2023', 'age': '23', 'clubName': 'Borussia Dortmund', 'clubID': '16', 'value': '€25.00m'}, {'date': 'Dec 14, 2023', 'age': '23', 'clubName': 'Borussia Dortmund', 'clubID': '16', 'value': '€25.00m'}, {'date': 'May 29, 2024', 'age': '23', 'clubName': 'Borussia Dortmund', 'clubID': '16', 'value': '€20.00m'}, {'date': 'Dec 20, 2024', 'age': '24', 'clubName': 'Borussia Dortmund', 'clubID': '16', 'value': '€28.00m'}, {'date': 'Jun 5, 2025', 'age': '24', 'clubName': 'Borussia Dortmund', 'clubID': '16', 'value': '€28.00m'}, {'date': 'Oct 14, 2025', 'age': '25', 'clubName': 'Borussia Dortmund', 'clubID': '16', 'value': '€35.00m'}, {'date': 'Dec 19, 2025', 'age': '25', 'clubName': 'Borussia Dortmund', 'clubID': '16', 'value': '€45.00m'}, {'date': 'Mar 20, 2026', 'age': '25', 'clubName': 'Borussia Dortmund', 'clubID': '16', 'value': '€50.00m'}]}</t>
        </is>
      </c>
      <c r="L670" t="inlineStr">
        <is>
          <t>Germany</t>
        </is>
      </c>
      <c r="M670" t="inlineStr">
        <is>
          <t>2000-10-10</t>
        </is>
      </c>
      <c r="N670" t="inlineStr">
        <is>
          <t>6</t>
        </is>
      </c>
      <c r="O670">
        <f>(1+2+3)/3</f>
        <v/>
      </c>
      <c r="P670">
        <f>0.7</f>
        <v/>
      </c>
    </row>
    <row r="671">
      <c r="A671" t="inlineStr">
        <is>
          <t>Pepe</t>
        </is>
      </c>
      <c r="B671" t="inlineStr">
        <is>
          <t>FC Porto</t>
        </is>
      </c>
      <c r="C671" t="inlineStr">
        <is>
          <t>Forward</t>
        </is>
      </c>
      <c r="D671" t="n">
        <v>34</v>
      </c>
      <c r="E671" t="n">
        <v>3</v>
      </c>
      <c r="F671" t="n">
        <v>0</v>
      </c>
      <c r="G671" t="n">
        <v>0</v>
      </c>
      <c r="H671" t="n">
        <v>5.7</v>
      </c>
      <c r="I671" t="n">
        <v>31.1</v>
      </c>
      <c r="J671" t="n">
        <v>7825</v>
      </c>
      <c r="K671" t="inlineStr">
        <is>
          <t>{'marketValueHistory': [{'date': '18/10/2004', 'age': '22', 'clubName': 'Villarreal CF', 'clubID': '1050', 'value': '€4.50m'}, {'date': '05/08/2005', 'age': '22', 'clubName': 'Liverpool FC', 'clubID': '31', 'value': '€8.00m'}, {'date': '29/10/2005', 'age': '23', 'clubName': 'Liverpool FC', 'clubID': '31', 'value': '€9.00m'}, {'date': '14/06/2006', 'age': '23', 'clubName': 'Liverpool FC', 'clubID': '31', 'value': '€11.00m'}, {'date': '25/04/2007', 'age': '24', 'clubName': 'Liverpool FC', 'clubID': '31', 'value': '€11.70m'}, {'date': '01/09/2007', 'age': '25', 'clubName': 'Liverpool FC', 'clubID': '31', 'value': '€11.50m'}, {'date': '04/02/2008', 'age': '25', 'clubName': 'Liverpool FC', 'clubID': '31', 'value': '€13.00m'}, {'date': '04/07/2008', 'age': '25', 'clubName': 'Liverpool FC', 'clubID': '31', 'value': '€15.00m'}, {'date': '23/02/2009', 'age': '26', 'clubName': 'Liverpool FC', 'clubID': '31', 'value': '€17.00m'}, {'date': '29/06/2009', 'age': '26', 'clubName': 'Liverpool FC', 'clubID': '31', 'value': '€19.00m'}, {'date': '25/01/2010', 'age': '27', 'clubName': 'Liverpool FC', 'clubID': '31', 'value': '€20.00m'}, {'date': '13/08/2010', 'age': '27', 'clubName': 'Liverpool FC', 'clubID': '31', 'value': '€22.00m'}, {'date': '01/02/2011', 'age': '28', 'clubName': 'Liverpool FC', 'clubID': '31', 'value': '€22.00m'}, {'date': '08/08/2011', 'age': '28', 'clubName': 'Liverpool FC', 'clubID': '31', 'value': '€22.00m'}, {'date': '06/02/2012', 'age': '29', 'clubName': 'Liverpool FC', 'clubID': '31', 'value': '€19.00m'}, {'date': '24/06/2012', 'age': '29', 'clubName': 'Liverpool FC', 'clubID': '31', 'value': '€16.00m'}, {'date': '28/01/2013', 'age': '30', 'clubName': 'Liverpool FC', 'clubID': '31', 'value': '€10.00m'}, {'date': '02/07/2013', 'age': '30', 'clubName': 'Liverpool FC', 'clubID': '31', 'value': '€10.00m'}, {'date': '07/01/2014', 'age': '31', 'clubName': 'SSC Napoli', 'clubID': '6195', 'value': '€10.00m'}, {'date': '11/07/2014', 'age': '31', 'clubName': 'Liverpool FC', 'clubID': '31', 'value': '€9.00m'}, {'date': '04/02/2015', 'age': '32', 'clubName': 'Bayern Munich', 'clubID': '27', 'value': '€4.00m'}, {'date': '01/07/2015', 'age': '32', 'clubName': 'SSC Napoli', 'clubID': '6195', 'value': '€3.00m'}, {'date': '04/01/2016', 'age': '33', 'clubName': 'SSC Napoli', 'clubID': '6195', 'value': '€3.00m'}, {'date': '15/07/2016', 'age': '33', 'clubName': 'SSC Napoli', 'clubID': '6195', 'value': '€3.00m'}, {'date': '02/01/2017', 'age': '34', 'clubName': 'SSC Napoli', 'clubID': '6195', 'value': '€3.00m'}, {'date': '08/06/2017', 'age': '34', 'clubName': 'SSC Napoli', 'clubID': '6195', 'value': '€2.00m'}, {'date': '29/12/2017', 'age': '35', 'clubName': 'SSC Napoli', 'clubID': '6195', 'value': '€2.00m'}, {'date': '07/06/2018', 'age': '35', 'clubName': 'SSC Napoli', 'clubID': '6195', 'value': '€1.00m'}, {'date': '20/12/2018', 'age': '36', 'clubName': 'AC Milan', 'clubID': '5', 'value': '€1.00m'}, {'date': '06/06/2019', 'age': '36', 'clubName': 'AC Milan', 'clubID': '5', 'value': '€1.00m'}, {'date': '12/12/2019', 'age': '37', 'clubName': 'AC Milan', 'clubID': '5', 'value': '€800k'}, {'date': '08/04/2020', 'age': '37', 'clubName': 'Aston Villa', 'clubID': '405', 'value': '€650k'}, {'date': '25/08/2020', 'age': '37', 'clubName': 'AC Milan', 'clubID': '5', 'value': '€800k'}, {'date': '29/12/2020', 'age': '38', 'clubName': 'SS Lazio', 'clubID': '398', 'value': '€800k'}, {'date': '03/06/2021', 'age': '38', 'clubName': 'SS Lazio', 'clubID': '398', 'value': '€800k'}, {'date': '28/12/2021', 'age': '39', 'clubName': 'SS Lazio', 'clubID': '398', 'value': '€800k'}, {'date': '07/06/2022', 'age': '39', 'clubName': 'SS Lazio', 'clubID': '398', 'value': '€700k'}, {'date': '07/11/2022', 'age': '40', 'clubName': 'Villarreal CF', 'clubID': '1050', 'value': '€700k'}, {'date': '13/06/2023', 'age': '40', 'clubName': 'Villarreal CF', 'clubID': '1050', 'value': '€700k'}, {'date': '22/12/2023', 'age': '41', 'clubName': 'Villarreal CF', 'clubID': '1050', 'value': '€700k'}, {'date': '07/06/2024', 'age': '41', 'clubName': 'Villarreal CF', 'clubID': '1050', 'value': '€600k'}, {'date': '18/12/2024', 'age': '42', 'clubName': 'Como 1907', 'clubID': '1047', 'value': '€600k'}, {'date': '17/06/2025', 'age': '42', 'clubName': 'Como 1907', 'clubID': '1047', 'value': '€500k'}, {'date': '01/07/2025', 'age': '42', 'clubName': 'Retired', 'clubID': '123', 'value': '-'}]}</t>
        </is>
      </c>
      <c r="L671" t="inlineStr">
        <is>
          <t>Spain</t>
        </is>
      </c>
      <c r="M671" t="inlineStr">
        <is>
          <t>1982-08-31</t>
        </is>
      </c>
      <c r="N671" t="inlineStr">
        <is>
          <t>36</t>
        </is>
      </c>
      <c r="O671">
        <f>(0.7+0.7)/2</f>
        <v/>
      </c>
      <c r="P671">
        <f>(0.8+0.8)/2</f>
        <v/>
      </c>
    </row>
    <row r="672">
      <c r="A672" t="inlineStr">
        <is>
          <t>Al. Miranchuk</t>
        </is>
      </c>
      <c r="B672" t="inlineStr">
        <is>
          <t>Atalanta</t>
        </is>
      </c>
      <c r="C672" t="inlineStr">
        <is>
          <t>Forward</t>
        </is>
      </c>
      <c r="D672" t="n">
        <v>33</v>
      </c>
      <c r="E672" t="n">
        <v>2</v>
      </c>
      <c r="F672" t="n">
        <v>0</v>
      </c>
      <c r="G672" t="n">
        <v>1</v>
      </c>
      <c r="H672" t="n">
        <v>4.8</v>
      </c>
      <c r="I672" t="n">
        <v>28.7</v>
      </c>
      <c r="J672" t="n">
        <v>255450</v>
      </c>
      <c r="K672" t="inlineStr">
        <is>
          <t>{'marketValueHistory': [{'date': 'Apr 28, 2013', 'age': '17', 'clubName': 'Lokomotiv Moskau', 'clubID': '932', 'value': '€100k'}, {'date': 'Jun 19, 2013', 'age': '17', 'clubName': 'Lokomotiv Moskau', 'clubID': '932', 'value': '€500k'}, {'date': 'Mar 3, 2014', 'age': '18', 'clubName': 'Lokomotiv Moskau', 'clubID': '932', 'value': '€700k'}, {'date': 'Jul 31, 2014', 'age': '18', 'clubName': 'Lokomotiv Moskau', 'clubID': '932', 'value': '€700k'}, {'date': 'Feb 23, 2015', 'age': '19', 'clubName': 'Lokomotiv Moskau', 'clubID': '932', 'value': '€1.20m'}, {'date': 'Jun 18, 2015', 'age': '19', 'clubName': 'Lokomotiv Moskau', 'clubID': '932', 'value': '€2.00m'}, {'date': 'Jan 6, 2016', 'age': '20', 'clubName': 'Lokomotiv Moskau', 'clubID': '932', 'value': '€3.50m'}, {'date': 'May 25, 2016', 'age': '20', 'clubName': 'Lokomotiv Moskau', 'clubID': '932', 'value': '€4.00m'}, {'date': 'Dec 27, 2016', 'age': '21', 'clubName': 'Lokomotiv Moskau', 'clubID': '932', 'value': '€4.50m'}, {'date': 'Jun 1, 2017', 'age': '21', 'clubName': 'Lokomotiv Moskau', 'clubID': '932', 'value': '€6.50m'}, {'date': 'Oct 2, 2017', 'age': '21', 'clubName': 'Lokomotiv Moscow', 'clubID': '932', 'value': '€7.50m'}, {'date': 'Dec 23, 2017', 'age': '22', 'clubName': 'Lokomotiv Moscow', 'clubID': '932', 'value': '€10.00m'}, {'date': 'Jun 6, 2018', 'age': '22', 'clubName': 'Lokomotiv Moscow', 'clubID': '932', 'value': '€14.00m'}, {'date': 'Dec 20, 2018', 'age': '23', 'clubName': 'Lokomotiv Moscow', 'clubID': '932', 'value': '€14.00m'}, {'date': 'Jun 14, 2019', 'age': '23', 'clubName': 'Lokomotiv Moscow', 'clubID': '932', 'value': '€15.00m'}, {'date': 'Sep 10, 2019', 'age': '23', 'clubName': 'Lokomotiv Moscow', 'clubID': '932', 'value': '€16.00m'}, {'date': 'Dec 23, 2019', 'age': '24', 'clubName': 'Lokomotiv Moscow', 'clubID': '932', 'value': '€18.00m'}, {'date': 'Apr 8, 2020', 'age': '24', 'clubName': 'Lokomotiv Moscow', 'clubID': '932', 'value': '€14.50m'}, {'date': 'Jul 29, 2020', 'age': '24', 'clubName': 'Lokomotiv Moscow', 'clubID': '932', 'value': '€18.00m'}, {'date': 'Dec 29, 2020', 'age': '25', 'clubName': 'Atalanta BC', 'clubID': '800', 'value': '€18.00m'}, {'date': 'Mar 23, 2021', 'age': '25', 'clubName': 'Atalanta BC', 'clubID': '800', 'value': '€17.00m'}, {'date': 'May 26, 2021', 'age': '25', 'clubName': 'Atalanta BC', 'clubID': '800', 'value': '€15.00m'}, {'date': 'Oct 14, 2021', 'age': '25', 'clubName': 'Atalanta BC', 'clubID': '800', 'value': '€13.50m'}, {'date': 'Dec 28, 2021', 'age': '26', 'clubName': 'Atalanta BC', 'clubID': '800', 'value': '€11.00m'}, {'date': 'Jun 7, 2022', 'age': '26', 'clubName': 'Atalanta BC', 'clubID': '800', 'value': '€10.00m'}, {'date': 'Nov 11, 2022', 'age': '27', 'clubName': 'Torino FC', 'clubID': '416', 'value': '€10.00m'}, {'date': 'Mar 21, 2023', 'age': '27', 'clubName': 'Torino FC', 'clubID': '416', 'value': '€12.00m'}, {'date': 'Jun 15, 2023', 'age': '27', 'clubName': 'Torino FC', 'clubID': '416', 'value': '€12.00m'}, {'date': 'Oct 11, 2023', 'age': '27', 'clubName': 'Atalanta BC', 'clubID': '800', 'value': '€9.00m'}, {'date': 'Dec 20, 2023', 'age': '28', 'clubName': 'Atalanta BC', 'clubID': '800', 'value': '€7.50m'}, {'date': 'Mar 12, 2024', 'age': '28', 'clubName': 'Atalanta BC', 'clubID': '800', 'value': '€9.00m'}, {'date': 'Jun 5, 2024', 'age': '28', 'clubName': 'Atalanta BC', 'clubID': '800', 'value': '€10.00m'}, {'date': 'Dec 12, 2024', 'age': '29', 'clubName': 'Atlanta United FC', 'clubID': '51663', 'value': '€10.00m'}, {'date': 'Jun 5, 2025', 'age': '29', 'clubName': 'Atlanta United FC', 'clubID': '51663', 'value': '€9.00m'}, {'date': 'Dec 11, 2025', 'age': '30', 'clubName': 'Atlanta United FC', 'clubID': '51663', 'value': '€8.00m'}]}</t>
        </is>
      </c>
      <c r="L672" t="inlineStr">
        <is>
          <t>Russia</t>
        </is>
      </c>
      <c r="M672" t="inlineStr">
        <is>
          <t>1995-10-17</t>
        </is>
      </c>
      <c r="N672" t="inlineStr">
        <is>
          <t>Russia</t>
        </is>
      </c>
      <c r="O672">
        <f>(10+10)/2</f>
        <v/>
      </c>
      <c r="P672">
        <f>(17+15+13.5+11)/4</f>
        <v/>
      </c>
    </row>
    <row r="673">
      <c r="A673" t="inlineStr">
        <is>
          <t>Edwards</t>
        </is>
      </c>
      <c r="B673" t="inlineStr">
        <is>
          <t>Sporting CP</t>
        </is>
      </c>
      <c r="C673" t="inlineStr">
        <is>
          <t>Forward</t>
        </is>
      </c>
      <c r="D673" t="n">
        <v>32</v>
      </c>
      <c r="E673" t="n">
        <v>1</v>
      </c>
      <c r="F673" t="n">
        <v>0</v>
      </c>
      <c r="G673" t="n">
        <v>0</v>
      </c>
      <c r="H673" t="n">
        <v>4</v>
      </c>
      <c r="I673" t="n">
        <v>30.5</v>
      </c>
      <c r="J673" t="n">
        <v>314367</v>
      </c>
      <c r="K673" t="inlineStr">
        <is>
          <t>{'marketValueHistory': [{'date': '27/02/2018', 'age': '19', 'clubName': 'Norwich City', 'clubID': '1123', 'value': '€500k'}, {'date': '04/10/2018', 'age': '19', 'clubName': 'SBV Excelsior', 'clubID': '798', 'value': '€900k'}, {'date': '28/12/2018', 'age': '20', 'clubName': 'SBV Excelsior', 'clubID': '798', 'value': '€900k'}, {'date': '13/03/2019', 'age': '20', 'clubName': 'SBV Excelsior', 'clubID': '798', 'value': '€1.25m'}, {'date': '12/06/2019', 'age': '20', 'clubName': 'SBV Excelsior', 'clubID': '798', 'value': '€1.25m'}, {'date': '30/12/2019', 'age': '21', 'clubName': 'Vitória Guimarães SC', 'clubID': '2420', 'value': '€3.50m'}, {'date': '08/04/2020', 'age': '21', 'clubName': 'Vitória Guimarães SC', 'clubID': '2420', 'value': '€3.20m'}, {'date': '17/08/2020', 'age': '21', 'clubName': 'Vitória Guimarães SC', 'clubID': '2420', 'value': '€13.00m'}, {'date': '28/01/2021', 'age': '22', 'clubName': 'Vitória Guimarães SC', 'clubID': '2420', 'value': '€13.00m'}, {'date': '21/05/2021', 'age': '22', 'clubName': 'Vitória Guimarães SC', 'clubID': '2420', 'value': '€10.00m'}, {'date': '27/12/2021', 'age': '23', 'clubName': 'Vitória Guimarães SC', 'clubID': '2420', 'value': '€13.00m'}, {'date': '31/05/2022', 'age': '23', 'clubName': 'Sporting CP', 'clubID': '336', 'value': '€15.00m'}, {'date': '16/09/2022', 'age': '23', 'clubName': 'Sporting CP', 'clubID': '336', 'value': '€20.00m'}, {'date': '01/11/2022', 'age': '23', 'clubName': 'Sporting CP', 'clubID': '336', 'value': '€25.00m'}, {'date': '16/06/2023', 'age': '24', 'clubName': 'Sporting CP', 'clubID': '336', 'value': '€30.00m'}, {'date': '27/12/2023', 'age': '25', 'clubName': 'Sporting CP', 'clubID': '336', 'value': '€28.00m'}, {'date': '08/03/2024', 'age': '25', 'clubName': 'Sporting CP', 'clubID': '336', 'value': '€25.00m'}, {'date': '06/06/2024', 'age': '25', 'clubName': 'Sporting CP', 'clubID': '336', 'value': '€20.00m'}, {'date': '08/10/2024', 'age': '25', 'clubName': 'Sporting CP', 'clubID': '336', 'value': '€18.00m'}, {'date': '19/12/2024', 'age': '26', 'clubName': 'Sporting CP', 'clubID': '336', 'value': '€15.00m'}, {'date': '27/05/2025', 'age': '26', 'clubName': 'Burnley FC', 'clubID': '1132', 'value': '€12.00m'}, {'date': '17/10/2025', 'age': '26', 'clubName': 'Burnley FC', 'clubID': '1132', 'value': '€10.00m'}, {'date': '09/12/2025', 'age': '27', 'clubName': 'Burnley FC', 'clubID': '1132', 'value': '€8.00m'}]}</t>
        </is>
      </c>
      <c r="L673" t="inlineStr">
        <is>
          <t>United Kingdom</t>
        </is>
      </c>
      <c r="M673" t="inlineStr">
        <is>
          <t>1998-12-03</t>
        </is>
      </c>
      <c r="N673" t="inlineStr">
        <is>
          <t>England</t>
        </is>
      </c>
      <c r="O673">
        <f>(15+20+25)/3</f>
        <v/>
      </c>
      <c r="P673">
        <f>(13+10+13)/3</f>
        <v/>
      </c>
    </row>
    <row r="674">
      <c r="A674" t="inlineStr">
        <is>
          <t>Radonjic</t>
        </is>
      </c>
      <c r="B674" t="inlineStr">
        <is>
          <t>Benfica</t>
        </is>
      </c>
      <c r="C674" t="inlineStr">
        <is>
          <t>Forward</t>
        </is>
      </c>
      <c r="D674" t="n">
        <v>31</v>
      </c>
      <c r="E674" t="n">
        <v>1</v>
      </c>
      <c r="F674" t="n">
        <v>0</v>
      </c>
      <c r="G674" t="n">
        <v>0</v>
      </c>
      <c r="H674" t="n">
        <v>3.9</v>
      </c>
      <c r="I674" t="n">
        <v>32</v>
      </c>
      <c r="J674" t="n">
        <v>245078</v>
      </c>
      <c r="K674" t="inlineStr">
        <is>
          <t>{'marketValueHistory': [{'date': '19/09/2014', 'age': '18', 'clubName': 'Empoli Primavera', 'clubID': '749', 'value': '€75k'}, {'date': '17/06/2015', 'age': '19', 'clubName': 'Empoli Primavera', 'clubID': '749', 'value': '€50k'}, {'date': '29/05/2016', 'age': '20', 'clubName': 'FK Cukaricki', 'clubID': '6621', 'value': '€350k'}, {'date': '18/12/2016', 'age': '20', 'clubName': 'FK Cukaricki', 'clubID': '6621', 'value': '€300k'}, {'date': '04/05/2017', 'age': '21', 'clubName': 'FK Cukaricki', 'clubID': '6621', 'value': '€300k'}, {'date': '10/01/2018', 'age': '21', 'clubName': 'Red Star Belgrade', 'clubID': '159', 'value': '€2.50m'}, {'date': '02/07/2018', 'age': '22', 'clubName': 'Red Star Belgrade', 'clubID': '159', 'value': '€6.00m'}, {'date': '24/10/2018', 'age': '22', 'clubName': 'Olympique Marseille', 'clubID': '244', 'value': '€10.00m'}, {'date': '17/12/2018', 'age': '22', 'clubName': 'Olympique Marseille', 'clubID': '244', 'value': '€9.00m'}, {'date': '07/03/2019', 'age': '23', 'clubName': 'Olympique Marseille', 'clubID': '244', 'value': '€7.00m'}, {'date': '03/06/2019', 'age': '23', 'clubName': 'Olympique Marseille', 'clubID': '244', 'value': '€5.00m'}, {'date': '19/12/2019', 'age': '23', 'clubName': 'Olympique Marseille', 'clubID': '244', 'value': '€6.00m'}, {'date': '13/03/2020', 'age': '24', 'clubName': 'Olympique Marseille', 'clubID': '244', 'value': '€8.00m'}, {'date': '08/04/2020', 'age': '24', 'clubName': 'Olympique Marseille', 'clubID': '244', 'value': '€6.50m'}, {'date': '15/10/2020', 'age': '24', 'clubName': 'Olympique Marseille', 'clubID': '244', 'value': '€5.50m'}, {'date': '07/01/2021', 'age': '24', 'clubName': 'Olympique Marseille', 'clubID': '244', 'value': '€4.50m'}, {'date': '09/06/2021', 'age': '25', 'clubName': 'Hertha BSC', 'clubID': '44', 'value': '€6.00m'}, {'date': '27/12/2021', 'age': '25', 'clubName': 'SL Benfica', 'clubID': '294', 'value': '€6.00m'}, {'date': '10/03/2022', 'age': '26', 'clubName': 'SL Benfica', 'clubID': '294', 'value': '€5.00m'}, {'date': '31/05/2022', 'age': '26', 'clubName': 'SL Benfica', 'clubID': '294', 'value': '€4.00m'}, {'date': '11/11/2022', 'age': '26', 'clubName': 'Torino FC', 'clubID': '416', 'value': '€4.00m'}, {'date': '15/06/2023', 'age': '27', 'clubName': 'Torino FC', 'clubID': '416', 'value': '€4.00m'}, {'date': '20/12/2023', 'age': '27', 'clubName': 'Torino FC', 'clubID': '416', 'value': '€3.00m'}, {'date': '07/06/2024', 'age': '28', 'clubName': 'RCD Mallorca', 'clubID': '237', 'value': '€2.80m'}, {'date': '27/12/2024', 'age': '28', 'clubName': 'Red Star Belgrade', 'clubID': '159', 'value': '€3.50m'}, {'date': '12/06/2025', 'age': '29', 'clubName': 'Red Star Belgrade', 'clubID': '159', 'value': '€3.00m'}, {'date': '11/12/2025', 'age': '29', 'clubName': 'Red Star Belgrade', 'clubID': '159', 'value': '€2.50m'}, {'date': '26/03/2026', 'age': '30', 'clubName': 'Red Star Belgrade', 'clubID': '159', 'value': '€2.00m'}]}</t>
        </is>
      </c>
      <c r="L674" t="inlineStr">
        <is>
          <t>Serbia</t>
        </is>
      </c>
      <c r="M674" t="inlineStr">
        <is>
          <t>1996-02-07</t>
        </is>
      </c>
      <c r="N674" t="inlineStr">
        <is>
          <t>Serbia</t>
        </is>
      </c>
      <c r="O674">
        <f>(5+4+4)/3</f>
        <v/>
      </c>
      <c r="P674">
        <f>(4.5+6+6)/3</f>
        <v/>
      </c>
    </row>
    <row r="675">
      <c r="A675" t="inlineStr">
        <is>
          <t>Mengi</t>
        </is>
      </c>
      <c r="B675" t="inlineStr">
        <is>
          <t>Man United</t>
        </is>
      </c>
      <c r="C675" t="inlineStr">
        <is>
          <t>Defender</t>
        </is>
      </c>
      <c r="D675" t="n">
        <v>29</v>
      </c>
      <c r="E675" t="n">
        <v>1</v>
      </c>
      <c r="F675" t="n">
        <v>0</v>
      </c>
      <c r="G675" t="n">
        <v>0</v>
      </c>
      <c r="H675" t="n">
        <v>3.7</v>
      </c>
      <c r="I675" t="n">
        <v>31.6</v>
      </c>
      <c r="J675" t="n">
        <v>548470</v>
      </c>
      <c r="K675" t="inlineStr">
        <is>
          <t>{'marketValueHistory': [{'date': '30/07/2020', 'age': '18', 'clubName': 'Manchester United', 'clubID': '985', 'value': '€1.00m'}, {'date': '10/03/2021', 'age': '18', 'clubName': 'Derby County', 'clubID': '22', 'value': '€1.50m'}, {'date': '23/12/2021', 'age': '19', 'clubName': 'Manchester United', 'clubID': '985', 'value': '€2.00m'}, {'date': '13/05/2022', 'age': '20', 'clubName': 'Birmingham City', 'clubID': '337', 'value': '€2.00m'}, {'date': '16/03/2023', 'age': '20', 'clubName': 'Manchester United', 'clubID': '985', 'value': '€2.00m'}, {'date': '20/06/2023', 'age': '21', 'clubName': 'Manchester United', 'clubID': '985', 'value': '€2.00m'}, {'date': '19/12/2023', 'age': '21', 'clubName': 'Luton Town', 'clubID': '1031', 'value': '€7.00m'}, {'date': '14/03/2024', 'age': '21', 'clubName': 'Luton Town', 'clubID': '1031', 'value': '€12.00m'}, {'date': '27/05/2024', 'age': '22', 'clubName': 'Luton Town', 'clubID': '1031', 'value': '€12.00m'}, {'date': '24/09/2024', 'age': '22', 'clubName': 'Luton Town', 'clubID': '1031', 'value': '€11.00m'}, {'date': '30/12/2024', 'age': '22', 'clubName': 'Luton Town', 'clubID': '1031', 'value': '€10.00m'}, {'date': '28/03/2025', 'age': '22', 'clubName': 'Luton Town', 'clubID': '1031', 'value': '€8.00m'}, {'date': '27/05/2025', 'age': '23', 'clubName': 'Luton Town', 'clubID': '1031', 'value': '€5.50m'}, {'date': '26/11/2025', 'age': '23', 'clubName': 'Luton Town', 'clubID': '1031', 'value': '€4.00m'}]}</t>
        </is>
      </c>
      <c r="L675" t="inlineStr">
        <is>
          <t>United Kingdom</t>
        </is>
      </c>
      <c r="M675" t="inlineStr">
        <is>
          <t>2002-04-30</t>
        </is>
      </c>
      <c r="N675" t="inlineStr">
        <is>
          <t>England</t>
        </is>
      </c>
      <c r="O675">
        <f>2</f>
        <v/>
      </c>
      <c r="P675">
        <f>(1.5+2)/2</f>
        <v/>
      </c>
    </row>
    <row r="676">
      <c r="A676" t="inlineStr">
        <is>
          <t>Wesley</t>
        </is>
      </c>
      <c r="B676" t="inlineStr">
        <is>
          <t>Club Brugge</t>
        </is>
      </c>
      <c r="C676" t="inlineStr">
        <is>
          <t>Forward</t>
        </is>
      </c>
      <c r="D676" t="n">
        <v>26</v>
      </c>
      <c r="E676" t="n">
        <v>2</v>
      </c>
      <c r="F676" t="n">
        <v>0</v>
      </c>
      <c r="G676" t="n">
        <v>0</v>
      </c>
      <c r="H676" t="n">
        <v>3.7</v>
      </c>
      <c r="I676" t="n">
        <v>32.7</v>
      </c>
      <c r="J676" t="n">
        <v>475411</v>
      </c>
      <c r="K676" t="inlineStr">
        <is>
          <t>{'marketValueHistory': [{'date': '19/12/2019', 'age': '19', 'clubName': 'AS Saint-Étienne', 'clubID': '618', 'value': '€4.00m'}, {'date': '13/03/2020', 'age': '19', 'clubName': 'AS Saint-Étienne', 'clubID': '618', 'value': '€6.00m'}, {'date': '08/04/2020', 'age': '19', 'clubName': 'AS Saint-Étienne', 'clubID': '618', 'value': '€5.40m'}, {'date': '03/08/2020', 'age': '19', 'clubName': 'AS Saint-Étienne', 'clubID': '618', 'value': '€10.00m'}, {'date': '13/10/2020', 'age': '19', 'clubName': 'Leicester City', 'clubID': '1003', 'value': '€22.50m'}, {'date': '17/12/2020', 'age': '20', 'clubName': 'Leicester City', 'clubID': '1003', 'value': '€27.00m'}, {'date': '18/03/2021', 'age': '20', 'clubName': 'Leicester City', 'clubID': '1003', 'value': '€30.00m'}, {'date': '08/06/2021', 'age': '20', 'clubName': 'Leicester City', 'clubID': '1003', 'value': '€40.00m'}, {'date': '23/12/2021', 'age': '21', 'clubName': 'Leicester City', 'clubID': '1003', 'value': '€40.00m'}, {'date': '15/06/2022', 'age': '21', 'clubName': 'Leicester City', 'clubID': '1003', 'value': '€40.00m'}, {'date': '15/09/2022', 'age': '21', 'clubName': 'Chelsea FC', 'clubID': '631', 'value': '€65.00m'}, {'date': '03/11/2022', 'age': '21', 'clubName': 'Chelsea FC', 'clubID': '631', 'value': '€65.00m'}, {'date': '20/06/2023', 'age': '22', 'clubName': 'Chelsea FC', 'clubID': '631', 'value': '€55.00m'}, {'date': '09/10/2023', 'age': '22', 'clubName': 'Chelsea FC', 'clubID': '631', 'value': '€40.00m'}, {'date': '19/12/2023', 'age': '23', 'clubName': 'Chelsea FC', 'clubID': '631', 'value': '€32.00m'}, {'date': '27/05/2024', 'age': '23', 'clubName': 'Chelsea FC', 'clubID': '631', 'value': '€25.00m'}, {'date': '16/12/2024', 'age': '23', 'clubName': 'Chelsea FC', 'clubID': '631', 'value': '€30.00m'}, {'date': '18/03/2025', 'age': '24', 'clubName': 'Chelsea FC', 'clubID': '631', 'value': '€27.00m'}, {'date': '30/05/2025', 'age': '24', 'clubName': 'Chelsea FC', 'clubID': '631', 'value': '€25.00m'}, {'date': '09/12/2025', 'age': '24', 'clubName': 'Chelsea FC', 'clubID': '631', 'value': '€28.00m'}]}</t>
        </is>
      </c>
      <c r="L676" t="inlineStr">
        <is>
          <t>France</t>
        </is>
      </c>
      <c r="M676" t="inlineStr">
        <is>
          <t>2000-12-17</t>
        </is>
      </c>
      <c r="N676" t="inlineStr">
        <is>
          <t>France</t>
        </is>
      </c>
      <c r="O676">
        <f>(40+65+65)/3</f>
        <v/>
      </c>
      <c r="P676">
        <f>(30+40+40)/3</f>
        <v/>
      </c>
    </row>
    <row r="677">
      <c r="A677" t="inlineStr">
        <is>
          <t>Mandi</t>
        </is>
      </c>
      <c r="B677" t="inlineStr">
        <is>
          <t>Villarreal</t>
        </is>
      </c>
      <c r="C677" t="inlineStr">
        <is>
          <t>Defender</t>
        </is>
      </c>
      <c r="D677" t="n">
        <v>24</v>
      </c>
      <c r="E677" t="n">
        <v>2</v>
      </c>
      <c r="F677" t="n">
        <v>0</v>
      </c>
      <c r="G677" t="n">
        <v>0</v>
      </c>
      <c r="H677" t="n">
        <v>3.7</v>
      </c>
      <c r="I677" t="n">
        <v>27.3</v>
      </c>
      <c r="J677" t="n">
        <v>237855</v>
      </c>
      <c r="L677" t="inlineStr">
        <is>
          <t>Italy</t>
        </is>
      </c>
      <c r="M677" t="inlineStr">
        <is>
          <t>1903-11-08</t>
        </is>
      </c>
      <c r="N677" t="inlineStr">
        <is>
          <t>Italy</t>
        </is>
      </c>
    </row>
    <row r="678">
      <c r="A678" t="inlineStr">
        <is>
          <t>Kudus</t>
        </is>
      </c>
      <c r="B678" t="inlineStr">
        <is>
          <t>Ajax</t>
        </is>
      </c>
      <c r="C678" t="inlineStr">
        <is>
          <t>Midfielder</t>
        </is>
      </c>
      <c r="D678" t="n">
        <v>24</v>
      </c>
      <c r="E678" t="n">
        <v>2</v>
      </c>
      <c r="F678" t="n">
        <v>0</v>
      </c>
      <c r="G678" t="n">
        <v>0</v>
      </c>
      <c r="H678" t="n">
        <v>3.5</v>
      </c>
      <c r="I678" t="n">
        <v>27.1</v>
      </c>
      <c r="J678" t="n">
        <v>543499</v>
      </c>
      <c r="K678" t="inlineStr">
        <is>
          <t>{'id': '543499', 'marketValue': '€50.00m', 'marketValueHistory': [{'age': '18', 'date': 'Dec 21, 2018', 'clubName': 'FC Nordsjaelland', 'value': '€400k', 'clubID': '2778'}, {'age': '18', 'date': 'Jun 8, 2019', 'clubName': 'FC Nordsjaelland', 'value': '€800k', 'clubID': '2778'}, {'age': '19', 'date': 'Sep 9, 2019', 'clubName': 'FC Nordsjaelland', 'value': '€1.00m', 'clubID': '2778'}, {'age': '19', 'date': 'Dec 22, 2019', 'clubName': 'FC Nordsjaelland', 'value': '€3.00m', 'clubID': '2778'}, {'age': '19', 'date': 'Apr 8, 2020', 'clubName': 'FC Nordsjaelland', 'value': '€2.70m', 'clubID': '2778'}, {'age': '19', 'date': 'Jul 30, 2020', 'clubName': 'FC Nordsjaelland', 'value': '€9.00m', 'clubID': '2778'}, {'age': '20', 'date': 'Oct 14, 2020', 'clubName': 'Ajax Amsterdam', 'value': '€12.00m', 'clubID': '610'}, {'age': '20', 'date': 'Jan 6, 2021', 'clubName': 'Ajax Amsterdam', 'value': '€15.00m', 'clubID': '610'}, {'age': '20', 'date': 'May 19, 2021', 'clubName': 'Ajax Amsterdam', 'value': '€15.00m', 'clubID': '610'}, {'age': '21', 'date': 'Jan 5, 2022', 'clubName': 'Ajax Amsterdam', 'value': '€15.00m', 'clubID': '610'}, {'age': '21', 'date': 'Mar 17, 2022', 'clubName': 'Ajax Amsterdam', 'value': '€11.00m', 'clubID': '610'}, {'age': '21', 'date': 'Jun 8, 2022', 'clubName': 'Ajax Amsterdam', 'value': '€10.00m', 'clubID': '610'}, {'age': '22', 'date': 'Nov 11, 2022', 'clubName': 'Ajax Amsterdam', 'value': '€15.00m', 'clubID': '610'}, {'age': '22', 'date': 'Dec 23, 2022', 'clubName': 'Ajax Amsterdam', 'value': '€20.00m', 'clubID': '610'}, {'age': '22', 'date': 'Mar 17, 2023', 'clubName': 'Ajax Amsterdam', 'value': '€30.00m', 'clubID': '610'}, {'age': '22', 'date': 'Jun 23, 2023', 'clubName': 'Ajax Amsterdam', 'value': '€40.00m', 'clubID': '610'}, {'age': '23', 'date': 'Dec 19, 2023', 'clubName': 'West Ham United', 'value': '€45.00m', 'clubID': '379'}, {'age': '23', 'date': 'Mar 14, 2024', 'clubName': 'West Ham United', 'value': '€50.00m', 'clubID': '379'}], 'ranking': {'Worldwide': '89', 'Premier League': '45', 'West Ham': '2', 'Ghana': '1', 'Attacking Midfield': '14', 'Year 2000': '12'}, 'updatedAt': datetime.datetime(2024, 5, 23, 22, 21, 40, 177358)}</t>
        </is>
      </c>
      <c r="L678" t="inlineStr">
        <is>
          <t>Ghana</t>
        </is>
      </c>
      <c r="M678" t="inlineStr">
        <is>
          <t>2000-08-02</t>
        </is>
      </c>
      <c r="N678" t="inlineStr">
        <is>
          <t>46</t>
        </is>
      </c>
      <c r="O678">
        <f>(15+11+10+15+20)/5</f>
        <v/>
      </c>
      <c r="P678">
        <f>(15+15)/2</f>
        <v/>
      </c>
    </row>
    <row r="679">
      <c r="A679" t="inlineStr">
        <is>
          <t>Novoa</t>
        </is>
      </c>
      <c r="B679" t="inlineStr">
        <is>
          <t>Leipzig</t>
        </is>
      </c>
      <c r="C679" t="inlineStr">
        <is>
          <t>Midfielder</t>
        </is>
      </c>
      <c r="D679" t="n">
        <v>24</v>
      </c>
      <c r="E679" t="n">
        <v>1</v>
      </c>
      <c r="F679" t="n">
        <v>0</v>
      </c>
      <c r="G679" t="n">
        <v>1</v>
      </c>
      <c r="H679" t="n">
        <v>3.6</v>
      </c>
      <c r="I679" t="n">
        <v>30.4</v>
      </c>
      <c r="J679" t="n">
        <v>668276</v>
      </c>
      <c r="K679" t="inlineStr">
        <is>
          <t>{'id': '668276', 'marketValue': '€2.50m', 'marketValueHistory': [{'age': '17', 'date': 'Nov 26, 2020', 'clubName': 'RasenBallsport Leipzig U19', 'value': '€200k', 'clubID': '26621'}, {'age': '18', 'date': 'Jun 9, 2021', 'clubName': 'RasenBallsport Leipzig U19', 'value': '€400k', 'clubID': '26621'}, {'age': '18', 'date': 'Dec 22, 2021', 'clubName': 'RB Leipzig', 'value': '€1.50m', 'clubID': '23826'}, {'age': '19', 'date': 'Mar 24, 2022', 'clubName': 'RB Leipzig', 'value': '€3.00m', 'clubID': '23826'}, {'age': '19', 'date': 'Jun 9, 2022', 'clubName': 'RB Leipzig', 'value': '€3.00m', 'clubID': '23826'}, {'age': '19', 'date': 'Sep 21, 2022', 'clubName': 'RB Leipzig', 'value': '€5.00m', 'clubID': '23826'}, {'age': '19', 'date': 'Nov 9, 2022', 'clubName': 'RB Leipzig', 'value': '€5.00m', 'clubID': '23826'}, {'age': '20', 'date': 'Jun 7, 2023', 'clubName': 'FC Basel 1893', 'value': '€4.30m', 'clubID': '26'}, {'age': '20', 'date': 'Dec 15, 2023', 'clubName': 'FC Utrecht', 'value': '€3.50m', 'clubID': '200'}, {'age': '21', 'date': 'Mar 26, 2024', 'clubName': 'Villarreal CF B', 'value': '€2.50m', 'clubID': '11972'}], 'ranking': {'Worldwide': '3.404', 'LaLiga2': '21', 'Villarreal CF B': '1', 'Spain': '245', 'Right-Back': '219', 'Year 2003': '186'}, 'updatedAt': datetime.datetime(2024, 5, 23, 22, 35, 23, 52507)}</t>
        </is>
      </c>
      <c r="L679" t="inlineStr">
        <is>
          <t>Spain</t>
        </is>
      </c>
      <c r="M679" t="inlineStr">
        <is>
          <t>2003-01-24</t>
        </is>
      </c>
      <c r="N679" t="inlineStr">
        <is>
          <t>Spain</t>
        </is>
      </c>
      <c r="O679">
        <f>(3+3+5+5)/4</f>
        <v/>
      </c>
      <c r="P679">
        <f>(0.4+1.5)/2</f>
        <v/>
      </c>
    </row>
    <row r="680">
      <c r="A680" t="inlineStr">
        <is>
          <t>Lihadji</t>
        </is>
      </c>
      <c r="B680" t="inlineStr">
        <is>
          <t>Lille</t>
        </is>
      </c>
      <c r="C680" t="inlineStr">
        <is>
          <t>Forward</t>
        </is>
      </c>
      <c r="D680" t="n">
        <v>23</v>
      </c>
      <c r="E680" t="n">
        <v>3</v>
      </c>
      <c r="F680" t="n">
        <v>0</v>
      </c>
      <c r="G680" t="n">
        <v>0</v>
      </c>
      <c r="H680" t="n">
        <v>4.5</v>
      </c>
      <c r="I680" t="n">
        <v>30.9</v>
      </c>
      <c r="J680" t="n">
        <v>557610</v>
      </c>
      <c r="K680" t="inlineStr">
        <is>
          <t>{'marketValueHistory': [{'date': '27/09/2019', 'age': '17', 'clubName': 'Olympique de Marseille B', 'clubID': '8524', 'value': '€500k'}, {'date': '19/12/2019', 'age': '17', 'clubName': 'Olympique de Marseille B', 'clubID': '8524', 'value': '€3.50m'}, {'date': '08/04/2020', 'age': '17', 'clubName': 'Olympique de Marseille B', 'clubID': '8524', 'value': '€3.20m'}, {'date': '15/10/2020', 'age': '18', 'clubName': 'LOSC Lille', 'clubID': '1082', 'value': '€3.50m'}, {'date': '07/01/2021', 'age': '18', 'clubName': 'LOSC Lille', 'clubID': '1082', 'value': '€4.00m'}, {'date': '04/06/2021', 'age': '19', 'clubName': 'LOSC Lille', 'clubID': '1082', 'value': '€4.00m'}, {'date': '16/12/2021', 'age': '19', 'clubName': 'LOSC Lille', 'clubID': '1082', 'value': '€3.50m'}, {'date': '30/05/2022', 'age': '20', 'clubName': 'LOSC Lille', 'clubID': '1082', 'value': '€3.50m'}, {'date': '19/09/2022', 'age': '20', 'clubName': 'LOSC Lille', 'clubID': '1082', 'value': '€2.00m'}, {'date': '02/11/2022', 'age': '20', 'clubName': 'LOSC Lille', 'clubID': '1082', 'value': '€1.50m'}, {'date': '01/06/2023', 'age': '21', 'clubName': 'Sunderland AFC', 'clubID': '289', 'value': '€1.20m'}, {'date': '27/11/2023', 'age': '21', 'clubName': 'Al-Duhail SC', 'clubID': '26091', 'value': '€1.00m'}, {'date': '02/05/2024', 'age': '22', 'clubName': 'Al-Duhail SC', 'clubID': '26091', 'value': '€900k'}, {'date': '10/12/2024', 'age': '22', 'clubName': 'Al-Arabi SC', 'clubID': '1230', 'value': '€800k'}, {'date': '28/05/2025', 'age': '23', 'clubName': 'Al-Arabi SC', 'clubID': '1230', 'value': '€700k'}, {'date': '30/12/2025', 'age': '23', 'clubName': 'Al-Arabi SC', 'clubID': '1230', 'value': '€550k'}]}</t>
        </is>
      </c>
      <c r="L680" t="inlineStr">
        <is>
          <t>France</t>
        </is>
      </c>
      <c r="M680" t="inlineStr">
        <is>
          <t>2002-04-10</t>
        </is>
      </c>
      <c r="N680" t="inlineStr">
        <is>
          <t>France</t>
        </is>
      </c>
      <c r="O680">
        <f>(3.5+2+1.5)/3</f>
        <v/>
      </c>
      <c r="P680">
        <f>(4+4+3.5)/3</f>
        <v/>
      </c>
    </row>
    <row r="681">
      <c r="A681" t="inlineStr">
        <is>
          <t>Bernardo</t>
        </is>
      </c>
      <c r="B681" t="inlineStr">
        <is>
          <t>Salzburg</t>
        </is>
      </c>
      <c r="C681" t="inlineStr">
        <is>
          <t>Defender</t>
        </is>
      </c>
      <c r="D681" t="n">
        <v>23</v>
      </c>
      <c r="E681" t="n">
        <v>2</v>
      </c>
      <c r="F681" t="n">
        <v>0</v>
      </c>
      <c r="G681" t="n">
        <v>1</v>
      </c>
      <c r="H681" t="n">
        <v>4.2</v>
      </c>
      <c r="I681" t="n">
        <v>28.5</v>
      </c>
      <c r="J681" t="n">
        <v>241641</v>
      </c>
      <c r="K681" t="inlineStr">
        <is>
          <t>{'marketValueHistory': [{'date': 'Nov 8, 2013', 'age': '19', 'clubName': 'SL Benfica B', 'clubID': '10330', 'value': '€600k'}, {'date': 'Feb 20, 2014', 'age': '19', 'clubName': 'SL Benfica B', 'clubID': '10330', 'value': '€2.50m'}, {'date': 'Jan 14, 2015', 'age': '20', 'clubName': 'AS Monaco', 'clubID': '162', 'value': '€3.50m'}, {'date': 'Feb 5, 2015', 'age': '20', 'clubName': 'AS Monaco', 'clubID': '162', 'value': '€10.00m'}, {'date': 'Jun 6, 2015', 'age': '20', 'clubName': 'AS Monaco', 'clubID': '162', 'value': '€12.00m'}, {'date': 'Sep 6, 2015', 'age': '21', 'clubName': 'AS Monaco', 'clubID': '162', 'value': '€15.00m'}, {'date': 'Feb 4, 2016', 'age': '21', 'clubName': 'AS Monaco', 'clubID': '162', 'value': '€15.00m'}, {'date': 'Jul 13, 2016', 'age': '21', 'clubName': 'AS Monaco', 'clubID': '162', 'value': '€16.00m'}, {'date': 'Nov 1, 2016', 'age': '22', 'clubName': 'AS Monaco', 'clubID': '162', 'value': '€20.00m'}, {'date': 'Jan 16, 2017', 'age': '22', 'clubName': 'AS Monaco', 'clubID': '162', 'value': '€25.00m'}, {'date': 'Jun 1, 2017', 'age': '22', 'clubName': 'AS Monaco', 'clubID': '162', 'value': '€40.00m'}, {'date': 'Jan 2, 2018', 'age': '23', 'clubName': 'Manchester City', 'clubID': '281', 'value': '€40.00m'}, {'date': 'May 28, 2018', 'age': '23', 'clubName': 'Manchester City', 'clubID': '281', 'value': '€50.00m'}, {'date': 'Oct 17, 2018', 'age': '24', 'clubName': 'Manchester City', 'clubID': '281', 'value': '€60.00m'}, {'date': 'Dec 19, 2018', 'age': '24', 'clubName': 'Manchester City', 'clubID': '281', 'value': '€65.00m'}, {'date': 'Mar 5, 2019', 'age': '24', 'clubName': 'Manchester City', 'clubID': '281', 'value': '€80.00m'}, {'date': 'Jun 13, 2019', 'age': '24', 'clubName': 'Manchester City', 'clubID': '281', 'value': '€100.00m'}, {'date': 'Dec 10, 2019', 'age': '25', 'clubName': 'Manchester City', 'clubID': '281', 'value': '€100.00m'}, {'date': 'Apr 8, 2020', 'age': '25', 'clubName': 'Manchester City', 'clubID': '281', 'value': '€80.00m'}, {'date': 'Oct 13, 2020', 'age': '26', 'clubName': 'Manchester City', 'clubID': '281', 'value': '€80.00m'}, {'date': 'Dec 17, 2020', 'age': '26', 'clubName': 'Manchester City', 'clubID': '281', 'value': '€70.00m'}, {'date': 'Mar 18, 2021', 'age': '26', 'clubName': 'Manchester City', 'clubID': '281', 'value': '€70.00m'}, {'date': 'Jun 1, 2021', 'age': '26', 'clubName': 'Manchester City', 'clubID': '281', 'value': '€70.00m'}, {'date': 'Dec 23, 2021', 'age': '27', 'clubName': 'Manchester City', 'clubID': '281', 'value': '€75.00m'}, {'date': 'Jun 15, 2022', 'age': '27', 'clubName': 'Manchester City', 'clubID': '281', 'value': '€80.00m'}, {'date': 'Nov 3, 2022', 'age': '28', 'clubName': 'Manchester City', 'clubID': '281', 'value': '€80.00m'}, {'date': 'Jun 20, 2023', 'age': '28', 'clubName': 'Manchester City', 'clubID': '281', 'value': '€80.00m'}, {'date': 'Dec 19, 2023', 'age': '29', 'clubName': 'Manchester City', 'clubID': '281', 'value': '€80.00m'}, {'date': 'May 27, 2024', 'age': '29', 'clubName': 'Manchester City', 'clubID': '281', 'value': '€70.00m'}, {'date': 'Dec 16, 2024', 'age': '30', 'clubName': 'Manchester City', 'clubID': '281', 'value': '€60.00m'}, {'date': 'Mar 18, 2025', 'age': '30', 'clubName': 'Manchester City', 'clubID': '281', 'value': '€45.00m'}, {'date': 'May 30, 2025', 'age': '30', 'clubName': 'Manchester City', 'clubID': '281', 'value': '€38.00m'}, {'date': 'Oct 17, 2025', 'age': '31', 'clubName': 'Manchester City', 'clubID': '281', 'value': '€32.00m'}, {'date': 'Dec 9, 2025', 'age': '31', 'clubName': 'Manchester City', 'clubID': '281', 'value': '€27.00m'}]}</t>
        </is>
      </c>
      <c r="L681" t="inlineStr">
        <is>
          <t>Portugal</t>
        </is>
      </c>
      <c r="M681" t="inlineStr">
        <is>
          <t>1994-08-10</t>
        </is>
      </c>
      <c r="N681" t="inlineStr">
        <is>
          <t>Portugal</t>
        </is>
      </c>
      <c r="O681">
        <f>(80+80)/2</f>
        <v/>
      </c>
      <c r="P681">
        <f>(70+70+75)/3</f>
        <v/>
      </c>
    </row>
    <row r="682">
      <c r="A682" t="inlineStr">
        <is>
          <t>Tijani</t>
        </is>
      </c>
      <c r="B682" t="inlineStr">
        <is>
          <t>Salzburg</t>
        </is>
      </c>
      <c r="C682" t="inlineStr">
        <is>
          <t>Midfielder</t>
        </is>
      </c>
      <c r="D682" t="n">
        <v>23</v>
      </c>
      <c r="E682" t="n">
        <v>1</v>
      </c>
      <c r="F682" t="n">
        <v>0</v>
      </c>
      <c r="G682" t="n">
        <v>0</v>
      </c>
      <c r="H682" t="n">
        <v>3.1</v>
      </c>
      <c r="I682" t="n">
        <v>24.6</v>
      </c>
      <c r="J682" t="n">
        <v>45566</v>
      </c>
      <c r="K682" t="inlineStr">
        <is>
          <t>{'id': '45566', 'marketValueHistory': [{'age': '19', 'date': 'Jun 21, 2007', 'clubName': 'PSV Eindhoven', 'value': '€250k', 'clubID': '383'}, {'age': '20', 'date': 'Oct 4, 2007', 'clubName': 'SK Slavia Prague', 'value': '€800k', 'clubID': '62'}, {'age': '20', 'date': 'Aug 28, 2008', 'clubName': 'SK Slavia Prague', 'value': '€1.20m', 'clubID': '62'}, {'age': '22', 'date': 'Jul 19, 2010', 'clubName': 'SK Slavia Prague', 'value': '€900k', 'clubID': '62'}, {'age': '23', 'date': 'Oct 21, 2010', 'clubName': 'SK Slavia Prague', 'value': '€800k', 'clubID': '62'}, {'age': '24', 'date': 'Dec 2, 2011', 'clubName': 'APOEL Nicosia', 'value': '€500k', 'clubID': '2784'}, {'age': '24', 'date': 'Jun 24, 2012', 'clubName': '1.FC Union Berlin', 'value': '€500k', 'clubID': '89'}, {'age': '25', 'date': 'Jan 4, 2013', 'clubName': '1.FC Union Berlin', 'value': '€400k', 'clubID': '89'}, {'age': '25', 'date': 'Jul 2, 2013', 'clubName': 'Without Club', 'value': '€300k', 'clubID': '515'}, {'age': '26', 'date': 'Jul 30, 2014', 'clubName': 'Club Africain Tunis', 'value': '€400k', 'clubID': '819'}, {'age': '27', 'date': 'Jul 14, 2015', 'clubName': 'Club Africain Tunis', 'value': '€600k', 'clubID': '819'}, {'age': '28', 'date': 'Feb 17, 2016', 'clubName': 'Club Africain Tunis', 'value': '€500k', 'clubID': '819'}, {'age': '29', 'date': 'Feb 11, 2017', 'clubName': 'PAE Veria', 'value': '€400k', 'clubID': '2079'}, {'age': '29', 'date': 'May 11, 2017', 'clubName': 'Sriwijaya FC', 'value': '€250k', 'clubID': '28329'}, {'age': '30', 'date': 'Jan 23, 2018', 'clubName': 'Club Africain Tunis', 'value': '€250k', 'clubID': '819'}, {'age': '30', 'date': 'Jun 9, 2018', 'clubName': 'Club Africain Tunis', 'value': '€375k', 'clubID': '819'}, {'age': '31', 'date': 'Dec 22, 2018', 'clubName': 'Borneo FC Samarinda', 'value': '€350k', 'clubID': '50276'}, {'age': '32', 'date': 'Apr 8, 2020', 'clubName': 'Erbil SC', 'value': '€300k', 'clubID': '13595'}, {'age': '33', 'date': 'Jul 12, 2021', 'clubName': 'Without Club', 'value': '€200k', 'clubID': '515'}, {'age': '34', 'date': 'Dec 18, 2021', 'clubName': 'Without Club', 'value': '€100k', 'clubID': '515'}, {'age': '34', 'date': 'Jun 22, 2022', 'clubName': 'FC Vysocina Jihlava', 'value': '€100k', 'clubID': '7975'}, {'age': '35', 'date': 'Mar 7, 2023', 'clubName': 'AS Marsa', 'clubID': '18792'}, {'age': '36', 'date': 'Dec 8, 2023', 'clubName': 'SO Cholet', 'value': '€25k', 'clubID': '3525'}, {'age': '36', 'date': 'Mar 19, 2024', 'clubName': 'Without Club', 'clubID': '515'}], 'updatedAt': datetime.datetime(2024, 5, 23, 22, 29, 35, 654969)}</t>
        </is>
      </c>
      <c r="L682" t="inlineStr">
        <is>
          <t>France</t>
        </is>
      </c>
      <c r="M682" t="inlineStr">
        <is>
          <t>1987-06-09</t>
        </is>
      </c>
      <c r="N682" t="inlineStr">
        <is>
          <t>20</t>
        </is>
      </c>
      <c r="O682">
        <f>0.1</f>
        <v/>
      </c>
      <c r="P682">
        <f>(0.2+0.1)/2</f>
        <v/>
      </c>
    </row>
    <row r="683">
      <c r="A683" t="inlineStr">
        <is>
          <t>Ben Arfa</t>
        </is>
      </c>
      <c r="B683" t="inlineStr">
        <is>
          <t>Lille</t>
        </is>
      </c>
      <c r="C683" t="inlineStr">
        <is>
          <t>Midfielder</t>
        </is>
      </c>
      <c r="D683" t="n">
        <v>22</v>
      </c>
      <c r="E683" t="n">
        <v>2</v>
      </c>
      <c r="F683" t="n">
        <v>0</v>
      </c>
      <c r="G683" t="n">
        <v>0</v>
      </c>
      <c r="H683" t="n">
        <v>3.6</v>
      </c>
      <c r="I683" t="n">
        <v>31.7</v>
      </c>
      <c r="J683" t="n">
        <v>18900</v>
      </c>
      <c r="K683" t="inlineStr">
        <is>
          <t>{'marketValueHistory': [{'date': 'Oct 4, 2004', 'age': '17', 'clubName': 'Olympique Lyon', 'clubID': '1041', 'value': '€600k'}, {'date': 'Oct 17, 2004', 'age': '17', 'clubName': 'Olympique Lyon', 'clubID': '1041', 'value': '€1.25m'}, {'date': 'Aug 7, 2005', 'age': '18', 'clubName': 'Olympique Lyon', 'clubID': '1041', 'value': '€1.00m'}, {'date': 'Jun 17, 2007', 'age': '20', 'clubName': 'Olympique Lyon', 'clubID': '1041', 'value': '€1.30m'}, {'date': 'Sep 21, 2007', 'age': '20', 'clubName': 'Olympique Lyon', 'clubID': '1041', 'value': '€2.00m'}, {'date': 'Oct 29, 2007', 'age': '20', 'clubName': 'Olympique Lyon', 'clubID': '1041', 'value': '€3.50m'}, {'date': 'Dec 27, 2007', 'age': '20', 'clubName': 'Olympique Lyon', 'clubID': '1041', 'value': '€5.00m'}, {'date': 'Jan 25, 2008', 'age': '20', 'clubName': 'Olympique Lyon', 'clubID': '1041', 'value': '€9.00m'}, {'date': 'Jul 1, 2008', 'age': '21', 'clubName': 'Olympique Marseille', 'clubID': '244', 'value': '€10.00m'}, {'date': 'Dec 30, 2008', 'age': '21', 'clubName': 'Olympique Marseille', 'clubID': '244', 'value': '€12.00m'}, {'date': 'May 18, 2009', 'age': '22', 'clubName': 'Olympique Marseille', 'clubID': '244', 'value': '€10.00m'}, {'date': 'Dec 22, 2009', 'age': '22', 'clubName': 'Olympique Marseille', 'clubID': '244', 'value': '€7.00m'}, {'date': 'May 18, 2010', 'age': '23', 'clubName': 'Olympique Marseille', 'clubID': '244', 'value': '€8.00m'}, {'date': 'Aug 1, 2010', 'age': '23', 'clubName': 'Olympique Marseille', 'clubID': '244', 'value': '€7.00m'}, {'date': 'Feb 1, 2011', 'age': '23', 'clubName': 'Newcastle United', 'clubID': '762', 'value': '€7.00m'}, {'date': 'Aug 8, 2011', 'age': '24', 'clubName': 'Newcastle United', 'clubID': '762', 'value': '€7.00m'}, {'date': 'Feb 6, 2012', 'age': '24', 'clubName': 'Newcastle United', 'clubID': '762', 'value': '€8.50m'}, {'date': 'Jun 24, 2012', 'age': '25', 'clubName': 'Newcastle United', 'clubID': '762', 'value': '€13.50m'}, {'date': 'Jan 28, 2013', 'age': '25', 'clubName': 'Newcastle United', 'clubID': '762', 'value': '€13.50m'}, {'date': 'Jul 2, 2013', 'age': '26', 'clubName': 'Newcastle United', 'clubID': '762', 'value': '€13.50m'}, {'date': 'Jan 15, 2014', 'age': '26', 'clubName': 'Newcastle United', 'clubID': '762', 'value': '€12.00m'}, {'date': 'Aug 12, 2014', 'age': '27', 'clubName': 'Newcastle United', 'clubID': '762', 'value': '€9.00m'}, {'date': 'Jan 14, 2015', 'age': '27', 'clubName': 'Without Club', 'clubID': '515', 'value': '€6.00m'}, {'date': 'Feb 4, 2016', 'age': '28', 'clubName': 'OGC Nice', 'clubID': '417', 'value': '€10.00m'}, {'date': 'Jul 13, 2016', 'age': '29', 'clubName': 'Paris Saint-Germain', 'clubID': '583', 'value': '€14.00m'}, {'date': 'Jan 16, 2017', 'age': '29', 'clubName': 'Paris Saint-Germain', 'clubID': '583', 'value': '€14.00m'}, {'date': 'Jun 1, 2017', 'age': '30', 'clubName': 'Paris Saint-Germain', 'clubID': '583', 'value': '€10.00m'}, {'date': 'Jan 24, 2018', 'age': '30', 'clubName': 'Paris Saint-Germain', 'clubID': '583', 'value': '€8.00m'}, {'date': 'Jun 4, 2018', 'age': '31', 'clubName': 'Paris Saint-Germain', 'clubID': '583', 'value': '€5.00m'}, {'date': 'Dec 17, 2018', 'age': '31', 'clubName': 'Stade Rennais FC', 'clubID': '273', 'value': '€6.00m'}, {'date': 'Jun 3, 2019', 'age': '32', 'clubName': 'Stade Rennais FC', 'clubID': '273', 'value': '€6.00m'}, {'date': 'Feb 11, 2020', 'age': '32', 'clubName': 'Real Valladolid CF', 'clubID': '366', 'value': '€5.00m'}, {'date': 'Apr 8, 2020', 'age': '33', 'clubName': 'Real Valladolid CF', 'clubID': '366', 'value': '€4.00m'}, {'date': 'Oct 15, 2020', 'age': '33', 'clubName': 'FC Girondins Bordeaux', 'clubID': '40', 'value': '€3.50m'}, {'date': 'Jan 7, 2021', 'age': '33', 'clubName': 'FC Girondins Bordeaux', 'clubID': '40', 'value': '€5.00m'}, {'date': 'Jun 4, 2021', 'age': '34', 'clubName': 'FC Girondins Bordeaux', 'clubID': '40', 'value': '€3.00m'}, {'date': 'Oct 28, 2021', 'age': '34', 'clubName': 'Without Club', 'clubID': '515', 'value': '€2.00m'}, {'date': 'May 30, 2022', 'age': '35', 'clubName': 'LOSC Lille', 'clubID': '1082', 'value': '€1.50m'}, {'date': 'Oct 7, 2022', 'age': '35', 'clubName': 'Without Club', 'clubID': '515', 'value': '€800k'}, {'date': 'Mar 28, 2023', 'age': '36', 'clubName': 'Without Club', 'clubID': '515', 'value': '€500k'}, {'date': 'Oct 25, 2023', 'age': '36', 'clubName': 'Without Club', 'clubID': '515', 'value': '€200k'}, {'date': 'Mar 6, 2024', 'age': '36', 'clubName': 'Without Club', 'clubID': '515', 'value': '-'}]}</t>
        </is>
      </c>
      <c r="L683" t="inlineStr">
        <is>
          <t>France</t>
        </is>
      </c>
      <c r="M683" t="inlineStr">
        <is>
          <t>1987-03-07</t>
        </is>
      </c>
      <c r="N683" t="inlineStr">
        <is>
          <t>France</t>
        </is>
      </c>
      <c r="O683">
        <f>(1.5+0.8)/2</f>
        <v/>
      </c>
      <c r="P683">
        <f>(5+3+2)/3</f>
        <v/>
      </c>
    </row>
    <row r="684">
      <c r="A684" t="inlineStr">
        <is>
          <t>Oscar Rodriguez</t>
        </is>
      </c>
      <c r="B684" t="inlineStr">
        <is>
          <t>Sevilla</t>
        </is>
      </c>
      <c r="C684" t="inlineStr">
        <is>
          <t>Midfielder</t>
        </is>
      </c>
      <c r="D684" t="n">
        <v>22</v>
      </c>
      <c r="E684" t="n">
        <v>1</v>
      </c>
      <c r="F684" t="n">
        <v>0</v>
      </c>
      <c r="G684" t="n">
        <v>0</v>
      </c>
      <c r="H684" t="n">
        <v>3.8</v>
      </c>
      <c r="I684" t="n">
        <v>28.3</v>
      </c>
      <c r="J684" t="n">
        <v>284884</v>
      </c>
      <c r="K684" t="inlineStr">
        <is>
          <t>{'marketValueHistory': [{'date': '17/08/2017', 'age': '19', 'clubName': 'Real Madrid Castilla', 'clubID': '6767', 'value': '€250k'}, {'date': '01/01/2018', 'age': '19', 'clubName': 'Real Madrid Castilla', 'clubID': '6767', 'value': '€500k'}, {'date': '30/05/2018', 'age': '19', 'clubName': 'Real Madrid Castilla', 'clubID': '6767', 'value': '€800k'}, {'date': '13/08/2018', 'age': '20', 'clubName': 'CD Leganés', 'clubID': '1244', 'value': '€1.00m'}, {'date': '31/10/2018', 'age': '20', 'clubName': 'CD Leganés', 'clubID': '1244', 'value': '€2.00m'}, {'date': '21/12/2018', 'age': '20', 'clubName': 'CD Leganés', 'clubID': '1244', 'value': '€5.00m'}, {'date': '28/02/2019', 'age': '20', 'clubName': 'CD Leganés', 'clubID': '1244', 'value': '€6.00m'}, {'date': '11/06/2019', 'age': '20', 'clubName': 'CD Leganés', 'clubID': '1244', 'value': '€10.00m'}, {'date': '20/12/2019', 'age': '21', 'clubName': 'CD Leganés', 'clubID': '1244', 'value': '€12.00m'}, {'date': '08/04/2020', 'age': '21', 'clubName': 'CD Leganés', 'clubID': '1244', 'value': '€11.00m'}, {'date': '23/07/2020', 'age': '22', 'clubName': 'Real Madrid', 'clubID': '418', 'value': '€15.00m'}, {'date': '08/10/2020', 'age': '22', 'clubName': 'Sevilla FC', 'clubID': '368', 'value': '€15.00m'}, {'date': '05/01/2021', 'age': '22', 'clubName': 'Sevilla FC', 'clubID': '368', 'value': '€12.00m'}, {'date': '10/06/2021', 'age': '22', 'clubName': 'Sevilla FC', 'clubID': '368', 'value': '€12.00m'}, {'date': '30/12/2021', 'age': '23', 'clubName': 'Sevilla FC', 'clubID': '368', 'value': '€10.00m'}, {'date': '21/03/2022', 'age': '23', 'clubName': 'Getafe CF', 'clubID': '3709', 'value': '€9.00m'}, {'date': '03/06/2022', 'age': '23', 'clubName': 'Getafe CF', 'clubID': '3709', 'value': '€9.00m'}, {'date': '07/11/2022', 'age': '24', 'clubName': 'Celta de Vigo', 'clubID': '940', 'value': '€10.00m'}, {'date': '13/06/2023', 'age': '24', 'clubName': 'Celta de Vigo', 'clubID': '940', 'value': '€8.00m'}, {'date': '13/10/2023', 'age': '25', 'clubName': 'Getafe CF', 'clubID': '3709', 'value': '€5.00m'}, {'date': '22/12/2023', 'age': '25', 'clubName': 'Getafe CF', 'clubID': '3709', 'value': '€2.50m'}, {'date': '07/06/2024', 'age': '25', 'clubName': 'Getafe CF', 'clubID': '3709', 'value': '€2.50m'}, {'date': '27/12/2024', 'age': '26', 'clubName': 'CD Leganés', 'clubID': '1244', 'value': '€2.50m'}, {'date': '21/03/2025', 'age': '26', 'clubName': 'CD Leganés', 'clubID': '1244', 'value': '€2.00m'}, {'date': '09/06/2025', 'age': '26', 'clubName': 'CD Leganés', 'clubID': '1244', 'value': '€2.00m'}, {'date': '18/12/2025', 'age': '27', 'clubName': 'Al-Diraiyah FC', 'clubID': '52358', 'value': '€1.80m'}]}</t>
        </is>
      </c>
      <c r="L684" t="inlineStr">
        <is>
          <t>Spain</t>
        </is>
      </c>
      <c r="M684" t="inlineStr">
        <is>
          <t>1998-06-28</t>
        </is>
      </c>
      <c r="N684" t="inlineStr">
        <is>
          <t>Spain</t>
        </is>
      </c>
      <c r="O684">
        <f>(9+9+10)/3</f>
        <v/>
      </c>
      <c r="P684">
        <f>(12+12+10)/3</f>
        <v/>
      </c>
    </row>
    <row r="685">
      <c r="A685" t="inlineStr">
        <is>
          <t>Shoretire</t>
        </is>
      </c>
      <c r="B685" t="inlineStr">
        <is>
          <t>Man United</t>
        </is>
      </c>
      <c r="C685" t="inlineStr">
        <is>
          <t>Forward</t>
        </is>
      </c>
      <c r="D685" t="n">
        <v>22</v>
      </c>
      <c r="E685" t="n">
        <v>1</v>
      </c>
      <c r="F685" t="n">
        <v>0</v>
      </c>
      <c r="G685" t="n">
        <v>0</v>
      </c>
      <c r="H685" t="n">
        <v>3.3</v>
      </c>
      <c r="I685" t="n">
        <v>29.9</v>
      </c>
      <c r="J685" t="n">
        <v>640026</v>
      </c>
      <c r="K685" t="inlineStr">
        <is>
          <t>{'marketValueHistory': [{'date': 'Mar 18, 2021', 'age': '17', 'clubName': 'Manchester United U23', 'clubID': '9251', 'value': '€3.00m'}, {'date': 'Dec 23, 2021', 'age': '17', 'clubName': 'Manchester United U23', 'clubID': '9251', 'value': '€3.00m'}, {'date': 'Jun 15, 2022', 'age': '18', 'clubName': 'Manchester United U23', 'clubID': '9251', 'value': '€4.00m'}, {'date': 'Apr 5, 2023', 'age': '19', 'clubName': 'Bolton Wanderers', 'clubID': '355', 'value': '€4.00m'}, {'date': 'Jun 20, 2023', 'age': '19', 'clubName': 'Manchester United U21', 'clubID': '9251', 'value': '€4.00m'}, {'date': 'Dec 19, 2023', 'age': '19', 'clubName': 'Manchester United U21', 'clubID': '9251', 'value': '€4.00m'}, {'date': 'May 27, 2024', 'age': '20', 'clubName': 'Manchester United U21', 'clubID': '9251', 'value': '€4.00m'}, {'date': 'Sep 26, 2024', 'age': '20', 'clubName': 'PAOK Thessaloniki', 'clubID': '1091', 'value': '€3.50m'}, {'date': 'Dec 18, 2024', 'age': '20', 'clubName': 'PAOK Thessaloniki', 'clubID': '1091', 'value': '€3.00m'}, {'date': 'May 23, 2025', 'age': '21', 'clubName': 'PAOK Thessaloniki', 'clubID': '1091', 'value': '€2.50m'}, {'date': 'Dec 2, 2025', 'age': '21', 'clubName': 'PEC Zwolle', 'clubID': '1269', 'value': '€2.00m'}]}</t>
        </is>
      </c>
      <c r="L685" t="inlineStr">
        <is>
          <t>United Kingdom</t>
        </is>
      </c>
      <c r="M685" t="inlineStr">
        <is>
          <t>2004-02-02</t>
        </is>
      </c>
      <c r="N685" t="inlineStr">
        <is>
          <t>England</t>
        </is>
      </c>
      <c r="O685">
        <f>4</f>
        <v/>
      </c>
      <c r="P685">
        <f>(3+3)/2</f>
        <v/>
      </c>
    </row>
    <row r="686">
      <c r="A686" t="inlineStr">
        <is>
          <t>Heaton</t>
        </is>
      </c>
      <c r="B686" t="inlineStr">
        <is>
          <t>Man United</t>
        </is>
      </c>
      <c r="C686" t="inlineStr">
        <is>
          <t>Goalkeeper</t>
        </is>
      </c>
      <c r="D686" t="n">
        <v>22</v>
      </c>
      <c r="E686" t="n">
        <v>1</v>
      </c>
      <c r="F686" t="n">
        <v>0</v>
      </c>
      <c r="G686" t="n">
        <v>0</v>
      </c>
      <c r="H686" t="n">
        <v>1.9</v>
      </c>
      <c r="I686" t="n">
        <v>20.1</v>
      </c>
      <c r="J686" t="n">
        <v>34130</v>
      </c>
      <c r="K686" t="inlineStr">
        <is>
          <t>{'marketValueHistory': [{'date': '05/02/2006', 'age': '19', 'clubName': 'Royal Antwerp FC', 'clubID': '1096', 'value': '€100k'}, {'date': '25/04/2007', 'age': '21', 'clubName': 'Manchester United', 'clubID': '985', 'value': '€100k'}, {'date': '04/02/2008', 'age': '21', 'clubName': 'Manchester United', 'clubID': '985', 'value': '€200k'}, {'date': '13/10/2008', 'age': '22', 'clubName': 'Cardiff City', 'clubID': '603', 'value': '€250k'}, {'date': '08/01/2009', 'age': '22', 'clubName': 'Cardiff City', 'clubID': '603', 'value': '€1.50m'}, {'date': '24/10/2010', 'age': '24', 'clubName': 'Cardiff City', 'clubID': '603', 'value': '€1.25m'}, {'date': '07/02/2012', 'age': '25', 'clubName': 'Cardiff City', 'clubID': '603', 'value': '€750k'}, {'date': '22/06/2012', 'age': '26', 'clubName': 'Cardiff City', 'clubID': '603', 'value': '€500k'}, {'date': '02/03/2013', 'age': '26', 'clubName': 'Bristol City', 'clubID': '698', 'value': '€500k'}, {'date': '12/07/2013', 'age': '27', 'clubName': 'Burnley FC', 'clubID': '1132', 'value': '€600k'}, {'date': '08/01/2014', 'age': '27', 'clubName': 'Burnley FC', 'clubID': '1132', 'value': '€1.20m'}, {'date': '10/08/2014', 'age': '28', 'clubName': 'Burnley FC', 'clubID': '1132', 'value': '€2.00m'}, {'date': '12/02/2015', 'age': '28', 'clubName': 'Burnley FC', 'clubID': '1132', 'value': '€2.50m'}, {'date': '24/09/2015', 'age': '29', 'clubName': 'Burnley FC', 'clubID': '1132', 'value': '€3.00m'}, {'date': '20/04/2016', 'age': '30', 'clubName': 'Burnley FC', 'clubID': '1132', 'value': '€3.00m'}, {'date': '01/06/2016', 'age': '30', 'clubName': 'Burnley FC', 'clubID': '1132', 'value': '€3.00m'}, {'date': '01/08/2016', 'age': '30', 'clubName': 'Burnley FC', 'clubID': '1132', 'value': '€3.00m'}, {'date': '20/02/2017', 'age': '30', 'clubName': 'Burnley FC', 'clubID': '1132', 'value': '€3.50m'}, {'date': '28/06/2017', 'age': '31', 'clubName': 'Burnley FC', 'clubID': '1132', 'value': '€4.00m'}, {'date': '02/01/2018', 'age': '31', 'clubName': 'Burnley FC', 'clubID': '1132', 'value': '€4.00m'}, {'date': '28/05/2018', 'age': '32', 'clubName': 'Burnley FC', 'clubID': '1132', 'value': '€4.00m'}, {'date': '19/12/2018', 'age': '32', 'clubName': 'Burnley FC', 'clubID': '1132', 'value': '€3.00m'}, {'date': '13/06/2019', 'age': '33', 'clubName': 'Burnley FC', 'clubID': '1132', 'value': '€3.00m'}, {'date': '12/09/2019', 'age': '33', 'clubName': 'Aston Villa', 'clubID': '405', 'value': '€6.00m'}, {'date': '10/12/2019', 'age': '33', 'clubName': 'Aston Villa', 'clubID': '405', 'value': '€6.00m'}, {'date': '08/04/2020', 'age': '33', 'clubName': 'Aston Villa', 'clubID': '405', 'value': '€4.80m'}, {'date': '13/10/2020', 'age': '34', 'clubName': 'Aston Villa', 'clubID': '405', 'value': '€3.50m'}, {'date': '18/03/2021', 'age': '34', 'clubName': 'Aston Villa', 'clubID': '405', 'value': '€1.80m'}, {'date': '08/06/2021', 'age': '35', 'clubName': 'Aston Villa', 'clubID': '405', 'value': '€1.00m'}, {'date': '23/12/2021', 'age': '35', 'clubName': 'Manchester United', 'clubID': '985', 'value': '€1.00m'}, {'date': '15/06/2022', 'age': '36', 'clubName': 'Manchester United', 'clubID': '985', 'value': '€800k'}, {'date': '03/11/2022', 'age': '36', 'clubName': 'Manchester United', 'clubID': '985', 'value': '€600k'}, {'date': '20/06/2023', 'age': '37', 'clubName': 'Manchester United', 'clubID': '985', 'value': '€500k'}, {'date': '19/12/2023', 'age': '37', 'clubName': 'Manchester United', 'clubID': '985', 'value': '€250k'}, {'date': '27/05/2024', 'age': '38', 'clubName': 'Manchester United', 'clubID': '985', 'value': '€250k'}, {'date': '16/12/2024', 'age': '38', 'clubName': 'Manchester United', 'clubID': '985', 'value': '€250k'}, {'date': '30/05/2025', 'age': '39', 'clubName': 'Manchester United', 'clubID': '985', 'value': '€200k'}, {'date': '09/12/2025', 'age': '39', 'clubName': 'Manchester United', 'clubID': '985', 'value': '€150k'}]}</t>
        </is>
      </c>
      <c r="L686" t="inlineStr">
        <is>
          <t>United Kingdom</t>
        </is>
      </c>
      <c r="M686" t="inlineStr">
        <is>
          <t>1986-04-15</t>
        </is>
      </c>
      <c r="N686" t="inlineStr">
        <is>
          <t>England</t>
        </is>
      </c>
      <c r="O686">
        <f>(0.8+0.6)/2</f>
        <v/>
      </c>
      <c r="P686">
        <f>(1.8+1+1)/3</f>
        <v/>
      </c>
    </row>
    <row r="687">
      <c r="A687" t="inlineStr">
        <is>
          <t>Stanisic</t>
        </is>
      </c>
      <c r="B687" t="inlineStr">
        <is>
          <t>Bayern</t>
        </is>
      </c>
      <c r="C687" t="inlineStr">
        <is>
          <t>Defender</t>
        </is>
      </c>
      <c r="D687" t="n">
        <v>21</v>
      </c>
      <c r="E687" t="n">
        <v>2</v>
      </c>
      <c r="F687" t="n">
        <v>0</v>
      </c>
      <c r="G687" t="n">
        <v>1</v>
      </c>
      <c r="H687" t="n">
        <v>3.6</v>
      </c>
      <c r="I687" t="n">
        <v>32.3</v>
      </c>
      <c r="J687" t="n">
        <v>483046</v>
      </c>
      <c r="K687" t="inlineStr">
        <is>
          <t>{'marketValueHistory': [{'date': 'Jul 12, 2019', 'age': '19', 'clubName': 'FC Bayern Munich II', 'clubID': '27', 'value': '€150k'}, {'date': 'Dec 11, 2019', 'age': '19', 'clubName': 'FC Bayern Munich II', 'clubID': '27', 'value': '€150k'}, {'date': 'Jul 17, 2020', 'age': '20', 'clubName': 'FC Bayern Munich II', 'clubID': '27', 'value': '€200k'}, {'date': 'Jan 20, 2021', 'age': '20', 'clubName': 'FC Bayern Munich II', 'clubID': '27', 'value': '€250k'}, {'date': 'Mar 26, 2021', 'age': '20', 'clubName': 'FC Bayern Munich II', 'clubID': '27', 'value': '€300k'}, {'date': 'Jun 9, 2021', 'age': '21', 'clubName': 'FC Bayern Munich II', 'clubID': '27', 'value': '€400k'}, {'date': 'Oct 7, 2021', 'age': '21', 'clubName': 'Bayern Munich', 'clubID': '27', 'value': '€3.50m'}, {'date': 'Dec 22, 2021', 'age': '21', 'clubName': 'Bayern Munich', 'clubID': '27', 'value': '€4.00m'}, {'date': 'Jun 9, 2022', 'age': '22', 'clubName': 'Bayern Munich', 'clubID': '27', 'value': '€4.00m'}, {'date': 'Sep 21, 2022', 'age': '22', 'clubName': 'Bayern Munich', 'clubID': '27', 'value': '€8.00m'}, {'date': 'Nov 9, 2022', 'age': '22', 'clubName': 'Bayern Munich', 'clubID': '27', 'value': '€8.00m'}, {'date': 'Mar 29, 2023', 'age': '22', 'clubName': 'Bayern Munich', 'clubID': '27', 'value': '€12.00m'}, {'date': 'Jun 22, 2023', 'age': '23', 'clubName': 'Bayern Munich', 'clubID': '27', 'value': '€12.00m'}, {'date': 'Dec 14, 2023', 'age': '23', 'clubName': 'Bayer 04 Leverkusen', 'clubID': '15', 'value': '€10.00m'}, {'date': 'Mar 27, 2024', 'age': '23', 'clubName': 'Bayer 04 Leverkusen', 'clubID': '15', 'value': '€18.00m'}, {'date': 'May 29, 2024', 'age': '24', 'clubName': 'Bayer 04 Leverkusen', 'clubID': '15', 'value': '€28.00m'}, {'date': 'Dec 20, 2024', 'age': '24', 'clubName': 'Bayern Munich', 'clubID': '27', 'value': '€28.00m'}, {'date': 'Jun 5, 2025', 'age': '25', 'clubName': 'Bayern Munich', 'clubID': '27', 'value': '€32.00m'}, {'date': 'Dec 19, 2025', 'age': '25', 'clubName': 'Bayern Munich', 'clubID': '27', 'value': '€32.00m'}, {'date': 'Mar 20, 2026', 'age': '25', 'clubName': 'Bayern Munich', 'clubID': '27', 'value': '€35.00m'}]}</t>
        </is>
      </c>
      <c r="L687" t="inlineStr">
        <is>
          <t>Germany</t>
        </is>
      </c>
      <c r="M687" t="inlineStr">
        <is>
          <t>2000-04-02</t>
        </is>
      </c>
      <c r="N687" t="inlineStr">
        <is>
          <t>29</t>
        </is>
      </c>
      <c r="O687">
        <f>(4+8+8)/3</f>
        <v/>
      </c>
      <c r="P687">
        <f>(0.25+0.3+0.4+3.5+4)/5</f>
        <v/>
      </c>
    </row>
    <row r="688">
      <c r="A688" t="inlineStr">
        <is>
          <t>Knauff</t>
        </is>
      </c>
      <c r="B688" t="inlineStr">
        <is>
          <t>Dortmund</t>
        </is>
      </c>
      <c r="C688" t="inlineStr">
        <is>
          <t>Midfielder</t>
        </is>
      </c>
      <c r="D688" t="n">
        <v>20</v>
      </c>
      <c r="E688" t="n">
        <v>3</v>
      </c>
      <c r="F688" t="n">
        <v>0</v>
      </c>
      <c r="G688" t="n">
        <v>0</v>
      </c>
      <c r="H688" t="n">
        <v>5.1</v>
      </c>
      <c r="I688" t="n">
        <v>33.1</v>
      </c>
      <c r="J688" t="n">
        <v>429874</v>
      </c>
      <c r="K688" t="inlineStr">
        <is>
          <t>{'id': '429874', 'marketValue': '€10.00m', 'marketValueHistory': [{'age': '18', 'date': 'Sep 15, 2020', 'clubName': 'Borussia Dortmund II', 'value': '€150k', 'clubID': '17'}, {'age': '18', 'date': 'Jan 5, 2021', 'clubName': 'Borussia Dortmund II', 'value': '€500k', 'clubID': '17'}, {'age': '19', 'date': 'Feb 10, 2021', 'clubName': 'Borussia Dortmund II', 'value': '€800k', 'clubID': '17'}, {'age': '19', 'date': 'Jun 9, 2021', 'clubName': 'Borussia Dortmund II', 'value': '€3.00m', 'clubID': '17'}, {'age': '19', 'date': 'Dec 22, 2021', 'clubName': 'Borussia Dortmund', 'value': '€3.00m', 'clubID': '16'}, {'age': '20', 'date': 'Mar 24, 2022', 'clubName': 'Eintracht Frankfurt', 'value': '€5.00m', 'clubID': '24'}, {'age': '20', 'date': 'Jun 9, 2022', 'clubName': 'Eintracht Frankfurt', 'value': '€10.00m', 'clubID': '24'}, {'age': '20', 'date': 'Nov 9, 2022', 'clubName': 'Eintracht Frankfurt', 'value': '€10.00m', 'clubID': '24'}, {'age': '21', 'date': 'Jun 22, 2023', 'clubName': 'Eintracht Frankfurt', 'value': '€8.00m', 'clubID': '24'}, {'age': '21', 'date': 'Dec 14, 2023', 'clubName': 'Eintracht Frankfurt', 'value': '€8.00m', 'clubID': '24'}, {'age': '22', 'date': 'Mar 27, 2024', 'clubName': 'Eintracht Frankfurt', 'value': '€10.00m', 'clubID': '24'}], 'ranking': {'Worldwide': '987', 'Bundesliga': '113', 'E. Frankfurt': '10', 'Germany': '47', 'Right Winger': '82', 'Year 2002': '81'}, 'updatedAt': datetime.datetime(2024, 5, 23, 22, 25, 54, 936958)}</t>
        </is>
      </c>
      <c r="L688" t="inlineStr">
        <is>
          <t>Germany</t>
        </is>
      </c>
      <c r="M688" t="inlineStr">
        <is>
          <t>2002-01-10</t>
        </is>
      </c>
      <c r="N688" t="inlineStr">
        <is>
          <t>30</t>
        </is>
      </c>
      <c r="O688">
        <f>(5+10+10)/3</f>
        <v/>
      </c>
      <c r="P688">
        <f>(0.5+0.8+3+3)/4</f>
        <v/>
      </c>
    </row>
    <row r="689">
      <c r="A689" t="inlineStr">
        <is>
          <t>Maldini</t>
        </is>
      </c>
      <c r="B689" t="inlineStr">
        <is>
          <t>Milan</t>
        </is>
      </c>
      <c r="C689" t="inlineStr">
        <is>
          <t>Forward</t>
        </is>
      </c>
      <c r="D689" t="n">
        <v>20</v>
      </c>
      <c r="E689" t="n">
        <v>3</v>
      </c>
      <c r="F689" t="n">
        <v>0</v>
      </c>
      <c r="G689" t="n">
        <v>0</v>
      </c>
      <c r="H689" t="n">
        <v>4.2</v>
      </c>
      <c r="I689" t="n">
        <v>30.4</v>
      </c>
      <c r="J689" t="n">
        <v>5803</v>
      </c>
      <c r="K689" t="inlineStr">
        <is>
          <t>{'marketValueHistory': [{'date': 'Oct 4, 2004', 'age': '36', 'clubName': 'AC Milan', 'clubID': '5', 'value': '€250k'}, {'date': 'Jan 5, 2005', 'age': '36', 'clubName': 'AC Milan', 'clubID': '5', 'value': '€3.00m'}, {'date': 'Apr 9, 2006', 'age': '37', 'clubName': 'AC Milan', 'clubID': '5', 'value': '€2.00m'}, {'date': 'Jul 1, 2009', 'age': '41', 'clubName': 'Retired', 'clubID': '123', 'value': '-'}]}</t>
        </is>
      </c>
      <c r="L689" t="inlineStr">
        <is>
          <t>Italy</t>
        </is>
      </c>
      <c r="M689" t="inlineStr">
        <is>
          <t>1968-06-26</t>
        </is>
      </c>
      <c r="N689" t="inlineStr">
        <is>
          <t>Italy</t>
        </is>
      </c>
    </row>
    <row r="690">
      <c r="A690" t="inlineStr">
        <is>
          <t>Moukoko</t>
        </is>
      </c>
      <c r="B690" t="inlineStr">
        <is>
          <t>Dortmund</t>
        </is>
      </c>
      <c r="C690" t="inlineStr">
        <is>
          <t>Forward</t>
        </is>
      </c>
      <c r="D690" t="n">
        <v>20</v>
      </c>
      <c r="E690" t="n">
        <v>1</v>
      </c>
      <c r="F690" t="n">
        <v>0</v>
      </c>
      <c r="G690" t="n">
        <v>0</v>
      </c>
      <c r="H690" t="n">
        <v>3.2</v>
      </c>
      <c r="I690" t="n">
        <v>29.9</v>
      </c>
      <c r="J690" t="n">
        <v>467720</v>
      </c>
      <c r="K690" t="inlineStr">
        <is>
          <t>{'marketValueHistory': [{'date': '26/11/2020', 'age': '16', 'clubName': 'Borussia Dortmund', 'clubID': '16', 'value': '€10.00m'}, {'date': '10/02/2021', 'age': '16', 'clubName': 'Borussia Dortmund', 'clubID': '16', 'value': '€10.00m'}, {'date': '09/06/2021', 'age': '16', 'clubName': 'Borussia Dortmund', 'clubID': '16', 'value': '€18.00m'}, {'date': '22/12/2021', 'age': '17', 'clubName': 'Borussia Dortmund', 'clubID': '16', 'value': '€15.00m'}, {'date': '09/06/2022', 'age': '17', 'clubName': 'Borussia Dortmund', 'clubID': '16', 'value': '€15.00m'}, {'date': '09/11/2022', 'age': '17', 'clubName': 'Borussia Dortmund', 'clubID': '16', 'value': '€30.00m'}, {'date': '22/06/2023', 'age': '18', 'clubName': 'Borussia Dortmund', 'clubID': '16', 'value': '€30.00m'}, {'date': '14/12/2023', 'age': '19', 'clubName': 'Borussia Dortmund', 'clubID': '16', 'value': '€30.00m'}, {'date': '27/03/2024', 'age': '19', 'clubName': 'Borussia Dortmund', 'clubID': '16', 'value': '€25.00m'}, {'date': '29/05/2024', 'age': '19', 'clubName': 'Borussia Dortmund', 'clubID': '16', 'value': '€22.00m'}, {'date': '07/10/2024', 'age': '19', 'clubName': 'OGC Nice', 'clubID': '417', 'value': '€20.00m'}, {'date': '10/12/2024', 'age': '20', 'clubName': 'OGC Nice', 'clubID': '417', 'value': '€18.00m'}, {'date': '24/03/2025', 'age': '20', 'clubName': 'OGC Nice', 'clubID': '417', 'value': '€10.00m'}, {'date': '03/06/2025', 'age': '20', 'clubName': 'OGC Nice', 'clubID': '417', 'value': '€10.00m'}, {'date': '15/12/2025', 'age': '21', 'clubName': 'FC Copenhagen', 'clubID': '190', 'value': '€7.00m'}]}</t>
        </is>
      </c>
      <c r="L690" t="inlineStr">
        <is>
          <t>Germany</t>
        </is>
      </c>
      <c r="M690" t="inlineStr">
        <is>
          <t>2000-11-20</t>
        </is>
      </c>
      <c r="N690" t="inlineStr">
        <is>
          <t>Germany</t>
        </is>
      </c>
      <c r="O690">
        <f>(15+30)/2</f>
        <v/>
      </c>
      <c r="P690">
        <f>(10+18+15)/3</f>
        <v/>
      </c>
    </row>
    <row r="691">
      <c r="A691" t="inlineStr">
        <is>
          <t>Ivan Romero</t>
        </is>
      </c>
      <c r="B691" t="inlineStr">
        <is>
          <t>Sevilla</t>
        </is>
      </c>
      <c r="C691" t="inlineStr">
        <is>
          <t>Forward</t>
        </is>
      </c>
      <c r="D691" t="n">
        <v>20</v>
      </c>
      <c r="E691" t="n">
        <v>1</v>
      </c>
      <c r="F691" t="n">
        <v>0</v>
      </c>
      <c r="G691" t="n">
        <v>0</v>
      </c>
      <c r="H691" t="n">
        <v>2.7</v>
      </c>
      <c r="I691" t="n">
        <v>30.9</v>
      </c>
      <c r="J691" t="n">
        <v>628886</v>
      </c>
      <c r="K691" t="inlineStr">
        <is>
          <t>{'marketValueHistory': [{'date': '08/10/2020', 'age': '19', 'clubName': 'Sevilla Atlético', 'clubID': '8519', 'value': '€50k'}, {'date': '08/01/2021', 'age': '19', 'clubName': 'Sevilla Atlético', 'clubID': '8519', 'value': '€150k'}, {'date': '19/03/2021', 'age': '19', 'clubName': 'Sevilla Atlético', 'clubID': '8519', 'value': '€500k'}, {'date': '30/06/2021', 'age': '20', 'clubName': 'Sevilla Atlético', 'clubID': '8519', 'value': '€500k'}, {'date': '30/12/2021', 'age': '20', 'clubName': 'Sevilla Atlético', 'clubID': '8519', 'value': '€500k'}, {'date': '03/06/2022', 'age': '21', 'clubName': 'Sevilla Atlético', 'clubID': '8519', 'value': '€800k'}, {'date': '29/06/2022', 'age': '21', 'clubName': 'Sevilla Atlético', 'clubID': '8519', 'value': '€600k'}, {'date': '29/12/2022', 'age': '21', 'clubName': 'CD Tenerife', 'clubID': '648', 'value': '€600k'}, {'date': '24/03/2023', 'age': '21', 'clubName': 'CD Tenerife', 'clubID': '648', 'value': '€800k'}, {'date': '14/06/2023', 'age': '22', 'clubName': 'CD Tenerife', 'clubID': '648', 'value': '€800k'}, {'date': '20/12/2023', 'age': '22', 'clubName': 'Levante UD', 'clubID': '3368', 'value': '€800k'}, {'date': '24/06/2024', 'age': '23', 'clubName': 'Levante UD', 'clubID': '3368', 'value': '€800k'}, {'date': '13/12/2024', 'age': '23', 'clubName': 'Levante UD', 'clubID': '3368', 'value': '€800k'}, {'date': '27/03/2025', 'age': '23', 'clubName': 'Levante UD', 'clubID': '3368', 'value': '€1.20m'}, {'date': '24/06/2025', 'age': '24', 'clubName': 'Levante UD', 'clubID': '3368', 'value': '€1.50m'}, {'date': '02/10/2025', 'age': '24', 'clubName': 'Levante UD', 'clubID': '3368', 'value': '€7.50m'}, {'date': '12/12/2025', 'age': '24', 'clubName': 'Levante UD', 'clubID': '3368', 'value': '€7.50m'}]}</t>
        </is>
      </c>
      <c r="L691" t="inlineStr">
        <is>
          <t>Spain</t>
        </is>
      </c>
      <c r="M691" t="inlineStr">
        <is>
          <t>2001-04-10</t>
        </is>
      </c>
      <c r="N691" t="inlineStr">
        <is>
          <t>Spain</t>
        </is>
      </c>
      <c r="O691">
        <f>(0.8+0.6+0.6)/3</f>
        <v/>
      </c>
      <c r="P691">
        <f>(0.15+0.5+0.5+0.5)/4</f>
        <v/>
      </c>
    </row>
    <row r="692">
      <c r="A692" t="inlineStr">
        <is>
          <t>Flavio Nazinho</t>
        </is>
      </c>
      <c r="B692" t="inlineStr">
        <is>
          <t>Sporting CP</t>
        </is>
      </c>
      <c r="C692" t="inlineStr">
        <is>
          <t>Defender</t>
        </is>
      </c>
      <c r="D692" t="n">
        <v>19</v>
      </c>
      <c r="E692" t="n">
        <v>2</v>
      </c>
      <c r="F692" t="n">
        <v>0</v>
      </c>
      <c r="G692" t="n">
        <v>0</v>
      </c>
      <c r="H692" t="n">
        <v>4</v>
      </c>
      <c r="I692" t="n">
        <v>30.3</v>
      </c>
      <c r="J692" t="n">
        <v>668587</v>
      </c>
      <c r="K692" t="inlineStr">
        <is>
          <t>{'marketValueHistory': [{'date': 'Dec 27, 2021', 'age': '18', 'clubName': 'Sporting CP B', 'clubID': '10949', 'value': '€500k'}, {'date': 'Sep 16, 2022', 'age': '19', 'clubName': 'Sporting CP', 'clubID': '336', 'value': '€500k'}, {'date': 'Nov 1, 2022', 'age': '19', 'clubName': 'Sporting CP', 'clubID': '336', 'value': '€1.00m'}, {'date': 'Jun 16, 2023', 'age': '19', 'clubName': 'Sporting CP', 'clubID': '336', 'value': '€1.00m'}, {'date': 'Dec 19, 2023', 'age': '20', 'clubName': 'Cercle Brugge ', 'clubID': '520', 'value': '€1.20m'}, {'date': 'Jun 4, 2024', 'age': '20', 'clubName': 'Cercle Brugge ', 'clubID': '520', 'value': '€1.20m'}, {'date': 'Oct 2, 2024', 'age': '21', 'clubName': 'Cercle Brugge ', 'clubID': '520', 'value': '€1.80m'}, {'date': 'Dec 11, 2024', 'age': '21', 'clubName': 'Cercle Brugge ', 'clubID': '520', 'value': '€3.00m'}, {'date': 'Jun 12, 2025', 'age': '21', 'clubName': 'Cercle Brugge ', 'clubID': '520', 'value': '€3.00m'}, {'date': 'Oct 1, 2025', 'age': '22', 'clubName': 'Cercle Brugge ', 'clubID': '520', 'value': '€5.00m'}, {'date': 'Dec 10, 2025', 'age': '22', 'clubName': 'Cercle Brugge ', 'clubID': '520', 'value': '€4.00m'}, {'date': 'Mar 13, 2026', 'age': '22', 'clubName': 'Cercle Brugge ', 'clubID': '520', 'value': '€5.00m'}]}</t>
        </is>
      </c>
      <c r="L692" t="inlineStr">
        <is>
          <t>Portugal</t>
        </is>
      </c>
      <c r="M692" t="inlineStr">
        <is>
          <t>2003-07-20</t>
        </is>
      </c>
      <c r="N692" t="inlineStr">
        <is>
          <t>Portugal</t>
        </is>
      </c>
      <c r="O692">
        <f>(0.5+1)/2</f>
        <v/>
      </c>
      <c r="P692">
        <f>0.5</f>
        <v/>
      </c>
    </row>
    <row r="693">
      <c r="A693" t="inlineStr">
        <is>
          <t>Balde</t>
        </is>
      </c>
      <c r="B693" t="inlineStr">
        <is>
          <t>Barcelona</t>
        </is>
      </c>
      <c r="C693" t="inlineStr">
        <is>
          <t>Defender</t>
        </is>
      </c>
      <c r="D693" t="n">
        <v>19</v>
      </c>
      <c r="E693" t="n">
        <v>2</v>
      </c>
      <c r="F693" t="n">
        <v>0</v>
      </c>
      <c r="G693" t="n">
        <v>0</v>
      </c>
      <c r="H693" t="n">
        <v>3.7</v>
      </c>
      <c r="I693" t="n">
        <v>33.8</v>
      </c>
      <c r="J693" t="n">
        <v>636688</v>
      </c>
      <c r="K693" t="inlineStr">
        <is>
          <t>{'marketValueHistory': [{'date': 'Oct 8, 2020', 'age': '16', 'clubName': 'FC Barcelona U19', 'clubID': '2470', 'value': '€200k'}, {'date': 'Jan 8, 2021', 'age': '17', 'clubName': 'FC Barcelona B', 'clubID': '2464', 'value': '€500k'}, {'date': 'Jun 30, 2021', 'age': '17', 'clubName': 'FC Barcelona B', 'clubID': '2464', 'value': '€500k'}, {'date': 'Oct 13, 2021', 'age': '17', 'clubName': 'FC Barcelona B', 'clubID': '2464', 'value': '€5.00m'}, {'date': 'Dec 30, 2021', 'age': '18', 'clubName': 'FC Barcelona B', 'clubID': '2464', 'value': '€5.00m'}, {'date': 'Jun 3, 2022', 'age': '18', 'clubName': 'FC Barcelona B', 'clubID': '2464', 'value': '€4.00m'}, {'date': 'Jun 29, 2022', 'age': '18', 'clubName': 'FC Barcelona B', 'clubID': '2464', 'value': '€4.00m'}, {'date': 'Sep 23, 2022', 'age': '18', 'clubName': 'FC Barcelona', 'clubID': '131', 'value': '€8.00m'}, {'date': 'Nov 7, 2022', 'age': '19', 'clubName': 'FC Barcelona', 'clubID': '131', 'value': '€15.00m'}, {'date': 'Mar 23, 2023', 'age': '19', 'clubName': 'FC Barcelona', 'clubID': '131', 'value': '€30.00m'}, {'date': 'Jun 13, 2023', 'age': '19', 'clubName': 'FC Barcelona', 'clubID': '131', 'value': '€50.00m'}, {'date': 'Dec 22, 2023', 'age': '20', 'clubName': 'FC Barcelona', 'clubID': '131', 'value': '€50.00m'}, {'date': 'Mar 21, 2024', 'age': '20', 'clubName': 'FC Barcelona', 'clubID': '131', 'value': '€40.00m'}, {'date': 'Jun 7, 2024', 'age': '20', 'clubName': 'FC Barcelona', 'clubID': '131', 'value': '€40.00m'}, {'date': 'Dec 27, 2024', 'age': '21', 'clubName': 'FC Barcelona', 'clubID': '131', 'value': '€50.00m'}, {'date': 'Mar 21, 2025', 'age': '21', 'clubName': 'FC Barcelona', 'clubID': '131', 'value': '€60.00m'}, {'date': 'Jun 9, 2025', 'age': '21', 'clubName': 'FC Barcelona', 'clubID': '131', 'value': '€60.00m'}, {'date': 'Dec 12, 2025', 'age': '22', 'clubName': 'FC Barcelona', 'clubID': '131', 'value': '€60.00m'}, {'date': 'Mar 16, 2026', 'age': '22', 'clubName': 'FC Barcelona', 'clubID': '131', 'value': '€55.00m'}]}</t>
        </is>
      </c>
      <c r="L693" t="inlineStr">
        <is>
          <t>Spain</t>
        </is>
      </c>
      <c r="M693" t="inlineStr">
        <is>
          <t>2003-10-18</t>
        </is>
      </c>
      <c r="N693" t="inlineStr">
        <is>
          <t>7</t>
        </is>
      </c>
      <c r="O693">
        <f>(4+4+8+15)/4</f>
        <v/>
      </c>
      <c r="P693">
        <f>(0.5+0.5+5+5)/4</f>
        <v/>
      </c>
    </row>
    <row r="694">
      <c r="A694" t="inlineStr">
        <is>
          <t>Tillman</t>
        </is>
      </c>
      <c r="B694" t="inlineStr">
        <is>
          <t>Bayern</t>
        </is>
      </c>
      <c r="C694" t="inlineStr">
        <is>
          <t>Midfielder</t>
        </is>
      </c>
      <c r="D694" t="n">
        <v>18</v>
      </c>
      <c r="E694" t="n">
        <v>2</v>
      </c>
      <c r="F694" t="n">
        <v>0</v>
      </c>
      <c r="G694" t="n">
        <v>0</v>
      </c>
      <c r="H694" t="n">
        <v>3.6</v>
      </c>
      <c r="I694" t="n">
        <v>30.3</v>
      </c>
      <c r="J694" t="n">
        <v>467437</v>
      </c>
      <c r="K694" t="inlineStr">
        <is>
          <t>{'marketValueHistory': [{'date': '01/07/2020', 'age': '18', 'clubName': 'FC Bayern Munich II', 'clubID': '27', 'value': '€500k'}, {'date': '20/01/2021', 'age': '18', 'clubName': 'FC Bayern Munich II', 'clubID': '27', 'value': '€500k'}, {'date': '14/06/2021', 'age': '19', 'clubName': 'FC Bayern Munich II', 'clubID': '27', 'value': '€500k'}, {'date': '07/10/2021', 'age': '19', 'clubName': 'Bayern Munich', 'clubID': '27', 'value': '€1.00m'}, {'date': '22/12/2021', 'age': '19', 'clubName': 'Bayern Munich', 'clubID': '27', 'value': '€1.50m'}, {'date': '09/06/2022', 'age': '20', 'clubName': 'Bayern Munich', 'clubID': '27', 'value': '€1.50m'}, {'date': '13/12/2022', 'age': '20', 'clubName': 'Rangers FC', 'clubID': '124', 'value': '€2.80m'}, {'date': '22/03/2023', 'age': '20', 'clubName': 'Rangers FC', 'clubID': '124', 'value': '€4.50m'}, {'date': '26/06/2023', 'age': '21', 'clubName': 'Rangers FC', 'clubID': '124', 'value': '€5.00m'}, {'date': '17/10/2023', 'age': '21', 'clubName': 'PSV Eindhoven', 'clubID': '383', 'value': '€8.00m'}, {'date': '15/12/2023', 'age': '21', 'clubName': 'PSV Eindhoven', 'clubID': '383', 'value': '€12.00m'}, {'date': '18/03/2024', 'age': '21', 'clubName': 'PSV Eindhoven', 'clubID': '383', 'value': '€17.00m'}, {'date': '31/05/2024', 'age': '22', 'clubName': 'PSV Eindhoven', 'clubID': '383', 'value': '€20.00m'}, {'date': '14/10/2024', 'age': '22', 'clubName': 'PSV Eindhoven', 'clubID': '383', 'value': '€25.00m'}, {'date': '17/12/2024', 'age': '22', 'clubName': 'PSV Eindhoven', 'clubID': '383', 'value': '€30.00m'}, {'date': '28/05/2025', 'age': '23', 'clubName': 'PSV Eindhoven', 'clubID': '383', 'value': '€32.00m'}, {'date': '14/10/2025', 'age': '23', 'clubName': 'Bayer 04 Leverkusen', 'clubID': '15', 'value': '€35.00m'}, {'date': '19/12/2025', 'age': '23', 'clubName': 'Bayer 04 Leverkusen', 'clubID': '15', 'value': '€35.00m'}, {'date': '20/03/2026', 'age': '23', 'clubName': 'Bayer 04 Leverkusen', 'clubID': '15', 'value': '€30.00m'}]}</t>
        </is>
      </c>
      <c r="L694" t="inlineStr">
        <is>
          <t>United States</t>
        </is>
      </c>
      <c r="M694" t="inlineStr">
        <is>
          <t>2002-05-28</t>
        </is>
      </c>
      <c r="N694" t="inlineStr">
        <is>
          <t>28</t>
        </is>
      </c>
      <c r="O694">
        <f>(1.5+2.8)/2</f>
        <v/>
      </c>
      <c r="P694">
        <f>(0.5+0.5+1+1.5)/4</f>
        <v/>
      </c>
    </row>
    <row r="695">
      <c r="A695" t="inlineStr">
        <is>
          <t>Pena</t>
        </is>
      </c>
      <c r="B695" t="inlineStr">
        <is>
          <t>Villarreal</t>
        </is>
      </c>
      <c r="C695" t="inlineStr">
        <is>
          <t>Defender</t>
        </is>
      </c>
      <c r="D695" t="n">
        <v>18</v>
      </c>
      <c r="E695" t="n">
        <v>2</v>
      </c>
      <c r="F695" t="n">
        <v>0</v>
      </c>
      <c r="G695" t="n">
        <v>0</v>
      </c>
      <c r="H695" t="n">
        <v>3.3</v>
      </c>
      <c r="I695" t="n">
        <v>31.6</v>
      </c>
      <c r="J695" t="n">
        <v>350219</v>
      </c>
      <c r="K695" t="inlineStr">
        <is>
          <t>{'marketValueHistory': [{'date': 'Sep 20, 2015', 'age': '19', 'clubName': 'Real Betis B', 'clubID': '150', 'value': '€200k'}, {'date': 'Sep 30, 2015', 'age': '19', 'clubName': 'Real Betis B', 'clubID': '150', 'value': '-'}, {'date': 'Feb 22, 2016', 'age': '19', 'clubName': 'Real Betis B', 'clubID': '150', 'value': '€500k'}, {'date': 'Jul 15, 2016', 'age': '20', 'clubName': 'Real Betis Balompié', 'clubID': '150', 'value': '€500k'}, {'date': 'Jan 24, 2017', 'age': '20', 'clubName': 'Elche CF', 'clubID': '1531', 'value': '€500k'}, {'date': 'Jun 29, 2017', 'age': '21', 'clubName': 'Elche CF', 'clubID': '1531', 'value': '€500k'}, {'date': 'Jan 1, 2018', 'age': '21', 'clubName': 'Real Betis Balompié', 'clubID': '150', 'value': '€7.50m'}, {'date': 'Mar 22, 2018', 'age': '21', 'clubName': 'Real Betis Balompié', 'clubID': '150', 'value': '€15.00m'}, {'date': 'May 30, 2018', 'age': '22', 'clubName': 'Real Betis Balompié', 'clubID': '150', 'value': '€20.00m'}, {'date': 'Oct 12, 2018', 'age': '22', 'clubName': 'SSC Napoli', 'clubID': '6195', 'value': '€25.00m'}, {'date': 'Dec 20, 2018', 'age': '22', 'clubName': 'SSC Napoli', 'clubID': '6195', 'value': '€32.00m'}, {'date': 'Mar 1, 2019', 'age': '22', 'clubName': 'SSC Napoli', 'clubID': '6195', 'value': '€40.00m'}, {'date': 'Jun 6, 2019', 'age': '23', 'clubName': 'SSC Napoli', 'clubID': '6195', 'value': '€50.00m'}, {'date': 'Oct 8, 2019', 'age': '23', 'clubName': 'SSC Napoli', 'clubID': '6195', 'value': '€60.00m'}, {'date': 'Dec 12, 2019', 'age': '23', 'clubName': 'SSC Napoli', 'clubID': '6195', 'value': '€60.00m'}, {'date': 'Apr 8, 2020', 'age': '24', 'clubName': 'SSC Napoli', 'clubID': '6195', 'value': '€48.00m'}, {'date': 'Aug 25, 2020', 'age': '24', 'clubName': 'SSC Napoli', 'clubID': '6195', 'value': '€50.00m'}, {'date': 'Dec 29, 2020', 'age': '24', 'clubName': 'SSC Napoli', 'clubID': '6195', 'value': '€48.00m'}, {'date': 'Mar 23, 2021', 'age': '24', 'clubName': 'SSC Napoli', 'clubID': '6195', 'value': '€44.00m'}, {'date': 'May 31, 2021', 'age': '25', 'clubName': 'SSC Napoli', 'clubID': '6195', 'value': '€45.00m'}, {'date': 'Dec 28, 2021', 'age': '25', 'clubName': 'SSC Napoli', 'clubID': '6195', 'value': '€55.00m'}, {'date': 'Jun 7, 2022', 'age': '26', 'clubName': 'SSC Napoli', 'clubID': '6195', 'value': '€55.00m'}, {'date': 'Sep 19, 2022', 'age': '26', 'clubName': 'Paris Saint-Germain', 'clubID': '583', 'value': '€45.00m'}, {'date': 'Nov 2, 2022', 'age': '26', 'clubName': 'Paris Saint-Germain', 'clubID': '583', 'value': '€45.00m'}, {'date': 'Mar 27, 2023', 'age': '26', 'clubName': 'Paris Saint-Germain', 'clubID': '583', 'value': '€38.00m'}, {'date': 'Jun 27, 2023', 'age': '27', 'clubName': 'Paris Saint-Germain', 'clubID': '583', 'value': '€32.00m'}, {'date': 'Oct 16, 2023', 'age': '27', 'clubName': 'Paris Saint-Germain', 'clubID': '583', 'value': '€30.00m'}, {'date': 'Dec 18, 2023', 'age': '27', 'clubName': 'Paris Saint-Germain', 'clubID': '583', 'value': '€30.00m'}, {'date': 'Jun 3, 2024', 'age': '28', 'clubName': 'Paris Saint-Germain', 'clubID': '583', 'value': '€30.00m'}, {'date': 'Jul 18, 2024', 'age': '28', 'clubName': 'Paris Saint-Germain', 'clubID': '583', 'value': '€35.00m'}, {'date': 'Dec 10, 2024', 'age': '28', 'clubName': 'Paris Saint-Germain', 'clubID': '583', 'value': '€35.00m'}, {'date': 'Jun 3, 2025', 'age': '29', 'clubName': 'Paris Saint-Germain', 'clubID': '583', 'value': '€40.00m'}, {'date': 'Dec 15, 2025', 'age': '29', 'clubName': 'Paris Saint-Germain', 'clubID': '583', 'value': '€40.00m'}]}</t>
        </is>
      </c>
      <c r="L695" t="inlineStr">
        <is>
          <t>Spain</t>
        </is>
      </c>
      <c r="M695" t="inlineStr">
        <is>
          <t>1996-04-03</t>
        </is>
      </c>
      <c r="N695" t="inlineStr">
        <is>
          <t>41</t>
        </is>
      </c>
      <c r="O695">
        <f>(55+45+45)/3</f>
        <v/>
      </c>
      <c r="P695">
        <f>(44+45+55)/3</f>
        <v/>
      </c>
    </row>
    <row r="696">
      <c r="A696" t="inlineStr">
        <is>
          <t>Ricard Puig</t>
        </is>
      </c>
      <c r="B696" t="inlineStr">
        <is>
          <t>Barcelona</t>
        </is>
      </c>
      <c r="C696" t="inlineStr">
        <is>
          <t>Midfielder</t>
        </is>
      </c>
      <c r="D696" t="n">
        <v>17</v>
      </c>
      <c r="E696" t="n">
        <v>1</v>
      </c>
      <c r="F696" t="n">
        <v>0</v>
      </c>
      <c r="G696" t="n">
        <v>0</v>
      </c>
      <c r="H696" t="n">
        <v>2.4</v>
      </c>
      <c r="I696" t="n">
        <v>28.2</v>
      </c>
      <c r="J696" t="n">
        <v>331511</v>
      </c>
      <c r="K696" t="inlineStr">
        <is>
          <t>{'marketValueHistory': [{'date': '03/09/2018', 'age': '19', 'clubName': 'FC Barcelona B', 'clubID': '2464', 'value': '€5.00m'}, {'date': '19/02/2019', 'age': '19', 'clubName': 'FC Barcelona B', 'clubID': '2464', 'value': '€5.00m'}, {'date': '29/06/2019', 'age': '19', 'clubName': 'FC Barcelona B', 'clubID': '2464', 'value': '€10.00m'}, {'date': '10/09/2019', 'age': '20', 'clubName': 'FC Barcelona B', 'clubID': '2464', 'value': '€10.00m'}, {'date': '11/02/2020', 'age': '20', 'clubName': 'FC Barcelona B', 'clubID': '2464', 'value': '€10.00m'}, {'date': '08/04/2020', 'age': '20', 'clubName': 'FC Barcelona B', 'clubID': '2464', 'value': '€9.00m'}, {'date': '23/07/2020', 'age': '20', 'clubName': 'FC Barcelona', 'clubID': '131', 'value': '€25.00m'}, {'date': '08/10/2020', 'age': '21', 'clubName': 'FC Barcelona', 'clubID': '131', 'value': '€25.00m'}, {'date': '23/11/2020', 'age': '21', 'clubName': 'FC Barcelona', 'clubID': '131', 'value': '€20.00m'}, {'date': '05/01/2021', 'age': '21', 'clubName': 'FC Barcelona', 'clubID': '131', 'value': '€18.00m'}, {'date': '10/06/2021', 'age': '21', 'clubName': 'FC Barcelona', 'clubID': '131', 'value': '€18.00m'}, {'date': '13/10/2021', 'age': '22', 'clubName': 'FC Barcelona', 'clubID': '131', 'value': '€15.00m'}, {'date': '30/12/2021', 'age': '22', 'clubName': 'FC Barcelona', 'clubID': '131', 'value': '€9.00m'}, {'date': '03/06/2022', 'age': '22', 'clubName': 'FC Barcelona', 'clubID': '131', 'value': '€7.00m'}, {'date': '18/08/2022', 'age': '23', 'clubName': 'Los Angeles Galaxy', 'clubID': '1061', 'value': '€7.00m'}, {'date': '08/11/2022', 'age': '23', 'clubName': 'Los Angeles Galaxy', 'clubID': '1061', 'value': '€7.00m'}, {'date': '31/03/2023', 'age': '23', 'clubName': 'Los Angeles Galaxy', 'clubID': '1061', 'value': '€8.00m'}, {'date': '22/08/2023', 'age': '24', 'clubName': 'Los Angeles Galaxy', 'clubID': '1061', 'value': '€12.00m'}, {'date': '18/12/2023', 'age': '24', 'clubName': 'Los Angeles Galaxy', 'clubID': '1061', 'value': '€12.00m'}, {'date': '13/06/2024', 'age': '24', 'clubName': 'Los Angeles Galaxy', 'clubID': '1061', 'value': '€15.00m'}, {'date': '12/12/2024', 'age': '25', 'clubName': 'Los Angeles Galaxy', 'clubID': '1061', 'value': '€20.00m'}, {'date': '05/06/2025', 'age': '25', 'clubName': 'Los Angeles Galaxy', 'clubID': '1061', 'value': '€20.00m'}, {'date': '11/12/2025', 'age': '26', 'clubName': 'Los Angeles Galaxy', 'clubID': '1061', 'value': '€18.00m'}, {'date': '07/04/2026', 'age': '26', 'clubName': 'Los Angeles Galaxy', 'clubID': '1061', 'value': '€12.00m'}]}</t>
        </is>
      </c>
      <c r="L696" t="inlineStr">
        <is>
          <t>Spain</t>
        </is>
      </c>
      <c r="M696" t="inlineStr">
        <is>
          <t>1999-08-13</t>
        </is>
      </c>
      <c r="N696" t="inlineStr">
        <is>
          <t>Spain</t>
        </is>
      </c>
      <c r="O696">
        <f>(7+7+7)/3</f>
        <v/>
      </c>
      <c r="P696">
        <f>(18+18+15+9)/4</f>
        <v/>
      </c>
    </row>
    <row r="697">
      <c r="A697" t="inlineStr">
        <is>
          <t>Berkay Vardar</t>
        </is>
      </c>
      <c r="B697" t="inlineStr">
        <is>
          <t>Besiktas</t>
        </is>
      </c>
      <c r="C697" t="inlineStr">
        <is>
          <t>Midfielder</t>
        </is>
      </c>
      <c r="D697" t="n">
        <v>17</v>
      </c>
      <c r="E697" t="n">
        <v>1</v>
      </c>
      <c r="F697" t="n">
        <v>0</v>
      </c>
      <c r="G697" t="n">
        <v>0</v>
      </c>
      <c r="H697" t="n">
        <v>1.9</v>
      </c>
      <c r="I697" t="n">
        <v>25</v>
      </c>
      <c r="J697" t="n">
        <v>724350</v>
      </c>
      <c r="K697" t="inlineStr">
        <is>
          <t>{'marketValueHistory': [{'date': 'Jul 26, 2022', 'age': '19', 'clubName': 'Besiktas JK', 'clubID': '114', 'value': '€50k'}, {'date': 'Oct 27, 2022', 'age': '19', 'clubName': 'Besiktas JK', 'clubID': '114', 'value': '€650k'}, {'date': 'Mar 14, 2023', 'age': '20', 'clubName': 'Besiktas JK', 'clubID': '114', 'value': '€650k'}, {'date': 'Jun 8, 2023', 'age': '20', 'clubName': 'Besiktas JK', 'clubID': '114', 'value': '€550k'}, {'date': 'Dec 8, 2023', 'age': '20', 'clubName': 'FC Sheriff Tiraspol', 'clubID': '2481', 'value': '€450k'}, {'date': 'Mar 15, 2024', 'age': '21', 'clubName': 'Besiktas JK', 'clubID': '114', 'value': '€375k'}, {'date': 'Oct 16, 2024', 'age': '21', 'clubName': 'Without Club', 'clubID': '515', 'value': '€350k'}, {'date': 'Dec 18, 2024', 'age': '21', 'clubName': 'Disqualification', 'clubID': '2077', 'value': '-'}]}</t>
        </is>
      </c>
      <c r="L697" t="inlineStr">
        <is>
          <t>Turkey</t>
        </is>
      </c>
      <c r="M697" t="inlineStr">
        <is>
          <t>2003-01-14</t>
        </is>
      </c>
      <c r="N697" t="inlineStr">
        <is>
          <t>Turkey</t>
        </is>
      </c>
      <c r="O697">
        <f>(0.05+0.65)/2</f>
        <v/>
      </c>
    </row>
    <row r="698">
      <c r="A698" t="inlineStr">
        <is>
          <t>Carson</t>
        </is>
      </c>
      <c r="B698" t="inlineStr">
        <is>
          <t>Man City</t>
        </is>
      </c>
      <c r="C698" t="inlineStr">
        <is>
          <t>Goalkeeper</t>
        </is>
      </c>
      <c r="D698" t="n">
        <v>17</v>
      </c>
      <c r="E698" t="n">
        <v>1</v>
      </c>
      <c r="F698" t="n">
        <v>0</v>
      </c>
      <c r="G698" t="n">
        <v>0</v>
      </c>
      <c r="H698" t="n">
        <v>1.1</v>
      </c>
      <c r="I698" t="n">
        <v>17.2</v>
      </c>
      <c r="J698" t="n">
        <v>14555</v>
      </c>
      <c r="K698" t="inlineStr">
        <is>
          <t>{'marketValueHistory': [{'date': '04/10/2004', 'age': '19', 'clubName': 'Leeds United', 'clubID': '399', 'value': '€400k'}, {'date': '21/01/2005', 'age': '19', 'clubName': 'Liverpool FC', 'clubID': '31', 'value': '€750k'}, {'date': '02/02/2005', 'age': '19', 'clubName': 'Liverpool FC', 'clubID': '31', 'value': '€1.50m'}, {'date': '18/11/2005', 'age': '20', 'clubName': 'Liverpool FC', 'clubID': '31', 'value': '€1.75m'}, {'date': '03/05/2007', 'age': '21', 'clubName': 'Charlton Athletic', 'clubID': '358', 'value': '€2.50m'}, {'date': '21/01/2008', 'age': '22', 'clubName': 'Aston Villa', 'clubID': '405', 'value': '€5.25m'}, {'date': '04/07/2008', 'age': '22', 'clubName': 'Liverpool FC', 'clubID': '31', 'value': '€6.00m'}, {'date': '23/02/2009', 'age': '23', 'clubName': 'West Bromwich Albion', 'clubID': '984', 'value': '€5.50m'}, {'date': '25/06/2009', 'age': '23', 'clubName': 'West Bromwich Albion', 'clubID': '984', 'value': '€4.80m'}, {'date': '09/12/2009', 'age': '24', 'clubName': 'West Bromwich Albion', 'clubID': '984', 'value': '€3.75m'}, {'date': '19/07/2010', 'age': '24', 'clubName': 'West Bromwich Albion', 'clubID': '984', 'value': '€3.50m'}, {'date': '01/02/2011', 'age': '25', 'clubName': 'West Bromwich Albion', 'clubID': '984', 'value': '€3.50m'}, {'date': '22/08/2011', 'age': '25', 'clubName': 'Bursaspor', 'clubID': '20', 'value': '€3.10m'}, {'date': '09/01/2012', 'age': '26', 'clubName': 'Bursaspor', 'clubID': '20', 'value': '€3.80m'}, {'date': '19/06/2012', 'age': '26', 'clubName': 'Bursaspor', 'clubID': '20', 'value': '€4.00m'}, {'date': '06/01/2013', 'age': '27', 'clubName': 'Bursaspor', 'clubID': '20', 'value': '€4.20m'}, {'date': '14/06/2013', 'age': '27', 'clubName': 'Bursaspor', 'clubID': '20', 'value': '€4.20m'}, {'date': '18/09/2013', 'age': '28', 'clubName': 'Wigan Athletic', 'clubID': '1071', 'value': '€2.50m'}, {'date': '08/01/2014', 'age': '28', 'clubName': 'Wigan Athletic', 'clubID': '1071', 'value': '€2.50m'}, {'date': '24/02/2015', 'age': '29', 'clubName': 'Wigan Athletic', 'clubID': '1071', 'value': '€2.00m'}, {'date': '24/09/2015', 'age': '30', 'clubName': 'Derby County', 'clubID': '22', 'value': '€2.00m'}, {'date': '20/04/2016', 'age': '30', 'clubName': 'Derby County', 'clubID': '22', 'value': '€2.00m'}, {'date': '01/09/2016', 'age': '30', 'clubName': 'Derby County', 'clubID': '22', 'value': '€2.00m'}, {'date': '27/02/2017', 'age': '31', 'clubName': 'Derby County', 'clubID': '22', 'value': '€2.00m'}, {'date': '18/09/2017', 'age': '32', 'clubName': 'Derby County', 'clubID': '22', 'value': '€2.50m'}, {'date': '27/02/2018', 'age': '32', 'clubName': 'Derby County', 'clubID': '22', 'value': '€3.00m'}, {'date': '24/09/2018', 'age': '33', 'clubName': 'Derby County', 'clubID': '22', 'value': '€3.00m'}, {'date': '28/06/2019', 'age': '33', 'clubName': 'Derby County', 'clubID': '22', 'value': '€2.00m'}, {'date': '10/12/2019', 'age': '34', 'clubName': 'Manchester City', 'clubID': '281', 'value': '€1.00m'}, {'date': '08/04/2020', 'age': '34', 'clubName': 'Manchester City', 'clubID': '281', 'value': '€800k'}, {'date': '13/10/2020', 'age': '35', 'clubName': 'Manchester City', 'clubID': '281', 'value': '€800k'}, {'date': '18/03/2021', 'age': '35', 'clubName': 'Manchester City', 'clubID': '281', 'value': '€500k'}, {'date': '30/06/2021', 'age': '35', 'clubName': 'Derby County', 'clubID': '22', 'value': '€300k'}, {'date': '23/12/2021', 'age': '36', 'clubName': 'Manchester City', 'clubID': '281', 'value': '€300k'}, {'date': '15/06/2022', 'age': '36', 'clubName': 'Manchester City', 'clubID': '281', 'value': '€300k'}, {'date': '03/11/2022', 'age': '37', 'clubName': 'Manchester City', 'clubID': '281', 'value': '€250k'}, {'date': '20/06/2023', 'age': '37', 'clubName': 'Manchester City', 'clubID': '281', 'value': '€200k'}, {'date': '19/12/2023', 'age': '38', 'clubName': 'Manchester City', 'clubID': '281', 'value': '€200k'}, {'date': '27/05/2024', 'age': '38', 'clubName': 'Manchester City', 'clubID': '281', 'value': '€200k'}, {'date': '16/12/2024', 'age': '39', 'clubName': 'Manchester City', 'clubID': '281', 'value': '€200k'}, {'date': '30/05/2025', 'age': '39', 'clubName': 'Manchester City', 'clubID': '281', 'value': '€100k'}, {'date': '23/10/2025', 'age': '40', 'clubName': 'Retired', 'clubID': '123', 'value': '-'}]}</t>
        </is>
      </c>
      <c r="L698" t="inlineStr">
        <is>
          <t>United Kingdom</t>
        </is>
      </c>
      <c r="M698" t="inlineStr">
        <is>
          <t>1985-09-03</t>
        </is>
      </c>
      <c r="N698" t="inlineStr">
        <is>
          <t>England</t>
        </is>
      </c>
      <c r="O698">
        <f>(0.3+0.25)/2</f>
        <v/>
      </c>
      <c r="P698">
        <f>(0.5+0.3+0.3)/3</f>
        <v/>
      </c>
    </row>
    <row r="699">
      <c r="A699" t="inlineStr">
        <is>
          <t>Ramirez</t>
        </is>
      </c>
      <c r="B699" t="inlineStr">
        <is>
          <t>Dynamo Kyiv</t>
        </is>
      </c>
      <c r="C699" t="inlineStr">
        <is>
          <t>Forward</t>
        </is>
      </c>
      <c r="D699" t="n">
        <v>16</v>
      </c>
      <c r="E699" t="n">
        <v>2</v>
      </c>
      <c r="F699" t="n">
        <v>0</v>
      </c>
      <c r="G699" t="n">
        <v>0</v>
      </c>
      <c r="H699" t="n">
        <v>2.7</v>
      </c>
      <c r="I699" t="n">
        <v>31.1</v>
      </c>
      <c r="J699" t="n">
        <v>199369</v>
      </c>
      <c r="K699" t="inlineStr">
        <is>
          <t>{'marketValueHistory': [{'date': 'Aug 7, 2013', 'age': '18', 'clubName': 'FC Barcelona B', 'clubID': '2464', 'value': '€500k'}, {'date': 'Oct 8, 2013', 'age': '18', 'clubName': 'FC Barcelona B', 'clubID': '2464', 'value': '€600k'}, {'date': 'Feb 6, 2014', 'age': '18', 'clubName': 'FC Barcelona B', 'clubID': '2464', 'value': '€600k'}, {'date': 'Mar 31, 2014', 'age': '18', 'clubName': 'FC Barcelona B', 'clubID': '2464', 'value': '€1.50m'}, {'date': 'Aug 5, 2014', 'age': '19', 'clubName': 'FC Barcelona B', 'clubID': '2464', 'value': '€2.00m'}, {'date': 'Oct 5, 2014', 'age': '19', 'clubName': 'FC Barcelona B', 'clubID': '2464', 'value': '€5.00m'}, {'date': 'Jan 8, 2015', 'age': '19', 'clubName': 'FC Barcelona B', 'clubID': '2464', 'value': '€5.00m'}, {'date': 'Jan 23, 2015', 'age': '19', 'clubName': 'FC Barcelona B', 'clubID': '2464', 'value': '€5.00m'}, {'date': 'Jul 1, 2015', 'age': '19', 'clubName': 'FC Barcelona', 'clubID': '131', 'value': '€5.00m'}, {'date': 'Feb 22, 2016', 'age': '20', 'clubName': 'FC Barcelona', 'clubID': '131', 'value': '€5.00m'}, {'date': 'Jul 15, 2016', 'age': '21', 'clubName': 'Málaga CF', 'clubID': '1084', 'value': '€5.00m'}, {'date': 'Jan 24, 2017', 'age': '21', 'clubName': 'Málaga CF', 'clubID': '1084', 'value': '€8.00m'}, {'date': 'Jun 5, 2017', 'age': '21', 'clubName': 'Málaga CF', 'clubID': '1084', 'value': '€10.00m'}, {'date': 'Jan 2, 2018', 'age': '22', 'clubName': 'Everton FC', 'clubID': '29', 'value': '€10.00m'}, {'date': 'May 30, 2018', 'age': '22', 'clubName': 'Sevilla FC', 'clubID': '368', 'value': '€10.00m'}, {'date': 'Dec 21, 2018', 'age': '23', 'clubName': 'Real Sociedad', 'clubID': '681', 'value': '€6.00m'}, {'date': 'Jun 11, 2019', 'age': '23', 'clubName': 'Real Sociedad', 'clubID': '681', 'value': '€4.00m'}, {'date': 'Dec 20, 2019', 'age': '24', 'clubName': 'Real Valladolid CF', 'clubID': '366', 'value': '€4.00m'}, {'date': 'Apr 8, 2020', 'age': '24', 'clubName': 'Real Valladolid CF', 'clubID': '366', 'value': '€3.20m'}, {'date': 'Oct 8, 2020', 'age': '25', 'clubName': 'SD Huesca', 'clubID': '5358', 'value': '€3.00m'}, {'date': 'Jan 5, 2021', 'age': '25', 'clubName': 'SD Huesca', 'clubID': '5358', 'value': '€2.80m'}, {'date': 'Jun 10, 2021', 'age': '25', 'clubName': 'SD Huesca', 'clubID': '5358', 'value': '€3.50m'}, {'date': 'Dec 30, 2021', 'age': '26', 'clubName': 'Getafe CF', 'clubID': '3709', 'value': '€3.50m'}, {'date': 'Jun 3, 2022', 'age': '26', 'clubName': 'Getafe CF', 'clubID': '3709', 'value': '€3.50m'}, {'date': 'Sep 26, 2022', 'age': '27', 'clubName': 'UD Las Palmas', 'clubID': '472', 'value': '€3.00m'}, {'date': 'Dec 29, 2022', 'age': '27', 'clubName': 'UD Las Palmas', 'clubID': '472', 'value': '€2.00m'}, {'date': 'Jun 14, 2023', 'age': '27', 'clubName': 'UD Las Palmas', 'clubID': '472', 'value': '€2.00m'}, {'date': 'Oct 13, 2023', 'age': '28', 'clubName': 'UD Las Palmas', 'clubID': '472', 'value': '€1.80m'}, {'date': 'Dec 22, 2023', 'age': '28', 'clubName': 'UD Las Palmas', 'clubID': '472', 'value': '€1.50m'}, {'date': 'Jun 7, 2024', 'age': '28', 'clubName': 'UD Las Palmas', 'clubID': '472', 'value': '€1.50m'}, {'date': 'Dec 27, 2024', 'age': '29', 'clubName': 'UD Las Palmas', 'clubID': '472', 'value': '€2.50m'}, {'date': 'Jun 9, 2025', 'age': '29', 'clubName': 'UD Las Palmas', 'clubID': '472', 'value': '€2.50m'}, {'date': 'Oct 16, 2025', 'age': '30', 'clubName': 'UD Las Palmas', 'clubID': '472', 'value': '€1.50m'}, {'date': 'Dec 30, 2025', 'age': '30', 'clubName': 'UD Las Palmas', 'clubID': '472', 'value': '€1.00m'}, {'date': 'Mar 18, 2026', 'age': '30', 'clubName': 'UD Las Palmas', 'clubID': '472', 'value': '€700k'}]}</t>
        </is>
      </c>
      <c r="L699" t="inlineStr">
        <is>
          <t>Spain</t>
        </is>
      </c>
      <c r="M699" t="inlineStr">
        <is>
          <t>1995-07-09</t>
        </is>
      </c>
      <c r="N699" t="inlineStr">
        <is>
          <t>Spain</t>
        </is>
      </c>
      <c r="O699">
        <f>(3.5+3+2)/3</f>
        <v/>
      </c>
      <c r="P699">
        <f>(2.8+3.5+3.5)/3</f>
        <v/>
      </c>
    </row>
    <row r="700">
      <c r="A700" t="inlineStr">
        <is>
          <t>Cojocaru</t>
        </is>
      </c>
      <c r="B700" t="inlineStr">
        <is>
          <t>Sheriff</t>
        </is>
      </c>
      <c r="C700" t="inlineStr">
        <is>
          <t>Midfielder</t>
        </is>
      </c>
      <c r="D700" t="n">
        <v>15</v>
      </c>
      <c r="E700" t="n">
        <v>2</v>
      </c>
      <c r="F700" t="n">
        <v>0</v>
      </c>
      <c r="G700" t="n">
        <v>0</v>
      </c>
      <c r="H700" t="n">
        <v>3.6</v>
      </c>
      <c r="I700" t="n">
        <v>31.4</v>
      </c>
      <c r="J700" t="n">
        <v>343917</v>
      </c>
      <c r="K700" t="inlineStr">
        <is>
          <t>{'marketValueHistory': [{'date': '10/05/2016', 'age': '18', 'clubName': 'Dacia Chisinau', 'clubID': '11907', 'value': '€75k'}, {'date': '01/12/2016', 'age': '18', 'clubName': 'Dacia Chisinau', 'clubID': '11907', 'value': '€200k'}, {'date': '02/06/2017', 'age': '19', 'clubName': 'Dacia Chisinau', 'clubID': '11907', 'value': '€275k'}, {'date': '11/12/2017', 'age': '19', 'clubName': 'Dacia Chisinau', 'clubID': '11907', 'value': '€275k'}, {'date': '25/10/2018', 'age': '20', 'clubName': 'FC Petrocub Hîncești', 'clubID': '46643', 'value': '€200k'}, {'date': '11/06/2019', 'age': '21', 'clubName': 'FC Sheriff Tiraspol', 'clubID': '2481', 'value': '€275k'}, {'date': '11/12/2019', 'age': '21', 'clubName': 'FC Sheriff Tiraspol', 'clubID': '2481', 'value': '€275k'}, {'date': '15/12/2020', 'age': '22', 'clubName': 'FC Sheriff Tiraspol', 'clubID': '2481', 'value': '€200k'}, {'date': '24/05/2021', 'age': '23', 'clubName': 'FC Sheriff Tiraspol', 'clubID': '2481', 'value': '€150k'}, {'date': '25/12/2021', 'age': '23', 'clubName': 'FC Sheriff Tiraspol', 'clubID': '2481', 'value': '€150k'}, {'date': '23/05/2022', 'age': '24', 'clubName': 'FC Petrocub Hincesti', 'clubID': '46643', 'value': '€225k'}, {'date': '05/11/2022', 'age': '24', 'clubName': 'FC Petrocub Hincesti', 'clubID': '46643', 'value': '€300k'}, {'date': '08/06/2023', 'age': '25', 'clubName': 'FC Petrocub Hincesti', 'clubID': '46643', 'value': '€300k'}, {'date': '13/12/2023', 'age': '25', 'clubName': 'AFC Chindia Targoviste', 'clubID': '12680', 'value': '€225k'}, {'date': '30/05/2024', 'age': '26', 'clubName': 'AFC Chindia Targoviste', 'clubID': '12680', 'value': '€225k'}, {'date': '13/09/2024', 'age': '26', 'clubName': 'SC Otelul Galati', 'clubID': '4959', 'value': '€200k'}, {'date': '19/12/2024', 'age': '26', 'clubName': 'SC Otelul Galati', 'clubID': '4959', 'value': '€250k'}, {'date': '10/06/2025', 'age': '27', 'clubName': 'SC Otelul Galati', 'clubID': '4959', 'value': '€150k'}, {'date': '01/12/2025', 'age': '27', 'clubName': 'FC Petrocub Hincesti', 'clubID': '46643', 'value': '€150k'}]}</t>
        </is>
      </c>
      <c r="L700" t="inlineStr">
        <is>
          <t>Moldova</t>
        </is>
      </c>
      <c r="M700" t="inlineStr">
        <is>
          <t>1998-01-13</t>
        </is>
      </c>
      <c r="N700" t="inlineStr">
        <is>
          <t>Moldova</t>
        </is>
      </c>
      <c r="O700">
        <f>(0.225+0.3)/2</f>
        <v/>
      </c>
      <c r="P700">
        <f>(0.15+0.15)/2</f>
        <v/>
      </c>
    </row>
    <row r="701">
      <c r="A701" t="inlineStr">
        <is>
          <t>Javi Serrano</t>
        </is>
      </c>
      <c r="B701" t="inlineStr">
        <is>
          <t>Atletico de Madrid</t>
        </is>
      </c>
      <c r="C701" t="inlineStr">
        <is>
          <t>Midfielder</t>
        </is>
      </c>
      <c r="D701" t="n">
        <v>15</v>
      </c>
      <c r="E701" t="n">
        <v>1</v>
      </c>
      <c r="F701" t="n">
        <v>0</v>
      </c>
      <c r="G701" t="n">
        <v>0</v>
      </c>
      <c r="H701" t="n">
        <v>2.4</v>
      </c>
      <c r="I701" t="n">
        <v>27.9</v>
      </c>
      <c r="J701" t="n">
        <v>668177</v>
      </c>
      <c r="K701" t="inlineStr">
        <is>
          <t>{'marketValueHistory': [{'date': '26/09/2022', 'age': '19', 'clubName': 'CD Mirandés', 'clubID': '13222', 'value': '€700k'}, {'date': '29/12/2022', 'age': '19', 'clubName': 'CD Mirandés', 'clubID': '13222', 'value': '€700k'}, {'date': '14/06/2023', 'age': '20', 'clubName': 'UD Ibiza', 'clubID': '13241', 'value': '€700k'}, {'date': '11/12/2023', 'age': '20', 'clubName': 'SK Sturm Graz', 'clubID': '122', 'value': '€700k'}, {'date': '21/05/2024', 'age': '21', 'clubName': 'SK Sturm Graz', 'clubID': '122', 'value': '€450k'}, {'date': '14/10/2024', 'age': '21', 'clubName': 'Atlético Madrileño', 'clubID': '3679', 'value': '€500k'}, {'date': '18/12/2024', 'age': '21', 'clubName': 'Atlético Madrileño', 'clubID': '3679', 'value': '€700k'}, {'date': '25/06/2025', 'age': '22', 'clubName': 'Atlético Madrileño', 'clubID': '3679', 'value': '€700k'}, {'date': '30/12/2025', 'age': '22', 'clubName': 'Atlético Madrileño', 'clubID': '3679', 'value': '€700k'}]}</t>
        </is>
      </c>
      <c r="L701" t="inlineStr">
        <is>
          <t>Spain</t>
        </is>
      </c>
      <c r="M701" t="inlineStr">
        <is>
          <t>2003-07-01</t>
        </is>
      </c>
      <c r="N701" t="inlineStr">
        <is>
          <t>Spain</t>
        </is>
      </c>
      <c r="O701">
        <f>(0.7+0.7)/2</f>
        <v/>
      </c>
    </row>
    <row r="702">
      <c r="A702" t="inlineStr">
        <is>
          <t>Aguero</t>
        </is>
      </c>
      <c r="B702" t="inlineStr">
        <is>
          <t>Barcelona</t>
        </is>
      </c>
      <c r="C702" t="inlineStr">
        <is>
          <t>Forward</t>
        </is>
      </c>
      <c r="D702" t="n">
        <v>15</v>
      </c>
      <c r="E702" t="n">
        <v>1</v>
      </c>
      <c r="F702" t="n">
        <v>0</v>
      </c>
      <c r="G702" t="n">
        <v>0</v>
      </c>
      <c r="H702" t="n">
        <v>1.9</v>
      </c>
      <c r="I702" t="n">
        <v>27.4</v>
      </c>
      <c r="J702" t="n">
        <v>26399</v>
      </c>
      <c r="K702" t="inlineStr">
        <is>
          <t>{'marketValueHistory': [{'date': '30/12/2005', 'age': '17', 'clubName': 'CA Independiente', 'clubID': '1234', 'value': '€1.25m'}, {'date': '05/02/2006', 'age': '17', 'clubName': 'CA Independiente', 'clubID': '1234', 'value': '€5.00m'}, {'date': '06/08/2006', 'age': '18', 'clubName': 'Atlético de Madrid', 'clubID': '13', 'value': '€23.00m'}, {'date': '21/06/2007', 'age': '19', 'clubName': 'Atlético de Madrid', 'clubID': '13', 'value': '€20.00m'}, {'date': '04/02/2008', 'age': '19', 'clubName': 'Atlético de Madrid', 'clubID': '13', 'value': '€28.00m'}, {'date': '11/07/2008', 'age': '20', 'clubName': 'Atlético de Madrid', 'clubID': '13', 'value': '€28.00m'}, {'date': '26/01/2009', 'age': '20', 'clubName': 'Atlético de Madrid', 'clubID': '13', 'value': '€30.00m'}, {'date': '22/07/2009', 'age': '21', 'clubName': 'Atlético de Madrid', 'clubID': '13', 'value': '€36.00m'}, {'date': '03/12/2009', 'age': '21', 'clubName': 'Atlético de Madrid', 'clubID': '13', 'value': '€36.00m'}, {'date': '12/04/2010', 'age': '21', 'clubName': 'Atlético de Madrid', 'clubID': '13', 'value': '€36.00m'}, {'date': '27/08/2010', 'age': '22', 'clubName': 'Atlético de Madrid', 'clubID': '13', 'value': '€36.00m'}, {'date': '04/02/2011', 'age': '22', 'clubName': 'Atlético de Madrid', 'clubID': '13', 'value': '€36.00m'}, {'date': '29/07/2011', 'age': '23', 'clubName': 'Manchester City', 'clubID': '281', 'value': '€40.00m'}, {'date': '06/02/2012', 'age': '23', 'clubName': 'Manchester City', 'clubID': '281', 'value': '€47.00m'}, {'date': '24/06/2012', 'age': '24', 'clubName': 'Manchester City', 'clubID': '281', 'value': '€51.00m'}, {'date': '28/01/2013', 'age': '24', 'clubName': 'Manchester City', 'clubID': '281', 'value': '€45.00m'}, {'date': '02/07/2013', 'age': '25', 'clubName': 'Manchester City', 'clubID': '281', 'value': '€40.00m'}, {'date': '15/01/2014', 'age': '25', 'clubName': 'Manchester City', 'clubID': '281', 'value': '€45.00m'}, {'date': '12/08/2014', 'age': '26', 'clubName': 'Manchester City', 'clubID': '281', 'value': '€45.00m'}, {'date': '12/02/2015', 'age': '26', 'clubName': 'Manchester City', 'clubID': '281', 'value': '€50.00m'}, {'date': '01/07/2015', 'age': '27', 'clubName': 'Manchester City', 'clubID': '281', 'value': '€60.00m'}, {'date': '09/02/2016', 'age': '27', 'clubName': 'Manchester City', 'clubID': '281', 'value': '€60.00m'}, {'date': '01/08/2016', 'age': '28', 'clubName': 'Manchester City', 'clubID': '281', 'value': '€60.00m'}, {'date': '20/02/2017', 'age': '28', 'clubName': 'Manchester City', 'clubID': '281', 'value': '€65.00m'}, {'date': '28/06/2017', 'age': '29', 'clubName': 'Manchester City', 'clubID': '281', 'value': '€65.00m'}, {'date': '02/01/2018', 'age': '29', 'clubName': 'Manchester City', 'clubID': '281', 'value': '€75.00m'}, {'date': '28/05/2018', 'age': '29', 'clubName': 'Manchester City', 'clubID': '281', 'value': '€80.00m'}, {'date': '19/12/2018', 'age': '30', 'clubName': 'Manchester City', 'clubID': '281', 'value': '€75.00m'}, {'date': '13/06/2019', 'age': '31', 'clubName': 'Manchester City', 'clubID': '281', 'value': '€65.00m'}, {'date': '10/12/2019', 'age': '31', 'clubName': 'Manchester City', 'clubID': '281', 'value': '€65.00m'}, {'date': '08/04/2020', 'age': '31', 'clubName': 'Manchester City', 'clubID': '281', 'value': '€52.00m'}, {'date': '13/10/2020', 'age': '32', 'clubName': 'Manchester City', 'clubID': '281', 'value': '€42.00m'}, {'date': '17/12/2020', 'age': '32', 'clubName': 'Manchester City', 'clubID': '281', 'value': '€35.00m'}, {'date': '18/03/2021', 'age': '32', 'clubName': 'Manchester City', 'clubID': '281', 'value': '€25.00m'}, {'date': '08/06/2021', 'age': '33', 'clubName': 'Manchester City', 'clubID': '281', 'value': '€18.00m'}, {'date': '13/10/2021', 'age': '33', 'clubName': 'FC Barcelona', 'clubID': '131', 'value': '€15.00m'}, {'date': '15/12/2021', 'age': '33', 'clubName': 'Retired', 'clubID': '123', 'value': '-'}]}</t>
        </is>
      </c>
      <c r="L702" t="inlineStr">
        <is>
          <t>Argentina</t>
        </is>
      </c>
      <c r="M702" t="inlineStr">
        <is>
          <t>1988-06-02</t>
        </is>
      </c>
      <c r="N702" t="inlineStr">
        <is>
          <t>101</t>
        </is>
      </c>
      <c r="P702">
        <f>(25+18+15)/3</f>
        <v/>
      </c>
    </row>
    <row r="703">
      <c r="A703" t="inlineStr">
        <is>
          <t>Ramsey</t>
        </is>
      </c>
      <c r="B703" t="inlineStr">
        <is>
          <t>Juventus</t>
        </is>
      </c>
      <c r="C703" t="inlineStr">
        <is>
          <t>Midfielder</t>
        </is>
      </c>
      <c r="D703" t="n">
        <v>14</v>
      </c>
      <c r="E703" t="n">
        <v>2</v>
      </c>
      <c r="F703" t="n">
        <v>0</v>
      </c>
      <c r="G703" t="n">
        <v>0</v>
      </c>
      <c r="H703" t="n">
        <v>3.2</v>
      </c>
      <c r="I703" t="n">
        <v>30.2</v>
      </c>
      <c r="J703" t="n">
        <v>50057</v>
      </c>
      <c r="K703" t="inlineStr">
        <is>
          <t>{'marketValueHistory': [{'date': 'Jul 29, 2007', 'age': '16', 'clubName': 'Cardiff City', 'clubID': '603', 'value': '€50k'}, {'date': 'Jun 9, 2008', 'age': '17', 'clubName': 'Cardiff City', 'clubID': '603', 'value': '€1.50m'}, {'date': 'Jun 15, 2008', 'age': '17', 'clubName': 'Cardiff City', 'clubID': '603', 'value': '€5.00m'}, {'date': 'Jan 25, 2010', 'age': '19', 'clubName': 'Arsenal FC', 'clubID': '11', 'value': '€6.00m'}, {'date': 'Aug 13, 2010', 'age': '19', 'clubName': 'Arsenal FC', 'clubID': '11', 'value': '€6.00m'}, {'date': 'Aug 8, 2011', 'age': '20', 'clubName': 'Arsenal FC', 'clubID': '11', 'value': '€7.00m'}, {'date': 'Feb 6, 2012', 'age': '21', 'clubName': 'Arsenal FC', 'clubID': '11', 'value': '€11.00m'}, {'date': 'Jun 24, 2012', 'age': '21', 'clubName': 'Arsenal FC', 'clubID': '11', 'value': '€11.50m'}, {'date': 'Jan 28, 2013', 'age': '22', 'clubName': 'Arsenal FC', 'clubID': '11', 'value': '€10.00m'}, {'date': 'Jul 2, 2013', 'age': '22', 'clubName': 'Arsenal FC', 'clubID': '11', 'value': '€13.00m'}, {'date': 'Jan 15, 2014', 'age': '23', 'clubName': 'Arsenal FC', 'clubID': '11', 'value': '€20.00m'}, {'date': 'Aug 12, 2014', 'age': '23', 'clubName': 'Arsenal FC', 'clubID': '11', 'value': '€24.00m'}, {'date': 'Feb 12, 2015', 'age': '24', 'clubName': 'Arsenal FC', 'clubID': '11', 'value': '€25.00m'}, {'date': 'Jul 1, 2015', 'age': '24', 'clubName': 'Arsenal FC', 'clubID': '11', 'value': '€28.00m'}, {'date': 'Feb 9, 2016', 'age': '25', 'clubName': 'Arsenal FC', 'clubID': '11', 'value': '€30.00m'}, {'date': 'Jun 1, 2016', 'age': '25', 'clubName': 'Arsenal FC', 'clubID': '11', 'value': '€30.00m'}, {'date': 'Aug 1, 2016', 'age': '25', 'clubName': 'Arsenal FC', 'clubID': '11', 'value': '€35.00m'}, {'date': 'Feb 20, 2017', 'age': '26', 'clubName': 'Arsenal FC', 'clubID': '11', 'value': '€35.00m'}, {'date': 'Jun 28, 2017', 'age': '26', 'clubName': 'Arsenal FC', 'clubID': '11', 'value': '€35.00m'}, {'date': 'Jan 2, 2018', 'age': '27', 'clubName': 'Arsenal FC', 'clubID': '11', 'value': '€40.00m'}, {'date': 'May 28, 2018', 'age': '27', 'clubName': 'Arsenal FC', 'clubID': '11', 'value': '€45.00m'}, {'date': 'Dec 19, 2018', 'age': '27', 'clubName': 'Arsenal FC', 'clubID': '11', 'value': '€40.00m'}, {'date': 'Jun 13, 2019', 'age': '28', 'clubName': 'Arsenal FC', 'clubID': '11', 'value': '€40.00m'}, {'date': 'Dec 12, 2019', 'age': '28', 'clubName': 'Juventus FC', 'clubID': '506', 'value': '€40.00m'}, {'date': 'Mar 3, 2020', 'age': '29', 'clubName': 'Juventus FC', 'clubID': '506', 'value': '€35.00m'}, {'date': 'Apr 8, 2020', 'age': '29', 'clubName': 'Juventus FC', 'clubID': '506', 'value': '€28.00m'}, {'date': 'Aug 25, 2020', 'age': '29', 'clubName': 'Juventus FC', 'clubID': '506', 'value': '€22.00m'}, {'date': 'Dec 29, 2020', 'age': '30', 'clubName': 'Juventus FC', 'clubID': '506', 'value': '€20.00m'}, {'date': 'May 25, 2021', 'age': '30', 'clubName': 'Juventus FC', 'clubID': '506', 'value': '€14.00m'}, {'date': 'Oct 14, 2021', 'age': '30', 'clubName': 'Juventus FC', 'clubID': '506', 'value': '€10.00m'}, {'date': 'Dec 28, 2021', 'age': '31', 'clubName': 'Juventus FC', 'clubID': '506', 'value': '€5.00m'}, {'date': 'Jun 7, 2022', 'age': '31', 'clubName': 'Juventus FC', 'clubID': '506', 'value': '€3.00m'}, {'date': 'Nov 2, 2022', 'age': '31', 'clubName': 'OGC Nice', 'clubID': '417', 'value': '€3.00m'}, {'date': 'Jun 27, 2023', 'age': '32', 'clubName': 'OGC Nice', 'clubID': '417', 'value': '€2.50m'}, {'date': 'Dec 21, 2023', 'age': '32', 'clubName': 'Cardiff City', 'clubID': '603', 'value': '€1.50m'}, {'date': 'Mar 7, 2024', 'age': '33', 'clubName': 'Cardiff City', 'clubID': '603', 'value': '€1.20m'}, {'date': 'May 24, 2024', 'age': '33', 'clubName': 'Cardiff City', 'clubID': '603', 'value': '€1.00m'}, {'date': 'Dec 30, 2024', 'age': '34', 'clubName': 'Cardiff City', 'clubID': '603', 'value': '€800k'}, {'date': 'May 27, 2025', 'age': '34', 'clubName': 'Cardiff City', 'clubID': '603', 'value': '€600k'}, {'date': 'Oct 21, 2025', 'age': '34', 'clubName': 'UNAM Pumas', 'clubID': '7633', 'value': '€500k'}, {'date': 'Apr 7, 2026', 'age': '35', 'clubName': 'Retired', 'clubID': '123', 'value': '-'}]}</t>
        </is>
      </c>
      <c r="L703" t="inlineStr">
        <is>
          <t>United Kingdom</t>
        </is>
      </c>
      <c r="M703" t="inlineStr">
        <is>
          <t>1990-12-26</t>
        </is>
      </c>
      <c r="N703" t="inlineStr">
        <is>
          <t>Wales</t>
        </is>
      </c>
      <c r="O703">
        <f>(3+3)/2</f>
        <v/>
      </c>
      <c r="P703">
        <f>(14+10+5)/3</f>
        <v/>
      </c>
    </row>
    <row r="704">
      <c r="A704" t="inlineStr">
        <is>
          <t>Kravtsov</t>
        </is>
      </c>
      <c r="B704" t="inlineStr">
        <is>
          <t>Zenit</t>
        </is>
      </c>
      <c r="C704" t="inlineStr">
        <is>
          <t>Midfielder</t>
        </is>
      </c>
      <c r="D704" t="n">
        <v>14</v>
      </c>
      <c r="E704" t="n">
        <v>2</v>
      </c>
      <c r="F704" t="n">
        <v>0</v>
      </c>
      <c r="G704" t="n">
        <v>0</v>
      </c>
      <c r="H704" t="n">
        <v>3</v>
      </c>
      <c r="I704" t="n">
        <v>23.8</v>
      </c>
      <c r="J704" t="n">
        <v>607814</v>
      </c>
      <c r="K704" t="inlineStr">
        <is>
          <t>{'marketValueHistory': [{'date': 'Dec 19, 2018', 'age': '16', 'clubName': 'Unknown', 'clubID': '75', 'value': '€50k'}, {'date': 'Jun 14, 2019', 'age': '17', 'clubName': 'Zenit St. Petersburg II', 'clubID': '6082', 'value': '€50k'}, {'date': 'Sep 10, 2019', 'age': '17', 'clubName': 'Zenit St. Petersburg II', 'clubID': '6082', 'value': '€150k'}, {'date': 'Dec 23, 2019', 'age': '17', 'clubName': 'Zenit St. Petersburg II', 'clubID': '6082', 'value': '€200k'}, {'date': 'Jun 29, 2020', 'age': '18', 'clubName': 'Zenit St. Petersburg II', 'clubID': '6082', 'value': '€200k'}, {'date': 'Dec 29, 2020', 'age': '18', 'clubName': 'Zenit 2 St. Petersburg', 'clubID': '16950', 'value': '€200k'}, {'date': 'Jun 28, 2021', 'age': '19', 'clubName': 'Zenit 2 St. Petersburg', 'clubID': '16950', 'value': '€300k'}, {'date': 'Dec 3, 2021', 'age': '19', 'clubName': 'Zenit St. Petersburg', 'clubID': '964', 'value': '€400k'}, {'date': 'Jun 2, 2022', 'age': '19', 'clubName': 'FC Nizhniy Novgorod', 'clubID': '49702', 'value': '€800k'}, {'date': 'Nov 21, 2022', 'age': '20', 'clubName': 'FC Sochi', 'clubID': '41231', 'value': '€800k'}, {'date': 'Jun 14, 2023', 'age': '21', 'clubName': 'FC Sochi', 'clubID': '41231', 'value': '€1.00m'}, {'date': 'Oct 5, 2023', 'age': '21', 'clubName': 'FC Sochi', 'clubID': '41231', 'value': '€1.20m'}, {'date': 'Dec 13, 2023', 'age': '21', 'clubName': 'FC Sochi', 'clubID': '41231', 'value': '€1.20m'}, {'date': 'Jun 4, 2024', 'age': '21', 'clubName': 'FC Sochi', 'clubID': '41231', 'value': '€1.50m'}, {'date': 'Dec 4, 2024', 'age': '22', 'clubName': 'FC Sochi', 'clubID': '41231', 'value': '€1.50m'}, {'date': 'Jun 2, 2025', 'age': '22', 'clubName': 'FC Sochi', 'clubID': '41231', 'value': '€1.50m'}, {'date': 'Dec 16, 2025', 'age': '23', 'clubName': 'FC Sochi', 'clubID': '41231', 'value': '€1.20m'}]}</t>
        </is>
      </c>
      <c r="L704" t="inlineStr">
        <is>
          <t>Russia</t>
        </is>
      </c>
      <c r="M704" t="inlineStr">
        <is>
          <t>2002-06-14</t>
        </is>
      </c>
      <c r="N704" t="inlineStr">
        <is>
          <t>Russia</t>
        </is>
      </c>
      <c r="O704">
        <f>(0.8+0.8)/2</f>
        <v/>
      </c>
      <c r="P704">
        <f>(0.3+0.4)/2</f>
        <v/>
      </c>
    </row>
    <row r="705">
      <c r="A705" t="inlineStr">
        <is>
          <t>Bradaric</t>
        </is>
      </c>
      <c r="B705" t="inlineStr">
        <is>
          <t>Lille</t>
        </is>
      </c>
      <c r="C705" t="inlineStr">
        <is>
          <t>Defender</t>
        </is>
      </c>
      <c r="D705" t="n">
        <v>13</v>
      </c>
      <c r="E705" t="n">
        <v>1</v>
      </c>
      <c r="F705" t="n">
        <v>0</v>
      </c>
      <c r="G705" t="n">
        <v>0</v>
      </c>
      <c r="H705" t="n">
        <v>2</v>
      </c>
      <c r="I705" t="n">
        <v>27.8</v>
      </c>
      <c r="J705" t="n">
        <v>357796</v>
      </c>
      <c r="K705" t="inlineStr">
        <is>
          <t>{'marketValueHistory': [{'date': '11/03/2019', 'age': '19', 'clubName': 'HNK Hajduk Split', 'clubID': '447', 'value': '€1.00m'}, {'date': '27/09/2019', 'age': '19', 'clubName': 'LOSC Lille', 'clubID': '1082', 'value': '€6.50m'}, {'date': '19/12/2019', 'age': '20', 'clubName': 'LOSC Lille', 'clubID': '1082', 'value': '€6.50m'}, {'date': '08/04/2020', 'age': '20', 'clubName': 'LOSC Lille', 'clubID': '1082', 'value': '€5.80m'}, {'date': '15/10/2020', 'age': '20', 'clubName': 'LOSC Lille', 'clubID': '1082', 'value': '€6.00m'}, {'date': '28/05/2021', 'age': '21', 'clubName': 'LOSC Lille', 'clubID': '1082', 'value': '€6.00m'}, {'date': '08/10/2021', 'age': '21', 'clubName': 'LOSC Lille', 'clubID': '1082', 'value': '€5.00m'}, {'date': '16/12/2021', 'age': '22', 'clubName': 'LOSC Lille', 'clubID': '1082', 'value': '€4.00m'}, {'date': '30/05/2022', 'age': '22', 'clubName': 'LOSC Lille', 'clubID': '1082', 'value': '€3.50m'}, {'date': '27/09/2022', 'age': '22', 'clubName': 'US Salernitana 1919', 'clubID': '380', 'value': '€5.00m'}, {'date': '11/11/2022', 'age': '22', 'clubName': 'US Salernitana 1919', 'clubID': '380', 'value': '€5.00m'}, {'date': '15/06/2023', 'age': '23', 'clubName': 'US Salernitana 1919', 'clubID': '380', 'value': '€7.00m'}, {'date': '20/12/2023', 'age': '24', 'clubName': 'US Salernitana 1919', 'clubID': '380', 'value': '€6.50m'}, {'date': '05/06/2024', 'age': '24', 'clubName': 'US Salernitana 1919', 'clubID': '380', 'value': '€5.00m'}, {'date': '18/10/2024', 'age': '24', 'clubName': 'Hellas Verona', 'clubID': '276', 'value': '€4.00m'}, {'date': '18/12/2024', 'age': '25', 'clubName': 'Hellas Verona', 'clubID': '276', 'value': '€4.00m'}, {'date': '17/06/2025', 'age': '25', 'clubName': 'Hellas Verona', 'clubID': '276', 'value': '€4.00m'}, {'date': '07/10/2025', 'age': '25', 'clubName': 'Hellas Verona', 'clubID': '276', 'value': '€3.00m'}, {'date': '23/12/2025', 'age': '26', 'clubName': 'Hellas Verona', 'clubID': '276', 'value': '€2.50m'}]}</t>
        </is>
      </c>
      <c r="L705" t="inlineStr">
        <is>
          <t>Croatia</t>
        </is>
      </c>
      <c r="M705" t="inlineStr">
        <is>
          <t>1999-12-10</t>
        </is>
      </c>
      <c r="N705" t="inlineStr">
        <is>
          <t>Croatia</t>
        </is>
      </c>
      <c r="O705">
        <f>(3.5+5+5)/3</f>
        <v/>
      </c>
      <c r="P705">
        <f>(6+5+4)/3</f>
        <v/>
      </c>
    </row>
    <row r="706">
      <c r="A706" t="inlineStr">
        <is>
          <t>Mariano Diaz</t>
        </is>
      </c>
      <c r="B706" t="inlineStr">
        <is>
          <t>Real Madrid</t>
        </is>
      </c>
      <c r="C706" t="inlineStr">
        <is>
          <t>Forward</t>
        </is>
      </c>
      <c r="D706" t="n">
        <v>12</v>
      </c>
      <c r="E706" t="n">
        <v>1</v>
      </c>
      <c r="F706" t="n">
        <v>0</v>
      </c>
      <c r="G706" t="n">
        <v>0</v>
      </c>
      <c r="H706" t="n">
        <v>1.6</v>
      </c>
      <c r="I706" t="n">
        <v>30.3</v>
      </c>
      <c r="J706" t="n">
        <v>225020</v>
      </c>
      <c r="K706" t="inlineStr">
        <is>
          <t>{'marketValueHistory': [{'date': 'Jul 15, 2016', 'age': '22', 'clubName': 'Real Madrid', 'clubID': '418', 'value': '€2.00m'}, {'date': 'Jan 24, 2017', 'age': '23', 'clubName': 'Real Madrid', 'clubID': '418', 'value': '€5.00m'}, {'date': 'Jun 5, 2017', 'age': '23', 'clubName': 'Real Madrid', 'clubID': '418', 'value': '€5.00m'}, {'date': 'Oct 12, 2017', 'age': '24', 'clubName': 'Olympique Lyon', 'clubID': '1041', 'value': '€8.00m'}, {'date': 'Jan 24, 2018', 'age': '24', 'clubName': 'Olympique Lyon', 'clubID': '1041', 'value': '€22.00m'}, {'date': 'Jun 4, 2018', 'age': '24', 'clubName': 'Olympique Lyon', 'clubID': '1041', 'value': '€22.00m'}, {'date': 'Dec 21, 2018', 'age': '25', 'clubName': 'Real Madrid', 'clubID': '418', 'value': '€20.00m'}, {'date': 'Jun 11, 2019', 'age': '25', 'clubName': 'Real Madrid', 'clubID': '418', 'value': '€20.00m'}, {'date': 'Dec 20, 2019', 'age': '26', 'clubName': 'Real Madrid', 'clubID': '418', 'value': '€16.00m'}, {'date': 'Apr 8, 2020', 'age': '26', 'clubName': 'Real Madrid', 'clubID': '418', 'value': '€13.00m'}, {'date': 'Oct 8, 2020', 'age': '27', 'clubName': 'Real Madrid', 'clubID': '418', 'value': '€12.00m'}, {'date': 'Jan 5, 2021', 'age': '27', 'clubName': 'Real Madrid', 'clubID': '418', 'value': '€10.00m'}, {'date': 'Jun 10, 2021', 'age': '27', 'clubName': 'Real Madrid', 'clubID': '418', 'value': '€10.00m'}, {'date': 'Dec 30, 2021', 'age': '28', 'clubName': 'Real Madrid', 'clubID': '418', 'value': '€7.00m'}, {'date': 'Mar 21, 2022', 'age': '28', 'clubName': 'Real Madrid', 'clubID': '418', 'value': '€6.00m'}, {'date': 'Jun 3, 2022', 'age': '28', 'clubName': 'Real Madrid', 'clubID': '418', 'value': '€6.00m'}, {'date': 'Sep 23, 2022', 'age': '29', 'clubName': 'Real Madrid', 'clubID': '418', 'value': '€4.00m'}, {'date': 'Nov 7, 2022', 'age': '29', 'clubName': 'Real Madrid', 'clubID': '418', 'value': '€3.00m'}, {'date': 'Mar 23, 2023', 'age': '29', 'clubName': 'Real Madrid', 'clubID': '418', 'value': '€2.50m'}, {'date': 'Jun 13, 2023', 'age': '29', 'clubName': 'Real Madrid', 'clubID': '418', 'value': '€2.50m'}, {'date': 'Oct 13, 2023', 'age': '30', 'clubName': 'Sevilla FC', 'clubID': '368', 'value': '€2.00m'}, {'date': 'Dec 22, 2023', 'age': '30', 'clubName': 'Sevilla FC', 'clubID': '368', 'value': '€2.00m'}, {'date': 'Jun 7, 2024', 'age': '30', 'clubName': 'Sevilla FC', 'clubID': '368', 'value': '€1.50m'}, {'date': 'Oct 16, 2024', 'age': '31', 'clubName': 'Without Club', 'clubID': '515', 'value': '€1.20m'}, {'date': 'Apr 4, 2025', 'age': '31', 'clubName': 'Without Club', 'clubID': '515', 'value': '€800k'}, {'date': 'Dec 12, 2025', 'age': '32', 'clubName': 'Deportivo Alavés', 'clubID': '1108', 'value': '€800k'}, {'date': 'Mar 16, 2026', 'age': '32', 'clubName': 'Deportivo Alavés', 'clubID': '1108', 'value': '€400k'}]}</t>
        </is>
      </c>
      <c r="L706" t="inlineStr">
        <is>
          <t>Spain</t>
        </is>
      </c>
      <c r="M706" t="inlineStr">
        <is>
          <t>1993-08-01</t>
        </is>
      </c>
      <c r="N706" t="inlineStr">
        <is>
          <t>Dominican Republic</t>
        </is>
      </c>
      <c r="O706">
        <f>(6+6+4+3)/4</f>
        <v/>
      </c>
      <c r="P706">
        <f>(10+10+7)/3</f>
        <v/>
      </c>
    </row>
    <row r="707">
      <c r="A707" t="inlineStr">
        <is>
          <t>Ozdoev</t>
        </is>
      </c>
      <c r="B707" t="inlineStr">
        <is>
          <t>Zenit</t>
        </is>
      </c>
      <c r="C707" t="inlineStr">
        <is>
          <t>Midfielder</t>
        </is>
      </c>
      <c r="D707" t="n">
        <v>11</v>
      </c>
      <c r="E707" t="n">
        <v>1</v>
      </c>
      <c r="F707" t="n">
        <v>1</v>
      </c>
      <c r="G707" t="n">
        <v>0</v>
      </c>
      <c r="H707" t="n">
        <v>2.2</v>
      </c>
      <c r="I707" t="n">
        <v>28</v>
      </c>
      <c r="J707" t="n">
        <v>137206</v>
      </c>
      <c r="K707" t="inlineStr">
        <is>
          <t>{'marketValueHistory': [{'date': 'Apr 2, 2010', 'age': '17', 'clubName': 'Lokomotiv Moscow II', 'clubID': '932', 'value': '€50k'}, {'date': 'Dec 7, 2010', 'age': '18', 'clubName': 'Lokomotiv Moscow II', 'clubID': '932', 'value': '€100k'}, {'date': 'May 12, 2011', 'age': '18', 'clubName': 'Lokomotiv Moskau', 'clubID': '932', 'value': '€800k'}, {'date': 'Jul 21, 2011', 'age': '18', 'clubName': 'Lokomotiv Moskau', 'clubID': '932', 'value': '€1.00m'}, {'date': 'Dec 23, 2011', 'age': '19', 'clubName': 'Lokomotiv Moskau', 'clubID': '932', 'value': '€1.80m'}, {'date': 'Jul 2, 2012', 'age': '19', 'clubName': 'Lokomotiv Moskau', 'clubID': '932', 'value': '€2.50m'}, {'date': 'Jan 20, 2013', 'age': '20', 'clubName': 'Lokomotiv Moskau', 'clubID': '932', 'value': '€2.50m'}, {'date': 'Jun 19, 2013', 'age': '20', 'clubName': 'Lokomotiv Moskau', 'clubID': '932', 'value': '€2.00m'}, {'date': 'Mar 3, 2014', 'age': '21', 'clubName': 'Lokomotiv Moskau', 'clubID': '932', 'value': '€1.80m'}, {'date': 'Jul 31, 2014', 'age': '21', 'clubName': 'Rubin Kazan', 'clubID': '2698', 'value': '€2.00m'}, {'date': 'Feb 23, 2015', 'age': '22', 'clubName': 'Rubin Kazan', 'clubID': '2698', 'value': '€4.50m'}, {'date': 'Jun 18, 2015', 'age': '22', 'clubName': 'Rubin Kazan', 'clubID': '2698', 'value': '€5.00m'}, {'date': 'Jan 6, 2016', 'age': '23', 'clubName': 'Rubin Kazan', 'clubID': '2698', 'value': '€5.00m'}, {'date': 'May 25, 2016', 'age': '23', 'clubName': 'Rubin Kazan', 'clubID': '2698', 'value': '€4.50m'}, {'date': 'Dec 27, 2016', 'age': '24', 'clubName': 'Rubin Kazan', 'clubID': '2698', 'value': '€3.00m'}, {'date': 'Jun 1, 2017', 'age': '24', 'clubName': 'Terek Grozny', 'clubID': '3725', 'value': '€2.50m'}, {'date': 'Dec 23, 2017', 'age': '25', 'clubName': 'Rubin Kazan', 'clubID': '2698', 'value': '€3.00m'}, {'date': 'Jun 6, 2018', 'age': '25', 'clubName': 'Zenit St. Petersburg', 'clubID': '964', 'value': '€2.50m'}, {'date': 'Dec 20, 2018', 'age': '26', 'clubName': 'Zenit St. Petersburg', 'clubID': '964', 'value': '€2.00m'}, {'date': 'Apr 24, 2019', 'age': '26', 'clubName': 'Zenit St. Petersburg', 'clubID': '964', 'value': '€2.50m'}, {'date': 'Jun 14, 2019', 'age': '26', 'clubName': 'Zenit St. Petersburg', 'clubID': '964', 'value': '€4.00m'}, {'date': 'Dec 23, 2019', 'age': '27', 'clubName': 'Zenit St. Petersburg', 'clubID': '964', 'value': '€7.00m'}, {'date': 'Apr 8, 2020', 'age': '27', 'clubName': 'Zenit St. Petersburg', 'clubID': '964', 'value': '€5.50m'}, {'date': 'Jul 29, 2020', 'age': '27', 'clubName': 'Zenit St. Petersburg', 'clubID': '964', 'value': '€6.00m'}, {'date': 'Dec 29, 2020', 'age': '28', 'clubName': 'Zenit St. Petersburg', 'clubID': '964', 'value': '€6.00m'}, {'date': 'May 26, 2021', 'age': '28', 'clubName': 'Zenit St. Petersburg', 'clubID': '964', 'value': '€5.00m'}, {'date': 'Dec 29, 2021', 'age': '29', 'clubName': 'Zenit St. Petersburg', 'clubID': '964', 'value': '€4.00m'}, {'date': 'Jun 2, 2022', 'age': '29', 'clubName': 'Zenit St. Petersburg', 'clubID': '964', 'value': '€2.50m'}, {'date': 'Oct 27, 2022', 'age': '29', 'clubName': 'Fatih Karagümrük', 'clubID': '6646', 'value': '€2.20m'}, {'date': 'Mar 14, 2023', 'age': '30', 'clubName': 'Fatih Karagümrük', 'clubID': '6646', 'value': '€2.20m'}, {'date': 'Jun 8, 2023', 'age': '30', 'clubName': 'Fatih Karagümrük', 'clubID': '6646', 'value': '€2.20m'}, {'date': 'Sep 21, 2023', 'age': '30', 'clubName': 'PAOK Thessaloniki', 'clubID': '1091', 'value': '€2.00m'}, {'date': 'Dec 20, 2023', 'age': '31', 'clubName': 'PAOK Thessaloniki', 'clubID': '1091', 'value': '€2.00m'}, {'date': 'May 30, 2024', 'age': '31', 'clubName': 'PAOK Thessaloniki', 'clubID': '1091', 'value': '€2.00m'}, {'date': 'Dec 18, 2024', 'age': '32', 'clubName': 'PAOK Thessaloniki', 'clubID': '1091', 'value': '€1.80m'}, {'date': 'May 23, 2025', 'age': '32', 'clubName': 'PAOK Thessaloniki', 'clubID': '1091', 'value': '€1.50m'}, {'date': 'Dec 12, 2025', 'age': '33', 'clubName': 'PAOK Thessaloniki', 'clubID': '1091', 'value': '€1.50m'}]}</t>
        </is>
      </c>
      <c r="L707" t="inlineStr">
        <is>
          <t>Russia</t>
        </is>
      </c>
      <c r="M707" t="inlineStr">
        <is>
          <t>1992-11-05</t>
        </is>
      </c>
      <c r="N707" t="inlineStr">
        <is>
          <t>Russia</t>
        </is>
      </c>
      <c r="O707">
        <f>(2.5+2.2)/2</f>
        <v/>
      </c>
      <c r="P707">
        <f>(5+4)/2</f>
        <v/>
      </c>
    </row>
    <row r="708">
      <c r="A708" t="inlineStr">
        <is>
          <t>Bruno Costa</t>
        </is>
      </c>
      <c r="B708" t="inlineStr">
        <is>
          <t>FC Porto</t>
        </is>
      </c>
      <c r="C708" t="inlineStr">
        <is>
          <t>Midfielder</t>
        </is>
      </c>
      <c r="D708" t="n">
        <v>11</v>
      </c>
      <c r="E708" t="n">
        <v>1</v>
      </c>
      <c r="F708" t="n">
        <v>0</v>
      </c>
      <c r="G708" t="n">
        <v>0</v>
      </c>
      <c r="H708" t="n">
        <v>2</v>
      </c>
      <c r="I708" t="n">
        <v>32.1</v>
      </c>
      <c r="J708" t="n">
        <v>344519</v>
      </c>
      <c r="K708" t="inlineStr">
        <is>
          <t>{'id': '344519', 'marketValue': '€1.20m', 'marketValueHistory': [{'age': '19', 'date': 'Sep 30, 2016', 'clubName': 'FC Porto B', 'value': '€25k', 'clubID': '10331'}, {'age': '20', 'date': 'Jun 30, 2017', 'clubName': 'FC Porto B', 'value': '€100k', 'clubID': '10331'}, {'age': '20', 'date': 'Sep 8, 2017', 'clubName': 'FC Porto B', 'value': '€100k', 'clubID': '10331'}, {'age': '20', 'date': 'Feb 23, 2018', 'clubName': 'FC Porto B', 'value': '€250k', 'clubID': '10331'}, {'age': '21', 'date': 'Jun 29, 2018', 'clubName': 'FC Porto B', 'value': '€1.25m', 'clubID': '10331'}, {'age': '21', 'date': 'Jan 11, 2019', 'clubName': 'FC Porto', 'value': '€1.00m', 'clubID': '720'}, {'age': '22', 'date': 'Jun 7, 2019', 'clubName': 'FC Porto', 'value': '€1.00m', 'clubID': '720'}, {'age': '22', 'date': 'Dec 30, 2019', 'clubName': 'FC Porto', 'value': '€2.00m', 'clubID': '720'}, {'age': '22', 'date': 'Apr 8, 2020', 'clubName': 'Portimonense SC', 'value': '€1.60m', 'clubID': '7378'}, {'age': '23', 'date': 'Aug 17, 2020', 'clubName': 'FC Paços de Ferreira', 'value': '€1.00m', 'clubID': '2995'}, {'age': '23', 'date': 'Jan 28, 2021', 'clubName': 'FC Paços de Ferreira', 'value': '€2.00m', 'clubID': '2995'}, {'age': '24', 'date': 'May 21, 2021', 'clubName': 'FC Paços de Ferreira', 'value': '€2.50m', 'clubID': '2995'}, {'age': '24', 'date': 'Dec 27, 2021', 'clubName': 'FC Porto', 'value': '€2.50m', 'clubID': '720'}, {'age': '25', 'date': 'May 31, 2022', 'clubName': 'FC Porto', 'value': '€2.50m', 'clubID': '720'}, {'age': '25', 'date': 'Nov 1, 2022', 'clubName': 'FC Porto', 'value': '€2.50m', 'clubID': '720'}, {'age': '25', 'date': 'Mar 2, 2023', 'clubName': 'FC Porto B', 'value': '€2.00m', 'clubID': '10331'}, {'age': '26', 'date': 'Jun 16, 2023', 'clubName': 'FC Porto B', 'value': '€1.50m', 'clubID': '10331'}, {'age': '26', 'date': 'Dec 13, 2023', 'clubName': 'Valenciennes FC', 'value': '€1.20m', 'clubID': '1423'}], 'ranking': {'Worldwide': '6.078', 'Liga Portugal': '165', 'Vizela': '3', 'Portugal': '177', 'Central Midfield': '789', 'Year 1997': '588'}, 'updatedAt': datetime.datetime(2024, 5, 23, 22, 32, 37, 485739)}</t>
        </is>
      </c>
      <c r="L708" t="inlineStr">
        <is>
          <t>Portugal</t>
        </is>
      </c>
      <c r="M708" t="inlineStr">
        <is>
          <t>1997-04-19</t>
        </is>
      </c>
      <c r="N708" t="inlineStr">
        <is>
          <t>3</t>
        </is>
      </c>
      <c r="O708">
        <f>(2.5+2.5)/2</f>
        <v/>
      </c>
      <c r="P708">
        <f>(2+2.5+2.5)/3</f>
        <v/>
      </c>
    </row>
    <row r="709">
      <c r="A709" t="inlineStr">
        <is>
          <t>Raba</t>
        </is>
      </c>
      <c r="B709" t="inlineStr">
        <is>
          <t>Villarreal</t>
        </is>
      </c>
      <c r="C709" t="inlineStr">
        <is>
          <t>Midfielder</t>
        </is>
      </c>
      <c r="D709" t="n">
        <v>11</v>
      </c>
      <c r="E709" t="n">
        <v>1</v>
      </c>
      <c r="F709" t="n">
        <v>0</v>
      </c>
      <c r="G709" t="n">
        <v>0</v>
      </c>
      <c r="H709" t="n">
        <v>1.7</v>
      </c>
      <c r="I709" t="n">
        <v>26.4</v>
      </c>
      <c r="J709" t="n">
        <v>287579</v>
      </c>
      <c r="K709" t="inlineStr">
        <is>
          <t>{'marketValueHistory': [{'date': 'Sep 25, 2014', 'age': '18', 'clubName': 'FC Utrecht U21', 'clubID': '200', 'value': '€50k'}, {'date': 'Feb 16, 2015', 'age': '18', 'clubName': 'FC Utrecht U21', 'clubID': '200', 'value': '€100k'}, {'date': 'Jul 1, 2015', 'age': '18', 'clubName': 'FC Utrecht', 'clubID': '200', 'value': '€350k'}, {'date': 'Feb 5, 2016', 'age': '19', 'clubName': 'FC Utrecht', 'clubID': '200', 'value': '€400k'}, {'date': 'Jul 15, 2016', 'age': '19', 'clubName': 'FC Utrecht', 'clubID': '200', 'value': '€450k'}, {'date': 'Oct 17, 2016', 'age': '20', 'clubName': 'FC Utrecht', 'clubID': '200', 'value': '€650k'}, {'date': 'Jan 18, 2017', 'age': '20', 'clubName': 'FC Utrecht', 'clubID': '200', 'value': '€900k'}, {'date': 'Jun 7, 2017', 'age': '20', 'clubName': 'FC Utrecht', 'clubID': '200', 'value': '€3.00m'}, {'date': 'Oct 26, 2017', 'age': '21', 'clubName': 'Feyenoord Rotterdam', 'clubID': '234', 'value': '€4.00m'}, {'date': 'Jan 17, 2018', 'age': '21', 'clubName': 'Feyenoord Rotterdam', 'clubID': '234', 'value': '€5.00m'}, {'date': 'Jun 12, 2018', 'age': '21', 'clubName': 'Feyenoord Rotterdam', 'clubID': '234', 'value': '€4.50m'}, {'date': 'Dec 27, 2018', 'age': '22', 'clubName': 'Club Brugge KV', 'clubID': '2282', 'value': '€3.80m'}, {'date': 'Jun 10, 2019', 'age': '22', 'clubName': 'Club Brugge KV', 'clubID': '2282', 'value': '€3.00m'}, {'date': 'Dec 12, 2019', 'age': '23', 'clubName': 'Hellas Verona', 'clubID': '276', 'value': '€10.00m'}, {'date': 'Feb 11, 2020', 'age': '23', 'clubName': 'Hellas Verona', 'clubID': '276', 'value': '€18.00m'}, {'date': 'Apr 8, 2020', 'age': '23', 'clubName': 'Hellas Verona', 'clubID': '276', 'value': '€14.50m'}, {'date': 'Aug 25, 2020', 'age': '24', 'clubName': 'Hellas Verona', 'clubID': '276', 'value': '€20.00m'}, {'date': 'Dec 29, 2020', 'age': '24', 'clubName': 'ACF Fiorentina', 'clubID': '430', 'value': '€18.00m'}, {'date': 'Jun 3, 2021', 'age': '24', 'clubName': 'ACF Fiorentina', 'clubID': '430', 'value': '€15.00m'}, {'date': 'Oct 14, 2021', 'age': '25', 'clubName': 'ACF Fiorentina', 'clubID': '430', 'value': '€12.00m'}, {'date': 'Dec 28, 2021', 'age': '25', 'clubName': 'ACF Fiorentina', 'clubID': '430', 'value': '€9.00m'}, {'date': 'Jun 7, 2022', 'age': '25', 'clubName': 'ACF Fiorentina', 'clubID': '430', 'value': '€10.00m'}, {'date': 'Nov 11, 2022', 'age': '26', 'clubName': 'ACF Fiorentina', 'clubID': '430', 'value': '€10.00m'}, {'date': 'Dec 23, 2022', 'age': '26', 'clubName': 'ACF Fiorentina', 'clubID': '430', 'value': '€25.00m'}, {'date': 'Jun 15, 2023', 'age': '26', 'clubName': 'ACF Fiorentina', 'clubID': '430', 'value': '€30.00m'}, {'date': 'Dec 19, 2023', 'age': '27', 'clubName': 'Manchester United', 'clubID': '985', 'value': '€28.00m'}, {'date': 'Mar 14, 2024', 'age': '27', 'clubName': 'Manchester United', 'clubID': '985', 'value': '€22.00m'}, {'date': 'May 27, 2024', 'age': '27', 'clubName': 'Manchester United', 'clubID': '985', 'value': '€22.00m'}, {'date': 'Oct 4, 2024', 'age': '28', 'clubName': 'Fenerbahce', 'clubID': '36', 'value': '€22.00m'}, {'date': 'Dec 23, 2024', 'age': '28', 'clubName': 'Fenerbahce', 'clubID': '36', 'value': '€22.00m'}, {'date': 'Mar 20, 2025', 'age': '28', 'clubName': 'Fenerbahce', 'clubID': '36', 'value': '€20.00m'}, {'date': 'Jun 18, 2025', 'age': '28', 'clubName': 'Fenerbahce', 'clubID': '36', 'value': '€17.00m'}, {'date': 'Oct 2, 2025', 'age': '29', 'clubName': 'Real Betis Balompié', 'clubID': '150', 'value': '€12.00m'}, {'date': 'Dec 12, 2025', 'age': '29', 'clubName': 'Real Betis Balompié', 'clubID': '150', 'value': '€12.00m'}]}</t>
        </is>
      </c>
      <c r="L709" t="inlineStr">
        <is>
          <t>Morocco</t>
        </is>
      </c>
      <c r="M709" t="inlineStr">
        <is>
          <t>1996-08-21</t>
        </is>
      </c>
      <c r="N709" t="inlineStr">
        <is>
          <t>73</t>
        </is>
      </c>
      <c r="O709">
        <f>(10+10+25)/3</f>
        <v/>
      </c>
      <c r="P709">
        <f>(15+12+9)/3</f>
        <v/>
      </c>
    </row>
    <row r="710">
      <c r="A710" t="inlineStr">
        <is>
          <t>Iborra</t>
        </is>
      </c>
      <c r="B710" t="inlineStr">
        <is>
          <t>Villarreal</t>
        </is>
      </c>
      <c r="C710" t="inlineStr">
        <is>
          <t>Midfielder</t>
        </is>
      </c>
      <c r="D710" t="n">
        <v>10</v>
      </c>
      <c r="E710" t="n">
        <v>1</v>
      </c>
      <c r="F710" t="n">
        <v>0</v>
      </c>
      <c r="G710" t="n">
        <v>0</v>
      </c>
      <c r="H710" t="n">
        <v>1.8</v>
      </c>
      <c r="I710" t="n">
        <v>24.6</v>
      </c>
      <c r="J710" t="n">
        <v>65467</v>
      </c>
      <c r="K710" t="inlineStr">
        <is>
          <t>{'marketValueHistory': [{'date': '11/01/2008', 'age': '19', 'clubName': 'Levante UD', 'clubID': '3368', 'value': '€100k'}, {'date': '04/02/2008', 'age': '20', 'clubName': 'Levante UD', 'clubID': '3368', 'value': '€300k'}, {'date': '20/08/2008', 'age': '20', 'clubName': 'Levante UD', 'clubID': '3368', 'value': '€400k'}, {'date': '17/01/2009', 'age': '21', 'clubName': 'Levante UD', 'clubID': '3368', 'value': '€700k'}, {'date': '06/08/2009', 'age': '21', 'clubName': 'Levante UD', 'clubID': '3368', 'value': '€1.00m'}, {'date': '26/11/2009', 'age': '21', 'clubName': 'Levante UD', 'clubID': '3368', 'value': '€1.20m'}, {'date': '05/04/2010', 'age': '22', 'clubName': 'Levante UD', 'clubID': '3368', 'value': '€1.40m'}, {'date': '20/08/2010', 'age': '22', 'clubName': 'Levante UD', 'clubID': '3368', 'value': '€2.00m'}, {'date': '04/02/2011', 'age': '23', 'clubName': 'Levante UD', 'clubID': '3368', 'value': '€2.00m'}, {'date': '08/08/2011', 'age': '23', 'clubName': 'Levante UD', 'clubID': '3368', 'value': '€2.50m'}, {'date': '05/02/2012', 'age': '24', 'clubName': 'Levante UD', 'clubID': '3368', 'value': '€2.50m'}, {'date': '12/08/2012', 'age': '24', 'clubName': 'Levante UD', 'clubID': '3368', 'value': '€3.00m'}, {'date': '11/01/2013', 'age': '24', 'clubName': 'Levante UD', 'clubID': '3368', 'value': '€3.00m'}, {'date': '14/06/2013', 'age': '25', 'clubName': 'Levante UD', 'clubID': '3368', 'value': '€4.00m'}, {'date': '19/08/2013', 'age': '25', 'clubName': 'Sevilla FC', 'clubID': '368', 'value': '€6.00m'}, {'date': '23/01/2014', 'age': '26', 'clubName': 'Sevilla FC', 'clubID': '368', 'value': '€6.00m'}, {'date': '20/07/2014', 'age': '26', 'clubName': 'Sevilla FC', 'clubID': '368', 'value': '€7.00m'}, {'date': '23/01/2015', 'age': '27', 'clubName': 'Sevilla FC', 'clubID': '368', 'value': '€7.00m'}, {'date': '09/04/2015', 'age': '27', 'clubName': 'Sevilla FC', 'clubID': '368', 'value': '€7.50m'}, {'date': '01/07/2015', 'age': '27', 'clubName': 'Sevilla FC', 'clubID': '368', 'value': '€8.00m'}, {'date': '22/02/2016', 'age': '28', 'clubName': 'Sevilla FC', 'clubID': '368', 'value': '€8.00m'}, {'date': '15/07/2016', 'age': '28', 'clubName': 'Sevilla FC', 'clubID': '368', 'value': '€9.00m'}, {'date': '24/01/2017', 'age': '29', 'clubName': 'Sevilla FC', 'clubID': '368', 'value': '€9.00m'}, {'date': '05/06/2017', 'age': '29', 'clubName': 'Sevilla FC', 'clubID': '368', 'value': '€9.00m'}, {'date': '16/08/2017', 'age': '29', 'clubName': 'Leicester City', 'clubID': '1003', 'value': '€10.00m'}, {'date': '02/01/2018', 'age': '29', 'clubName': 'Leicester City', 'clubID': '1003', 'value': '€10.00m'}, {'date': '28/05/2018', 'age': '30', 'clubName': 'Leicester City', 'clubID': '1003', 'value': '€10.00m'}, {'date': '19/12/2018', 'age': '30', 'clubName': 'Leicester City', 'clubID': '1003', 'value': '€9.00m'}, {'date': '11/06/2019', 'age': '31', 'clubName': 'Villarreal CF', 'clubID': '1050', 'value': '€9.00m'}, {'date': '20/12/2019', 'age': '31', 'clubName': 'Villarreal CF', 'clubID': '1050', 'value': '€7.50m'}, {'date': '08/04/2020', 'age': '32', 'clubName': 'Villarreal CF', 'clubID': '1050', 'value': '€6.00m'}, {'date': '08/10/2020', 'age': '32', 'clubName': 'Villarreal CF', 'clubID': '1050', 'value': '€4.00m'}, {'date': '05/01/2021', 'age': '32', 'clubName': 'Villarreal CF', 'clubID': '1050', 'value': '€3.50m'}, {'date': '10/06/2021', 'age': '33', 'clubName': 'Villarreal CF', 'clubID': '1050', 'value': '€3.00m'}, {'date': '30/12/2021', 'age': '33', 'clubName': 'Villarreal CF', 'clubID': '1050', 'value': '€2.00m'}, {'date': '03/06/2022', 'age': '34', 'clubName': 'Villarreal CF', 'clubID': '1050', 'value': '€2.00m'}, {'date': '29/12/2022', 'age': '34', 'clubName': 'Levante UD', 'clubID': '3368', 'value': '€2.00m'}, {'date': '14/06/2023', 'age': '35', 'clubName': 'Levante UD', 'clubID': '3368', 'value': '€1.20m'}, {'date': '21/09/2023', 'age': '35', 'clubName': 'Olympiacos Piraeus', 'clubID': '683', 'value': '€600k'}, {'date': '20/12/2023', 'age': '35', 'clubName': 'Olympiacos Piraeus', 'clubID': '683', 'value': '€500k'}, {'date': '06/03/2024', 'age': '36', 'clubName': 'Olympiacos Piraeus', 'clubID': '683', 'value': '€400k'}, {'date': '30/05/2024', 'age': '36', 'clubName': 'Olympiacos Piraeus', 'clubID': '683', 'value': '€300k'}, {'date': '13/12/2024', 'age': '36', 'clubName': 'Levante UD', 'clubID': '3368', 'value': '€250k'}, {'date': '27/03/2025', 'age': '37', 'clubName': 'Levante UD', 'clubID': '3368', 'value': '€200k'}, {'date': '24/06/2025', 'age': '37', 'clubName': 'Levante UD', 'clubID': '3368', 'value': '€200k'}, {'date': '04/07/2025', 'age': '37', 'clubName': 'Retired', 'clubID': '123', 'value': '-'}]}</t>
        </is>
      </c>
      <c r="L710" t="inlineStr">
        <is>
          <t>Spain</t>
        </is>
      </c>
      <c r="M710" t="inlineStr">
        <is>
          <t>1988-01-16</t>
        </is>
      </c>
      <c r="N710" t="inlineStr">
        <is>
          <t>Spain</t>
        </is>
      </c>
      <c r="O710">
        <f>(2+2)/2</f>
        <v/>
      </c>
      <c r="P710">
        <f>(3.5+3+2)/3</f>
        <v/>
      </c>
    </row>
    <row r="711">
      <c r="A711" t="inlineStr">
        <is>
          <t>Bonnah</t>
        </is>
      </c>
      <c r="B711" t="inlineStr">
        <is>
          <t>Leipzig</t>
        </is>
      </c>
      <c r="C711" t="inlineStr">
        <is>
          <t>Defender</t>
        </is>
      </c>
      <c r="D711" t="n">
        <v>10</v>
      </c>
      <c r="E711" t="n">
        <v>1</v>
      </c>
      <c r="F711" t="n">
        <v>0</v>
      </c>
      <c r="G711" t="n">
        <v>0</v>
      </c>
      <c r="H711" t="n">
        <v>1.6</v>
      </c>
      <c r="I711" t="n">
        <v>29.4</v>
      </c>
      <c r="J711" t="n">
        <v>508637</v>
      </c>
      <c r="K711" t="inlineStr">
        <is>
          <t>{'marketValueHistory': [{'date': 'Dec 22, 2021', 'age': '18', 'clubName': 'RB Leipzig U19', 'clubID': '26621', 'value': '€750k'}, {'date': 'Jun 9, 2022', 'age': '18', 'clubName': 'RB Leipzig U19', 'clubID': '26621', 'value': '€750k'}, {'date': 'Nov 10, 2022', 'age': '19', 'clubName': 'SK Austria Klagenfurt', 'clubID': '28760', 'value': '€500k'}, {'date': 'Jun 12, 2023', 'age': '19', 'clubName': 'SK Austria Klagenfurt', 'clubID': '28760', 'value': '€500k'}, {'date': 'Sep 11, 2023', 'age': '20', 'clubName': 'SK Austria Klagenfurt', 'clubID': '28760', 'value': '€350k'}, {'date': 'Dec 11, 2023', 'age': '20', 'clubName': 'SK Austria Klagenfurt', 'clubID': '28760', 'value': '€500k'}, {'date': 'May 21, 2024', 'age': '20', 'clubName': 'SK Austria Klagenfurt', 'clubID': '28760', 'value': '€500k'}, {'date': 'Dec 17, 2024', 'age': '21', 'clubName': 'SK Austria Klagenfurt', 'clubID': '28760', 'value': '€400k'}, {'date': 'Jun 6, 2025', 'age': '21', 'clubName': 'SK Austria Klagenfurt', 'clubID': '28760', 'value': '€300k'}, {'date': 'Dec 16, 2025', 'age': '22', 'clubName': 'Vitesse Arnhem', 'clubID': '499', 'value': '€275k'}]}</t>
        </is>
      </c>
      <c r="L711" t="inlineStr">
        <is>
          <t>Netherlands</t>
        </is>
      </c>
      <c r="M711" t="inlineStr">
        <is>
          <t>2003-08-19</t>
        </is>
      </c>
      <c r="N711" t="inlineStr">
        <is>
          <t>Netherlands</t>
        </is>
      </c>
      <c r="O711">
        <f>(0.75+0.5)/2</f>
        <v/>
      </c>
      <c r="P711">
        <f>0.75</f>
        <v/>
      </c>
    </row>
    <row r="712">
      <c r="A712" t="inlineStr">
        <is>
          <t>Sensi</t>
        </is>
      </c>
      <c r="B712" t="inlineStr">
        <is>
          <t>Inter</t>
        </is>
      </c>
      <c r="C712" t="inlineStr">
        <is>
          <t>Midfielder</t>
        </is>
      </c>
      <c r="D712" t="n">
        <v>9</v>
      </c>
      <c r="E712" t="n">
        <v>2</v>
      </c>
      <c r="F712" t="n">
        <v>0</v>
      </c>
      <c r="G712" t="n">
        <v>0</v>
      </c>
      <c r="H712" t="n">
        <v>2.2</v>
      </c>
      <c r="I712" t="n">
        <v>24.8</v>
      </c>
      <c r="J712" t="n">
        <v>296622</v>
      </c>
      <c r="K712" t="inlineStr">
        <is>
          <t>{'marketValueHistory': [{'date': '10/02/2014', 'age': '18', 'clubName': 'RCD Mallorca B', 'clubID': '8494', 'value': '€100k'}, {'date': '18/05/2014', 'age': '18', 'clubName': 'RCD Mallorca B', 'clubID': '8494', 'value': '€1.00m'}, {'date': '12/08/2014', 'age': '18', 'clubName': 'RCD Mallorca', 'clubID': '237', 'value': '€1.00m'}, {'date': '08/01/2015', 'age': '18', 'clubName': 'RCD Mallorca', 'clubID': '237', 'value': '€3.50m'}, {'date': '01/07/2015', 'age': '19', 'clubName': 'Real Madrid', 'clubID': '418', 'value': '€3.50m'}, {'date': '23/11/2015', 'age': '19', 'clubName': 'RCD Espanyol Barcelona', 'clubID': '714', 'value': '€5.00m'}, {'date': '22/02/2016', 'age': '20', 'clubName': 'RCD Espanyol Barcelona', 'clubID': '714', 'value': '€7.00m'}, {'date': '07/04/2016', 'age': '20', 'clubName': 'RCD Espanyol Barcelona', 'clubID': '714', 'value': '€8.00m'}, {'date': '15/07/2016', 'age': '20', 'clubName': 'Real Madrid', 'clubID': '418', 'value': '€12.00m'}, {'date': '27/10/2016', 'age': '20', 'clubName': 'Real Madrid', 'clubID': '418', 'value': '€15.00m'}, {'date': '24/01/2017', 'age': '21', 'clubName': 'Real Madrid', 'clubID': '418', 'value': '€15.00m'}, {'date': '05/06/2017', 'age': '21', 'clubName': 'Real Madrid', 'clubID': '418', 'value': '€20.00m'}, {'date': '17/08/2017', 'age': '21', 'clubName': 'Real Madrid', 'clubID': '418', 'value': '€30.00m'}, {'date': '01/01/2018', 'age': '21', 'clubName': 'Real Madrid', 'clubID': '418', 'value': '€50.00m'}, {'date': '22/03/2018', 'age': '22', 'clubName': 'Real Madrid', 'clubID': '418', 'value': '€75.00m'}, {'date': '30/05/2018', 'age': '22', 'clubName': 'Real Madrid', 'clubID': '418', 'value': '€75.00m'}, {'date': '31/10/2018', 'age': '22', 'clubName': 'Real Madrid', 'clubID': '418', 'value': '€90.00m'}, {'date': '21/12/2018', 'age': '22', 'clubName': 'Real Madrid', 'clubID': '418', 'value': '€80.00m'}, {'date': '11/06/2019', 'age': '23', 'clubName': 'Real Madrid', 'clubID': '418', 'value': '€60.00m'}, {'date': '20/12/2019', 'age': '23', 'clubName': 'Real Madrid', 'clubID': '418', 'value': '€40.00m'}, {'date': '08/04/2020', 'age': '24', 'clubName': 'Real Madrid', 'clubID': '418', 'value': '€32.00m'}, {'date': '23/07/2020', 'age': '24', 'clubName': 'Real Madrid', 'clubID': '418', 'value': '€40.00m'}, {'date': '08/10/2020', 'age': '24', 'clubName': 'Real Madrid', 'clubID': '418', 'value': '€40.00m'}, {'date': '05/01/2021', 'age': '24', 'clubName': 'Real Madrid', 'clubID': '418', 'value': '€35.00m'}, {'date': '10/06/2021', 'age': '25', 'clubName': 'Real Madrid', 'clubID': '418', 'value': '€35.00m'}, {'date': '30/12/2021', 'age': '25', 'clubName': 'Real Madrid', 'clubID': '418', 'value': '€40.00m'}, {'date': '03/06/2022', 'age': '26', 'clubName': 'Real Madrid', 'clubID': '418', 'value': '€40.00m'}, {'date': '23/09/2022', 'age': '26', 'clubName': 'Real Madrid', 'clubID': '418', 'value': '€35.00m'}, {'date': '07/11/2022', 'age': '26', 'clubName': 'Real Madrid', 'clubID': '418', 'value': '€25.00m'}, {'date': '13/06/2023', 'age': '27', 'clubName': 'Real Madrid', 'clubID': '418', 'value': '€25.00m'}, {'date': '18/12/2023', 'age': '27', 'clubName': 'Paris Saint-Germain', 'clubID': '583', 'value': '€20.00m'}, {'date': '03/06/2024', 'age': '28', 'clubName': 'Paris Saint-Germain', 'clubID': '583', 'value': '€20.00m'}, {'date': '10/12/2024', 'age': '28', 'clubName': 'Paris Saint-Germain', 'clubID': '583', 'value': '€20.00m'}, {'date': '30/05/2025', 'age': '29', 'clubName': 'Aston Villa', 'clubID': '405', 'value': '€20.00m'}, {'date': '01/10/2025', 'age': '29', 'clubName': 'Fenerbahce', 'clubID': '36', 'value': '€17.00m'}, {'date': '17/12/2025', 'age': '29', 'clubName': 'Fenerbahce', 'clubID': '36', 'value': '€15.00m'}]}</t>
        </is>
      </c>
      <c r="L712" t="inlineStr">
        <is>
          <t>Spain</t>
        </is>
      </c>
      <c r="M712" t="inlineStr">
        <is>
          <t>1996-01-21</t>
        </is>
      </c>
      <c r="N712" t="inlineStr">
        <is>
          <t>38</t>
        </is>
      </c>
      <c r="O712">
        <f>(40+35+25)/3</f>
        <v/>
      </c>
      <c r="P712">
        <f>(35+35+40)/3</f>
        <v/>
      </c>
    </row>
    <row r="713">
      <c r="A713" t="inlineStr">
        <is>
          <t>Lednev</t>
        </is>
      </c>
      <c r="B713" t="inlineStr">
        <is>
          <t>Dynamo Kyiv</t>
        </is>
      </c>
      <c r="C713" t="inlineStr">
        <is>
          <t>Midfielder</t>
        </is>
      </c>
      <c r="D713" t="n">
        <v>9</v>
      </c>
      <c r="E713" t="n">
        <v>1</v>
      </c>
      <c r="F713" t="n">
        <v>0</v>
      </c>
      <c r="G713" t="n">
        <v>0</v>
      </c>
      <c r="H713" t="n">
        <v>2.1</v>
      </c>
      <c r="I713" t="n">
        <v>30.2</v>
      </c>
      <c r="J713" t="n">
        <v>423606</v>
      </c>
      <c r="K713" t="inlineStr">
        <is>
          <t>{'marketValueHistory': [{'date': '06/08/2018', 'age': '20', 'clubName': 'Zorya Lugansk', 'clubID': '10690', 'value': '€100k'}, {'date': '10/12/2018', 'age': '20', 'clubName': 'Zorya Lugansk', 'clubID': '10690', 'value': '€500k'}, {'date': '20/06/2019', 'age': '21', 'clubName': 'Zorya Lugansk', 'clubID': '10690', 'value': '€500k'}, {'date': '08/01/2020', 'age': '21', 'clubName': 'Zorya Lugansk', 'clubID': '10690', 'value': '€2.00m'}, {'date': '08/04/2020', 'age': '22', 'clubName': 'Zorya Lugansk', 'clubID': '10690', 'value': '€1.80m'}, {'date': '04/09/2020', 'age': '22', 'clubName': 'Dynamo Kyiv', 'clubID': '338', 'value': '€2.50m'}, {'date': '14/01/2021', 'age': '22', 'clubName': 'Dynamo Kyiv', 'clubID': '338', 'value': '€2.50m'}, {'date': '27/05/2021', 'age': '23', 'clubName': 'Dynamo Kyiv', 'clubID': '338', 'value': '€2.00m'}, {'date': '20/12/2021', 'age': '23', 'clubName': 'Dynamo Kyiv', 'clubID': '338', 'value': '€1.50m'}, {'date': '07/06/2022', 'age': '24', 'clubName': 'Videoton FC Fehérvár', 'clubID': '11107', 'value': '€1.00m'}, {'date': '11/10/2022', 'age': '24', 'clubName': 'Fehérvár FC', 'clubID': '11107', 'value': '€800k'}, {'date': '21/06/2023', 'age': '25', 'clubName': 'Dynamo Kyiv', 'clubID': '338', 'value': '€600k'}, {'date': '11/12/2023', 'age': '25', 'clubName': 'SC Dnipro-1', 'clubID': '60551', 'value': '€800k'}, {'date': '06/06/2024', 'age': '26', 'clubName': 'SC Dnipro-1', 'clubID': '60551', 'value': '€1.20m'}, {'date': '17/12/2024', 'age': '26', 'clubName': 'Polissya Zhytomyr', 'clubID': '53646', 'value': '€1.00m'}, {'date': '10/06/2025', 'age': '27', 'clubName': 'Polissya Zhytomyr', 'clubID': '53646', 'value': '€800k'}, {'date': '18/12/2025', 'age': '27', 'clubName': 'Polissya Zhytomyr', 'clubID': '53646', 'value': '€700k'}]}</t>
        </is>
      </c>
      <c r="L713" t="inlineStr">
        <is>
          <t>Ukraine</t>
        </is>
      </c>
      <c r="M713" t="inlineStr">
        <is>
          <t>1998-04-07</t>
        </is>
      </c>
      <c r="N713" t="inlineStr">
        <is>
          <t>Ukraine</t>
        </is>
      </c>
      <c r="O713">
        <f>(1+0.8)/2</f>
        <v/>
      </c>
      <c r="P713">
        <f>(2.5+2+1.5)/3</f>
        <v/>
      </c>
    </row>
    <row r="714">
      <c r="A714" t="inlineStr">
        <is>
          <t>Zhegrova</t>
        </is>
      </c>
      <c r="B714" t="inlineStr">
        <is>
          <t>Lille</t>
        </is>
      </c>
      <c r="C714" t="inlineStr">
        <is>
          <t>Midfielder</t>
        </is>
      </c>
      <c r="D714" t="n">
        <v>9</v>
      </c>
      <c r="E714" t="n">
        <v>1</v>
      </c>
      <c r="F714" t="n">
        <v>0</v>
      </c>
      <c r="G714" t="n">
        <v>0</v>
      </c>
      <c r="H714" t="n">
        <v>1.9</v>
      </c>
      <c r="I714" t="n">
        <v>27.8</v>
      </c>
      <c r="J714" t="n">
        <v>496857</v>
      </c>
      <c r="K714" t="inlineStr">
        <is>
          <t>{'marketValueHistory': [{'date': 'Jul 25, 2017', 'age': '18', 'clubName': 'KRC Genk', 'clubID': '1184', 'value': '€150k'}, {'date': 'Jan 9, 2018', 'age': '18', 'clubName': 'KRC Genk', 'clubID': '1184', 'value': '€700k'}, {'date': 'Jun 3, 2018', 'age': '19', 'clubName': 'KRC Genk', 'clubID': '1184', 'value': '€700k'}, {'date': 'Sep 11, 2018', 'age': '19', 'clubName': 'KRC Genk', 'clubID': '1184', 'value': '€1.50m'}, {'date': 'Dec 27, 2018', 'age': '19', 'clubName': 'KRC Genk', 'clubID': '1184', 'value': '€1.50m'}, {'date': 'Jun 4, 2019', 'age': '20', 'clubName': 'FC Basel 1893', 'clubID': '26', 'value': '€1.50m'}, {'date': 'Jan 6, 2020', 'age': '20', 'clubName': 'FC Basel 1893', 'clubID': '26', 'value': '€1.50m'}, {'date': 'Apr 8, 2020', 'age': '21', 'clubName': 'FC Basel 1893', 'clubID': '26', 'value': '€1.30m'}, {'date': 'Dec 28, 2020', 'age': '21', 'clubName': 'FC Basel 1893', 'clubID': '26', 'value': '€1.50m'}, {'date': 'Jun 23, 2021', 'age': '22', 'clubName': 'FC Basel 1893', 'clubID': '26', 'value': '€2.00m'}, {'date': 'Jan 3, 2022', 'age': '22', 'clubName': 'FC Basel 1893', 'clubID': '26', 'value': '€2.00m'}, {'date': 'Mar 23, 2022', 'age': '22', 'clubName': 'LOSC Lille', 'clubID': '1082', 'value': '€4.00m'}, {'date': 'May 30, 2022', 'age': '23', 'clubName': 'LOSC Lille', 'clubID': '1082', 'value': '€5.00m'}, {'date': 'Nov 2, 2022', 'age': '23', 'clubName': 'LOSC Lille', 'clubID': '1082', 'value': '€5.00m'}, {'date': 'Mar 27, 2023', 'age': '23', 'clubName': 'LOSC Lille', 'clubID': '1082', 'value': '€7.00m'}, {'date': 'Jun 27, 2023', 'age': '24', 'clubName': 'LOSC Lille', 'clubID': '1082', 'value': '€8.00m'}, {'date': 'Dec 18, 2023', 'age': '24', 'clubName': 'LOSC Lille', 'clubID': '1082', 'value': '€10.00m'}, {'date': 'Mar 19, 2024', 'age': '24', 'clubName': 'LOSC Lille', 'clubID': '1082', 'value': '€15.00m'}, {'date': 'Jun 3, 2024', 'age': '25', 'clubName': 'LOSC Lille', 'clubID': '1082', 'value': '€25.00m'}, {'date': 'Dec 10, 2024', 'age': '25', 'clubName': 'LOSC Lille', 'clubID': '1082', 'value': '€25.00m'}, {'date': 'Jun 3, 2025', 'age': '26', 'clubName': 'LOSC Lille', 'clubID': '1082', 'value': '€25.00m'}, {'date': 'Dec 23, 2025', 'age': '26', 'clubName': 'Juventus FC', 'clubID': '506', 'value': '€20.00m'}, {'date': 'Mar 24, 2026', 'age': '26', 'clubName': 'Juventus FC', 'clubID': '506', 'value': '€14.00m'}]}</t>
        </is>
      </c>
      <c r="L714" t="inlineStr">
        <is>
          <t>Italy</t>
        </is>
      </c>
      <c r="M714" t="inlineStr">
        <is>
          <t>1999-03-31</t>
        </is>
      </c>
      <c r="N714" t="inlineStr">
        <is>
          <t>Kosovo</t>
        </is>
      </c>
      <c r="O714">
        <f>(2+4+5+5)/4</f>
        <v/>
      </c>
      <c r="P714">
        <f>2</f>
        <v/>
      </c>
    </row>
    <row r="715">
      <c r="A715" t="inlineStr">
        <is>
          <t>Seferovic</t>
        </is>
      </c>
      <c r="B715" t="inlineStr">
        <is>
          <t>Benfica</t>
        </is>
      </c>
      <c r="C715" t="inlineStr">
        <is>
          <t>Forward</t>
        </is>
      </c>
      <c r="D715" t="n">
        <v>9</v>
      </c>
      <c r="E715" t="n">
        <v>1</v>
      </c>
      <c r="F715" t="n">
        <v>0</v>
      </c>
      <c r="G715" t="n">
        <v>0</v>
      </c>
      <c r="H715" t="n">
        <v>1.8</v>
      </c>
      <c r="I715" t="n">
        <v>26.4</v>
      </c>
      <c r="J715" t="n">
        <v>109256</v>
      </c>
      <c r="K715" t="inlineStr">
        <is>
          <t>{'marketValueHistory': [{'date': 'Jun 27, 2009', 'age': '17', 'clubName': 'Grasshopper Club Zürich U18', 'clubID': '14543', 'value': '€50k'}, {'date': 'Feb 1, 2010', 'age': '17', 'clubName': 'ACF Fiorentina', 'clubID': '430', 'value': '€500k'}, {'date': 'Dec 15, 2011', 'age': '19', 'clubName': 'Neuchâtel Xamax FCS', 'clubID': '625', 'value': '€1.00m'}, {'date': 'Jun 7, 2012', 'age': '20', 'clubName': 'US Lecce', 'clubID': '1005', 'value': '€1.00m'}, {'date': 'Jan 15, 2013', 'age': '20', 'clubName': 'ACF Fiorentina', 'clubID': '430', 'value': '€1.00m'}, {'date': 'Jun 25, 2013', 'age': '21', 'clubName': 'Novara Calcio 1908', 'clubID': '6692', 'value': '€2.80m'}, {'date': 'Jul 25, 2013', 'age': '21', 'clubName': 'Real Sociedad', 'clubID': '681', 'value': '€3.00m'}, {'date': 'Sep 17, 2013', 'age': '21', 'clubName': 'Real Sociedad', 'clubID': '681', 'value': '€5.00m'}, {'date': 'Jan 23, 2014', 'age': '21', 'clubName': 'Real Sociedad', 'clubID': '681', 'value': '€4.50m'}, {'date': 'Jul 20, 2014', 'age': '22', 'clubName': 'Real Sociedad', 'clubID': '681', 'value': '€4.00m'}, {'date': 'Feb 4, 2015', 'age': '22', 'clubName': 'Eintracht Frankfurt', 'clubID': '24', 'value': '€6.00m'}, {'date': 'Jul 1, 2015', 'age': '23', 'clubName': 'Eintracht Frankfurt', 'clubID': '24', 'value': '€6.00m'}, {'date': 'Oct 16, 2015', 'age': '23', 'clubName': 'Eintracht Frankfurt', 'clubID': '24', 'value': '€8.00m'}, {'date': 'Feb 15, 2016', 'age': '23', 'clubName': 'Eintracht Frankfurt', 'clubID': '24', 'value': '€7.00m'}, {'date': 'Apr 13, 2016', 'age': '24', 'clubName': 'Eintracht Frankfurt', 'clubID': '24', 'value': '€6.00m'}, {'date': 'Jun 1, 2016', 'age': '24', 'clubName': 'Eintracht Frankfurt', 'clubID': '24', 'value': '€5.50m'}, {'date': 'Jul 22, 2016', 'age': '24', 'clubName': 'Eintracht Frankfurt', 'clubID': '24', 'value': '€5.50m'}, {'date': 'Oct 13, 2016', 'age': '24', 'clubName': 'Eintracht Frankfurt', 'clubID': '24', 'value': '€4.50m'}, {'date': 'Feb 7, 2017', 'age': '24', 'clubName': 'Eintracht Frankfurt', 'clubID': '24', 'value': '€3.50m'}, {'date': 'Jun 19, 2017', 'age': '25', 'clubName': 'Eintracht Frankfurt', 'clubID': '24', 'value': '€3.00m'}, {'date': 'Nov 6, 2017', 'age': '25', 'clubName': 'SL Benfica', 'clubID': '294', 'value': '€5.00m'}, {'date': 'Feb 7, 2018', 'age': '25', 'clubName': 'SL Benfica', 'clubID': '294', 'value': '€4.00m'}, {'date': 'Jun 13, 2018', 'age': '26', 'clubName': 'SL Benfica', 'clubID': '294', 'value': '€4.00m'}, {'date': 'Nov 1, 2018', 'age': '26', 'clubName': 'SL Benfica', 'clubID': '294', 'value': '€6.00m'}, {'date': 'Jan 11, 2019', 'age': '26', 'clubName': 'SL Benfica', 'clubID': '294', 'value': '€9.00m'}, {'date': 'Mar 18, 2019', 'age': '27', 'clubName': 'SL Benfica', 'clubID': '294', 'value': '€14.00m'}, {'date': 'Jun 7, 2019', 'age': '27', 'clubName': 'SL Benfica', 'clubID': '294', 'value': '€18.00m'}, {'date': 'Dec 30, 2019', 'age': '27', 'clubName': 'SL Benfica', 'clubID': '294', 'value': '€15.00m'}, {'date': 'Apr 8, 2020', 'age': '28', 'clubName': 'SL Benfica', 'clubID': '294', 'value': '€12.00m'}, {'date': 'Aug 17, 2020', 'age': '28', 'clubName': 'SL Benfica', 'clubID': '294', 'value': '€10.00m'}, {'date': 'Jan 28, 2021', 'age': '28', 'clubName': 'SL Benfica', 'clubID': '294', 'value': '€10.00m'}, {'date': 'Mar 25, 2021', 'age': '29', 'clubName': 'SL Benfica', 'clubID': '294', 'value': '€12.00m'}, {'date': 'May 25, 2021', 'age': '29', 'clubName': 'SL Benfica', 'clubID': '294', 'value': '€14.00m'}, {'date': 'Jul 15, 2021', 'age': '29', 'clubName': 'SL Benfica', 'clubID': '294', 'value': '€16.00m'}, {'date': 'Dec 27, 2021', 'age': '29', 'clubName': 'SL Benfica', 'clubID': '294', 'value': '€14.00m'}, {'date': 'Mar 10, 2022', 'age': '30', 'clubName': 'SL Benfica', 'clubID': '294', 'value': '€10.00m'}, {'date': 'May 31, 2022', 'age': '30', 'clubName': 'SL Benfica', 'clubID': '294', 'value': '€8.00m'}, {'date': 'Oct 27, 2022', 'age': '30', 'clubName': 'Galatasaray', 'clubID': '141', 'value': '€6.00m'}, {'date': 'Jun 13, 2023', 'age': '31', 'clubName': 'Celta de Vigo', 'clubID': '940', 'value': '€4.00m'}, {'date': 'Oct 12, 2023', 'age': '31', 'clubName': 'Al-Wasl SC', 'clubID': '16214', 'value': '€4.00m'}, {'date': 'Mar 8, 2024', 'age': '32', 'clubName': 'Al-Wasl SC', 'clubID': '16214', 'value': '€3.50m'}, {'date': 'Jun 3, 2024', 'age': '32', 'clubName': 'Al-Wasl SC', 'clubID': '16214', 'value': '€3.00m'}, {'date': 'Nov 18, 2024', 'age': '32', 'clubName': 'Al-Wasl SC', 'clubID': '16214', 'value': '€2.50m'}, {'date': 'May 29, 2025', 'age': '33', 'clubName': 'Al-Nasr SC (UAE)', 'clubID': '5432', 'value': '€2.00m'}, {'date': 'Aug 14, 2025', 'age': '33', 'clubName': 'United FC (UAE)', 'clubID': '94732', 'value': '-'}]}</t>
        </is>
      </c>
      <c r="L715" t="inlineStr">
        <is>
          <t>Switzerland</t>
        </is>
      </c>
      <c r="M715" t="inlineStr">
        <is>
          <t>1992-02-22</t>
        </is>
      </c>
      <c r="N715" t="inlineStr">
        <is>
          <t>Switzerland</t>
        </is>
      </c>
      <c r="O715">
        <f>(10+8+6)/3</f>
        <v/>
      </c>
      <c r="P715">
        <f>(10+12+14+16+14)/5</f>
        <v/>
      </c>
    </row>
    <row r="716">
      <c r="A716" t="inlineStr">
        <is>
          <t>Zakaria</t>
        </is>
      </c>
      <c r="B716" t="inlineStr">
        <is>
          <t>Juventus</t>
        </is>
      </c>
      <c r="C716" t="inlineStr">
        <is>
          <t>Midfielder</t>
        </is>
      </c>
      <c r="D716" t="n">
        <v>9</v>
      </c>
      <c r="E716" t="n">
        <v>1</v>
      </c>
      <c r="F716" t="n">
        <v>0</v>
      </c>
      <c r="G716" t="n">
        <v>0</v>
      </c>
      <c r="H716" t="n">
        <v>1.8</v>
      </c>
      <c r="I716" t="n">
        <v>30.6</v>
      </c>
      <c r="J716" t="n">
        <v>334526</v>
      </c>
      <c r="K716" t="inlineStr">
        <is>
          <t>{'marketValueHistory': [{'date': 'Jun 18, 2015', 'age': '18', 'clubName': 'Servette FC', 'clubID': '61', 'value': '€100k'}, {'date': 'Oct 8, 2015', 'age': '18', 'clubName': 'BSC Young Boys', 'clubID': '452', 'value': '€1.00m'}, {'date': 'Dec 18, 2015', 'age': '19', 'clubName': 'BSC Young Boys', 'clubID': '452', 'value': '€1.50m'}, {'date': 'Apr 20, 2016', 'age': '19', 'clubName': 'BSC Young Boys', 'clubID': '452', 'value': '€2.50m'}, {'date': 'Jun 1, 2016', 'age': '19', 'clubName': 'BSC Young Boys', 'clubID': '452', 'value': '€4.00m'}, {'date': 'Jul 16, 2016', 'age': '19', 'clubName': 'BSC Young Boys', 'clubID': '452', 'value': '€4.00m'}, {'date': 'Dec 20, 2016', 'age': '20', 'clubName': 'BSC Young Boys', 'clubID': '452', 'value': '€4.00m'}, {'date': 'Oct 18, 2017', 'age': '20', 'clubName': 'Borussia Mönchengladbach', 'clubID': '18', 'value': '€12.00m'}, {'date': 'Dec 28, 2017', 'age': '21', 'clubName': 'Borussia Mönchengladbach', 'clubID': '18', 'value': '€16.00m'}, {'date': 'Apr 4, 2018', 'age': '21', 'clubName': 'Borussia Mönchengladbach', 'clubID': '18', 'value': '€20.00m'}, {'date': 'Jun 5, 2018', 'age': '21', 'clubName': 'Borussia Mönchengladbach', 'clubID': '18', 'value': '€20.00m'}, {'date': 'Dec 18, 2018', 'age': '22', 'clubName': 'Borussia Mönchengladbach', 'clubID': '18', 'value': '€17.00m'}, {'date': 'Jun 5, 2019', 'age': '22', 'clubName': 'Borussia Mönchengladbach', 'clubID': '18', 'value': '€20.00m'}, {'date': 'Oct 2, 2019', 'age': '22', 'clubName': 'Borussia Mönchengladbach', 'clubID': '18', 'value': '€28.00m'}, {'date': 'Dec 17, 2019', 'age': '23', 'clubName': 'Borussia Mönchengladbach', 'clubID': '18', 'value': '€45.00m'}, {'date': 'Apr 8, 2020', 'age': '23', 'clubName': 'Borussia Mönchengladbach', 'clubID': '18', 'value': '€36.00m'}, {'date': 'Jul 8, 2020', 'age': '23', 'clubName': 'Borussia Mönchengladbach', 'clubID': '18', 'value': '€40.00m'}, {'date': 'Feb 10, 2021', 'age': '24', 'clubName': 'Borussia Mönchengladbach', 'clubID': '18', 'value': '€40.00m'}, {'date': 'Mar 31, 2021', 'age': '24', 'clubName': 'Borussia Mönchengladbach', 'clubID': '18', 'value': '€32.00m'}, {'date': 'May 25, 2021', 'age': '24', 'clubName': 'Borussia Mönchengladbach', 'clubID': '18', 'value': '€30.00m'}, {'date': 'Oct 7, 2021', 'age': '24', 'clubName': 'Borussia Mönchengladbach', 'clubID': '18', 'value': '€27.00m'}, {'date': 'Dec 22, 2021', 'age': '25', 'clubName': 'Borussia Mönchengladbach', 'clubID': '18', 'value': '€27.00m'}, {'date': 'Jun 7, 2022', 'age': '25', 'clubName': 'Juventus FC', 'clubID': '506', 'value': '€27.00m'}, {'date': 'Nov 3, 2022', 'age': '25', 'clubName': 'Chelsea FC', 'clubID': '631', 'value': '€20.00m'}, {'date': 'Jun 20, 2023', 'age': '26', 'clubName': 'Chelsea FC', 'clubID': '631', 'value': '€18.00m'}, {'date': 'Oct 16, 2023', 'age': '26', 'clubName': 'AS Monaco', 'clubID': '162', 'value': '€20.00m'}, {'date': 'Dec 18, 2023', 'age': '27', 'clubName': 'AS Monaco', 'clubID': '162', 'value': '€22.00m'}, {'date': 'Mar 19, 2024', 'age': '27', 'clubName': 'AS Monaco', 'clubID': '162', 'value': '€25.00m'}, {'date': 'Jun 3, 2024', 'age': '27', 'clubName': 'AS Monaco', 'clubID': '162', 'value': '€25.00m'}, {'date': 'Oct 7, 2024', 'age': '27', 'clubName': 'AS Monaco', 'clubID': '162', 'value': '€28.00m'}, {'date': 'Dec 10, 2024', 'age': '28', 'clubName': 'AS Monaco', 'clubID': '162', 'value': '€30.00m'}, {'date': 'Jun 3, 2025', 'age': '28', 'clubName': 'AS Monaco', 'clubID': '162', 'value': '€30.00m'}, {'date': 'Dec 15, 2025', 'age': '29', 'clubName': 'AS Monaco', 'clubID': '162', 'value': '€25.00m'}]}</t>
        </is>
      </c>
      <c r="L716" t="inlineStr">
        <is>
          <t>Switzerland</t>
        </is>
      </c>
      <c r="M716" t="inlineStr">
        <is>
          <t>1996-11-20</t>
        </is>
      </c>
      <c r="N716" t="inlineStr">
        <is>
          <t>63</t>
        </is>
      </c>
      <c r="O716">
        <f>(27+20)/2</f>
        <v/>
      </c>
      <c r="P716">
        <f>(40+32+30+27+27)/5</f>
        <v/>
      </c>
    </row>
    <row r="717">
      <c r="A717" t="inlineStr">
        <is>
          <t>Dario Essugo</t>
        </is>
      </c>
      <c r="B717" t="inlineStr">
        <is>
          <t>Sporting CP</t>
        </is>
      </c>
      <c r="C717" t="inlineStr">
        <is>
          <t>Midfielder</t>
        </is>
      </c>
      <c r="D717" t="n">
        <v>9</v>
      </c>
      <c r="E717" t="n">
        <v>1</v>
      </c>
      <c r="F717" t="n">
        <v>0</v>
      </c>
      <c r="G717" t="n">
        <v>0</v>
      </c>
      <c r="H717" t="n">
        <v>1.8</v>
      </c>
      <c r="I717" t="n">
        <v>26.2</v>
      </c>
      <c r="J717" t="n">
        <v>670717</v>
      </c>
      <c r="K717" t="inlineStr">
        <is>
          <t>{'id': '670717', 'marketValue': '€3.00m', 'marketValueHistory': [{'age': '16', 'date': 'Dec 27, 2021', 'clubName': 'Sporting CP B', 'value': '€1.00m', 'clubID': '10949'}, {'age': '17', 'date': 'Mar 2, 2023', 'clubName': 'Sporting CP B', 'value': '€2.00m', 'clubID': '10949'}, {'age': '18', 'date': 'Jun 16, 2023', 'clubName': 'Sporting CP B', 'value': '€2.00m', 'clubID': '10949'}, {'age': '18', 'date': 'Dec 27, 2023', 'clubName': 'Sporting CP', 'value': '€2.00m', 'clubID': '336'}, {'age': '18', 'date': 'Mar 8, 2024', 'clubName': 'GD Chaves', 'value': '€3.00m', 'clubID': '3325'}], 'ranking': {'Worldwide': '2.859', 'Liga Portugal': '91', 'Chaves': '1', 'Portugal': '100', 'Defensive Midfield': '254', 'Year 2005': '53'}, 'updatedAt': datetime.datetime(2024, 5, 23, 22, 33, 45, 997486)}</t>
        </is>
      </c>
      <c r="L717" t="inlineStr">
        <is>
          <t>England</t>
        </is>
      </c>
      <c r="M717" t="inlineStr">
        <is>
          <t>2006-03-02</t>
        </is>
      </c>
      <c r="N717" t="inlineStr">
        <is>
          <t>8</t>
        </is>
      </c>
      <c r="P717">
        <f>1</f>
        <v/>
      </c>
    </row>
    <row r="718">
      <c r="A718" t="inlineStr">
        <is>
          <t>Vallejo</t>
        </is>
      </c>
      <c r="B718" t="inlineStr">
        <is>
          <t>Real Madrid</t>
        </is>
      </c>
      <c r="C718" t="inlineStr">
        <is>
          <t>Defender</t>
        </is>
      </c>
      <c r="D718" t="n">
        <v>8</v>
      </c>
      <c r="E718" t="n">
        <v>2</v>
      </c>
      <c r="F718" t="n">
        <v>0</v>
      </c>
      <c r="G718" t="n">
        <v>0</v>
      </c>
      <c r="H718" t="n">
        <v>1.6</v>
      </c>
      <c r="I718" t="n">
        <v>28.5</v>
      </c>
      <c r="J718" t="n">
        <v>251896</v>
      </c>
      <c r="K718" t="inlineStr">
        <is>
          <t>{'marketValueHistory': [{'date': '08/01/2015', 'age': '18', 'clubName': 'Real Zaragoza', 'clubID': '142', 'value': '€400k'}, {'date': '13/04/2015', 'age': '18', 'clubName': 'Real Zaragoza', 'clubID': '142', 'value': '€1.00m'}, {'date': '01/07/2015', 'age': '18', 'clubName': 'Real Zaragoza', 'clubID': '142', 'value': '€2.00m'}, {'date': '22/02/2016', 'age': '19', 'clubName': 'Real Zaragoza', 'clubID': '142', 'value': '€3.00m'}, {'date': '22/07/2016', 'age': '19', 'clubName': 'Eintracht Frankfurt', 'clubID': '24', 'value': '€3.00m'}, {'date': '13/10/2016', 'age': '19', 'clubName': 'Eintracht Frankfurt', 'clubID': '24', 'value': '€4.00m'}, {'date': '07/02/2017', 'age': '20', 'clubName': 'Eintracht Frankfurt', 'clubID': '24', 'value': '€8.00m'}, {'date': '19/06/2017', 'age': '20', 'clubName': 'Eintracht Frankfurt', 'clubID': '24', 'value': '€8.00m'}, {'date': '17/08/2017', 'age': '20', 'clubName': 'Real Madrid', 'clubID': '418', 'value': '€15.00m'}, {'date': '01/01/2018', 'age': '20', 'clubName': 'Real Madrid', 'clubID': '418', 'value': '€15.00m'}, {'date': '22/03/2018', 'age': '21', 'clubName': 'Real Madrid', 'clubID': '418', 'value': '€12.00m'}, {'date': '30/05/2018', 'age': '21', 'clubName': 'Real Madrid', 'clubID': '418', 'value': '€12.00m'}, {'date': '21/12/2018', 'age': '21', 'clubName': 'Real Madrid', 'clubID': '418', 'value': '€10.00m'}, {'date': '11/06/2019', 'age': '22', 'clubName': 'Real Madrid', 'clubID': '418', 'value': '€10.00m'}, {'date': '10/12/2019', 'age': '22', 'clubName': 'Wolverhampton Wanderers', 'clubID': '543', 'value': '€10.00m'}, {'date': '05/03/2020', 'age': '23', 'clubName': 'Granada CF', 'clubID': '16795', 'value': '€7.50m'}, {'date': '08/04/2020', 'age': '23', 'clubName': 'Granada CF', 'clubID': '16795', 'value': '€6.00m'}, {'date': '08/10/2020', 'age': '23', 'clubName': 'Granada CF', 'clubID': '16795', 'value': '€6.00m'}, {'date': '05/01/2021', 'age': '24', 'clubName': 'Granada CF', 'clubID': '16795', 'value': '€5.00m'}, {'date': '10/06/2021', 'age': '24', 'clubName': 'Granada CF', 'clubID': '16795', 'value': '€5.00m'}, {'date': '30/12/2021', 'age': '24', 'clubName': 'Real Madrid', 'clubID': '418', 'value': '€3.00m'}, {'date': '03/06/2022', 'age': '25', 'clubName': 'Real Madrid', 'clubID': '418', 'value': '€3.00m'}, {'date': '07/11/2022', 'age': '25', 'clubName': 'Real Madrid', 'clubID': '418', 'value': '€2.50m'}, {'date': '23/03/2023', 'age': '26', 'clubName': 'Real Madrid', 'clubID': '418', 'value': '€2.00m'}, {'date': '13/06/2023', 'age': '26', 'clubName': 'Real Madrid', 'clubID': '418', 'value': '€2.00m'}, {'date': '22/12/2023', 'age': '26', 'clubName': 'Granada CF', 'clubID': '16795', 'value': '€1.50m'}, {'date': '07/06/2024', 'age': '27', 'clubName': 'Granada CF', 'clubID': '16795', 'value': '€1.00m'}, {'date': '27/12/2024', 'age': '27', 'clubName': 'Real Madrid', 'clubID': '418', 'value': '€1.00m'}, {'date': '09/06/2025', 'age': '28', 'clubName': 'Real Madrid', 'clubID': '418', 'value': '€1.00m'}, {'date': '30/12/2025', 'age': '28', 'clubName': 'Albacete Balompié', 'clubID': '1532', 'value': '€1.00m'}]}</t>
        </is>
      </c>
      <c r="L718" t="inlineStr">
        <is>
          <t>Spain</t>
        </is>
      </c>
      <c r="M718" t="inlineStr">
        <is>
          <t>1997-01-05</t>
        </is>
      </c>
      <c r="N718" t="inlineStr">
        <is>
          <t>Spain</t>
        </is>
      </c>
      <c r="O718">
        <f>(3+2.5)/2</f>
        <v/>
      </c>
      <c r="P718">
        <f>(5+5+3)/3</f>
        <v/>
      </c>
    </row>
    <row r="719">
      <c r="A719" t="inlineStr">
        <is>
          <t>Spielmann</t>
        </is>
      </c>
      <c r="B719" t="inlineStr">
        <is>
          <t>Young Boys</t>
        </is>
      </c>
      <c r="C719" t="inlineStr">
        <is>
          <t>Midfielder</t>
        </is>
      </c>
      <c r="D719" t="n">
        <v>8</v>
      </c>
      <c r="E719" t="n">
        <v>1</v>
      </c>
      <c r="F719" t="n">
        <v>0</v>
      </c>
      <c r="G719" t="n">
        <v>0</v>
      </c>
      <c r="H719" t="n">
        <v>1.5</v>
      </c>
      <c r="I719" t="n">
        <v>30</v>
      </c>
      <c r="J719" t="n">
        <v>192653</v>
      </c>
      <c r="K719" t="inlineStr">
        <is>
          <t>{'marketValueHistory': [{'date': '12/09/2014', 'age': '18', 'clubName': 'FC Baden 1897', 'clubID': '747', 'value': '€50k'}, {'date': '18/12/2015', 'age': '19', 'clubName': 'FC Aarau', 'clubID': '116', 'value': '€450k'}, {'date': '16/07/2016', 'age': '20', 'clubName': 'FC Wil 1900', 'clubID': '850', 'value': '€800k'}, {'date': '20/12/2016', 'age': '20', 'clubName': 'FC Wil 1900', 'clubID': '850', 'value': '€500k'}, {'date': '12/07/2017', 'age': '21', 'clubName': 'FC Thun', 'clubID': '938', 'value': '€500k'}, {'date': '29/09/2017', 'age': '21', 'clubName': 'FC Thun', 'clubID': '938', 'value': '€1.50m'}, {'date': '08/01/2018', 'age': '21', 'clubName': 'FC Thun', 'clubID': '938', 'value': '€1.50m'}, {'date': '24/04/2018', 'age': '22', 'clubName': 'FC Thun', 'clubID': '938', 'value': '€2.00m'}, {'date': '12/07/2018', 'age': '22', 'clubName': 'FC Thun', 'clubID': '938', 'value': '€3.25m'}, {'date': '21/01/2019', 'age': '22', 'clubName': 'FC Thun', 'clubID': '938', 'value': '€3.50m'}, {'date': '15/04/2019', 'age': '23', 'clubName': 'FC Thun', 'clubID': '938', 'value': '€5.00m'}, {'date': '04/06/2019', 'age': '23', 'clubName': 'FC Thun', 'clubID': '938', 'value': '€5.00m'}, {'date': '06/01/2020', 'age': '23', 'clubName': 'BSC Young Boys', 'clubID': '452', 'value': '€5.00m'}, {'date': '08/04/2020', 'age': '24', 'clubName': 'BSC Young Boys', 'clubID': '452', 'value': '€4.00m'}, {'date': '31/07/2020', 'age': '24', 'clubName': 'BSC Young Boys', 'clubID': '452', 'value': '€4.00m'}, {'date': '28/12/2020', 'age': '24', 'clubName': 'BSC Young Boys', 'clubID': '452', 'value': '€3.00m'}, {'date': '23/06/2021', 'age': '25', 'clubName': 'BSC Young Boys', 'clubID': '452', 'value': '€2.00m'}, {'date': '03/01/2022', 'age': '25', 'clubName': 'BSC Young Boys', 'clubID': '452', 'value': '€1.00m'}, {'date': '28/03/2022', 'age': '26', 'clubName': 'FC Lausanne-Sport', 'clubID': '527', 'value': '€750k'}, {'date': '08/06/2022', 'age': '26', 'clubName': 'FC Lausanne-Sport', 'clubID': '527', 'value': '€600k'}, {'date': '29/12/2022', 'age': '26', 'clubName': 'FC Lausanne-Sport', 'clubID': '527', 'value': '€300k'}, {'date': '07/06/2023', 'age': '27', 'clubName': 'Neuchâtel Xamax FCS', 'clubID': '625', 'value': '€250k'}, {'date': '25/10/2023', 'age': '27', 'clubName': 'Without Club', 'clubID': '515', 'value': '€200k'}, {'date': '31/05/2024', 'age': '28', 'clubName': 'FC Baden 1897', 'clubID': '747', 'value': '€100k'}, {'date': '23/12/2024', 'age': '28', 'clubName': 'Without Club', 'clubID': '515', 'value': '€50k'}, {'date': '14/03/2025', 'age': '29', 'clubName': 'Without Club', 'clubID': '515', 'value': '-'}]}</t>
        </is>
      </c>
      <c r="L719" t="inlineStr">
        <is>
          <t>Switzerland</t>
        </is>
      </c>
      <c r="M719" t="inlineStr">
        <is>
          <t>1996-02-23</t>
        </is>
      </c>
      <c r="N719" t="inlineStr">
        <is>
          <t>Switzerland</t>
        </is>
      </c>
      <c r="O719">
        <f>(1+0.75+0.6+0.3)/4</f>
        <v/>
      </c>
      <c r="P719">
        <f>2</f>
        <v/>
      </c>
    </row>
    <row r="720">
      <c r="A720" t="inlineStr">
        <is>
          <t>Izquierdo</t>
        </is>
      </c>
      <c r="B720" t="inlineStr">
        <is>
          <t>Club Brugge</t>
        </is>
      </c>
      <c r="C720" t="inlineStr">
        <is>
          <t>Forward</t>
        </is>
      </c>
      <c r="D720" t="n">
        <v>8</v>
      </c>
      <c r="E720" t="n">
        <v>1</v>
      </c>
      <c r="F720" t="n">
        <v>0</v>
      </c>
      <c r="G720" t="n">
        <v>0</v>
      </c>
      <c r="H720" t="n">
        <v>1.3</v>
      </c>
      <c r="I720" t="n">
        <v>26.8</v>
      </c>
      <c r="J720" t="n">
        <v>147094</v>
      </c>
      <c r="K720" t="inlineStr">
        <is>
          <t>{'marketValueHistory': [{'date': 'Jan 5, 2012', 'age': '19', 'clubName': 'Deportivo Pereira', 'clubID': '9811', 'value': '€300k'}, {'date': 'Oct 5, 2014', 'age': '22', 'clubName': 'Club Brugge KV', 'clubID': '2282', 'value': '€3.00m'}, {'date': 'Mar 24, 2015', 'age': '22', 'clubName': 'Club Brugge KV', 'clubID': '2282', 'value': '€5.00m'}, {'date': 'Feb 7, 2016', 'age': '23', 'clubName': 'Club Brugge KV', 'clubID': '2282', 'value': '€4.50m'}, {'date': 'Jul 15, 2016', 'age': '24', 'clubName': 'Club Brugge KV', 'clubID': '2282', 'value': '€5.50m'}, {'date': 'Oct 20, 2016', 'age': '24', 'clubName': 'Club Brugge KV', 'clubID': '2282', 'value': '€9.00m'}, {'date': 'Jan 21, 2017', 'age': '24', 'clubName': 'Club Brugge KV', 'clubID': '2282', 'value': '€10.00m'}, {'date': 'Mar 30, 2017', 'age': '24', 'clubName': 'Club Brugge KV', 'clubID': '2282', 'value': '€12.50m'}, {'date': 'Jun 6, 2017', 'age': '24', 'clubName': 'Club Brugge KV', 'clubID': '2282', 'value': '€14.00m'}, {'date': 'Jan 2, 2018', 'age': '25', 'clubName': 'Brighton &amp; Hove Albion', 'clubID': '1237', 'value': '€14.00m'}, {'date': 'May 28, 2018', 'age': '25', 'clubName': 'Brighton &amp; Hove Albion', 'clubID': '1237', 'value': '€14.00m'}, {'date': 'Dec 19, 2018', 'age': '26', 'clubName': 'Brighton &amp; Hove Albion', 'clubID': '1237', 'value': '€13.00m'}, {'date': 'Jun 13, 2019', 'age': '26', 'clubName': 'Brighton &amp; Hove Albion', 'clubID': '1237', 'value': '€10.00m'}, {'date': 'Dec 10, 2019', 'age': '27', 'clubName': 'Brighton &amp; Hove Albion', 'clubID': '1237', 'value': '€8.00m'}, {'date': 'Apr 8, 2020', 'age': '27', 'clubName': 'Brighton &amp; Hove Albion', 'clubID': '1237', 'value': '€6.50m'}, {'date': 'Oct 13, 2020', 'age': '28', 'clubName': 'Brighton &amp; Hove Albion', 'clubID': '1237', 'value': '€6.50m'}, {'date': 'Mar 18, 2021', 'age': '28', 'clubName': 'Brighton &amp; Hove Albion', 'clubID': '1237', 'value': '€5.00m'}, {'date': 'Jun 8, 2021', 'age': '28', 'clubName': 'Brighton &amp; Hove Albion', 'clubID': '1237', 'value': '€4.00m'}, {'date': 'Oct 6, 2021', 'age': '29', 'clubName': 'Club Brugge KV', 'clubID': '2282', 'value': '€3.00m'}, {'date': 'Jan 6, 2022', 'age': '29', 'clubName': 'Club Brugge KV', 'clubID': '2282', 'value': '€2.50m'}, {'date': 'Apr 12, 2022', 'age': '29', 'clubName': 'Club Brugge KV', 'clubID': '2282', 'value': '€1.50m'}, {'date': 'Oct 7, 2022', 'age': '30', 'clubName': 'Retired', 'clubID': '123', 'value': '€1.20m'}, {'date': 'Mar 28, 2023', 'age': '30', 'clubName': 'Retired', 'clubID': '123', 'value': '€800k'}, {'date': 'Oct 25, 2023', 'age': '31', 'clubName': 'Retired', 'clubID': '123', 'value': '€350k'}, {'date': 'Mar 6, 2024', 'age': '31', 'clubName': 'Retired', 'clubID': '123', 'value': '-'}]}</t>
        </is>
      </c>
      <c r="L720" t="inlineStr">
        <is>
          <t>Colombia</t>
        </is>
      </c>
      <c r="M720" t="inlineStr">
        <is>
          <t>1992-07-07</t>
        </is>
      </c>
      <c r="N720" t="inlineStr">
        <is>
          <t>Colombia</t>
        </is>
      </c>
      <c r="O720">
        <f>(2.5+1.5+1.2)/3</f>
        <v/>
      </c>
      <c r="P720">
        <f>(5+4+3)/3</f>
        <v/>
      </c>
    </row>
    <row r="721">
      <c r="A721" t="inlineStr">
        <is>
          <t>Bale</t>
        </is>
      </c>
      <c r="B721" t="inlineStr">
        <is>
          <t>Real Madrid</t>
        </is>
      </c>
      <c r="C721" t="inlineStr">
        <is>
          <t>Forward</t>
        </is>
      </c>
      <c r="D721" t="n">
        <v>7</v>
      </c>
      <c r="E721" t="n">
        <v>2</v>
      </c>
      <c r="F721" t="n">
        <v>0</v>
      </c>
      <c r="G721" t="n">
        <v>0</v>
      </c>
      <c r="H721" t="n">
        <v>2.2</v>
      </c>
      <c r="I721" t="n">
        <v>29.8</v>
      </c>
      <c r="J721" t="n">
        <v>39381</v>
      </c>
      <c r="K721" t="inlineStr">
        <is>
          <t>{'marketValueHistory': [{'date': '05/08/2006', 'age': '17', 'clubName': 'Southampton FC', 'clubID': '180', 'value': '€50k'}, {'date': '15/08/2006', 'age': '17', 'clubName': 'Southampton FC', 'clubID': '180', 'value': '€300k'}, {'date': '13/10/2006', 'age': '17', 'clubName': 'Southampton FC', 'clubID': '180', 'value': '€400k'}, {'date': '29/05/2007', 'age': '17', 'clubName': 'Southampton FC', 'clubID': '180', 'value': '€7.50m'}, {'date': '01/08/2007', 'age': '18', 'clubName': 'Tottenham Hotspur', 'clubID': '148', 'value': '€14.70m'}, {'date': '01/09/2007', 'age': '18', 'clubName': 'Tottenham Hotspur', 'clubID': '148', 'value': '€14.50m'}, {'date': '19/11/2007', 'age': '18', 'clubName': 'Tottenham Hotspur', 'clubID': '148', 'value': '€14.75m'}, {'date': '04/02/2008', 'age': '18', 'clubName': 'Tottenham Hotspur', 'clubID': '148', 'value': '€11.00m'}, {'date': '04/07/2008', 'age': '18', 'clubName': 'Tottenham Hotspur', 'clubID': '148', 'value': '€9.50m'}, {'date': '26/06/2009', 'age': '19', 'clubName': 'Tottenham Hotspur', 'clubID': '148', 'value': '€8.50m'}, {'date': '24/01/2010', 'age': '20', 'clubName': 'Tottenham Hotspur', 'clubID': '148', 'value': '€6.50m'}, {'date': '13/08/2010', 'age': '21', 'clubName': 'Tottenham Hotspur', 'clubID': '148', 'value': '€10.00m'}, {'date': '03/11/2010', 'age': '21', 'clubName': 'Tottenham Hotspur', 'clubID': '148', 'value': '€20.00m'}, {'date': '01/02/2011', 'age': '21', 'clubName': 'Tottenham Hotspur', 'clubID': '148', 'value': '€25.00m'}, {'date': '08/08/2011', 'age': '22', 'clubName': 'Tottenham Hotspur', 'clubID': '148', 'value': '€25.00m'}, {'date': '06/02/2012', 'age': '22', 'clubName': 'Tottenham Hotspur', 'clubID': '148', 'value': '€35.00m'}, {'date': '24/06/2012', 'age': '22', 'clubName': 'Tottenham Hotspur', 'clubID': '148', 'value': '€40.00m'}, {'date': '28/01/2013', 'age': '23', 'clubName': 'Tottenham Hotspur', 'clubID': '148', 'value': '€42.00m'}, {'date': '02/07/2013', 'age': '23', 'clubName': 'Tottenham Hotspur', 'clubID': '148', 'value': '€50.00m'}, {'date': '19/08/2013', 'age': '24', 'clubName': 'Tottenham Hotspur', 'clubID': '148', 'value': '€65.00m'}, {'date': '17/09/2013', 'age': '24', 'clubName': 'Real Madrid', 'clubID': '418', 'value': '€80.00m'}, {'date': '23/01/2014', 'age': '24', 'clubName': 'Real Madrid', 'clubID': '418', 'value': '€80.00m'}, {'date': '20/07/2014', 'age': '25', 'clubName': 'Real Madrid', 'clubID': '418', 'value': '€80.00m'}, {'date': '23/01/2015', 'age': '25', 'clubName': 'Real Madrid', 'clubID': '418', 'value': '€80.00m'}, {'date': '01/07/2015', 'age': '25', 'clubName': 'Real Madrid', 'clubID': '418', 'value': '€80.00m'}, {'date': '22/02/2016', 'age': '26', 'clubName': 'Real Madrid', 'clubID': '418', 'value': '€80.00m'}, {'date': '01/06/2016', 'age': '26', 'clubName': 'Real Madrid', 'clubID': '418', 'value': '€80.00m'}, {'date': '15/07/2016', 'age': '26', 'clubName': 'Real Madrid', 'clubID': '418', 'value': '€90.00m'}, {'date': '24/01/2017', 'age': '27', 'clubName': 'Real Madrid', 'clubID': '418', 'value': '€90.00m'}, {'date': '05/06/2017', 'age': '27', 'clubName': 'Real Madrid', 'clubID': '418', 'value': '€80.00m'}, {'date': '01/01/2018', 'age': '28', 'clubName': 'Real Madrid', 'clubID': '418', 'value': '€75.00m'}, {'date': '22/03/2018', 'age': '28', 'clubName': 'Real Madrid', 'clubID': '418', 'value': '€70.00m'}, {'date': '30/05/2018', 'age': '28', 'clubName': 'Real Madrid', 'clubID': '418', 'value': '€90.00m'}, {'date': '21/12/2018', 'age': '29', 'clubName': 'Real Madrid', 'clubID': '418', 'value': '€80.00m'}, {'date': '28/02/2019', 'age': '29', 'clubName': 'Real Madrid', 'clubID': '418', 'value': '€70.00m'}, {'date': '11/06/2019', 'age': '29', 'clubName': 'Real Madrid', 'clubID': '418', 'value': '€60.00m'}, {'date': '20/12/2019', 'age': '30', 'clubName': 'Real Madrid', 'clubID': '418', 'value': '€40.00m'}, {'date': '08/04/2020', 'age': '30', 'clubName': 'Real Madrid', 'clubID': '418', 'value': '€32.00m'}, {'date': '23/07/2020', 'age': '31', 'clubName': 'Real Madrid', 'clubID': '418', 'value': '€28.00m'}, {'date': '13/10/2020', 'age': '31', 'clubName': 'Tottenham Hotspur', 'clubID': '148', 'value': '€25.00m'}, {'date': '17/12/2020', 'age': '31', 'clubName': 'Tottenham Hotspur', 'clubID': '148', 'value': '€20.00m'}, {'date': '18/03/2021', 'age': '31', 'clubName': 'Tottenham Hotspur', 'clubID': '148', 'value': '€20.00m'}, {'date': '25/05/2021', 'age': '31', 'clubName': 'Tottenham Hotspur', 'clubID': '148', 'value': '€18.00m'}, {'date': '13/10/2021', 'age': '32', 'clubName': 'Real Madrid', 'clubID': '418', 'value': '€10.00m'}, {'date': '30/12/2021', 'age': '32', 'clubName': 'Real Madrid', 'clubID': '418', 'value': '€5.00m'}, {'date': '21/03/2022', 'age': '32', 'clubName': 'Real Madrid', 'clubID': '418', 'value': '€3.00m'}, {'date': '03/06/2022', 'age': '32', 'clubName': 'Real Madrid', 'clubID': '418', 'value': '€3.00m'}, {'date': '18/08/2022', 'age': '33', 'clubName': 'Los Angeles FC', 'clubID': '51828', 'value': '€3.00m'}, {'date': '08/11/2022', 'age': '33', 'clubName': 'Los Angeles FC', 'clubID': '51828', 'value': '€2.00m'}, {'date': '09/01/2023', 'age': '33', 'clubName': 'Retired', 'clubID': '123', 'value': '-'}]}</t>
        </is>
      </c>
      <c r="L721" t="inlineStr">
        <is>
          <t>United Kingdom</t>
        </is>
      </c>
      <c r="M721" t="inlineStr">
        <is>
          <t>1989-07-16</t>
        </is>
      </c>
      <c r="N721" t="inlineStr">
        <is>
          <t>Wales</t>
        </is>
      </c>
      <c r="O721">
        <f>(3+3+3+2)/4</f>
        <v/>
      </c>
      <c r="P721">
        <f>(20+18+10+5)/4</f>
        <v/>
      </c>
    </row>
    <row r="722">
      <c r="A722" t="inlineStr">
        <is>
          <t>Chiellini</t>
        </is>
      </c>
      <c r="B722" t="inlineStr">
        <is>
          <t>Juventus</t>
        </is>
      </c>
      <c r="C722" t="inlineStr">
        <is>
          <t>Defender</t>
        </is>
      </c>
      <c r="D722" t="n">
        <v>7</v>
      </c>
      <c r="E722" t="n">
        <v>1</v>
      </c>
      <c r="F722" t="n">
        <v>0</v>
      </c>
      <c r="G722" t="n">
        <v>0</v>
      </c>
      <c r="H722" t="n">
        <v>1.3</v>
      </c>
      <c r="I722" t="n">
        <v>26.5</v>
      </c>
      <c r="J722" t="n">
        <v>29260</v>
      </c>
      <c r="K722" t="inlineStr">
        <is>
          <t>{'marketValueHistory': [{'date': 'Feb 3, 2005', 'age': '20', 'clubName': 'ACF Fiorentina', 'clubID': '430', 'value': '€50k'}, {'date': 'Feb 12, 2005', 'age': '20', 'clubName': 'ACF Fiorentina', 'clubID': '430', 'value': '€9.00m'}, {'date': 'Jul 23, 2005', 'age': '20', 'clubName': 'Juventus FC', 'clubID': '506', 'value': '€12.00m'}, {'date': 'Jul 28, 2005', 'age': '20', 'clubName': 'Juventus FC', 'clubID': '506', 'value': '€11.00m'}, {'date': 'Jul 29, 2005', 'age': '20', 'clubName': 'Juventus FC', 'clubID': '506', 'value': '€8.50m'}, {'date': 'Feb 27, 2006', 'age': '21', 'clubName': 'Juventus FC', 'clubID': '506', 'value': '€8.25m'}, {'date': 'Apr 9, 2006', 'age': '21', 'clubName': 'Juventus FC', 'clubID': '506', 'value': '€7.50m'}, {'date': 'Aug 24, 2007', 'age': '23', 'clubName': 'Juventus FC', 'clubID': '506', 'value': '€10.00m'}, {'date': 'Feb 15, 2008', 'age': '23', 'clubName': 'Juventus FC', 'clubID': '506', 'value': '€15.00m'}, {'date': 'Jul 3, 2008', 'age': '23', 'clubName': 'Juventus FC', 'clubID': '506', 'value': '€18.50m'}, {'date': 'Feb 6, 2009', 'age': '24', 'clubName': 'Juventus FC', 'clubID': '506', 'value': '€20.00m'}, {'date': 'Aug 6, 2009', 'age': '24', 'clubName': 'Juventus FC', 'clubID': '506', 'value': '€20.50m'}, {'date': 'Jan 27, 2010', 'age': '25', 'clubName': 'Juventus FC', 'clubID': '506', 'value': '€23.00m'}, {'date': 'Aug 2, 2010', 'age': '25', 'clubName': 'Juventus FC', 'clubID': '506', 'value': '€25.00m'}, {'date': 'Jan 20, 2011', 'age': '26', 'clubName': 'Juventus FC', 'clubID': '506', 'value': '€28.00m'}, {'date': 'Jun 21, 2011', 'age': '26', 'clubName': 'Juventus FC', 'clubID': '506', 'value': '€26.00m'}, {'date': 'Jan 11, 2012', 'age': '27', 'clubName': 'Juventus FC', 'clubID': '506', 'value': '€24.00m'}, {'date': 'Jul 3, 2012', 'age': '27', 'clubName': 'Juventus FC', 'clubID': '506', 'value': '€28.50m'}, {'date': 'Jan 15, 2013', 'age': '28', 'clubName': 'Juventus FC', 'clubID': '506', 'value': '€28.50m'}, {'date': 'Jun 19, 2013', 'age': '28', 'clubName': 'Juventus FC', 'clubID': '506', 'value': '€28.50m'}, {'date': 'Jan 7, 2014', 'age': '29', 'clubName': 'Juventus FC', 'clubID': '506', 'value': '€24.00m'}, {'date': 'Jul 11, 2014', 'age': '29', 'clubName': 'Juventus FC', 'clubID': '506', 'value': '€19.00m'}, {'date': 'Jan 7, 2015', 'age': '30', 'clubName': 'Juventus FC', 'clubID': '506', 'value': '€16.50m'}, {'date': 'Jul 1, 2015', 'age': '30', 'clubName': 'Juventus FC', 'clubID': '506', 'value': '€16.50m'}, {'date': 'Nov 6, 2015', 'age': '31', 'clubName': 'Juventus FC', 'clubID': '506', 'value': '€15.00m'}, {'date': 'Jan 4, 2016', 'age': '31', 'clubName': 'Juventus FC', 'clubID': '506', 'value': '€15.00m'}, {'date': 'Jun 1, 2016', 'age': '31', 'clubName': 'Juventus FC', 'clubID': '506', 'value': '€13.00m'}, {'date': 'Jul 15, 2016', 'age': '31', 'clubName': 'Juventus FC', 'clubID': '506', 'value': '€13.00m'}, {'date': 'Oct 14, 2016', 'age': '32', 'clubName': 'Juventus FC', 'clubID': '506', 'value': '€12.00m'}, {'date': 'Jan 2, 2017', 'age': '32', 'clubName': 'Juventus FC', 'clubID': '506', 'value': '€12.00m'}, {'date': 'Mar 28, 2017', 'age': '32', 'clubName': 'Juventus FC', 'clubID': '506', 'value': '€10.00m'}, {'date': 'Jun 8, 2017', 'age': '32', 'clubName': 'Juventus FC', 'clubID': '506', 'value': '€10.00m'}, {'date': 'Dec 29, 2017', 'age': '33', 'clubName': 'Juventus FC', 'clubID': '506', 'value': '€10.00m'}, {'date': 'Jun 7, 2018', 'age': '33', 'clubName': 'Juventus FC', 'clubID': '506', 'value': '€10.00m'}, {'date': 'Dec 20, 2018', 'age': '34', 'clubName': 'Juventus FC', 'clubID': '506', 'value': '€10.00m'}, {'date': 'Jun 6, 2019', 'age': '34', 'clubName': 'Juventus FC', 'clubID': '506', 'value': '€7.50m'}, {'date': 'Dec 12, 2019', 'age': '35', 'clubName': 'Juventus FC', 'clubID': '506', 'value': '€5.00m'}, {'date': 'Apr 8, 2020', 'age': '35', 'clubName': 'Juventus FC', 'clubID': '506', 'value': '€4.00m'}, {'date': 'Aug 25, 2020', 'age': '36', 'clubName': 'Juventus FC', 'clubID': '506', 'value': '€3.00m'}, {'date': 'Dec 29, 2020', 'age': '36', 'clubName': 'Juventus FC', 'clubID': '506', 'value': '€2.00m'}, {'date': 'May 25, 2021', 'age': '36', 'clubName': 'Juventus FC', 'clubID': '506', 'value': '€1.50m'}, {'date': 'Dec 28, 2021', 'age': '37', 'clubName': 'Juventus FC', 'clubID': '506', 'value': '€1.50m'}, {'date': 'Jun 7, 2022', 'age': '37', 'clubName': 'Juventus FC', 'clubID': '506', 'value': '€1.50m'}, {'date': 'Nov 8, 2022', 'age': '38', 'clubName': 'Los Angeles FC', 'clubID': '51828', 'value': '€1.00m'}, {'date': 'Aug 22, 2023', 'age': '39', 'clubName': 'Los Angeles FC', 'clubID': '51828', 'value': '€1.00m'}, {'date': 'Dec 18, 2023', 'age': '39', 'clubName': 'Los Angeles FC', 'clubID': '51828', 'value': '€1.00m'}, {'date': 'Jan 1, 2024', 'age': '39', 'clubName': 'Retired', 'clubID': '123', 'value': '-'}]}</t>
        </is>
      </c>
      <c r="L722" t="inlineStr">
        <is>
          <t>Italy</t>
        </is>
      </c>
      <c r="M722" t="inlineStr">
        <is>
          <t>1984-08-14</t>
        </is>
      </c>
      <c r="N722" t="inlineStr">
        <is>
          <t>Italy</t>
        </is>
      </c>
      <c r="O722">
        <f>(1.5+1)/2</f>
        <v/>
      </c>
      <c r="P722">
        <f>(1.5+1.5)/2</f>
        <v/>
      </c>
    </row>
    <row r="723">
      <c r="A723" t="inlineStr">
        <is>
          <t>Dina Ebimbe</t>
        </is>
      </c>
      <c r="B723" t="inlineStr">
        <is>
          <t>Paris</t>
        </is>
      </c>
      <c r="C723" t="inlineStr">
        <is>
          <t>Midfielder</t>
        </is>
      </c>
      <c r="D723" t="n">
        <v>7</v>
      </c>
      <c r="E723" t="n">
        <v>1</v>
      </c>
      <c r="F723" t="n">
        <v>0</v>
      </c>
      <c r="G723" t="n">
        <v>0</v>
      </c>
      <c r="H723" t="n">
        <v>1.2</v>
      </c>
      <c r="I723" t="n">
        <v>28</v>
      </c>
      <c r="J723" t="n">
        <v>536482</v>
      </c>
      <c r="K723" t="inlineStr">
        <is>
          <t>{'id': '536482', 'marketValue': '€14.00m', 'marketValueHistory': [{'age': '18', 'date': 'Sep 30, 2019', 'clubName': 'Le Havre AC', 'value': '€800k', 'clubID': '738'}, {'age': '19', 'date': 'Jan 6, 2020', 'clubName': 'Le Havre AC', 'value': '€1.00m', 'clubID': '738'}, {'age': '19', 'date': 'Apr 8, 2020', 'clubName': 'Le Havre AC', 'value': '€900k', 'clubID': '738'}, {'age': '19', 'date': 'Aug 3, 2020', 'clubName': 'Dijon FCO', 'value': '€1.50m', 'clubID': '2969'}, {'age': '19', 'date': 'Oct 15, 2020', 'clubName': 'Dijon FCO', 'value': '€3.00m', 'clubID': '2969'}, {'age': '20', 'date': 'Jan 7, 2021', 'clubName': 'Dijon FCO', 'value': '€6.00m', 'clubID': '2969'}, {'age': '20', 'date': 'Jun 4, 2021', 'clubName': 'Dijon FCO', 'value': '€6.00m', 'clubID': '2969'}, {'age': '21', 'date': 'Dec 16, 2021', 'clubName': 'Paris Saint-Germain', 'value': '€5.00m', 'clubID': '583'}, {'age': '21', 'date': 'May 30, 2022', 'clubName': 'Paris Saint-Germain', 'value': '€5.00m', 'clubID': '583'}, {'age': '21', 'date': 'Nov 9, 2022', 'clubName': 'Eintracht Frankfurt', 'value': '€7.50m', 'clubID': '24'}, {'age': '22', 'date': 'Jun 22, 2023', 'clubName': 'Eintracht Frankfurt', 'value': '€10.00m', 'clubID': '24'}, {'age': '23', 'date': 'Dec 14, 2023', 'clubName': 'Eintracht Frankfurt', 'value': '€14.00m', 'clubID': '24'}], 'ranking': {'Worldwide': '778', 'Bundesliga': '90', 'E. Frankfurt': '7', 'France': '77', 'Central Midfield': '108', 'Year 2000': '83'}, 'updatedAt': datetime.datetime(2024, 5, 23, 22, 27, 49, 111300)}</t>
        </is>
      </c>
      <c r="L723" t="inlineStr">
        <is>
          <t>France</t>
        </is>
      </c>
      <c r="M723" t="inlineStr">
        <is>
          <t>2000-11-21</t>
        </is>
      </c>
      <c r="N723" t="inlineStr">
        <is>
          <t>3</t>
        </is>
      </c>
      <c r="O723">
        <f>(5+7.5)/2</f>
        <v/>
      </c>
      <c r="P723">
        <f>(6+6+5)/3</f>
        <v/>
      </c>
    </row>
    <row r="724">
      <c r="A724" t="inlineStr">
        <is>
          <t>Sulejmani</t>
        </is>
      </c>
      <c r="B724" t="inlineStr">
        <is>
          <t>Young Boys</t>
        </is>
      </c>
      <c r="C724" t="inlineStr">
        <is>
          <t>Midfielder</t>
        </is>
      </c>
      <c r="D724" t="n">
        <v>7</v>
      </c>
      <c r="E724" t="n">
        <v>1</v>
      </c>
      <c r="F724" t="n">
        <v>0</v>
      </c>
      <c r="G724" t="n">
        <v>0</v>
      </c>
      <c r="H724" t="inlineStr">
        <is>
          <t>-</t>
        </is>
      </c>
      <c r="I724" t="inlineStr">
        <is>
          <t>-</t>
        </is>
      </c>
      <c r="J724" t="n">
        <v>36080</v>
      </c>
      <c r="K724" t="inlineStr">
        <is>
          <t>{'marketValueHistory': [{'date': '21/02/2006', 'age': '17', 'clubName': 'FK Partizan Belgrade', 'clubID': '669', 'value': '€150k'}, {'date': '22/02/2006', 'age': '17', 'clubName': 'FK Partizan Belgrade', 'clubID': '669', 'value': '€450k'}, {'date': '20/09/2007', 'age': '18', 'clubName': 'SC Heerenveen', 'clubID': '306', 'value': '€1.00m'}, {'date': '24/09/2007', 'age': '18', 'clubName': 'SC Heerenveen', 'clubID': '306', 'value': '€1.50m'}, {'date': '15/02/2008', 'age': '19', 'clubName': 'SC Heerenveen', 'clubID': '306', 'value': '€2.50m'}, {'date': '14/04/2008', 'age': '19', 'clubName': 'SC Heerenveen', 'clubID': '306', 'value': '€4.00m'}, {'date': '06/07/2008', 'age': '19', 'clubName': 'Ajax Amsterdam', 'clubID': '610', 'value': '€8.50m'}, {'date': '30/12/2009', 'age': '21', 'clubName': 'Ajax Amsterdam', 'clubID': '610', 'value': '€7.00m'}, {'date': '10/05/2010', 'age': '21', 'clubName': 'Ajax Amsterdam', 'clubID': '610', 'value': '€6.00m'}, {'date': '01/08/2010', 'age': '21', 'clubName': 'Ajax Amsterdam', 'clubID': '610', 'value': '€4.50m'}, {'date': '15/06/2011', 'age': '22', 'clubName': 'Ajax Amsterdam', 'clubID': '610', 'value': '€5.50m'}, {'date': '05/01/2012', 'age': '23', 'clubName': 'Ajax Amsterdam', 'clubID': '610', 'value': '€7.00m'}, {'date': '09/01/2013', 'age': '24', 'clubName': 'Ajax Amsterdam', 'clubID': '610', 'value': '€5.50m'}, {'date': '28/05/2013', 'age': '24', 'clubName': 'Ajax Amsterdam', 'clubID': '610', 'value': '€2.50m'}, {'date': '25/07/2014', 'age': '25', 'clubName': 'SL Benfica', 'clubID': '294', 'value': '€4.00m'}, {'date': '17/02/2015', 'age': '26', 'clubName': 'SL Benfica', 'clubID': '294', 'value': '€3.30m'}, {'date': '01/07/2015', 'age': '26', 'clubName': 'BSC Young Boys', 'clubID': '452', 'value': '€3.00m'}, {'date': '18/12/2015', 'age': '27', 'clubName': 'BSC Young Boys', 'clubID': '452', 'value': '€3.00m'}, {'date': '16/07/2016', 'age': '27', 'clubName': 'BSC Young Boys', 'clubID': '452', 'value': '€3.00m'}, {'date': '20/12/2016', 'age': '28', 'clubName': 'BSC Young Boys', 'clubID': '452', 'value': '€2.50m'}, {'date': '12/07/2017', 'age': '28', 'clubName': 'BSC Young Boys', 'clubID': '452', 'value': '€2.50m'}, {'date': '08/01/2018', 'age': '29', 'clubName': 'BSC Young Boys', 'clubID': '452', 'value': '€2.25m'}, {'date': '24/04/2018', 'age': '29', 'clubName': 'BSC Young Boys', 'clubID': '452', 'value': '€3.00m'}, {'date': '12/07/2018', 'age': '29', 'clubName': 'BSC Young Boys', 'clubID': '452', 'value': '€4.50m'}, {'date': '21/01/2019', 'age': '30', 'clubName': 'BSC Young Boys', 'clubID': '452', 'value': '€4.50m'}, {'date': '15/04/2019', 'age': '30', 'clubName': 'BSC Young Boys', 'clubID': '452', 'value': '€4.50m'}, {'date': '04/06/2019', 'age': '30', 'clubName': 'BSC Young Boys', 'clubID': '452', 'value': '€4.50m'}, {'date': '06/01/2020', 'age': '31', 'clubName': 'BSC Young Boys', 'clubID': '452', 'value': '€4.50m'}, {'date': '08/04/2020', 'age': '31', 'clubName': 'BSC Young Boys', 'clubID': '452', 'value': '€3.50m'}, {'date': '31/07/2020', 'age': '31', 'clubName': 'BSC Young Boys', 'clubID': '452', 'value': '€3.50m'}, {'date': '28/12/2020', 'age': '32', 'clubName': 'BSC Young Boys', 'clubID': '452', 'value': '€1.50m'}, {'date': '15/04/2021', 'age': '32', 'clubName': 'BSC Young Boys', 'clubID': '452', 'value': '€1.00m'}, {'date': '23/06/2021', 'age': '32', 'clubName': 'BSC Young Boys', 'clubID': '452', 'value': '€800k'}, {'date': '03/01/2022', 'age': '33', 'clubName': 'BSC Young Boys', 'clubID': '452', 'value': '€400k'}, {'date': '08/06/2022', 'age': '33', 'clubName': 'BSC Young Boys', 'clubID': '452', 'value': '€400k'}, {'date': '29/12/2022', 'age': '34', 'clubName': 'Without Club', 'clubID': '515', 'value': '€300k'}, {'date': '28/03/2023', 'age': '34', 'clubName': 'Without Club', 'clubID': '515', 'value': '€200k'}, {'date': '07/03/2024', 'age': '35', 'clubName': 'Zeleznicar Indjija', 'clubID': '94939', 'value': '-'}]}</t>
        </is>
      </c>
      <c r="L724" t="inlineStr">
        <is>
          <t>Serbia</t>
        </is>
      </c>
      <c r="M724" t="inlineStr">
        <is>
          <t>1988-12-05</t>
        </is>
      </c>
      <c r="N724" t="inlineStr">
        <is>
          <t>Serbia</t>
        </is>
      </c>
      <c r="O724">
        <f>(0.4+0.4+0.3)/3</f>
        <v/>
      </c>
      <c r="P724">
        <f>(1+0.8)/2</f>
        <v/>
      </c>
    </row>
    <row r="725">
      <c r="A725" t="inlineStr">
        <is>
          <t>Blanco</t>
        </is>
      </c>
      <c r="B725" t="inlineStr">
        <is>
          <t>Real Madrid</t>
        </is>
      </c>
      <c r="C725" t="inlineStr">
        <is>
          <t>Midfielder</t>
        </is>
      </c>
      <c r="D725" t="n">
        <v>6</v>
      </c>
      <c r="E725" t="n">
        <v>1</v>
      </c>
      <c r="F725" t="n">
        <v>0</v>
      </c>
      <c r="G725" t="n">
        <v>0</v>
      </c>
      <c r="H725" t="n">
        <v>1.3</v>
      </c>
      <c r="I725" t="n">
        <v>30.9</v>
      </c>
      <c r="J725" t="n">
        <v>7349</v>
      </c>
      <c r="K725" t="inlineStr">
        <is>
          <t>{'marketValueHistory': [{'date': 'Oct 4, 2004', 'age': '27', 'clubName': 'Real Madrid', 'clubID': '418', 'value': '€24.00m'}, {'date': 'Dec 28, 2004', 'age': '27', 'clubName': 'Real Madrid', 'clubID': '418', 'value': '€25.00m'}, {'date': 'Jan 12, 2006', 'age': '28', 'clubName': 'Real Madrid', 'clubID': '418', 'value': '€17.50m'}, {'date': 'Jun 24, 2007', 'age': '29', 'clubName': 'Real Madrid', 'clubID': '418', 'value': '€18.00m'}, {'date': 'Feb 4, 2008', 'age': '30', 'clubName': 'Real Madrid', 'clubID': '418', 'value': '€24.00m'}, {'date': 'Apr 4, 2008', 'age': '30', 'clubName': 'Real Madrid', 'clubID': '418', 'value': '€26.00m'}, {'date': 'Jul 8, 2008', 'age': '31', 'clubName': 'Real Madrid', 'clubID': '418', 'value': '€28.00m'}, {'date': 'Jan 26, 2009', 'age': '31', 'clubName': 'Real Madrid', 'clubID': '418', 'value': '€26.00m'}, {'date': 'Jul 22, 2009', 'age': '32', 'clubName': 'Real Madrid', 'clubID': '418', 'value': '€20.00m'}, {'date': 'Dec 3, 2009', 'age': '32', 'clubName': 'Real Madrid', 'clubID': '418', 'value': '€18.00m'}, {'date': 'Jan 7, 2010', 'age': '32', 'clubName': 'Real Madrid', 'clubID': '418', 'value': '€14.00m'}, {'date': 'Apr 12, 2010', 'age': '32', 'clubName': 'Real Madrid', 'clubID': '418', 'value': '€9.00m'}, {'date': 'Aug 2, 2010', 'age': '33', 'clubName': 'FC Schalke 04', 'clubID': '33', 'value': '€8.00m'}, {'date': 'Jan 12, 2011', 'age': '33', 'clubName': 'FC Schalke 04', 'clubID': '33', 'value': '€7.50m'}, {'date': 'Jun 29, 2011', 'age': '34', 'clubName': 'FC Schalke 04', 'clubID': '33', 'value': '€7.50m'}, {'date': 'Jan 23, 2012', 'age': '34', 'clubName': 'FC Schalke 04', 'clubID': '33', 'value': '€7.50m'}, {'date': 'Jun 29, 2012', 'age': '35', 'clubName': 'FC Schalke 04', 'clubID': '33', 'value': '€5.00m'}, {'date': 'Oct 25, 2012', 'age': '35', 'clubName': 'Al-Sadd SC', 'clubID': '656', 'value': '€1.00m'}, {'date': 'Apr 12, 2013', 'age': '35', 'clubName': 'Al-Sadd SC', 'clubID': '656', 'value': '€1.00m'}, {'date': 'Aug 10, 2014', 'age': '37', 'clubName': 'Without Club', 'clubID': '515', 'value': '-'}]}</t>
        </is>
      </c>
      <c r="L725" t="inlineStr">
        <is>
          <t>Spain</t>
        </is>
      </c>
      <c r="M725" t="inlineStr">
        <is>
          <t>1977-06-27</t>
        </is>
      </c>
      <c r="N725" t="inlineStr">
        <is>
          <t>Spain</t>
        </is>
      </c>
    </row>
    <row r="726">
      <c r="A726" t="inlineStr">
        <is>
          <t>Delap</t>
        </is>
      </c>
      <c r="B726" t="inlineStr">
        <is>
          <t>Man City</t>
        </is>
      </c>
      <c r="C726" t="inlineStr">
        <is>
          <t>Forward</t>
        </is>
      </c>
      <c r="D726" t="n">
        <v>6</v>
      </c>
      <c r="E726" t="n">
        <v>1</v>
      </c>
      <c r="F726" t="n">
        <v>0</v>
      </c>
      <c r="G726" t="n">
        <v>0</v>
      </c>
      <c r="H726" t="n">
        <v>1.2</v>
      </c>
      <c r="I726" t="n">
        <v>28.2</v>
      </c>
      <c r="J726" t="n">
        <v>610849</v>
      </c>
      <c r="K726" t="inlineStr">
        <is>
          <t>{'marketValueHistory': [{'date': '13/10/2020', 'age': '17', 'clubName': 'Manchester City U23', 'clubID': '9265', 'value': '€1.00m'}, {'date': '15/06/2022', 'age': '19', 'clubName': 'Manchester City U23', 'clubID': '9265', 'value': '€1.50m'}, {'date': '14/09/2022', 'age': '19', 'clubName': 'Stoke City', 'clubID': '512', 'value': '€7.00m'}, {'date': '27/10/2022', 'age': '19', 'clubName': 'Stoke City', 'clubID': '512', 'value': '€7.00m'}, {'date': '01/06/2023', 'age': '20', 'clubName': 'Manchester City U21', 'clubID': '9265', 'value': '€5.00m'}, {'date': '27/10/2023', 'age': '20', 'clubName': 'Hull City', 'clubID': '3008', 'value': '€7.00m'}, {'date': '21/12/2023', 'age': '20', 'clubName': 'Hull City', 'clubID': '3008', 'value': '€8.00m'}, {'date': '24/05/2024', 'age': '21', 'clubName': 'Hull City', 'clubID': '3008', 'value': '€8.00m'}, {'date': '01/10/2024', 'age': '21', 'clubName': 'Ipswich Town', 'clubID': '677', 'value': '€15.00m'}, {'date': '16/12/2024', 'age': '21', 'clubName': 'Ipswich Town', 'clubID': '677', 'value': '€25.00m'}, {'date': '18/03/2025', 'age': '22', 'clubName': 'Ipswich Town', 'clubID': '677', 'value': '€35.00m'}, {'date': '30/05/2025', 'age': '22', 'clubName': 'Ipswich Town', 'clubID': '677', 'value': '€40.00m'}, {'date': '09/12/2025', 'age': '22', 'clubName': 'Chelsea FC', 'clubID': '631', 'value': '€35.00m'}, {'date': '09/03/2026', 'age': '23', 'clubName': 'Chelsea FC', 'clubID': '631', 'value': '€32.00m'}]}</t>
        </is>
      </c>
      <c r="L726" t="inlineStr">
        <is>
          <t>United Kingdom</t>
        </is>
      </c>
      <c r="M726" t="inlineStr">
        <is>
          <t>2003-02-08</t>
        </is>
      </c>
      <c r="N726" t="inlineStr">
        <is>
          <t>England</t>
        </is>
      </c>
      <c r="O726">
        <f>(1.5+7+7)/3</f>
        <v/>
      </c>
    </row>
    <row r="727">
      <c r="A727" t="inlineStr">
        <is>
          <t>Mbete</t>
        </is>
      </c>
      <c r="B727" t="inlineStr">
        <is>
          <t>Man City</t>
        </is>
      </c>
      <c r="C727" t="inlineStr">
        <is>
          <t>Defender</t>
        </is>
      </c>
      <c r="D727" t="n">
        <v>6</v>
      </c>
      <c r="E727" t="n">
        <v>1</v>
      </c>
      <c r="F727" t="n">
        <v>0</v>
      </c>
      <c r="G727" t="n">
        <v>0</v>
      </c>
      <c r="H727" t="n">
        <v>1.1</v>
      </c>
      <c r="I727" t="n">
        <v>27</v>
      </c>
      <c r="J727" t="n">
        <v>609883</v>
      </c>
      <c r="K727" t="inlineStr">
        <is>
          <t>{'marketValueHistory': [{'date': 'Oct 5, 2021', 'age': '18', 'clubName': 'Manchester City U23', 'clubID': '9265', 'value': '€600k'}, {'date': 'Jun 15, 2022', 'age': '18', 'clubName': 'Manchester City U23', 'clubID': '9265', 'value': '€600k'}, {'date': 'Sep 14, 2022', 'age': '18', 'clubName': 'Huddersfield Town', 'clubID': '1110', 'value': '€2.00m'}, {'date': 'Oct 27, 2022', 'age': '19', 'clubName': 'Huddersfield Town', 'clubID': '1110', 'value': '€2.00m'}, {'date': 'Apr 5, 2023', 'age': '19', 'clubName': 'Bolton Wanderers', 'clubID': '355', 'value': '€2.00m'}, {'date': 'Jan 8, 2024', 'age': '20', 'clubName': 'FC Den Bosch', 'clubID': '404', 'value': '€1.00m'}, {'date': 'Jun 10, 2024', 'age': '20', 'clubName': 'FC Den Bosch', 'clubID': '404', 'value': '€1.00m'}, {'date': 'Dec 27, 2024', 'age': '21', 'clubName': 'Northampton Town', 'clubID': '1302', 'value': '€1.00m'}, {'date': 'Jun 18, 2025', 'age': '21', 'clubName': 'Manchester City U21', 'clubID': '9265', 'value': '€1.00m'}, {'date': 'Dec 17, 2025', 'age': '22', 'clubName': 'Manchester City U21', 'clubID': '9265', 'value': '€700k'}]}</t>
        </is>
      </c>
      <c r="L727" t="inlineStr">
        <is>
          <t>England</t>
        </is>
      </c>
      <c r="M727" t="inlineStr">
        <is>
          <t>2003-09-18</t>
        </is>
      </c>
      <c r="N727" t="inlineStr">
        <is>
          <t>2</t>
        </is>
      </c>
      <c r="O727">
        <f>(0.6+2+2)/3</f>
        <v/>
      </c>
      <c r="P727">
        <f>0.6</f>
        <v/>
      </c>
    </row>
    <row r="728">
      <c r="A728" t="inlineStr">
        <is>
          <t>Kolarov</t>
        </is>
      </c>
      <c r="B728" t="inlineStr">
        <is>
          <t>Inter</t>
        </is>
      </c>
      <c r="C728" t="inlineStr">
        <is>
          <t>Defender</t>
        </is>
      </c>
      <c r="D728" t="n">
        <v>5</v>
      </c>
      <c r="E728" t="n">
        <v>1</v>
      </c>
      <c r="F728" t="n">
        <v>0</v>
      </c>
      <c r="G728" t="n">
        <v>0</v>
      </c>
      <c r="H728" t="n">
        <v>1.1</v>
      </c>
      <c r="I728" t="n">
        <v>26.1</v>
      </c>
      <c r="J728" t="n">
        <v>46156</v>
      </c>
      <c r="K728" t="inlineStr">
        <is>
          <t>{'marketValueHistory': [{'date': 'Feb 27, 2007', 'age': '21', 'clubName': 'OFK Beograd', 'clubID': '53', 'value': '€1.00m'}, {'date': 'Feb 9, 2008', 'age': '22', 'clubName': 'SS Lazio', 'clubID': '398', 'value': '€3.00m'}, {'date': 'Jul 3, 2008', 'age': '22', 'clubName': 'SS Lazio', 'clubID': '398', 'value': '€3.50m'}, {'date': 'Feb 3, 2009', 'age': '23', 'clubName': 'SS Lazio', 'clubID': '398', 'value': '€2.60m'}, {'date': 'Aug 6, 2009', 'age': '23', 'clubName': 'SS Lazio', 'clubID': '398', 'value': '€5.00m'}, {'date': 'Jan 27, 2010', 'age': '24', 'clubName': 'SS Lazio', 'clubID': '398', 'value': '€9.00m'}, {'date': 'Aug 13, 2010', 'age': '24', 'clubName': 'Manchester City', 'clubID': '281', 'value': '€15.00m'}, {'date': 'Feb 1, 2011', 'age': '25', 'clubName': 'Manchester City', 'clubID': '281', 'value': '€15.00m'}, {'date': 'Aug 8, 2011', 'age': '25', 'clubName': 'Manchester City', 'clubID': '281', 'value': '€15.00m'}, {'date': 'Feb 6, 2012', 'age': '26', 'clubName': 'Manchester City', 'clubID': '281', 'value': '€17.00m'}, {'date': 'Jun 24, 2012', 'age': '26', 'clubName': 'Manchester City', 'clubID': '281', 'value': '€14.00m'}, {'date': 'Jan 28, 2013', 'age': '27', 'clubName': 'Manchester City', 'clubID': '281', 'value': '€12.50m'}, {'date': 'Jul 2, 2013', 'age': '27', 'clubName': 'Manchester City', 'clubID': '281', 'value': '€11.00m'}, {'date': 'Jan 15, 2014', 'age': '28', 'clubName': 'Manchester City', 'clubID': '281', 'value': '€12.00m'}, {'date': 'Aug 12, 2014', 'age': '28', 'clubName': 'Manchester City', 'clubID': '281', 'value': '€12.00m'}, {'date': 'Feb 12, 2015', 'age': '29', 'clubName': 'Manchester City', 'clubID': '281', 'value': '€11.00m'}, {'date': 'Jul 1, 2015', 'age': '29', 'clubName': 'Manchester City', 'clubID': '281', 'value': '€11.00m'}, {'date': 'Feb 9, 2016', 'age': '30', 'clubName': 'Manchester City', 'clubID': '281', 'value': '€11.00m'}, {'date': 'Aug 1, 2016', 'age': '30', 'clubName': 'Manchester City', 'clubID': '281', 'value': '€11.00m'}, {'date': 'Feb 20, 2017', 'age': '31', 'clubName': 'Manchester City', 'clubID': '281', 'value': '€11.00m'}, {'date': 'Jun 28, 2017', 'age': '31', 'clubName': 'Manchester City', 'clubID': '281', 'value': '€10.00m'}, {'date': 'Dec 29, 2017', 'age': '32', 'clubName': 'AS Roma', 'clubID': '12', 'value': '€10.00m'}, {'date': 'Jun 7, 2018', 'age': '32', 'clubName': 'AS Roma', 'clubID': '12', 'value': '€12.00m'}, {'date': 'Dec 20, 2018', 'age': '33', 'clubName': 'AS Roma', 'clubID': '12', 'value': '€12.00m'}, {'date': 'Jun 6, 2019', 'age': '33', 'clubName': 'AS Roma', 'clubID': '12', 'value': '€8.00m'}, {'date': 'Dec 12, 2019', 'age': '34', 'clubName': 'AS Roma', 'clubID': '12', 'value': '€8.00m'}, {'date': 'Apr 8, 2020', 'age': '34', 'clubName': 'AS Roma', 'clubID': '12', 'value': '€6.50m'}, {'date': 'Aug 25, 2020', 'age': '34', 'clubName': 'AS Roma', 'clubID': '12', 'value': '€5.00m'}, {'date': 'Dec 29, 2020', 'age': '35', 'clubName': 'Inter Milan', 'clubID': '46', 'value': '€2.50m'}, {'date': 'Jun 3, 2021', 'age': '35', 'clubName': 'Inter Milan', 'clubID': '46', 'value': '€1.50m'}, {'date': 'Dec 28, 2021', 'age': '36', 'clubName': 'Inter Milan', 'clubID': '46', 'value': '€1.00m'}, {'date': 'Jun 7, 2022', 'age': '36', 'clubName': 'Inter Milan', 'clubID': '46', 'value': '€500k'}, {'date': 'Jul 1, 2022', 'age': '36', 'clubName': 'Retired', 'clubID': '123', 'value': '-'}]}</t>
        </is>
      </c>
      <c r="L728" t="inlineStr">
        <is>
          <t>Serbia</t>
        </is>
      </c>
      <c r="M728" t="inlineStr">
        <is>
          <t>1985-11-10</t>
        </is>
      </c>
      <c r="N728" t="inlineStr">
        <is>
          <t>Serbia</t>
        </is>
      </c>
      <c r="O728">
        <f>0.5</f>
        <v/>
      </c>
      <c r="P728">
        <f>(1.5+1)/2</f>
        <v/>
      </c>
    </row>
    <row r="729">
      <c r="A729" t="inlineStr">
        <is>
          <t>Simic</t>
        </is>
      </c>
      <c r="B729" t="inlineStr">
        <is>
          <t>Salzburg</t>
        </is>
      </c>
      <c r="C729" t="inlineStr">
        <is>
          <t>Forward</t>
        </is>
      </c>
      <c r="D729" t="n">
        <v>4</v>
      </c>
      <c r="E729" t="n">
        <v>1</v>
      </c>
      <c r="F729" t="n">
        <v>0</v>
      </c>
      <c r="G729" t="n">
        <v>0</v>
      </c>
      <c r="H729" t="n">
        <v>1.3</v>
      </c>
      <c r="I729" t="n">
        <v>30.6</v>
      </c>
      <c r="J729" t="n">
        <v>2540</v>
      </c>
      <c r="K729" t="inlineStr">
        <is>
          <t>{'marketValueHistory': [{'date': 'Oct 4, 2004', 'age': '28', 'clubName': 'AC Milan', 'clubID': '5', 'value': '€2.00m'}, {'date': 'Jul 4, 2008', 'age': '32', 'clubName': 'AC Milan', 'clubID': '5', 'value': '€1.50m'}, {'date': 'Dec 30, 2008', 'age': '33', 'clubName': 'AS Monaco', 'clubID': '162', 'value': '€2.20m'}, {'date': 'May 18, 2009', 'age': '33', 'clubName': 'AS Monaco', 'clubID': '162', 'value': '€2.00m'}, {'date': 'Sep 4, 2009', 'age': '33', 'clubName': 'AS Monaco', 'clubID': '162', 'value': '€1.50m'}, {'date': 'Dec 22, 2009', 'age': '34', 'clubName': 'AS Monaco', 'clubID': '162', 'value': '€800k'}, {'date': 'May 18, 2010', 'age': '34', 'clubName': 'AS Monaco', 'clubID': '162', 'value': '€600k'}, {'date': 'Aug 11, 2010', 'age': '34', 'clubName': 'Retired', 'clubID': '123', 'value': '-'}]}</t>
        </is>
      </c>
      <c r="L729" t="inlineStr">
        <is>
          <t>Croatia</t>
        </is>
      </c>
      <c r="M729" t="inlineStr">
        <is>
          <t>1975-11-12</t>
        </is>
      </c>
      <c r="N729" t="inlineStr">
        <is>
          <t>Croatia</t>
        </is>
      </c>
    </row>
    <row r="730">
      <c r="A730" t="inlineStr">
        <is>
          <t>Guindo</t>
        </is>
      </c>
      <c r="B730" t="inlineStr">
        <is>
          <t>Salzburg</t>
        </is>
      </c>
      <c r="C730" t="inlineStr">
        <is>
          <t>Defender</t>
        </is>
      </c>
      <c r="D730" t="n">
        <v>4</v>
      </c>
      <c r="E730" t="n">
        <v>1</v>
      </c>
      <c r="F730" t="n">
        <v>0</v>
      </c>
      <c r="G730" t="n">
        <v>0</v>
      </c>
      <c r="H730" t="n">
        <v>1.2</v>
      </c>
      <c r="I730" t="n">
        <v>26.3</v>
      </c>
      <c r="J730" t="n">
        <v>671590</v>
      </c>
      <c r="K730" t="inlineStr">
        <is>
          <t>{'marketValueHistory': [{'date': '05/01/2021', 'age': '18', 'clubName': 'FC Liefering', 'clubID': '37024', 'value': '€250k'}, {'date': '26/05/2021', 'age': '18', 'clubName': 'FC Liefering', 'clubID': '37024', 'value': '€700k'}, {'date': '06/09/2021', 'age': '18', 'clubName': 'Red Bull Salzburg', 'clubID': '409', 'value': '€1.00m'}, {'date': '16/12/2021', 'age': '19', 'clubName': 'Red Bull Salzburg', 'clubID': '409', 'value': '€1.50m'}, {'date': '25/05/2022', 'age': '19', 'clubName': 'Red Bull Salzburg', 'clubID': '409', 'value': '€1.50m'}, {'date': '10/11/2022', 'age': '20', 'clubName': 'FC St. Gallen 1879', 'clubID': '257', 'value': '€1.50m'}, {'date': '12/06/2023', 'age': '20', 'clubName': 'Red Bull Salzburg', 'clubID': '409', 'value': '€1.20m'}, {'date': '11/12/2023', 'age': '21', 'clubName': 'Red Bull Salzburg', 'clubID': '409', 'value': '€2.00m'}, {'date': '21/05/2024', 'age': '21', 'clubName': 'Red Bull Salzburg', 'clubID': '409', 'value': '€3.00m'}, {'date': '17/12/2024', 'age': '22', 'clubName': 'Red Bull Salzburg', 'clubID': '409', 'value': '€3.00m'}, {'date': '06/06/2025', 'age': '22', 'clubName': 'Red Bull Salzburg', 'clubID': '409', 'value': '€2.00m'}, {'date': '15/12/2025', 'age': '23', 'clubName': 'Stade Brestois 29', 'clubID': '3911', 'value': '€2.00m'}, {'date': '27/03/2026', 'age': '23', 'clubName': 'Stade Brestois 29', 'clubID': '3911', 'value': '€3.00m'}]}</t>
        </is>
      </c>
      <c r="L730" t="inlineStr">
        <is>
          <t>France</t>
        </is>
      </c>
      <c r="M730" t="inlineStr">
        <is>
          <t>2002-11-12</t>
        </is>
      </c>
      <c r="N730" t="inlineStr">
        <is>
          <t>Mali</t>
        </is>
      </c>
      <c r="O730">
        <f>(1.5+1.5)/2</f>
        <v/>
      </c>
      <c r="P730">
        <f>(0.25+0.7+1+1.5)/4</f>
        <v/>
      </c>
    </row>
    <row r="731">
      <c r="A731" t="inlineStr">
        <is>
          <t>Dentinho</t>
        </is>
      </c>
      <c r="B731" t="inlineStr">
        <is>
          <t>Shakhtar Donetsk</t>
        </is>
      </c>
      <c r="C731" t="inlineStr">
        <is>
          <t>Midfielder</t>
        </is>
      </c>
      <c r="D731" t="n">
        <v>4</v>
      </c>
      <c r="E731" t="n">
        <v>1</v>
      </c>
      <c r="F731" t="n">
        <v>0</v>
      </c>
      <c r="G731" t="n">
        <v>0</v>
      </c>
      <c r="H731" t="n">
        <v>1</v>
      </c>
      <c r="I731" t="n">
        <v>24</v>
      </c>
      <c r="J731" t="n">
        <v>52787</v>
      </c>
      <c r="K731" t="inlineStr">
        <is>
          <t>{'marketValueHistory': [{'date': '27/02/2008', 'age': '19', 'clubName': 'Sport Club Corinthians Paulista', 'clubID': '199', 'value': '€600k'}, {'date': '01/03/2008', 'age': '19', 'clubName': 'Sport Club Corinthians Paulista', 'clubID': '199', 'value': '€2.00m'}, {'date': '09/10/2008', 'age': '19', 'clubName': 'Sport Club Corinthians Paulista', 'clubID': '199', 'value': '€4.00m'}, {'date': '22/10/2008', 'age': '19', 'clubName': 'Sport Club Corinthians Paulista', 'clubID': '199', 'value': '€5.00m'}, {'date': '06/09/2010', 'age': '21', 'clubName': 'Sport Club Corinthians Paulista', 'clubID': '199', 'value': '€4.00m'}, {'date': '10/12/2010', 'age': '21', 'clubName': 'Sport Club Corinthians Paulista', 'clubID': '199', 'value': '€3.50m'}, {'date': '21/02/2011', 'age': '22', 'clubName': 'Sport Club Corinthians Paulista', 'clubID': '199', 'value': '€3.00m'}, {'date': '30/05/2011', 'age': '22', 'clubName': 'Sport Club Corinthians Paulista', 'clubID': '199', 'value': '€3.00m'}, {'date': '04/07/2011', 'age': '22', 'clubName': 'Shakhtar Donetsk', 'clubID': '660', 'value': '€6.00m'}, {'date': '05/01/2012', 'age': '22', 'clubName': 'Shakhtar Donetsk', 'clubID': '660', 'value': '€5.50m'}, {'date': '02/07/2012', 'age': '23', 'clubName': 'Shakhtar Donetsk', 'clubID': '660', 'value': '€4.50m'}, {'date': '15/06/2013', 'age': '24', 'clubName': 'Besiktas JK', 'clubID': '114', 'value': '€3.00m'}, {'date': '30/06/2014', 'age': '25', 'clubName': 'Shakhtar Donetsk', 'clubID': '660', 'value': '€2.50m'}, {'date': '25/12/2014', 'age': '25', 'clubName': 'Shakhtar Donetsk', 'clubID': '660', 'value': '€2.50m'}, {'date': '07/06/2015', 'age': '26', 'clubName': 'Shakhtar Donetsk', 'clubID': '660', 'value': '€2.50m'}, {'date': '18/12/2015', 'age': '26', 'clubName': 'Shakhtar Donetsk', 'clubID': '660', 'value': '€2.50m'}, {'date': '21/07/2016', 'age': '27', 'clubName': 'Shakhtar Donetsk', 'clubID': '660', 'value': '€2.50m'}, {'date': '03/01/2017', 'age': '27', 'clubName': 'Shakhtar Donetsk', 'clubID': '660', 'value': '€3.00m'}, {'date': '26/06/2017', 'age': '28', 'clubName': 'Shakhtar Donetsk', 'clubID': '660', 'value': '€3.00m'}, {'date': '12/01/2018', 'age': '28', 'clubName': 'Shakhtar Donetsk', 'clubID': '660', 'value': '€2.00m'}, {'date': '06/08/2018', 'age': '29', 'clubName': 'Shakhtar Donetsk', 'clubID': '660', 'value': '€1.50m'}, {'date': '10/12/2018', 'age': '29', 'clubName': 'Shakhtar Donetsk', 'clubID': '660', 'value': '€1.00m'}, {'date': '20/06/2019', 'age': '30', 'clubName': 'Shakhtar Donetsk', 'clubID': '660', 'value': '€1.50m'}, {'date': '08/01/2020', 'age': '30', 'clubName': 'Shakhtar Donetsk', 'clubID': '660', 'value': '€1.50m'}, {'date': '08/04/2020', 'age': '31', 'clubName': 'Shakhtar Donetsk', 'clubID': '660', 'value': '€1.20m'}, {'date': '04/09/2020', 'age': '31', 'clubName': 'Shakhtar Donetsk', 'clubID': '660', 'value': '€1.00m'}, {'date': '14/01/2021', 'age': '31', 'clubName': 'Shakhtar Donetsk', 'clubID': '660', 'value': '€1.00m'}, {'date': '07/06/2021', 'age': '32', 'clubName': 'Shakhtar Donetsk', 'clubID': '660', 'value': '€1.50m'}, {'date': '20/12/2021', 'age': '32', 'clubName': 'Shakhtar Donetsk', 'clubID': '660', 'value': '€1.00m'}, {'date': '06/04/2022', 'age': '33', 'clubName': 'Ceará Sporting Club', 'clubID': '2029', 'value': '€1.00m'}, {'date': '19/08/2022', 'age': '33', 'clubName': 'Ceará Sporting Club', 'clubID': '2029', 'value': '€500k'}, {'date': '14/11/2022', 'age': '33', 'clubName': 'Ceará Sporting Club', 'clubID': '2029', 'value': '€350k'}, {'date': '28/03/2023', 'age': '34', 'clubName': 'Without Club', 'clubID': '515', 'value': '€250k'}, {'date': '29/03/2024', 'age': '35', 'clubName': 'Without Club', 'clubID': '515', 'value': '-'}, {'date': '27/11/2024', 'age': '35', 'clubName': 'Amazonas FC', 'clubID': '87727', 'value': '€50k'}, {'date': '28/01/2025', 'age': '36', 'clubName': 'Brasiliense FC (DF)', 'clubID': '3973', 'value': '-'}]}</t>
        </is>
      </c>
      <c r="L731" t="inlineStr">
        <is>
          <t>Brazil</t>
        </is>
      </c>
      <c r="M731" t="inlineStr">
        <is>
          <t>1989-01-19</t>
        </is>
      </c>
      <c r="N731" t="inlineStr">
        <is>
          <t>Brazil</t>
        </is>
      </c>
      <c r="O731">
        <f>(1+0.5+0.35)/3</f>
        <v/>
      </c>
      <c r="P731">
        <f>(1+1.5+1)/3</f>
        <v/>
      </c>
    </row>
    <row r="732">
      <c r="A732" t="inlineStr">
        <is>
          <t>Shevchenko</t>
        </is>
      </c>
      <c r="B732" t="inlineStr">
        <is>
          <t>Shakhtar Donetsk</t>
        </is>
      </c>
      <c r="C732" t="inlineStr">
        <is>
          <t>Goalkeeper</t>
        </is>
      </c>
      <c r="D732" t="n">
        <v>4</v>
      </c>
      <c r="E732" t="n">
        <v>1</v>
      </c>
      <c r="F732" t="n">
        <v>0</v>
      </c>
      <c r="G732" t="n">
        <v>0</v>
      </c>
      <c r="H732" t="n">
        <v>0.5</v>
      </c>
      <c r="I732" t="n">
        <v>17.1</v>
      </c>
      <c r="J732" t="n">
        <v>3522</v>
      </c>
      <c r="K732" t="inlineStr">
        <is>
          <t>{'marketValueHistory': [{'date': 'Oct 4, 2004', 'age': '28', 'clubName': 'AC Milan', 'clubID': '5', 'value': '€28.00m'}, {'date': 'Dec 16, 2004', 'age': '28', 'clubName': 'AC Milan', 'clubID': '5', 'value': '€35.00m'}, {'date': 'Jul 29, 2005', 'age': '28', 'clubName': 'AC Milan', 'clubID': '5', 'value': '€38.00m'}, {'date': 'Jun 11, 2006', 'age': '29', 'clubName': 'AC Milan', 'clubID': '5', 'value': '€51.00m'}, {'date': 'Sep 28, 2006', 'age': '29', 'clubName': 'Chelsea FC', 'clubID': '631', 'value': '€46.00m'}, {'date': 'Sep 1, 2007', 'age': '30', 'clubName': 'Chelsea FC', 'clubID': '631', 'value': '€39.00m'}, {'date': 'Feb 4, 2008', 'age': '31', 'clubName': 'Chelsea FC', 'clubID': '631', 'value': '€24.00m'}, {'date': 'Jul 4, 2008', 'age': '31', 'clubName': 'Chelsea FC', 'clubID': '631', 'value': '€16.00m'}, {'date': 'Feb 6, 2009', 'age': '32', 'clubName': 'AC Milan', 'clubID': '5', 'value': '€10.00m'}, {'date': 'Sep 22, 2009', 'age': '32', 'clubName': 'Dynamo Kyiv', 'clubID': '338', 'value': '€9.00m'}, {'date': 'Feb 18, 2010', 'age': '33', 'clubName': 'Dynamo Kyiv', 'clubID': '338', 'value': '€9.00m'}, {'date': 'Aug 28, 2010', 'age': '33', 'clubName': 'Dynamo Kyiv', 'clubID': '338', 'value': '€7.00m'}, {'date': 'Jan 5, 2011', 'age': '34', 'clubName': 'Dynamo Kyiv', 'clubID': '338', 'value': '€5.50m'}, {'date': 'Jan 5, 2012', 'age': '35', 'clubName': 'Dynamo Kyiv', 'clubID': '338', 'value': '€5.00m'}, {'date': 'Jul 2, 2012', 'age': '35', 'clubName': 'Dynamo Kyiv', 'clubID': '338', 'value': '€2.00m'}, {'date': 'Jul 29, 2012', 'age': '35', 'clubName': 'Retired', 'clubID': '123', 'value': '-'}]}</t>
        </is>
      </c>
      <c r="L732" t="inlineStr">
        <is>
          <t>Ukraine</t>
        </is>
      </c>
      <c r="M732" t="inlineStr">
        <is>
          <t>1976-09-29</t>
        </is>
      </c>
      <c r="N732" t="inlineStr">
        <is>
          <t>Ukraine</t>
        </is>
      </c>
    </row>
    <row r="733">
      <c r="A733" t="inlineStr">
        <is>
          <t>Maier</t>
        </is>
      </c>
      <c r="B733" t="inlineStr">
        <is>
          <t>Young Boys</t>
        </is>
      </c>
      <c r="C733" t="inlineStr">
        <is>
          <t>Midfielder</t>
        </is>
      </c>
      <c r="D733" t="n">
        <v>3</v>
      </c>
      <c r="E733" t="n">
        <v>1</v>
      </c>
      <c r="F733" t="n">
        <v>0</v>
      </c>
      <c r="G733" t="n">
        <v>0</v>
      </c>
      <c r="H733" t="n">
        <v>1.3</v>
      </c>
      <c r="I733" t="n">
        <v>26.4</v>
      </c>
      <c r="J733" t="n">
        <v>89550</v>
      </c>
      <c r="L733" t="inlineStr">
        <is>
          <t>Germany</t>
        </is>
      </c>
      <c r="M733" t="inlineStr">
        <is>
          <t>1944-02-28</t>
        </is>
      </c>
      <c r="N733" t="inlineStr">
        <is>
          <t>Germany</t>
        </is>
      </c>
    </row>
    <row r="734">
      <c r="A734" t="inlineStr">
        <is>
          <t>Pellegrini</t>
        </is>
      </c>
      <c r="B734" t="inlineStr">
        <is>
          <t>Juventus</t>
        </is>
      </c>
      <c r="C734" t="inlineStr">
        <is>
          <t>Defender</t>
        </is>
      </c>
      <c r="D734" t="n">
        <v>3</v>
      </c>
      <c r="E734" t="n">
        <v>1</v>
      </c>
      <c r="F734" t="n">
        <v>0</v>
      </c>
      <c r="G734" t="n">
        <v>0</v>
      </c>
      <c r="H734" t="n">
        <v>1</v>
      </c>
      <c r="I734" t="n">
        <v>32.2</v>
      </c>
      <c r="J734" t="n">
        <v>286297</v>
      </c>
      <c r="K734" t="inlineStr">
        <is>
          <t>{'marketValueHistory': [{'date': '24/06/2014', 'age': '18', 'clubName': 'Roma U19', 'clubID': '11997', 'value': '€175k'}, {'date': '02/03/2015', 'age': '18', 'clubName': 'Roma U19', 'clubID': '11997', 'value': '€200k'}, {'date': '17/06/2015', 'age': '18', 'clubName': 'Roma U19', 'clubID': '11997', 'value': '€250k'}, {'date': '04/01/2016', 'age': '19', 'clubName': 'US Sassuolo', 'clubID': '6574', 'value': '€1.00m'}, {'date': '15/07/2016', 'age': '20', 'clubName': 'US Sassuolo', 'clubID': '6574', 'value': '€2.50m'}, {'date': '02/01/2017', 'age': '20', 'clubName': 'US Sassuolo', 'clubID': '6574', 'value': '€6.00m'}, {'date': '28/03/2017', 'age': '20', 'clubName': 'US Sassuolo', 'clubID': '6574', 'value': '€8.00m'}, {'date': '08/06/2017', 'age': '20', 'clubName': 'US Sassuolo', 'clubID': '6574', 'value': '€12.00m'}, {'date': '29/12/2017', 'age': '21', 'clubName': 'AS Roma', 'clubID': '12', 'value': '€16.00m'}, {'date': '24/03/2018', 'age': '21', 'clubName': 'AS Roma', 'clubID': '12', 'value': '€23.00m'}, {'date': '07/06/2018', 'age': '21', 'clubName': 'AS Roma', 'clubID': '12', 'value': '€28.00m'}, {'date': '20/12/2018', 'age': '22', 'clubName': 'AS Roma', 'clubID': '12', 'value': '€35.00m'}, {'date': '06/06/2019', 'age': '22', 'clubName': 'AS Roma', 'clubID': '12', 'value': '€35.00m'}, {'date': '08/10/2019', 'age': '23', 'clubName': 'AS Roma', 'clubID': '12', 'value': '€40.00m'}, {'date': '12/12/2019', 'age': '23', 'clubName': 'AS Roma', 'clubID': '12', 'value': '€40.00m'}, {'date': '08/04/2020', 'age': '23', 'clubName': 'AS Roma', 'clubID': '12', 'value': '€32.00m'}, {'date': '25/08/2020', 'age': '24', 'clubName': 'AS Roma', 'clubID': '12', 'value': '€32.00m'}, {'date': '29/12/2020', 'age': '24', 'clubName': 'AS Roma', 'clubID': '12', 'value': '€37.00m'}, {'date': '25/05/2021', 'age': '24', 'clubName': 'AS Roma', 'clubID': '12', 'value': '€40.00m'}, {'date': '14/10/2021', 'age': '25', 'clubName': 'AS Roma', 'clubID': '12', 'value': '€45.00m'}, {'date': '28/12/2021', 'age': '25', 'clubName': 'AS Roma', 'clubID': '12', 'value': '€45.00m'}, {'date': '07/06/2022', 'age': '25', 'clubName': 'AS Roma', 'clubID': '12', 'value': '€45.00m'}, {'date': '11/11/2022', 'age': '26', 'clubName': 'AS Roma', 'clubID': '12', 'value': '€45.00m'}, {'date': '21/03/2023', 'age': '26', 'clubName': 'AS Roma', 'clubID': '12', 'value': '€35.00m'}, {'date': '15/06/2023', 'age': '26', 'clubName': 'AS Roma', 'clubID': '12', 'value': '€35.00m'}, {'date': '11/10/2023', 'age': '27', 'clubName': 'AS Roma', 'clubID': '12', 'value': '€30.00m'}, {'date': '20/12/2023', 'age': '27', 'clubName': 'AS Roma', 'clubID': '12', 'value': '€25.00m'}, {'date': '05/06/2024', 'age': '27', 'clubName': 'AS Roma', 'clubID': '12', 'value': '€25.00m'}, {'date': '18/10/2024', 'age': '28', 'clubName': 'AS Roma', 'clubID': '12', 'value': '€22.00m'}, {'date': '18/12/2024', 'age': '28', 'clubName': 'AS Roma', 'clubID': '12', 'value': '€14.00m'}, {'date': '17/06/2025', 'age': '28', 'clubName': 'AS Roma', 'clubID': '12', 'value': '€9.00m'}, {'date': '23/12/2025', 'age': '29', 'clubName': 'AS Roma', 'clubID': '12', 'value': '€9.00m'}]}</t>
        </is>
      </c>
      <c r="L734" t="inlineStr">
        <is>
          <t>Italy</t>
        </is>
      </c>
      <c r="M734" t="inlineStr">
        <is>
          <t>1996-06-19</t>
        </is>
      </c>
      <c r="N734" t="inlineStr">
        <is>
          <t>36</t>
        </is>
      </c>
      <c r="O734">
        <f>(45+45)/2</f>
        <v/>
      </c>
      <c r="P734">
        <f>(40+45+45)/3</f>
        <v/>
      </c>
    </row>
    <row r="735">
      <c r="A735" t="inlineStr">
        <is>
          <t>Kuznetsov</t>
        </is>
      </c>
      <c r="B735" t="inlineStr">
        <is>
          <t>Zenit</t>
        </is>
      </c>
      <c r="C735" t="inlineStr">
        <is>
          <t>Forward</t>
        </is>
      </c>
      <c r="D735" t="n">
        <v>3</v>
      </c>
      <c r="E735" t="n">
        <v>1</v>
      </c>
      <c r="F735" t="n">
        <v>0</v>
      </c>
      <c r="G735" t="n">
        <v>0</v>
      </c>
      <c r="H735" t="n">
        <v>0.9</v>
      </c>
      <c r="I735" t="n">
        <v>28.8</v>
      </c>
      <c r="J735" t="n">
        <v>101021</v>
      </c>
      <c r="L735" t="inlineStr">
        <is>
          <t>Ukraine</t>
        </is>
      </c>
      <c r="M735" t="inlineStr">
        <is>
          <t>1963-03-22</t>
        </is>
      </c>
      <c r="N735" t="inlineStr">
        <is>
          <t>Ukraine</t>
        </is>
      </c>
    </row>
    <row r="736">
      <c r="A736" t="inlineStr">
        <is>
          <t>Eile</t>
        </is>
      </c>
      <c r="B736" t="inlineStr">
        <is>
          <t>Malmo</t>
        </is>
      </c>
      <c r="C736" t="inlineStr">
        <is>
          <t>Defender</t>
        </is>
      </c>
      <c r="D736" t="n">
        <v>3</v>
      </c>
      <c r="E736" t="n">
        <v>1</v>
      </c>
      <c r="F736" t="n">
        <v>0</v>
      </c>
      <c r="G736" t="n">
        <v>0</v>
      </c>
      <c r="H736" t="n">
        <v>0.8</v>
      </c>
      <c r="I736" t="n">
        <v>28.5</v>
      </c>
      <c r="J736" t="n">
        <v>140497</v>
      </c>
      <c r="K736" t="inlineStr">
        <is>
          <t>{'marketValueHistory': [{'date': '01/08/2010', 'age': '19', 'clubName': 'CS Sedan-Ardennes', 'clubID': '1081', 'value': '€50k'}, {'date': '30/05/2011', 'age': '20', 'clubName': 'CS Sedan-Ardennes', 'clubID': '1081', 'value': '€300k'}, {'date': '03/09/2011', 'age': '21', 'clubName': 'CS Sedan-Ardennes', 'clubID': '1081', 'value': '€600k'}, {'date': '25/12/2011', 'age': '21', 'clubName': 'CS Sedan-Ardennes', 'clubID': '1081', 'value': '€1.00m'}, {'date': '01/06/2012', 'age': '21', 'clubName': 'CS Sedan-Ardennes', 'clubID': '1081', 'value': '€1.25m'}, {'date': '04/01/2013', 'age': '22', 'clubName': 'CS Sedan-Ardennes', 'clubID': '1081', 'value': '€1.25m'}, {'date': '30/05/2013', 'age': '22', 'clubName': 'CS Sedan-Ardennes', 'clubID': '1081', 'value': '€1.00m'}, {'date': '14/01/2014', 'age': '23', 'clubName': 'AS Saint-Étienne', 'clubID': '618', 'value': '€750k'}, {'date': '07/08/2014', 'age': '23', 'clubName': 'AS Saint-Étienne', 'clubID': '618', 'value': '€500k'}, {'date': '14/01/2015', 'age': '24', 'clubName': 'AS Saint-Étienne', 'clubID': '618', 'value': '€2.00m'}, {'date': '06/06/2015', 'age': '24', 'clubName': 'AS Saint-Étienne', 'clubID': '618', 'value': '€2.00m'}, {'date': '06/09/2015', 'age': '25', 'clubName': 'AS Saint-Étienne', 'clubID': '618', 'value': '€2.50m'}, {'date': '04/02/2016', 'age': '25', 'clubName': 'AS Saint-Étienne', 'clubID': '618', 'value': '€3.00m'}, {'date': '13/07/2016', 'age': '25', 'clubName': 'AS Saint-Étienne', 'clubID': '618', 'value': '€3.00m'}, {'date': '16/01/2017', 'age': '26', 'clubName': 'AS Saint-Étienne', 'clubID': '618', 'value': '€3.00m'}, {'date': '01/06/2017', 'age': '26', 'clubName': 'AS Saint-Étienne', 'clubID': '618', 'value': '€4.50m'}, {'date': '24/01/2018', 'age': '27', 'clubName': 'AS Saint-Étienne', 'clubID': '618', 'value': '€4.50m'}, {'date': '11/04/2018', 'age': '27', 'clubName': 'Genclerbirligi Ankara', 'clubID': '820', 'value': '€2.50m'}, {'date': '29/05/2018', 'age': '27', 'clubName': 'Genclerbirligi Ankara', 'clubID': '820', 'value': '€1.50m'}, {'date': '20/03/2019', 'age': '28', 'clubName': 'Atlanta United FC', 'clubID': '51663', 'value': '€1.00m'}, {'date': '27/05/2019', 'age': '28', 'clubName': 'Atlanta United FC', 'clubID': '51663', 'value': '€800k'}, {'date': '30/11/2019', 'age': '29', 'clubName': 'Atlanta United FC', 'clubID': '51663', 'value': '€600k'}, {'date': '08/04/2020', 'age': '29', 'clubName': 'Without Club', 'clubID': '515', 'value': '€475k'}, {'date': '11/11/2020', 'age': '30', 'clubName': 'FC Sochaux-Montbéliard', 'clubID': '750', 'value': '€500k'}, {'date': '25/06/2021', 'age': '30', 'clubName': 'FC Sochaux-Montbéliard', 'clubID': '750', 'value': '€600k'}, {'date': '27/12/2021', 'age': '31', 'clubName': 'FC Sochaux-Montbéliard', 'clubID': '750', 'value': '€600k'}, {'date': '02/06/2022', 'age': '31', 'clubName': 'FC Sochaux-Montbéliard', 'clubID': '750', 'value': '€600k'}, {'date': '05/01/2023', 'age': '32', 'clubName': 'ATK Mohun Bagan FC', 'clubID': '83266', 'value': '€450k'}, {'date': '10/05/2023', 'age': '32', 'clubName': 'ATK Mohun Bagan FC', 'clubID': '83266', 'value': '€375k'}, {'date': '25/10/2023', 'age': '33', 'clubName': 'Without Club', 'clubID': '515', 'value': '€250k'}, {'date': '29/03/2024', 'age': '33', 'clubName': 'Without Club', 'clubID': '515', 'value': '€150k'}, {'date': '25/07/2024', 'age': '33', 'clubName': 'Royal Excelsior Virton', 'clubID': '1199', 'value': '-'}]}</t>
        </is>
      </c>
      <c r="L736" t="inlineStr">
        <is>
          <t>France</t>
        </is>
      </c>
      <c r="M736" t="inlineStr">
        <is>
          <t>1990-08-19</t>
        </is>
      </c>
      <c r="N736" t="inlineStr">
        <is>
          <t>Guinea</t>
        </is>
      </c>
      <c r="O736">
        <f>0.6</f>
        <v/>
      </c>
      <c r="P736">
        <f>(0.6+0.6)/2</f>
        <v/>
      </c>
    </row>
    <row r="737">
      <c r="A737" t="inlineStr">
        <is>
          <t>Ginczek</t>
        </is>
      </c>
      <c r="B737" t="inlineStr">
        <is>
          <t>Wolfsburg</t>
        </is>
      </c>
      <c r="C737" t="inlineStr">
        <is>
          <t>Forward</t>
        </is>
      </c>
      <c r="D737" t="n">
        <v>2</v>
      </c>
      <c r="E737" t="n">
        <v>1</v>
      </c>
      <c r="F737" t="n">
        <v>0</v>
      </c>
      <c r="G737" t="n">
        <v>0</v>
      </c>
      <c r="H737" t="n">
        <v>1.1</v>
      </c>
      <c r="I737" t="n">
        <v>30.5</v>
      </c>
      <c r="J737" t="n">
        <v>79501</v>
      </c>
      <c r="K737" t="inlineStr">
        <is>
          <t>{'marketValueHistory': [{'date': 'Jul 2, 2009', 'age': '18', 'clubName': 'Borussia Dortmund II', 'clubID': '17', 'value': '€200k'}, {'date': 'Jan 11, 2010', 'age': '18', 'clubName': 'Borussia Dortmund II', 'clubID': '17', 'value': '€250k'}, {'date': 'May 29, 2010', 'age': '19', 'clubName': 'Borussia Dortmund II', 'clubID': '17', 'value': '€300k'}, {'date': 'Oct 24, 2010', 'age': '19', 'clubName': 'Borussia Dortmund', 'clubID': '16', 'value': '€350k'}, {'date': 'Nov 16, 2010', 'age': '19', 'clubName': 'Borussia Dortmund', 'clubID': '16', 'value': '€400k'}, {'date': 'Jun 29, 2011', 'age': '20', 'clubName': 'Borussia Dortmund', 'clubID': '16', 'value': '€400k'}, {'date': 'Aug 15, 2011', 'age': '20', 'clubName': 'VfL Bochum', 'clubID': '80', 'value': '€500k'}, {'date': 'Oct 18, 2011', 'age': '20', 'clubName': 'VfL Bochum', 'clubID': '80', 'value': '€750k'}, {'date': 'Jan 16, 2012', 'age': '20', 'clubName': 'VfL Bochum', 'clubID': '80', 'value': '€750k'}, {'date': 'Jun 24, 2012', 'age': '21', 'clubName': 'VfL Bochum', 'clubID': '80', 'value': '€800k'}, {'date': 'Jan 4, 2013', 'age': '21', 'clubName': 'FC St. Pauli', 'clubID': '35', 'value': '€1.25m'}, {'date': 'Jun 29, 2013', 'age': '22', 'clubName': 'FC St. Pauli', 'clubID': '35', 'value': '€2.00m'}, {'date': 'Feb 12, 2014', 'age': '22', 'clubName': '1.FC Nuremberg', 'clubID': '4', 'value': '€2.50m'}, {'date': 'Jul 10, 2014', 'age': '23', 'clubName': 'VfB Stuttgart', 'clubID': '79', 'value': '€2.50m'}, {'date': 'Feb 4, 2015', 'age': '23', 'clubName': 'VfB Stuttgart', 'clubID': '79', 'value': '€2.50m'}, {'date': 'Jul 1, 2015', 'age': '24', 'clubName': 'VfB Stuttgart', 'clubID': '79', 'value': '€3.00m'}, {'date': 'Oct 16, 2015', 'age': '24', 'clubName': 'VfB Stuttgart', 'clubID': '79', 'value': '€4.00m'}, {'date': 'Feb 15, 2016', 'age': '24', 'clubName': 'VfB Stuttgart', 'clubID': '79', 'value': '€4.00m'}, {'date': 'Jul 22, 2016', 'age': '25', 'clubName': 'VfB Stuttgart', 'clubID': '79', 'value': '€3.00m'}, {'date': 'Jan 23, 2017', 'age': '25', 'clubName': 'VfB Stuttgart', 'clubID': '79', 'value': '€2.00m'}, {'date': 'Jun 27, 2017', 'age': '26', 'clubName': 'VfB Stuttgart', 'clubID': '79', 'value': '€2.50m'}, {'date': 'Dec 28, 2017', 'age': '26', 'clubName': 'VfB Stuttgart', 'clubID': '79', 'value': '€2.25m'}, {'date': 'Jun 5, 2018', 'age': '27', 'clubName': 'VfB Stuttgart', 'clubID': '79', 'value': '€3.50m'}, {'date': 'Aug 22, 2018', 'age': '27', 'clubName': 'VfL Wolfsburg', 'clubID': '82', 'value': '€10.00m'}, {'date': 'Dec 18, 2018', 'age': '27', 'clubName': 'VfL Wolfsburg', 'clubID': '82', 'value': '€12.00m'}, {'date': 'Jun 5, 2019', 'age': '28', 'clubName': 'VfL Wolfsburg', 'clubID': '82', 'value': '€12.00m'}, {'date': 'Dec 17, 2019', 'age': '28', 'clubName': 'VfL Wolfsburg', 'clubID': '82', 'value': '€11.00m'}, {'date': 'Apr 8, 2020', 'age': '28', 'clubName': 'VfL Wolfsburg', 'clubID': '82', 'value': '€9.00m'}, {'date': 'Sep 16, 2020', 'age': '29', 'clubName': 'VfL Wolfsburg', 'clubID': '82', 'value': '€7.00m'}, {'date': 'Feb 10, 2021', 'age': '29', 'clubName': 'VfL Wolfsburg', 'clubID': '82', 'value': '€4.00m'}, {'date': 'Jun 9, 2021', 'age': '30', 'clubName': 'VfL Wolfsburg', 'clubID': '82', 'value': '€2.00m'}, {'date': 'Dec 22, 2021', 'age': '30', 'clubName': 'VfL Wolfsburg', 'clubID': '82', 'value': '€1.20m'}, {'date': 'Mar 23, 2022', 'age': '30', 'clubName': 'Fortuna Düsseldorf', 'clubID': '38', 'value': '€1.00m'}, {'date': 'Jun 16, 2022', 'age': '31', 'clubName': 'Fortuna Düsseldorf', 'clubID': '38', 'value': '€900k'}, {'date': 'Nov 30, 2022', 'age': '31', 'clubName': 'Fortuna Düsseldorf', 'clubID': '38', 'value': '€600k'}, {'date': 'Jun 28, 2023', 'age': '32', 'clubName': 'Fortuna Düsseldorf', 'clubID': '38', 'value': '€500k'}, {'date': 'Dec 15, 2023', 'age': '32', 'clubName': 'Fortuna Düsseldorf', 'clubID': '38', 'value': '€500k'}, {'date': 'Mar 20, 2024', 'age': '32', 'clubName': 'MSV Duisburg', 'clubID': '52', 'value': '€400k'}, {'date': 'Jun 11, 2024', 'age': '33', 'clubName': 'MSV Duisburg', 'clubID': '52', 'value': '€300k'}, {'date': 'Jul 1, 2024', 'age': '33', 'clubName': 'Retired', 'clubID': '123', 'value': '-'}]}</t>
        </is>
      </c>
      <c r="L737" t="inlineStr">
        <is>
          <t>Germany</t>
        </is>
      </c>
      <c r="M737" t="inlineStr">
        <is>
          <t>1991-04-13</t>
        </is>
      </c>
      <c r="N737" t="inlineStr">
        <is>
          <t>Germany</t>
        </is>
      </c>
      <c r="O737">
        <f>(1+0.9+0.6)/3</f>
        <v/>
      </c>
      <c r="P737">
        <f>(4+2+1.2)/3</f>
        <v/>
      </c>
    </row>
    <row r="738">
      <c r="A738" t="inlineStr">
        <is>
          <t>Savage</t>
        </is>
      </c>
      <c r="B738" t="inlineStr">
        <is>
          <t>Man United</t>
        </is>
      </c>
      <c r="C738" t="inlineStr">
        <is>
          <t>Midfielder</t>
        </is>
      </c>
      <c r="D738" t="n">
        <v>1</v>
      </c>
      <c r="E738" t="n">
        <v>1</v>
      </c>
      <c r="F738" t="n">
        <v>0</v>
      </c>
      <c r="G738" t="n">
        <v>0</v>
      </c>
      <c r="H738" t="n">
        <v>1</v>
      </c>
      <c r="I738" t="n">
        <v>28.2</v>
      </c>
      <c r="J738" t="n">
        <v>3797</v>
      </c>
      <c r="K738" t="inlineStr">
        <is>
          <t>{'marketValueHistory': [{'date': '04/10/2004', 'age': '29', 'clubName': 'Birmingham City', 'clubID': '337', 'value': '€5.00m'}, {'date': '10/01/2005', 'age': '30', 'clubName': 'Birmingham City', 'clubID': '337', 'value': '€4.25m'}, {'date': '19/01/2005', 'age': '30', 'clubName': 'Blackburn Rovers', 'clubID': '164', 'value': '€4.75m'}, {'date': '14/06/2006', 'age': '31', 'clubName': 'Blackburn Rovers', 'clubID': '164', 'value': '€4.00m'}, {'date': '11/01/2008', 'age': '33', 'clubName': 'Derby County', 'clubID': '22', 'value': '€2.00m'}, {'date': '04/02/2008', 'age': '33', 'clubName': 'Derby County', 'clubID': '22', 'value': '€2.25m'}, {'date': '04/07/2008', 'age': '33', 'clubName': 'Derby County', 'clubID': '22', 'value': '€1.70m'}, {'date': '07/01/2009', 'age': '34', 'clubName': 'Derby County', 'clubID': '22', 'value': '€1.00m'}, {'date': '24/10/2010', 'age': '36', 'clubName': 'Derby County', 'clubID': '22', 'value': '€750k'}, {'date': '30/06/2011', 'age': '36', 'clubName': 'Derby County', 'clubID': '22', 'value': '-'}]}</t>
        </is>
      </c>
      <c r="L738" t="inlineStr">
        <is>
          <t>United Kingdom</t>
        </is>
      </c>
      <c r="M738" t="inlineStr">
        <is>
          <t>1974-10-18</t>
        </is>
      </c>
      <c r="N738" t="inlineStr">
        <is>
          <t>Wales</t>
        </is>
      </c>
    </row>
    <row r="739">
      <c r="A739" t="inlineStr">
        <is>
          <t>Iqbal</t>
        </is>
      </c>
      <c r="B739" t="inlineStr">
        <is>
          <t>Man United</t>
        </is>
      </c>
      <c r="C739" t="inlineStr">
        <is>
          <t>Midfielder</t>
        </is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30.6</v>
      </c>
      <c r="J739" t="n">
        <v>686845</v>
      </c>
      <c r="K739" t="inlineStr">
        <is>
          <t>{'marketValueHistory': [{'date': 'Dec 23, 2021', 'age': '18', 'clubName': 'Manchester United U23', 'clubID': '9251', 'value': '€600k'}, {'date': 'Nov 3, 2022', 'age': '19', 'clubName': 'Manchester United U21', 'clubID': '9251', 'value': '€800k'}, {'date': 'Jun 20, 2023', 'age': '20', 'clubName': 'Manchester United', 'clubID': '985', 'value': '€1.00m'}, {'date': 'Dec 15, 2023', 'age': '20', 'clubName': 'FC Utrecht', 'clubID': '200', 'value': '€1.00m'}, {'date': 'May 31, 2024', 'age': '21', 'clubName': 'FC Utrecht', 'clubID': '200', 'value': '€1.00m'}, {'date': 'Dec 17, 2024', 'age': '21', 'clubName': 'FC Utrecht', 'clubID': '200', 'value': '€1.00m'}, {'date': 'Mar 28, 2025', 'age': '21', 'clubName': 'FC Utrecht', 'clubID': '200', 'value': '€3.00m'}, {'date': 'May 28, 2025', 'age': '22', 'clubName': 'FC Utrecht', 'clubID': '200', 'value': '€4.00m'}, {'date': 'Dec 2, 2025', 'age': '22', 'clubName': 'FC Utrecht', 'clubID': '200', 'value': '€3.00m'}, {'date': 'Mar 11, 2026', 'age': '22', 'clubName': 'FC Utrecht', 'clubID': '200', 'value': '€1.50m'}]}</t>
        </is>
      </c>
      <c r="L739" t="inlineStr">
        <is>
          <t>United Kingdom</t>
        </is>
      </c>
      <c r="M739" t="inlineStr">
        <is>
          <t>2003-04-27</t>
        </is>
      </c>
      <c r="N739" t="inlineStr">
        <is>
          <t>Iraq</t>
        </is>
      </c>
      <c r="O739">
        <f>0.8</f>
        <v/>
      </c>
      <c r="P739">
        <f>0.6</f>
        <v/>
      </c>
    </row>
    <row r="740">
      <c r="A740" t="inlineStr">
        <is>
          <t>Da Graca</t>
        </is>
      </c>
      <c r="B740" t="inlineStr">
        <is>
          <t>Juventus</t>
        </is>
      </c>
      <c r="C740" t="inlineStr">
        <is>
          <t>Forward</t>
        </is>
      </c>
      <c r="D740" t="n">
        <v>1</v>
      </c>
      <c r="E740" t="n">
        <v>1</v>
      </c>
      <c r="F740" t="n">
        <v>0</v>
      </c>
      <c r="G740" t="n">
        <v>0</v>
      </c>
      <c r="H740" t="n">
        <v>0.8</v>
      </c>
      <c r="I740" t="n">
        <v>30.7</v>
      </c>
      <c r="J740" t="n">
        <v>14327</v>
      </c>
      <c r="K740" t="inlineStr">
        <is>
          <t>{'marketValueHistory': [{'date': '04/10/2004', 'age': '27', 'clubName': 'SC Braga', 'clubID': '1075', 'value': '€2.75m'}, {'date': '20/01/2005', 'age': '28', 'clubName': 'SC Braga', 'clubID': '1075', 'value': '€3.50m'}, {'date': '11/01/2008', 'age': '31', 'clubName': 'Boavista FC', 'clubID': '2503', 'value': '€2.80m'}, {'date': '10/08/2008', 'age': '31', 'clubName': 'Portimonense SAD', 'clubID': '7378', 'value': '€1.50m'}, {'date': '18/12/2008', 'age': '32', 'clubName': 'Portimonense SAD', 'clubID': '7378', 'value': '€1.00m'}, {'date': '10/01/2009', 'age': '32', 'clubName': 'Portimonense SAD', 'clubID': '7378', 'value': '€800k'}, {'date': '17/06/2009', 'age': '32', 'clubName': 'Portimonense SAD', 'clubID': '7378', 'value': '€400k'}, {'date': '22/06/2009', 'age': '32', 'clubName': 'Portimonense SAD', 'clubID': '7378', 'value': '€300k'}, {'date': '08/04/2011', 'age': '34', 'clubName': 'SU Sintrense', 'clubID': '1992', 'value': '-'}]}</t>
        </is>
      </c>
      <c r="L740" t="inlineStr">
        <is>
          <t>Portugal</t>
        </is>
      </c>
      <c r="M740" t="inlineStr">
        <is>
          <t>1976-12-04</t>
        </is>
      </c>
      <c r="N740" t="inlineStr">
        <is>
          <t>6</t>
        </is>
      </c>
    </row>
    <row r="741">
      <c r="A741" t="inlineStr">
        <is>
          <t>Miretti</t>
        </is>
      </c>
      <c r="B741" t="inlineStr">
        <is>
          <t>Juventus</t>
        </is>
      </c>
      <c r="C741" t="inlineStr">
        <is>
          <t>Midfielder</t>
        </is>
      </c>
      <c r="D741" t="n">
        <v>1</v>
      </c>
      <c r="E741" t="n">
        <v>1</v>
      </c>
      <c r="F741" t="n">
        <v>0</v>
      </c>
      <c r="G741" t="n">
        <v>0</v>
      </c>
      <c r="H741" t="n">
        <v>0.8</v>
      </c>
      <c r="I741" t="n">
        <v>30.5</v>
      </c>
      <c r="J741" t="n">
        <v>571607</v>
      </c>
      <c r="K741" t="inlineStr">
        <is>
          <t>{'id': '571607', 'marketValue': '€15.00m', 'marketValueHistory': [{'age': '18', 'date': 'Dec 20, 2021', 'clubName': 'Juventus U23', 'value': '€800k', 'clubID': '41101'}, {'age': '18', 'date': 'Jun 20, 2022', 'clubName': 'Juventus U23', 'value': '€5.00m', 'clubID': '41101'}, {'age': '19', 'date': 'Sep 27, 2022', 'clubName': 'Juventus FC', 'value': '€15.00m', 'clubID': '506'}, {'age': '19', 'date': 'Nov 11, 2022', 'clubName': 'Juventus FC', 'value': '€15.00m', 'clubID': '506'}, {'age': '19', 'date': 'Jun 15, 2023', 'clubName': 'Juventus FC', 'value': '€15.00m', 'clubID': '506'}, {'age': '20', 'date': 'Dec 20, 2023', 'clubName': 'Juventus FC', 'value': '€15.00m', 'clubID': '506'}], 'ranking': {'Worldwide': '644', 'Serie A': '78', 'Juventus': '11', 'Italy': '30', 'Central Midfield': '92', 'Year 2003': '29'}, 'updatedAt': datetime.datetime(2024, 5, 23, 22, 28, 27, 407329)}</t>
        </is>
      </c>
      <c r="L741" t="inlineStr">
        <is>
          <t>Italy</t>
        </is>
      </c>
      <c r="M741" t="inlineStr">
        <is>
          <t>2003-08-03</t>
        </is>
      </c>
      <c r="N741" t="inlineStr">
        <is>
          <t>1</t>
        </is>
      </c>
      <c r="O741">
        <f>(5+15+15)/3</f>
        <v/>
      </c>
      <c r="P741">
        <f>0.8</f>
        <v/>
      </c>
    </row>
    <row r="742">
      <c r="A742" t="inlineStr">
        <is>
          <t>Gil Dias</t>
        </is>
      </c>
      <c r="B742" t="inlineStr">
        <is>
          <t>Benfica</t>
        </is>
      </c>
      <c r="C742" t="inlineStr">
        <is>
          <t>Midfielder</t>
        </is>
      </c>
      <c r="D742" t="n">
        <v>1</v>
      </c>
      <c r="E742" t="n">
        <v>1</v>
      </c>
      <c r="F742" t="n">
        <v>0</v>
      </c>
      <c r="G742" t="n">
        <v>0</v>
      </c>
      <c r="H742" t="n">
        <v>0.7</v>
      </c>
      <c r="I742" t="n">
        <v>29.6</v>
      </c>
      <c r="J742" t="n">
        <v>329723</v>
      </c>
      <c r="K742" t="inlineStr">
        <is>
          <t>{'marketValueHistory': [{'date': '12/07/2015', 'age': '18', 'clubName': 'AS Monaco', 'clubID': '162', 'value': '€400k'}, {'date': '14/03/2016', 'age': '19', 'clubName': 'Varzim SC', 'clubID': '4297', 'value': '€500k'}, {'date': '29/07/2016', 'age': '19', 'clubName': 'Rio Ave FC', 'clubID': '2425', 'value': '€500k'}, {'date': '31/10/2016', 'age': '20', 'clubName': 'Rio Ave FC', 'clubID': '2425', 'value': '€800k'}, {'date': '22/02/2017', 'age': '20', 'clubName': 'Rio Ave FC', 'clubID': '2425', 'value': '€1.50m'}, {'date': '26/06/2017', 'age': '20', 'clubName': 'Rio Ave FC', 'clubID': '2425', 'value': '€2.00m'}, {'date': '29/12/2017', 'age': '21', 'clubName': 'ACF Fiorentina', 'clubID': '430', 'value': '€3.00m'}, {'date': '07/06/2018', 'age': '21', 'clubName': 'ACF Fiorentina', 'clubID': '430', 'value': '€3.00m'}, {'date': '07/02/2019', 'age': '22', 'clubName': 'Olympiacos Piraeus', 'clubID': '683', 'value': '€3.00m'}, {'date': '21/05/2019', 'age': '22', 'clubName': 'Olympiacos Piraeus', 'clubID': '683', 'value': '€2.50m'}, {'date': '19/12/2019', 'age': '23', 'clubName': 'AS Monaco', 'clubID': '162', 'value': '€4.00m'}, {'date': '08/04/2020', 'age': '23', 'clubName': 'Granada CF', 'clubID': '16795', 'value': '€3.20m'}, {'date': '22/10/2020', 'age': '24', 'clubName': 'FC Famalicão', 'clubID': '3329', 'value': '€3.20m'}, {'date': '28/01/2021', 'age': '24', 'clubName': 'FC Famalicão', 'clubID': '3329', 'value': '€3.00m'}, {'date': '21/05/2021', 'age': '24', 'clubName': 'FC Famalicão', 'clubID': '3329', 'value': '€3.00m'}, {'date': '27/12/2021', 'age': '25', 'clubName': 'SL Benfica', 'clubID': '294', 'value': '€3.00m'}, {'date': '31/05/2022', 'age': '25', 'clubName': 'SL Benfica', 'clubID': '294', 'value': '€3.00m'}, {'date': '01/11/2022', 'age': '26', 'clubName': 'SL Benfica', 'clubID': '294', 'value': '€2.00m'}, {'date': '22/06/2023', 'age': '26', 'clubName': 'VfB Stuttgart', 'clubID': '79', 'value': '€1.50m'}, {'date': '29/12/2023', 'age': '27', 'clubName': 'Legia Warszawa', 'clubID': '255', 'value': '€1.20m'}, {'date': '28/03/2024', 'age': '27', 'clubName': 'Legia Warszawa', 'clubID': '255', 'value': '€900k'}, {'date': '07/06/2024', 'age': '27', 'clubName': 'Legia Warszawa', 'clubID': '255', 'value': '€900k'}, {'date': '08/10/2024', 'age': '28', 'clubName': 'FC Famalicão', 'clubID': '3329', 'value': '€1.50m'}, {'date': '19/12/2024', 'age': '28', 'clubName': 'FC Famalicão', 'clubID': '3329', 'value': '€1.50m'}, {'date': '30/05/2025', 'age': '28', 'clubName': 'FC Famalicão', 'clubID': '3329', 'value': '€1.50m'}, {'date': '18/12/2025', 'age': '29', 'clubName': 'FC Famalicão', 'clubID': '3329', 'value': '€1.50m'}]}</t>
        </is>
      </c>
      <c r="L742" t="inlineStr">
        <is>
          <t>Portugal</t>
        </is>
      </c>
      <c r="M742" t="inlineStr">
        <is>
          <t>1996-09-28</t>
        </is>
      </c>
      <c r="N742" t="inlineStr">
        <is>
          <t>Portugal</t>
        </is>
      </c>
      <c r="O742">
        <f>(3+2)/2</f>
        <v/>
      </c>
      <c r="P742">
        <f>(3+3+3)/3</f>
        <v/>
      </c>
    </row>
    <row r="743">
      <c r="A743" t="inlineStr">
        <is>
          <t>Rodrigo Ribeiro</t>
        </is>
      </c>
      <c r="B743" t="inlineStr">
        <is>
          <t>Sporting CP</t>
        </is>
      </c>
      <c r="C743" t="inlineStr">
        <is>
          <t>Forward</t>
        </is>
      </c>
      <c r="D743" t="n">
        <v>1</v>
      </c>
      <c r="E743" t="n">
        <v>1</v>
      </c>
      <c r="F743" t="n">
        <v>0</v>
      </c>
      <c r="G743" t="n">
        <v>0</v>
      </c>
      <c r="H743" t="n">
        <v>0.7</v>
      </c>
      <c r="I743" t="n">
        <v>28.2</v>
      </c>
      <c r="J743" t="n">
        <v>52941</v>
      </c>
      <c r="K743" t="inlineStr">
        <is>
          <t>{'marketValueHistory': [{'date': 'Oct 4, 2007', 'age': '24', 'clubName': 'Santos FC', 'clubID': '221', 'value': '€800k'}, {'date': 'Feb 5, 2008', 'age': '24', 'clubName': 'Santos FC', 'clubID': '221', 'value': '€2.50m'}, {'date': 'Mar 10, 2008', 'age': '24', 'clubName': 'Santos FC', 'clubID': '221', 'value': '€4.50m'}, {'date': 'Mar 14, 2008', 'age': '24', 'clubName': 'Santos FC', 'clubID': '221', 'value': '€2.50m'}, {'date': 'Sep 6, 2009', 'age': '25', 'clubName': 'Santos FC', 'clubID': '221', 'value': '€2.00m'}, {'date': 'Jun 6, 2010', 'age': '26', 'clubName': 'São Paulo Futebol Clube', 'clubID': '585', 'value': '€2.50m'}, {'date': 'May 30, 2011', 'age': '27', 'clubName': 'São Paulo Futebol Clube', 'clubID': '585', 'value': '€2.50m'}, {'date': 'Jan 1, 2012', 'age': '28', 'clubName': 'Júbilo Iwata', 'clubID': '937', 'value': '€1.80m'}, {'date': 'Jun 26, 2012', 'age': '28', 'clubName': 'Júbilo Iwata', 'clubID': '937', 'value': '€800k'}, {'date': 'Mar 9, 2013', 'age': '29', 'clubName': 'Clube Náutico Capibaribe', 'clubID': '2646', 'value': '€500k'}, {'date': 'May 30, 2013', 'age': '29', 'clubName': 'Clube Náutico Capibaribe', 'clubID': '2646', 'value': '€400k'}, {'date': 'Aug 8, 2014', 'age': '30', 'clubName': 'Botafogo de Futebol e Regatas', 'clubID': '537', 'value': '€400k'}, {'date': 'Sep 8, 2019', 'age': '35', 'clubName': 'Retired', 'clubID': '123', 'value': '-'}]}</t>
        </is>
      </c>
      <c r="L743" t="inlineStr">
        <is>
          <t>Brazil</t>
        </is>
      </c>
      <c r="M743" t="inlineStr">
        <is>
          <t>1983-02-09</t>
        </is>
      </c>
      <c r="N743" t="inlineStr">
        <is>
          <t>Brazil</t>
        </is>
      </c>
    </row>
    <row r="744">
      <c r="A744" t="inlineStr">
        <is>
          <t>Cojocari</t>
        </is>
      </c>
      <c r="B744" t="inlineStr">
        <is>
          <t>Sheriff</t>
        </is>
      </c>
      <c r="C744" t="inlineStr">
        <is>
          <t>Defender</t>
        </is>
      </c>
      <c r="D744" t="n">
        <v>1</v>
      </c>
      <c r="E744" t="n">
        <v>1</v>
      </c>
      <c r="F744" t="n">
        <v>0</v>
      </c>
      <c r="G744" t="n">
        <v>0</v>
      </c>
      <c r="H744" t="n">
        <v>0.5</v>
      </c>
      <c r="I744" t="n">
        <v>30.7</v>
      </c>
      <c r="J744" t="n">
        <v>49108</v>
      </c>
      <c r="K744" t="inlineStr">
        <is>
          <t>{'marketValueHistory': [{'date': '27/06/2012', 'age': '25', 'clubName': 'Dacia Chisinau', 'clubID': '11907', 'value': '€100k'}, {'date': '02/08/2013', 'age': '26', 'clubName': 'FC Zimbru Chisinau', 'clubID': '2714', 'value': '€150k'}, {'date': '07/08/2013', 'age': '26', 'clubName': 'FC Zimbru Chisinau', 'clubID': '2714', 'value': '€150k'}, {'date': '11/04/2015', 'age': '28', 'clubName': 'FC Milsami Orhei', 'clubID': '30686', 'value': '€150k'}, {'date': '07/09/2015', 'age': '28', 'clubName': 'FC Milsami Orhei', 'clubID': '30686', 'value': '€250k'}, {'date': '10/05/2016', 'age': '29', 'clubName': 'FC Milsami Orhei', 'clubID': '30686', 'value': '€250k'}, {'date': '01/12/2016', 'age': '29', 'clubName': 'FC Milsami Orhei', 'clubID': '30686', 'value': '€275k'}, {'date': '02/06/2017', 'age': '30', 'clubName': 'FC Milsami Orhei', 'clubID': '30686', 'value': '€250k'}, {'date': '11/12/2017', 'age': '30', 'clubName': 'FC Milsami Orhei', 'clubID': '30686', 'value': '€250k'}, {'date': '25/10/2018', 'age': '31', 'clubName': 'FC Milsami Orhei', 'clubID': '30686', 'value': '€250k'}, {'date': '11/06/2019', 'age': '32', 'clubName': 'FC Zimbru Chisinau', 'clubID': '2714', 'value': '€200k'}, {'date': '11/12/2019', 'age': '32', 'clubName': 'FC Petrocub Hîncești', 'clubID': '46643', 'value': '€200k'}, {'date': '15/12/2020', 'age': '33', 'clubName': 'FC Petrocub Hincesti', 'clubID': '46643', 'value': '€200k'}, {'date': '24/05/2021', 'age': '34', 'clubName': 'FC Petrocub Hincesti', 'clubID': '46643', 'value': '€200k'}, {'date': '25/12/2021', 'age': '34', 'clubName': 'FC Zimbru Chisinau', 'clubID': '2714', 'value': '€150k'}, {'date': '23/05/2022', 'age': '35', 'clubName': 'Dinamo-Auto Tiraspol (-2024)', 'clubID': '38921', 'value': '€150k'}, {'date': '05/11/2022', 'age': '35', 'clubName': 'FK Sfîntul Gheorghe Suruceni (- 2023)', 'clubID': '31276', 'value': '€150k'}, {'date': '23/01/2023', 'age': '36', 'clubName': 'Speranis Nisporeni', 'clubID': '86958', 'value': '-'}]}</t>
        </is>
      </c>
      <c r="L744" t="inlineStr">
        <is>
          <t>Moldova</t>
        </is>
      </c>
      <c r="M744" t="inlineStr">
        <is>
          <t>1987-01-21</t>
        </is>
      </c>
      <c r="N744" t="inlineStr">
        <is>
          <t>Moldova</t>
        </is>
      </c>
      <c r="O744">
        <f>(0.15+0.15)/2</f>
        <v/>
      </c>
      <c r="P744">
        <f>(0.2+0.15)/2</f>
        <v/>
      </c>
    </row>
    <row r="745">
      <c r="A745" t="inlineStr">
        <is>
          <t>Woltman</t>
        </is>
      </c>
      <c r="B745" t="inlineStr">
        <is>
          <t>Liverpool</t>
        </is>
      </c>
      <c r="C745" t="inlineStr">
        <is>
          <t>Midfielder</t>
        </is>
      </c>
      <c r="D745" t="n">
        <v>1</v>
      </c>
      <c r="E745" t="n">
        <v>1</v>
      </c>
      <c r="F745" t="n">
        <v>0</v>
      </c>
      <c r="G745" t="n">
        <v>0</v>
      </c>
      <c r="H745" t="n">
        <v>0.4</v>
      </c>
      <c r="I745" t="n">
        <v>30.5</v>
      </c>
      <c r="J745" t="n">
        <v>1203961</v>
      </c>
      <c r="L745" t="inlineStr">
        <is>
          <t>Netherlands</t>
        </is>
      </c>
      <c r="M745" t="inlineStr">
        <is>
          <t>1946-11-01</t>
        </is>
      </c>
    </row>
    <row r="746">
      <c r="A746" t="inlineStr">
        <is>
          <t>Bradley</t>
        </is>
      </c>
      <c r="B746" t="inlineStr">
        <is>
          <t>Liverpool</t>
        </is>
      </c>
      <c r="C746" t="inlineStr">
        <is>
          <t>Defender</t>
        </is>
      </c>
      <c r="D746" t="n">
        <v>1</v>
      </c>
      <c r="E746" t="n">
        <v>1</v>
      </c>
      <c r="F746" t="n">
        <v>0</v>
      </c>
      <c r="G746" t="n">
        <v>0</v>
      </c>
      <c r="H746" t="n">
        <v>0.4</v>
      </c>
      <c r="I746" t="n">
        <v>28.8</v>
      </c>
      <c r="J746" t="n">
        <v>708265</v>
      </c>
      <c r="K746" t="inlineStr">
        <is>
          <t>{'marketValueHistory': [{'date': '23/03/2022', 'age': '19', 'clubName': 'Olympique Lyon', 'clubID': '1041', 'value': '€500k'}, {'date': '30/05/2022', 'age': '19', 'clubName': 'Olympique Lyon', 'clubID': '1041', 'value': '€1.00m'}, {'date': '19/09/2022', 'age': '20', 'clubName': 'Olympique Lyon', 'clubID': '1041', 'value': '€2.00m'}, {'date': '02/11/2022', 'age': '20', 'clubName': 'Olympique Lyon', 'clubID': '1041', 'value': '€2.00m'}, {'date': '27/03/2023', 'age': '20', 'clubName': 'Olympique Lyon', 'clubID': '1041', 'value': '€7.00m'}, {'date': '27/06/2023', 'age': '20', 'clubName': 'Olympique Lyon', 'clubID': '1041', 'value': '€18.00m'}, {'date': '16/10/2023', 'age': '21', 'clubName': 'Paris Saint-Germain', 'clubID': '583', 'value': '€35.00m'}, {'date': '18/12/2023', 'age': '21', 'clubName': 'Paris Saint-Germain', 'clubID': '583', 'value': '€30.00m'}, {'date': '19/03/2024', 'age': '21', 'clubName': 'Paris Saint-Germain', 'clubID': '583', 'value': '€40.00m'}, {'date': '03/06/2024', 'age': '21', 'clubName': 'Paris Saint-Germain', 'clubID': '583', 'value': '€50.00m'}, {'date': '07/10/2024', 'age': '22', 'clubName': 'Paris Saint-Germain', 'clubID': '583', 'value': '€65.00m'}, {'date': '10/12/2024', 'age': '22', 'clubName': 'Paris Saint-Germain', 'clubID': '583', 'value': '€65.00m'}, {'date': '24/03/2025', 'age': '22', 'clubName': 'Paris Saint-Germain', 'clubID': '583', 'value': '€70.00m'}, {'date': '03/06/2025', 'age': '22', 'clubName': 'Paris Saint-Germain', 'clubID': '583', 'value': '€70.00m'}, {'date': '15/12/2025', 'age': '23', 'clubName': 'Paris Saint-Germain', 'clubID': '583', 'value': '€70.00m'}]}</t>
        </is>
      </c>
      <c r="L746" t="inlineStr">
        <is>
          <t>France</t>
        </is>
      </c>
      <c r="M746" t="inlineStr">
        <is>
          <t>2002-02-09</t>
        </is>
      </c>
      <c r="N746" t="inlineStr">
        <is>
          <t>France</t>
        </is>
      </c>
      <c r="O746">
        <f>(0.5+1+2+2)/4</f>
        <v/>
      </c>
    </row>
    <row r="747">
      <c r="A747" t="inlineStr">
        <is>
          <t>Maouassa</t>
        </is>
      </c>
      <c r="B747" t="inlineStr">
        <is>
          <t>Club Brugge</t>
        </is>
      </c>
      <c r="C747" t="inlineStr">
        <is>
          <t>Defender</t>
        </is>
      </c>
      <c r="D747" t="n">
        <v>1</v>
      </c>
      <c r="E747" t="n">
        <v>1</v>
      </c>
      <c r="F747" t="n">
        <v>0</v>
      </c>
      <c r="G747" t="n">
        <v>0</v>
      </c>
      <c r="H747" t="n">
        <v>0.2</v>
      </c>
      <c r="I747" t="n">
        <v>30.4</v>
      </c>
      <c r="J747" t="n">
        <v>357072</v>
      </c>
      <c r="K747" t="inlineStr">
        <is>
          <t>{'marketValueHistory': [{'date': 'Jul 2, 2015', 'age': '16', 'clubName': 'AS Nancy-Lorraine', 'clubID': '1159', 'value': '€150k'}, {'date': 'Sep 6, 2015', 'age': '17', 'clubName': 'AS Nancy-Lorraine', 'clubID': '1159', 'value': '€250k'}, {'date': 'Feb 4, 2016', 'age': '17', 'clubName': 'AS Nancy-Lorraine', 'clubID': '1159', 'value': '€400k'}, {'date': 'Jul 13, 2016', 'age': '18', 'clubName': 'AS Nancy-Lorraine', 'clubID': '1159', 'value': '€400k'}, {'date': 'Jan 16, 2017', 'age': '18', 'clubName': 'AS Nancy-Lorraine', 'clubID': '1159', 'value': '€500k'}, {'date': 'Jun 1, 2017', 'age': '18', 'clubName': 'AS Nancy-Lorraine', 'clubID': '1159', 'value': '€800k'}, {'date': 'Oct 12, 2017', 'age': '19', 'clubName': 'Stade Rennais FC', 'clubID': '273', 'value': '€4.00m'}, {'date': 'Jan 24, 2018', 'age': '19', 'clubName': 'Stade Rennais FC', 'clubID': '273', 'value': '€5.50m'}, {'date': 'Jun 4, 2018', 'age': '19', 'clubName': 'Stade Rennais FC', 'clubID': '273', 'value': '€4.50m'}, {'date': 'Sep 6, 2018', 'age': '20', 'clubName': 'Nîmes Olympique', 'clubID': '1160', 'value': '€3.00m'}, {'date': 'Dec 17, 2018', 'age': '20', 'clubName': 'Nîmes Olympique', 'clubID': '1160', 'value': '€4.00m'}, {'date': 'Mar 7, 2019', 'age': '20', 'clubName': 'Nîmes Olympique', 'clubID': '1160', 'value': '€6.00m'}, {'date': 'Jun 3, 2019', 'age': '20', 'clubName': 'Nîmes Olympique', 'clubID': '1160', 'value': '€8.00m'}, {'date': 'Dec 19, 2019', 'age': '21', 'clubName': 'Stade Rennais FC', 'clubID': '273', 'value': '€9.00m'}, {'date': 'Apr 8, 2020', 'age': '21', 'clubName': 'Stade Rennais FC', 'clubID': '273', 'value': '€8.00m'}, {'date': 'Aug 3, 2020', 'age': '22', 'clubName': 'Stade Rennais FC', 'clubID': '273', 'value': '€12.00m'}, {'date': 'Oct 15, 2020', 'age': '22', 'clubName': 'Stade Rennais FC', 'clubID': '273', 'value': '€13.00m'}, {'date': 'Jun 4, 2021', 'age': '22', 'clubName': 'Stade Rennais FC', 'clubID': '273', 'value': '€12.00m'}, {'date': 'Oct 6, 2021', 'age': '23', 'clubName': 'Club Brugge KV', 'clubID': '2282', 'value': '€9.00m'}, {'date': 'Jan 6, 2022', 'age': '23', 'clubName': 'Club Brugge KV', 'clubID': '2282', 'value': '€5.00m'}, {'date': 'Apr 12, 2022', 'age': '23', 'clubName': 'Club Brugge KV', 'clubID': '2282', 'value': '€3.00m'}, {'date': 'Sep 19, 2022', 'age': '24', 'clubName': 'Montpellier HSC', 'clubID': '969', 'value': '€5.00m'}, {'date': 'Nov 2, 2022', 'age': '24', 'clubName': 'Montpellier HSC', 'clubID': '969', 'value': '€5.00m'}, {'date': 'Jun 27, 2023', 'age': '24', 'clubName': 'Montpellier HSC', 'clubID': '969', 'value': '€6.00m'}, {'date': 'Dec 18, 2023', 'age': '25', 'clubName': 'RC Lens', 'clubID': '826', 'value': '€5.00m'}, {'date': 'Jun 7, 2024', 'age': '25', 'clubName': 'Granada CF', 'clubID': '16795', 'value': '€4.00m'}, {'date': 'Oct 2, 2024', 'age': '26', 'clubName': 'Without Club', 'clubID': '515', 'value': '€2.00m'}, {'date': 'Apr 4, 2025', 'age': '26', 'clubName': 'Without Club', 'clubID': '515', 'value': '€1.50m'}, {'date': 'Oct 13, 2025', 'age': '27', 'clubName': 'AS Nancy-Lorraine', 'clubID': '1159', 'value': '€1.20m'}, {'date': 'Dec 11, 2025', 'age': '27', 'clubName': 'AS Nancy-Lorraine', 'clubID': '1159', 'value': '€1.00m'}, {'date': 'Mar 23, 2026', 'age': '27', 'clubName': 'AS Nancy-Lorraine', 'clubID': '1159', 'value': '€800k'}]}</t>
        </is>
      </c>
      <c r="L747" t="inlineStr">
        <is>
          <t>France</t>
        </is>
      </c>
      <c r="M747" t="inlineStr">
        <is>
          <t>1998-07-06</t>
        </is>
      </c>
      <c r="N747" t="inlineStr">
        <is>
          <t>France</t>
        </is>
      </c>
      <c r="O747">
        <f>(5+3+5+5)/4</f>
        <v/>
      </c>
      <c r="P747">
        <f>(12+9)/2</f>
        <v/>
      </c>
    </row>
    <row r="748">
      <c r="A748" t="inlineStr">
        <is>
          <t>Zesiger</t>
        </is>
      </c>
      <c r="B748" t="inlineStr">
        <is>
          <t>Young Boys</t>
        </is>
      </c>
      <c r="C748" t="inlineStr">
        <is>
          <t>Defender</t>
        </is>
      </c>
      <c r="D748" t="n">
        <v>1</v>
      </c>
      <c r="E748" t="n">
        <v>1</v>
      </c>
      <c r="F748" t="n">
        <v>0</v>
      </c>
      <c r="G748" t="n">
        <v>0</v>
      </c>
      <c r="H748" t="inlineStr">
        <is>
          <t>-</t>
        </is>
      </c>
      <c r="I748" t="inlineStr">
        <is>
          <t>-</t>
        </is>
      </c>
      <c r="J748" t="n">
        <v>382478</v>
      </c>
      <c r="K748" t="inlineStr">
        <is>
          <t>{'marketValueHistory': [{'date': '18/12/2015', 'age': '17', 'clubName': 'Neuchâtel Xamax FCS', 'clubID': '625', 'value': '€300k'}, {'date': '16/07/2016', 'age': '18', 'clubName': 'Neuchâtel Xamax FCS', 'clubID': '625', 'value': '€500k'}, {'date': '20/12/2016', 'age': '18', 'clubName': 'Grasshopper Club Zurich', 'clubID': '504', 'value': '€750k'}, {'date': '12/07/2017', 'age': '19', 'clubName': 'Grasshopper Club Zurich', 'clubID': '504', 'value': '€500k'}, {'date': '29/07/2017', 'age': '19', 'clubName': 'Grasshopper Club Zurich', 'clubID': '504', 'value': '€750k'}, {'date': '08/01/2018', 'age': '19', 'clubName': 'Grasshopper Club Zurich', 'clubID': '504', 'value': '€1.00m'}, {'date': '24/04/2018', 'age': '19', 'clubName': 'Grasshopper Club Zurich', 'clubID': '504', 'value': '€1.00m'}, {'date': '12/07/2018', 'age': '20', 'clubName': 'Grasshopper Club Zurich', 'clubID': '504', 'value': '€1.50m'}, {'date': '19/10/2018', 'age': '20', 'clubName': 'Grasshopper Club Zurich', 'clubID': '504', 'value': '€1.00m'}, {'date': '21/01/2019', 'age': '20', 'clubName': 'Grasshopper Club Zurich', 'clubID': '504', 'value': '€1.00m'}, {'date': '15/04/2019', 'age': '20', 'clubName': 'Grasshopper Club Zurich', 'clubID': '504', 'value': '€1.00m'}, {'date': '04/06/2019', 'age': '20', 'clubName': 'Grasshopper Club Zurich', 'clubID': '504', 'value': '€750k'}, {'date': '06/01/2020', 'age': '21', 'clubName': 'BSC Young Boys', 'clubID': '452', 'value': '€1.00m'}, {'date': '08/04/2020', 'age': '21', 'clubName': 'BSC Young Boys', 'clubID': '452', 'value': '€900k'}, {'date': '31/07/2020', 'age': '22', 'clubName': 'BSC Young Boys', 'clubID': '452', 'value': '€900k'}, {'date': '28/12/2020', 'age': '22', 'clubName': 'BSC Young Boys', 'clubID': '452', 'value': '€1.30m'}, {'date': '15/04/2021', 'age': '22', 'clubName': 'BSC Young Boys', 'clubID': '452', 'value': '€2.00m'}, {'date': '23/06/2021', 'age': '22', 'clubName': 'BSC Young Boys', 'clubID': '452', 'value': '€2.00m'}, {'date': '04/10/2021', 'age': '23', 'clubName': 'BSC Young Boys', 'clubID': '452', 'value': '€3.00m'}, {'date': '03/01/2022', 'age': '23', 'clubName': 'BSC Young Boys', 'clubID': '452', 'value': '€3.00m'}, {'date': '08/06/2022', 'age': '23', 'clubName': 'BSC Young Boys', 'clubID': '452', 'value': '€3.20m'}, {'date': '10/11/2022', 'age': '24', 'clubName': 'BSC Young Boys', 'clubID': '452', 'value': '€3.00m'}, {'date': '28/03/2023', 'age': '24', 'clubName': 'BSC Young Boys', 'clubID': '452', 'value': '€4.00m'}, {'date': '07/06/2023', 'age': '24', 'clubName': 'BSC Young Boys', 'clubID': '452', 'value': '€5.50m'}, {'date': '18/10/2023', 'age': '25', 'clubName': 'VfL Wolfsburg', 'clubID': '82', 'value': '€7.50m'}, {'date': '14/12/2023', 'age': '25', 'clubName': 'VfL Wolfsburg', 'clubID': '82', 'value': '€7.50m'}, {'date': '27/03/2024', 'age': '25', 'clubName': 'VfL Wolfsburg', 'clubID': '82', 'value': '€6.00m'}, {'date': '29/05/2024', 'age': '25', 'clubName': 'VfL Wolfsburg', 'clubID': '82', 'value': '€5.00m'}, {'date': '20/12/2024', 'age': '26', 'clubName': 'VfL Wolfsburg', 'clubID': '82', 'value': '€4.00m'}, {'date': '27/03/2025', 'age': '26', 'clubName': 'FC Augsburg', 'clubID': '167', 'value': '€5.50m'}, {'date': '05/06/2025', 'age': '26', 'clubName': 'FC Augsburg', 'clubID': '167', 'value': '€7.00m'}, {'date': '19/12/2025', 'age': '27', 'clubName': 'FC Augsburg', 'clubID': '167', 'value': '€5.00m'}]}</t>
        </is>
      </c>
      <c r="L748" t="inlineStr">
        <is>
          <t>Switzerland</t>
        </is>
      </c>
      <c r="M748" t="inlineStr">
        <is>
          <t>1998-06-24</t>
        </is>
      </c>
      <c r="N748" t="inlineStr">
        <is>
          <t>Switzerland</t>
        </is>
      </c>
      <c r="O748">
        <f>(3+3.2+3)/3</f>
        <v/>
      </c>
      <c r="P748">
        <f>(2+2+3)/3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2026-05-05T23:55:06Z</dcterms:created>
  <dcterms:modified xmlns:dcterms="http://purl.org/dc/terms/" xmlns:xsi="http://www.w3.org/2001/XMLSchema-instance" xsi:type="dcterms:W3CDTF">2026-05-05T23:55:06Z</dcterms:modified>
</cp:coreProperties>
</file>